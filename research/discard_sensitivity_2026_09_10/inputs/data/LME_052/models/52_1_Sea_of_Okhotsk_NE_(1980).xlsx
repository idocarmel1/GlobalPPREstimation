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Taxon-Group Map" sheetId="3" state="visible" r:id="rId3"/>
    <sheet name="Final mappings" sheetId="4" state="visible" r:id="rId4"/>
    <sheet name="SPPR" sheetId="5" state="visible" r:id="rId5"/>
    <sheet name="PPR by method" sheetId="6" state="visible" r:id="rId6"/>
    <sheet name="sppr_inner" sheetId="7" state="visible" r:id="rId7"/>
    <sheet name="PPR inner" sheetId="8" state="visible" r:id="rId8"/>
    <sheet name="sppr_PP" sheetId="9" state="visible" r:id="rId9"/>
    <sheet name="PPR PP" sheetId="10" state="visible" r:id="rId10"/>
    <sheet name="Recycling" sheetId="11" state="visible" r:id="rId11"/>
    <sheet name="PPR by taxon" sheetId="12" state="visible" r:id="rId12"/>
    <sheet name="Model groups" sheetId="13" state="visible" r:id="rId13"/>
    <sheet name="NPP" sheetId="14" state="visible" r:id="rId14"/>
  </sheets>
  <definedNames>
    <definedName name="_xlnm._FilterDatabase" localSheetId="3" hidden="1">'Final mappings'!$A$4:$M$174</definedName>
    <definedName name="_xlnm._FilterDatabase" localSheetId="13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000000000"/>
    <numFmt numFmtId="165" formatCode="#,##0.000000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i val="1"/>
    </font>
    <font>
      <i val="1"/>
      <color rgb="00808080"/>
    </font>
    <font>
      <b val="1"/>
      <color rgb="009C0006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49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0" fillId="0" borderId="0" applyAlignment="1" pivotButton="0" quotePrefix="0" xfId="0">
      <alignment vertical="top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/>
    </xf>
    <xf numFmtId="165" fontId="0" fillId="0" borderId="0" pivotButton="0" quotePrefix="0" xfId="0"/>
    <xf numFmtId="0" fontId="7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20" customWidth="1" min="3" max="3"/>
    <col width="24" customWidth="1" min="4" max="4"/>
    <col width="20" customWidth="1" min="5" max="5"/>
    <col width="24" customWidth="1" min="6" max="6"/>
  </cols>
  <sheetData>
    <row r="1">
      <c r="A1" s="1" t="inlineStr">
        <is>
          <t>LME_052 — Sea of Okhotsk</t>
        </is>
      </c>
    </row>
    <row r="2">
      <c r="A2" s="2" t="inlineStr">
        <is>
          <t>Ecopath model: 52_1_Sea_of_Okhotsk_NE_(1980)</t>
        </is>
      </c>
    </row>
    <row r="3">
      <c r="A3" s="3" t="inlineStr">
        <is>
          <t>NE means new detailed Ecopath model, not northeastern. Whole Okhotsk Sea coverage; numerical configuration caveats remain. 52_1_Sea_of_Okhotsk_NE_(1980)</t>
        </is>
      </c>
    </row>
    <row r="5">
      <c r="A5" t="inlineStr">
        <is>
          <t>region type</t>
        </is>
      </c>
      <c r="B5" t="inlineStr">
        <is>
          <t>LME</t>
        </is>
      </c>
    </row>
    <row r="6">
      <c r="A6" t="inlineStr">
        <is>
          <t>latitude</t>
        </is>
      </c>
      <c r="B6" t="inlineStr">
        <is>
          <t>55.9495</t>
        </is>
      </c>
    </row>
    <row r="7">
      <c r="A7" t="inlineStr">
        <is>
          <t>longitude</t>
        </is>
      </c>
      <c r="B7" t="inlineStr">
        <is>
          <t>149.68977</t>
        </is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151</v>
      </c>
    </row>
    <row r="10">
      <c r="A10" t="inlineStr">
        <is>
          <t>taxa apportioned across groups</t>
        </is>
      </c>
      <c r="B10" t="n">
        <v>11</v>
      </c>
    </row>
    <row r="11">
      <c r="A11" t="inlineStr">
        <is>
          <t>taxa unresolved</t>
        </is>
      </c>
      <c r="B11" t="n">
        <v>54</v>
      </c>
    </row>
    <row r="12">
      <c r="A12" t="inlineStr">
        <is>
          <t>catch tonnage on a named group, %</t>
        </is>
      </c>
      <c r="B12" t="n">
        <v>97.3</v>
      </c>
    </row>
    <row r="13">
      <c r="A13" t="inlineStr">
        <is>
          <t>SPPR methods</t>
        </is>
      </c>
      <c r="B13" t="n">
        <v>20</v>
      </c>
    </row>
    <row r="14">
      <c r="A14" t="inlineStr">
        <is>
          <t>methods flagged as unusable</t>
        </is>
      </c>
      <c r="B14" t="n">
        <v>7</v>
      </c>
    </row>
    <row r="15">
      <c r="A15" t="inlineStr">
        <is>
          <t>headline method below</t>
        </is>
      </c>
      <c r="B15" t="inlineStr">
        <is>
          <t>Ulanowicz_TE</t>
        </is>
      </c>
    </row>
    <row r="17">
      <c r="A17" s="4" t="inlineStr">
        <is>
          <t>year</t>
        </is>
      </c>
      <c r="B17" s="4" t="inlineStr">
        <is>
          <t>catch_tonnes</t>
        </is>
      </c>
      <c r="C17" s="4" t="inlineStr">
        <is>
          <t>ppr_simple</t>
        </is>
      </c>
      <c r="D17" s="4" t="inlineStr">
        <is>
          <t>ppr_Ulanowicz_TE</t>
        </is>
      </c>
      <c r="E17" s="4" t="inlineStr">
        <is>
          <t>ppr_simple / NPP %</t>
        </is>
      </c>
      <c r="F17" s="4" t="inlineStr">
        <is>
          <t>ppr_Ulanowicz_TE / NPP %</t>
        </is>
      </c>
    </row>
    <row r="18">
      <c r="A18" t="n">
        <v>1950</v>
      </c>
      <c r="B18" t="n">
        <v>737435.343</v>
      </c>
      <c r="C18" t="n">
        <v>538447225.896</v>
      </c>
      <c r="D18" t="n">
        <v>645028500.756</v>
      </c>
    </row>
    <row r="19">
      <c r="A19" t="n">
        <v>1951</v>
      </c>
      <c r="B19" t="n">
        <v>893045.884</v>
      </c>
      <c r="C19" t="n">
        <v>824868979.284</v>
      </c>
      <c r="D19" t="n">
        <v>708999734.814</v>
      </c>
    </row>
    <row r="20">
      <c r="A20" t="n">
        <v>1952</v>
      </c>
      <c r="B20" t="n">
        <v>827838.829</v>
      </c>
      <c r="C20" t="n">
        <v>648640399.201</v>
      </c>
      <c r="D20" t="n">
        <v>684733532.763</v>
      </c>
    </row>
    <row r="21">
      <c r="A21" t="n">
        <v>1953</v>
      </c>
      <c r="B21" t="n">
        <v>907159.023</v>
      </c>
      <c r="C21" t="n">
        <v>854938460.352</v>
      </c>
      <c r="D21" t="n">
        <v>734812700.382</v>
      </c>
    </row>
    <row r="22">
      <c r="A22" t="n">
        <v>1954</v>
      </c>
      <c r="B22" t="n">
        <v>898364.675</v>
      </c>
      <c r="C22" t="n">
        <v>726525927.198</v>
      </c>
      <c r="D22" t="n">
        <v>889457508.664</v>
      </c>
    </row>
    <row r="23">
      <c r="A23" t="n">
        <v>1955</v>
      </c>
      <c r="B23" t="n">
        <v>1062537.374</v>
      </c>
      <c r="C23" t="n">
        <v>886972672.151</v>
      </c>
      <c r="D23" t="n">
        <v>1021079827.15</v>
      </c>
    </row>
    <row r="24">
      <c r="A24" t="n">
        <v>1956</v>
      </c>
      <c r="B24" t="n">
        <v>1145961.485</v>
      </c>
      <c r="C24" t="n">
        <v>909609221.6339999</v>
      </c>
      <c r="D24" t="n">
        <v>1107503965.9</v>
      </c>
    </row>
    <row r="25">
      <c r="A25" t="n">
        <v>1957</v>
      </c>
      <c r="B25" t="n">
        <v>1333954.053</v>
      </c>
      <c r="C25" t="n">
        <v>1034075139.513</v>
      </c>
      <c r="D25" t="n">
        <v>1191873975.319</v>
      </c>
    </row>
    <row r="26">
      <c r="A26" t="n">
        <v>1958</v>
      </c>
      <c r="B26" t="n">
        <v>1068756.464</v>
      </c>
      <c r="C26" t="n">
        <v>498794105.483</v>
      </c>
      <c r="D26" t="n">
        <v>934767128.911</v>
      </c>
    </row>
    <row r="27">
      <c r="A27" t="n">
        <v>1959</v>
      </c>
      <c r="B27" t="n">
        <v>1012507.662</v>
      </c>
      <c r="C27" t="n">
        <v>549316829.0140001</v>
      </c>
      <c r="D27" t="n">
        <v>948469597.052</v>
      </c>
    </row>
    <row r="28">
      <c r="A28" t="n">
        <v>1960</v>
      </c>
      <c r="B28" t="n">
        <v>887212.235</v>
      </c>
      <c r="C28" t="n">
        <v>466008693.149</v>
      </c>
      <c r="D28" t="n">
        <v>1013965574.902</v>
      </c>
    </row>
    <row r="29">
      <c r="A29" t="n">
        <v>1961</v>
      </c>
      <c r="B29" t="n">
        <v>1004505.417</v>
      </c>
      <c r="C29" t="n">
        <v>517069944.85</v>
      </c>
      <c r="D29" t="n">
        <v>1171503736.364</v>
      </c>
    </row>
    <row r="30">
      <c r="A30" t="n">
        <v>1962</v>
      </c>
      <c r="B30" t="n">
        <v>926157.148</v>
      </c>
      <c r="C30" t="n">
        <v>487268320.398</v>
      </c>
      <c r="D30" t="n">
        <v>1083258347.401</v>
      </c>
    </row>
    <row r="31">
      <c r="A31" t="n">
        <v>1963</v>
      </c>
      <c r="B31" t="n">
        <v>1139862.104</v>
      </c>
      <c r="C31" t="n">
        <v>584800261.02</v>
      </c>
      <c r="D31" t="n">
        <v>1207228256.831</v>
      </c>
    </row>
    <row r="32">
      <c r="A32" t="n">
        <v>1964</v>
      </c>
      <c r="B32" t="n">
        <v>1157801.139</v>
      </c>
      <c r="C32" t="n">
        <v>496547339.437</v>
      </c>
      <c r="D32" t="n">
        <v>1169415639.359</v>
      </c>
    </row>
    <row r="33">
      <c r="A33" t="n">
        <v>1965</v>
      </c>
      <c r="B33" t="n">
        <v>1401328.424</v>
      </c>
      <c r="C33" t="n">
        <v>659761572.352</v>
      </c>
      <c r="D33" t="n">
        <v>1344276041.592</v>
      </c>
    </row>
    <row r="34">
      <c r="A34" t="n">
        <v>1966</v>
      </c>
      <c r="B34" t="n">
        <v>1399509.459</v>
      </c>
      <c r="C34" t="n">
        <v>602906920.008</v>
      </c>
      <c r="D34" t="n">
        <v>1182253907.267</v>
      </c>
    </row>
    <row r="35">
      <c r="A35" t="n">
        <v>1967</v>
      </c>
      <c r="B35" t="n">
        <v>1553570.849</v>
      </c>
      <c r="C35" t="n">
        <v>733040407.224</v>
      </c>
      <c r="D35" t="n">
        <v>1336963065.736</v>
      </c>
    </row>
    <row r="36">
      <c r="A36" t="n">
        <v>1968</v>
      </c>
      <c r="B36" t="n">
        <v>1726811.853</v>
      </c>
      <c r="C36" t="n">
        <v>730558103.414</v>
      </c>
      <c r="D36" t="n">
        <v>1473515600.098</v>
      </c>
    </row>
    <row r="37">
      <c r="A37" t="n">
        <v>1969</v>
      </c>
      <c r="B37" t="n">
        <v>1752834.947</v>
      </c>
      <c r="C37" t="n">
        <v>829348282.799</v>
      </c>
      <c r="D37" t="n">
        <v>1624670304.762</v>
      </c>
    </row>
    <row r="38">
      <c r="A38" t="n">
        <v>1970</v>
      </c>
      <c r="B38" t="n">
        <v>1699474.242</v>
      </c>
      <c r="C38" t="n">
        <v>681753955.103</v>
      </c>
      <c r="D38" t="n">
        <v>1567875554.328</v>
      </c>
    </row>
    <row r="39">
      <c r="A39" t="n">
        <v>1971</v>
      </c>
      <c r="B39" t="n">
        <v>1856934.55</v>
      </c>
      <c r="C39" t="n">
        <v>831382943.976</v>
      </c>
      <c r="D39" t="n">
        <v>1836418869.528</v>
      </c>
    </row>
    <row r="40">
      <c r="A40" t="n">
        <v>1972</v>
      </c>
      <c r="B40" t="n">
        <v>1772685.177</v>
      </c>
      <c r="C40" t="n">
        <v>726962048.467</v>
      </c>
      <c r="D40" t="n">
        <v>1672089644.753</v>
      </c>
    </row>
    <row r="41">
      <c r="A41" t="n">
        <v>1973</v>
      </c>
      <c r="B41" t="n">
        <v>2435980.89</v>
      </c>
      <c r="C41" t="n">
        <v>1056630934.456</v>
      </c>
      <c r="D41" t="n">
        <v>2294546387.067</v>
      </c>
    </row>
    <row r="42">
      <c r="A42" t="n">
        <v>1974</v>
      </c>
      <c r="B42" t="n">
        <v>2480317.469</v>
      </c>
      <c r="C42" t="n">
        <v>999822157.251</v>
      </c>
      <c r="D42" t="n">
        <v>2343752057.768</v>
      </c>
    </row>
    <row r="43">
      <c r="A43" t="n">
        <v>1975</v>
      </c>
      <c r="B43" t="n">
        <v>2867325.419</v>
      </c>
      <c r="C43" t="n">
        <v>1262493251.302</v>
      </c>
      <c r="D43" t="n">
        <v>2700780532.098</v>
      </c>
    </row>
    <row r="44">
      <c r="A44" t="n">
        <v>1976</v>
      </c>
      <c r="B44" t="n">
        <v>2875762.717</v>
      </c>
      <c r="C44" t="n">
        <v>1204347559.537</v>
      </c>
      <c r="D44" t="n">
        <v>2794279433.653</v>
      </c>
    </row>
    <row r="45">
      <c r="A45" t="n">
        <v>1977</v>
      </c>
      <c r="B45" t="n">
        <v>2946298.091</v>
      </c>
      <c r="C45" t="n">
        <v>1363367810.432</v>
      </c>
      <c r="D45" t="n">
        <v>2851809849.724</v>
      </c>
    </row>
    <row r="46">
      <c r="A46" t="n">
        <v>1978</v>
      </c>
      <c r="B46" t="n">
        <v>2759941.391</v>
      </c>
      <c r="C46" t="n">
        <v>1185259895.003</v>
      </c>
      <c r="D46" t="n">
        <v>2565317391.57</v>
      </c>
    </row>
    <row r="47">
      <c r="A47" t="n">
        <v>1979</v>
      </c>
      <c r="B47" t="n">
        <v>2935647.767</v>
      </c>
      <c r="C47" t="n">
        <v>1326991255.859</v>
      </c>
      <c r="D47" t="n">
        <v>2763855452.417</v>
      </c>
    </row>
    <row r="48">
      <c r="A48" t="n">
        <v>1980</v>
      </c>
      <c r="B48" t="n">
        <v>3046945.066</v>
      </c>
      <c r="C48" t="n">
        <v>1359057632.076</v>
      </c>
      <c r="D48" t="n">
        <v>2882736440.047</v>
      </c>
    </row>
    <row r="49">
      <c r="A49" t="n">
        <v>1981</v>
      </c>
      <c r="B49" t="n">
        <v>3352690.155</v>
      </c>
      <c r="C49" t="n">
        <v>1451930523.354</v>
      </c>
      <c r="D49" t="n">
        <v>3454351174.599</v>
      </c>
    </row>
    <row r="50">
      <c r="A50" t="n">
        <v>1982</v>
      </c>
      <c r="B50" t="n">
        <v>3776985.885</v>
      </c>
      <c r="C50" t="n">
        <v>1557186722.244</v>
      </c>
      <c r="D50" t="n">
        <v>3949824717.759</v>
      </c>
    </row>
    <row r="51">
      <c r="A51" t="n">
        <v>1983</v>
      </c>
      <c r="B51" t="n">
        <v>4091361.495</v>
      </c>
      <c r="C51" t="n">
        <v>1789666929.727</v>
      </c>
      <c r="D51" t="n">
        <v>4215355806.778</v>
      </c>
    </row>
    <row r="52">
      <c r="A52" t="n">
        <v>1984</v>
      </c>
      <c r="B52" t="n">
        <v>5468462.505</v>
      </c>
      <c r="C52" t="n">
        <v>2222465009.103</v>
      </c>
      <c r="D52" t="n">
        <v>5698884302.593</v>
      </c>
    </row>
    <row r="53">
      <c r="A53" t="n">
        <v>1985</v>
      </c>
      <c r="B53" t="n">
        <v>5668585.894</v>
      </c>
      <c r="C53" t="n">
        <v>2432114918.185</v>
      </c>
      <c r="D53" t="n">
        <v>6110172534.382</v>
      </c>
    </row>
    <row r="54">
      <c r="A54" t="n">
        <v>1986</v>
      </c>
      <c r="B54" t="n">
        <v>6240224.854</v>
      </c>
      <c r="C54" t="n">
        <v>2532339048.286</v>
      </c>
      <c r="D54" t="n">
        <v>6660567260.836</v>
      </c>
    </row>
    <row r="55">
      <c r="A55" t="n">
        <v>1987</v>
      </c>
      <c r="B55" t="n">
        <v>6064669.426</v>
      </c>
      <c r="C55" t="n">
        <v>2595868086.644</v>
      </c>
      <c r="D55" t="n">
        <v>6462980834.091</v>
      </c>
    </row>
    <row r="56">
      <c r="A56" t="n">
        <v>1988</v>
      </c>
      <c r="B56" t="n">
        <v>5986828.225</v>
      </c>
      <c r="C56" t="n">
        <v>2433206458.038</v>
      </c>
      <c r="D56" t="n">
        <v>6338058435.611</v>
      </c>
    </row>
    <row r="57">
      <c r="A57" t="n">
        <v>1989</v>
      </c>
      <c r="B57" t="n">
        <v>6528324.526</v>
      </c>
      <c r="C57" t="n">
        <v>2932307484.528</v>
      </c>
      <c r="D57" t="n">
        <v>6485730436.355</v>
      </c>
    </row>
    <row r="58">
      <c r="A58" t="n">
        <v>1990</v>
      </c>
      <c r="B58" t="n">
        <v>7147188.012</v>
      </c>
      <c r="C58" t="n">
        <v>3055456345.439</v>
      </c>
      <c r="D58" t="n">
        <v>7186975992.706</v>
      </c>
    </row>
    <row r="59">
      <c r="A59" t="n">
        <v>1991</v>
      </c>
      <c r="B59" t="n">
        <v>6836824.952</v>
      </c>
      <c r="C59" t="n">
        <v>3252190514.293</v>
      </c>
      <c r="D59" t="n">
        <v>6443961871.375</v>
      </c>
    </row>
    <row r="60">
      <c r="A60" t="n">
        <v>1992</v>
      </c>
      <c r="B60" t="n">
        <v>6363119.344</v>
      </c>
      <c r="C60" t="n">
        <v>2916379671.355</v>
      </c>
      <c r="D60" t="n">
        <v>7044898034.901</v>
      </c>
    </row>
    <row r="61">
      <c r="A61" t="n">
        <v>1993</v>
      </c>
      <c r="B61" t="n">
        <v>5514835.784</v>
      </c>
      <c r="C61" t="n">
        <v>2768892101.395</v>
      </c>
      <c r="D61" t="n">
        <v>5702401150.678</v>
      </c>
    </row>
    <row r="62">
      <c r="A62" t="n">
        <v>1994</v>
      </c>
      <c r="B62" t="n">
        <v>4718431.444</v>
      </c>
      <c r="C62" t="n">
        <v>2486069921.598</v>
      </c>
      <c r="D62" t="n">
        <v>4589019813.776</v>
      </c>
    </row>
    <row r="63">
      <c r="A63" t="n">
        <v>1995</v>
      </c>
      <c r="B63" t="n">
        <v>5809554.096</v>
      </c>
      <c r="C63" t="n">
        <v>3040275972.008</v>
      </c>
      <c r="D63" t="n">
        <v>5675524487.786</v>
      </c>
    </row>
    <row r="64">
      <c r="A64" t="n">
        <v>1996</v>
      </c>
      <c r="B64" t="n">
        <v>6827321.125</v>
      </c>
      <c r="C64" t="n">
        <v>3295307219.845</v>
      </c>
      <c r="D64" t="n">
        <v>6521162571.808</v>
      </c>
    </row>
    <row r="65">
      <c r="A65" t="n">
        <v>1997</v>
      </c>
      <c r="B65" t="n">
        <v>6673942.678</v>
      </c>
      <c r="C65" t="n">
        <v>3386502557.004</v>
      </c>
      <c r="D65" t="n">
        <v>6210486225.811</v>
      </c>
    </row>
    <row r="66">
      <c r="A66" t="n">
        <v>1998</v>
      </c>
      <c r="B66" t="n">
        <v>5959516.959</v>
      </c>
      <c r="C66" t="n">
        <v>3025887386.808</v>
      </c>
      <c r="D66" t="n">
        <v>5655151634.226</v>
      </c>
      <c r="E66" t="n">
        <v>101.5284</v>
      </c>
      <c r="F66" t="n">
        <v>189.7488</v>
      </c>
    </row>
    <row r="67">
      <c r="A67" t="n">
        <v>1999</v>
      </c>
      <c r="B67" t="n">
        <v>5321931.57</v>
      </c>
      <c r="C67" t="n">
        <v>2869129506.549</v>
      </c>
      <c r="D67" t="n">
        <v>5108111534.178</v>
      </c>
      <c r="E67" t="n">
        <v>101.023</v>
      </c>
      <c r="F67" t="n">
        <v>179.8584</v>
      </c>
    </row>
    <row r="68">
      <c r="A68" t="n">
        <v>2000</v>
      </c>
      <c r="B68" t="n">
        <v>4591441.095</v>
      </c>
      <c r="C68" t="n">
        <v>2505816807.485</v>
      </c>
      <c r="D68" t="n">
        <v>4355753186.409</v>
      </c>
      <c r="E68" t="n">
        <v>93.60380000000001</v>
      </c>
      <c r="F68" t="n">
        <v>162.7075</v>
      </c>
    </row>
    <row r="69">
      <c r="A69" t="n">
        <v>2001</v>
      </c>
      <c r="B69" t="n">
        <v>4591637.952</v>
      </c>
      <c r="C69" t="n">
        <v>2545971959.947</v>
      </c>
      <c r="D69" t="n">
        <v>4425077064.804</v>
      </c>
    </row>
    <row r="70">
      <c r="A70" t="n">
        <v>2002</v>
      </c>
      <c r="B70" t="n">
        <v>3211633.094</v>
      </c>
      <c r="C70" t="n">
        <v>1915973389.515</v>
      </c>
      <c r="D70" t="n">
        <v>3050458773.457</v>
      </c>
    </row>
    <row r="71">
      <c r="A71" t="n">
        <v>2003</v>
      </c>
      <c r="B71" t="n">
        <v>4030219.515</v>
      </c>
      <c r="C71" t="n">
        <v>2307468182.39</v>
      </c>
      <c r="D71" t="n">
        <v>3971285268.332</v>
      </c>
    </row>
    <row r="72">
      <c r="A72" t="n">
        <v>2004</v>
      </c>
      <c r="B72" t="n">
        <v>3258717.743</v>
      </c>
      <c r="C72" t="n">
        <v>1878414809.388</v>
      </c>
      <c r="D72" t="n">
        <v>3369366540.829</v>
      </c>
    </row>
    <row r="73">
      <c r="A73" t="n">
        <v>2005</v>
      </c>
      <c r="B73" t="n">
        <v>3579903.463</v>
      </c>
      <c r="C73" t="n">
        <v>2234069749.265</v>
      </c>
      <c r="D73" t="n">
        <v>3552682368.427</v>
      </c>
    </row>
    <row r="74">
      <c r="A74" t="n">
        <v>2006</v>
      </c>
      <c r="B74" t="n">
        <v>3656771.452</v>
      </c>
      <c r="C74" t="n">
        <v>2215642053.79</v>
      </c>
      <c r="D74" t="n">
        <v>3537081959.209</v>
      </c>
    </row>
    <row r="75">
      <c r="A75" t="n">
        <v>2007</v>
      </c>
      <c r="B75" t="n">
        <v>4021913.755</v>
      </c>
      <c r="C75" t="n">
        <v>2513590305.755</v>
      </c>
      <c r="D75" t="n">
        <v>3901449790.535</v>
      </c>
    </row>
    <row r="76">
      <c r="A76" t="n">
        <v>2008</v>
      </c>
      <c r="B76" t="n">
        <v>3614587.791</v>
      </c>
      <c r="C76" t="n">
        <v>2196739234.261</v>
      </c>
      <c r="D76" t="n">
        <v>3781602670.651</v>
      </c>
    </row>
    <row r="77">
      <c r="A77" t="n">
        <v>2009</v>
      </c>
      <c r="B77" t="n">
        <v>3878004.337</v>
      </c>
      <c r="C77" t="n">
        <v>2688961343.23</v>
      </c>
      <c r="D77" t="n">
        <v>3957660971.625</v>
      </c>
    </row>
    <row r="78">
      <c r="A78" t="n">
        <v>2010</v>
      </c>
      <c r="B78" t="n">
        <v>4188001.323</v>
      </c>
      <c r="C78" t="n">
        <v>2498602894.136</v>
      </c>
      <c r="D78" t="n">
        <v>4492796940.984</v>
      </c>
    </row>
    <row r="79">
      <c r="A79" t="n">
        <v>2011</v>
      </c>
      <c r="B79" t="n">
        <v>4438750.548</v>
      </c>
      <c r="C79" t="n">
        <v>3061549193.456</v>
      </c>
      <c r="D79" t="n">
        <v>4348257532.175</v>
      </c>
    </row>
    <row r="80">
      <c r="A80" t="n">
        <v>2012</v>
      </c>
      <c r="B80" t="n">
        <v>4465336.391</v>
      </c>
      <c r="C80" t="n">
        <v>2809538353.54</v>
      </c>
      <c r="D80" t="n">
        <v>4453000094.139</v>
      </c>
    </row>
    <row r="81">
      <c r="A81" t="n">
        <v>2013</v>
      </c>
      <c r="B81" t="n">
        <v>4350755.675</v>
      </c>
      <c r="C81" t="n">
        <v>2725016867.582</v>
      </c>
      <c r="D81" t="n">
        <v>4262301063.089</v>
      </c>
    </row>
    <row r="82">
      <c r="A82" t="n">
        <v>2014</v>
      </c>
      <c r="B82" t="n">
        <v>4418916.597</v>
      </c>
      <c r="C82" t="n">
        <v>2504736826.23</v>
      </c>
      <c r="D82" t="n">
        <v>4675855807.755</v>
      </c>
    </row>
    <row r="83">
      <c r="A83" t="n">
        <v>2015</v>
      </c>
      <c r="B83" t="n">
        <v>4367213.311</v>
      </c>
      <c r="C83" t="n">
        <v>2508969769.23</v>
      </c>
      <c r="D83" t="n">
        <v>4420763880.534</v>
      </c>
    </row>
    <row r="84">
      <c r="A84" t="n">
        <v>2016</v>
      </c>
      <c r="B84" t="n">
        <v>4581615.082</v>
      </c>
      <c r="C84" t="n">
        <v>2683229419.329</v>
      </c>
      <c r="D84" t="n">
        <v>4781459010.978</v>
      </c>
    </row>
    <row r="85">
      <c r="A85" t="n">
        <v>2017</v>
      </c>
      <c r="B85" t="n">
        <v>4586048.411</v>
      </c>
      <c r="C85" t="n">
        <v>2555357731.152</v>
      </c>
      <c r="D85" t="n">
        <v>4872812973.284</v>
      </c>
    </row>
    <row r="86">
      <c r="A86" t="n">
        <v>2018</v>
      </c>
      <c r="B86" t="n">
        <v>4841020.735</v>
      </c>
      <c r="C86" t="n">
        <v>3156910928.104</v>
      </c>
      <c r="D86" t="n">
        <v>5085929616.24</v>
      </c>
    </row>
    <row r="87">
      <c r="A87" t="n">
        <v>2019</v>
      </c>
      <c r="B87" t="n">
        <v>4800852.128</v>
      </c>
      <c r="C87" t="n">
        <v>2799543442.983</v>
      </c>
      <c r="D87" t="n">
        <v>5167970598.019</v>
      </c>
      <c r="E87" t="n">
        <v>105.1099</v>
      </c>
      <c r="F87" t="n">
        <v>194.0334</v>
      </c>
    </row>
    <row r="88">
      <c r="A88" t="inlineStr">
        <is>
          <t>PPR/NPP converts wet-weight PP to carbon at 9:1 and uses the matching year's NPP ensemble median.</t>
        </is>
      </c>
    </row>
    <row r="89">
      <c r="A89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5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6" customWidth="1" min="2" max="2"/>
    <col width="30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</cols>
  <sheetData>
    <row r="1">
      <c r="A1" s="4" t="inlineStr">
        <is>
          <t>taxon</t>
        </is>
      </c>
      <c r="B1" s="4" t="inlineStr">
        <is>
          <t>common_name</t>
        </is>
      </c>
      <c r="C1" s="4" t="inlineStr">
        <is>
          <t>functional_group</t>
        </is>
      </c>
      <c r="D1" s="4" t="inlineStr">
        <is>
          <t>commercial_group</t>
        </is>
      </c>
      <c r="E1" s="4" t="n">
        <v>1950</v>
      </c>
      <c r="F1" s="4" t="n">
        <v>1951</v>
      </c>
      <c r="G1" s="4" t="n">
        <v>1952</v>
      </c>
      <c r="H1" s="4" t="n">
        <v>1953</v>
      </c>
      <c r="I1" s="4" t="n">
        <v>1954</v>
      </c>
      <c r="J1" s="4" t="n">
        <v>1955</v>
      </c>
      <c r="K1" s="4" t="n">
        <v>1956</v>
      </c>
      <c r="L1" s="4" t="n">
        <v>1957</v>
      </c>
      <c r="M1" s="4" t="n">
        <v>1958</v>
      </c>
      <c r="N1" s="4" t="n">
        <v>1959</v>
      </c>
      <c r="O1" s="4" t="n">
        <v>1960</v>
      </c>
      <c r="P1" s="4" t="n">
        <v>1961</v>
      </c>
      <c r="Q1" s="4" t="n">
        <v>1962</v>
      </c>
      <c r="R1" s="4" t="n">
        <v>1963</v>
      </c>
      <c r="S1" s="4" t="n">
        <v>1964</v>
      </c>
      <c r="T1" s="4" t="n">
        <v>1965</v>
      </c>
      <c r="U1" s="4" t="n">
        <v>1966</v>
      </c>
      <c r="V1" s="4" t="n">
        <v>1967</v>
      </c>
      <c r="W1" s="4" t="n">
        <v>1968</v>
      </c>
      <c r="X1" s="4" t="n">
        <v>1969</v>
      </c>
      <c r="Y1" s="4" t="n">
        <v>1970</v>
      </c>
      <c r="Z1" s="4" t="n">
        <v>1971</v>
      </c>
      <c r="AA1" s="4" t="n">
        <v>1972</v>
      </c>
      <c r="AB1" s="4" t="n">
        <v>1973</v>
      </c>
      <c r="AC1" s="4" t="n">
        <v>1974</v>
      </c>
      <c r="AD1" s="4" t="n">
        <v>1975</v>
      </c>
      <c r="AE1" s="4" t="n">
        <v>1976</v>
      </c>
      <c r="AF1" s="4" t="n">
        <v>1977</v>
      </c>
      <c r="AG1" s="4" t="n">
        <v>1978</v>
      </c>
      <c r="AH1" s="4" t="n">
        <v>1979</v>
      </c>
      <c r="AI1" s="4" t="n">
        <v>1980</v>
      </c>
      <c r="AJ1" s="4" t="n">
        <v>1981</v>
      </c>
      <c r="AK1" s="4" t="n">
        <v>1982</v>
      </c>
      <c r="AL1" s="4" t="n">
        <v>1983</v>
      </c>
      <c r="AM1" s="4" t="n">
        <v>1984</v>
      </c>
      <c r="AN1" s="4" t="n">
        <v>1985</v>
      </c>
      <c r="AO1" s="4" t="n">
        <v>1986</v>
      </c>
      <c r="AP1" s="4" t="n">
        <v>1987</v>
      </c>
      <c r="AQ1" s="4" t="n">
        <v>1988</v>
      </c>
      <c r="AR1" s="4" t="n">
        <v>1989</v>
      </c>
      <c r="AS1" s="4" t="n">
        <v>1990</v>
      </c>
      <c r="AT1" s="4" t="n">
        <v>1991</v>
      </c>
      <c r="AU1" s="4" t="n">
        <v>1992</v>
      </c>
      <c r="AV1" s="4" t="n">
        <v>1993</v>
      </c>
      <c r="AW1" s="4" t="n">
        <v>1994</v>
      </c>
      <c r="AX1" s="4" t="n">
        <v>1995</v>
      </c>
      <c r="AY1" s="4" t="n">
        <v>1996</v>
      </c>
      <c r="AZ1" s="4" t="n">
        <v>1997</v>
      </c>
      <c r="BA1" s="4" t="n">
        <v>1998</v>
      </c>
      <c r="BB1" s="4" t="n">
        <v>1999</v>
      </c>
      <c r="BC1" s="4" t="n">
        <v>2000</v>
      </c>
      <c r="BD1" s="4" t="n">
        <v>2001</v>
      </c>
      <c r="BE1" s="4" t="n">
        <v>2002</v>
      </c>
      <c r="BF1" s="4" t="n">
        <v>2003</v>
      </c>
      <c r="BG1" s="4" t="n">
        <v>2004</v>
      </c>
      <c r="BH1" s="4" t="n">
        <v>2005</v>
      </c>
      <c r="BI1" s="4" t="n">
        <v>2006</v>
      </c>
      <c r="BJ1" s="4" t="n">
        <v>2007</v>
      </c>
      <c r="BK1" s="4" t="n">
        <v>2008</v>
      </c>
      <c r="BL1" s="4" t="n">
        <v>2009</v>
      </c>
      <c r="BM1" s="4" t="n">
        <v>2010</v>
      </c>
      <c r="BN1" s="4" t="n">
        <v>2011</v>
      </c>
      <c r="BO1" s="4" t="n">
        <v>2012</v>
      </c>
      <c r="BP1" s="4" t="n">
        <v>2013</v>
      </c>
      <c r="BQ1" s="4" t="n">
        <v>2014</v>
      </c>
      <c r="BR1" s="4" t="n">
        <v>2015</v>
      </c>
      <c r="BS1" s="4" t="n">
        <v>2016</v>
      </c>
      <c r="BT1" s="4" t="n">
        <v>2017</v>
      </c>
      <c r="BU1" s="4" t="n">
        <v>2018</v>
      </c>
      <c r="BV1" s="4" t="n">
        <v>2019</v>
      </c>
    </row>
    <row r="2">
      <c r="A2" t="inlineStr">
        <is>
          <t>Gadus chalcogrammus</t>
        </is>
      </c>
      <c r="B2" t="inlineStr">
        <is>
          <t>Alaska pollock</t>
        </is>
      </c>
      <c r="C2" t="inlineStr">
        <is>
          <t>Medium benthopelagics (30 - 89 cm)</t>
        </is>
      </c>
      <c r="D2" t="inlineStr">
        <is>
          <t>Cod-likes</t>
        </is>
      </c>
      <c r="E2" t="n">
        <v>95540.788</v>
      </c>
      <c r="F2" t="n">
        <v>102736.175</v>
      </c>
      <c r="G2" t="n">
        <v>98903.064</v>
      </c>
      <c r="H2" t="n">
        <v>99940.52899999999</v>
      </c>
      <c r="I2" t="n">
        <v>107642.512</v>
      </c>
      <c r="J2" t="n">
        <v>125501.415</v>
      </c>
      <c r="K2" t="n">
        <v>144032.517</v>
      </c>
      <c r="L2" t="n">
        <v>186429.246</v>
      </c>
      <c r="M2" t="n">
        <v>215265.361</v>
      </c>
      <c r="N2" t="n">
        <v>229306.267</v>
      </c>
      <c r="O2" t="n">
        <v>236592.482</v>
      </c>
      <c r="P2" t="n">
        <v>243098.098</v>
      </c>
      <c r="Q2" t="n">
        <v>248199.63</v>
      </c>
      <c r="R2" t="n">
        <v>310040.637</v>
      </c>
      <c r="S2" t="n">
        <v>320803.277</v>
      </c>
      <c r="T2" t="n">
        <v>491795.648</v>
      </c>
      <c r="U2" t="n">
        <v>566878.5</v>
      </c>
      <c r="V2" t="n">
        <v>662671.655</v>
      </c>
      <c r="W2" t="n">
        <v>742626.164</v>
      </c>
      <c r="X2" t="n">
        <v>742954.836</v>
      </c>
      <c r="Y2" t="n">
        <v>819691.998</v>
      </c>
      <c r="Z2" t="n">
        <v>927292.316</v>
      </c>
      <c r="AA2" t="n">
        <v>882925.436</v>
      </c>
      <c r="AB2" t="n">
        <v>1387248.464</v>
      </c>
      <c r="AC2" t="n">
        <v>1474364.03</v>
      </c>
      <c r="AD2" t="n">
        <v>1797101.57</v>
      </c>
      <c r="AE2" t="n">
        <v>1935164.562</v>
      </c>
      <c r="AF2" t="n">
        <v>1875807.938</v>
      </c>
      <c r="AG2" t="n">
        <v>1829507.332</v>
      </c>
      <c r="AH2" t="n">
        <v>1875198.945</v>
      </c>
      <c r="AI2" t="n">
        <v>1980623.15</v>
      </c>
      <c r="AJ2" t="n">
        <v>2116768.465</v>
      </c>
      <c r="AK2" t="n">
        <v>2472298.59</v>
      </c>
      <c r="AL2" t="n">
        <v>2707742.052</v>
      </c>
      <c r="AM2" t="n">
        <v>3751466.846</v>
      </c>
      <c r="AN2" t="n">
        <v>3800889.158</v>
      </c>
      <c r="AO2" t="n">
        <v>4263695.261</v>
      </c>
      <c r="AP2" t="n">
        <v>4129739.656</v>
      </c>
      <c r="AQ2" t="n">
        <v>4152144.171</v>
      </c>
      <c r="AR2" t="n">
        <v>4684061.618</v>
      </c>
      <c r="AS2" t="n">
        <v>5277999.905</v>
      </c>
      <c r="AT2" t="n">
        <v>5097352.751</v>
      </c>
      <c r="AU2" t="n">
        <v>4846213.29</v>
      </c>
      <c r="AV2" t="n">
        <v>4097886.209</v>
      </c>
      <c r="AW2" t="n">
        <v>3484873.135</v>
      </c>
      <c r="AX2" t="n">
        <v>4381389.279</v>
      </c>
      <c r="AY2" t="n">
        <v>5302416.128</v>
      </c>
      <c r="AZ2" t="n">
        <v>4965960.277</v>
      </c>
      <c r="BA2" t="n">
        <v>4139102.429</v>
      </c>
      <c r="BB2" t="n">
        <v>3445890.528</v>
      </c>
      <c r="BC2" t="n">
        <v>2711504.204</v>
      </c>
      <c r="BD2" t="n">
        <v>2866506.789</v>
      </c>
      <c r="BE2" t="n">
        <v>1747817.177</v>
      </c>
      <c r="BF2" t="n">
        <v>2424552.663</v>
      </c>
      <c r="BG2" t="n">
        <v>1740172.463</v>
      </c>
      <c r="BH2" t="n">
        <v>1935022.259</v>
      </c>
      <c r="BI2" t="n">
        <v>2033163.95</v>
      </c>
      <c r="BJ2" t="n">
        <v>2366424.186</v>
      </c>
      <c r="BK2" t="n">
        <v>2006253.019</v>
      </c>
      <c r="BL2" t="n">
        <v>1988528.927</v>
      </c>
      <c r="BM2" t="n">
        <v>2327082.274</v>
      </c>
      <c r="BN2" t="n">
        <v>2396978.664</v>
      </c>
      <c r="BO2" t="n">
        <v>2418693.736</v>
      </c>
      <c r="BP2" t="n">
        <v>2310661.391</v>
      </c>
      <c r="BQ2" t="n">
        <v>2262175.495</v>
      </c>
      <c r="BR2" t="n">
        <v>2396713.104</v>
      </c>
      <c r="BS2" t="n">
        <v>2540880.594</v>
      </c>
      <c r="BT2" t="n">
        <v>2555501.764</v>
      </c>
      <c r="BU2" t="n">
        <v>2592762.699</v>
      </c>
      <c r="BV2" t="n">
        <v>2636838.814</v>
      </c>
    </row>
    <row r="3">
      <c r="A3" t="inlineStr">
        <is>
          <t>Clupea pallasii</t>
        </is>
      </c>
      <c r="B3" t="inlineStr">
        <is>
          <t>Pacific herring</t>
        </is>
      </c>
      <c r="C3" t="inlineStr">
        <is>
          <t>Medium pelagics (30 - 89 cm)</t>
        </is>
      </c>
      <c r="D3" t="inlineStr">
        <is>
          <t>Herring-likes</t>
        </is>
      </c>
      <c r="E3" t="n">
        <v>131876.378</v>
      </c>
      <c r="F3" t="n">
        <v>152197.143</v>
      </c>
      <c r="G3" t="n">
        <v>155153.94</v>
      </c>
      <c r="H3" t="n">
        <v>140441.203</v>
      </c>
      <c r="I3" t="n">
        <v>108994.796</v>
      </c>
      <c r="J3" t="n">
        <v>125373.86</v>
      </c>
      <c r="K3" t="n">
        <v>139456.114</v>
      </c>
      <c r="L3" t="n">
        <v>264198.086</v>
      </c>
      <c r="M3" t="n">
        <v>294103.697</v>
      </c>
      <c r="N3" t="n">
        <v>202956.943</v>
      </c>
      <c r="O3" t="n">
        <v>138713.225</v>
      </c>
      <c r="P3" t="n">
        <v>186784.815</v>
      </c>
      <c r="Q3" t="n">
        <v>144019.958</v>
      </c>
      <c r="R3" t="n">
        <v>240507.278</v>
      </c>
      <c r="S3" t="n">
        <v>297692.166</v>
      </c>
      <c r="T3" t="n">
        <v>285615.393</v>
      </c>
      <c r="U3" t="n">
        <v>289777.474</v>
      </c>
      <c r="V3" t="n">
        <v>311187.585</v>
      </c>
      <c r="W3" t="n">
        <v>370515.561</v>
      </c>
      <c r="X3" t="n">
        <v>358806.583</v>
      </c>
      <c r="Y3" t="n">
        <v>281387.978</v>
      </c>
      <c r="Z3" t="n">
        <v>247950.481</v>
      </c>
      <c r="AA3" t="n">
        <v>244556.648</v>
      </c>
      <c r="AB3" t="n">
        <v>303656.696</v>
      </c>
      <c r="AC3" t="n">
        <v>273612.165</v>
      </c>
      <c r="AD3" t="n">
        <v>300616.415</v>
      </c>
      <c r="AE3" t="n">
        <v>197585.664</v>
      </c>
      <c r="AF3" t="n">
        <v>240336.074</v>
      </c>
      <c r="AG3" t="n">
        <v>72655.393</v>
      </c>
      <c r="AH3" t="n">
        <v>86524.57000000001</v>
      </c>
      <c r="AI3" t="n">
        <v>97640.27499999999</v>
      </c>
      <c r="AJ3" t="n">
        <v>105735.227</v>
      </c>
      <c r="AK3" t="n">
        <v>117550.58</v>
      </c>
      <c r="AL3" t="n">
        <v>160351.016</v>
      </c>
      <c r="AM3" t="n">
        <v>187759.446</v>
      </c>
      <c r="AN3" t="n">
        <v>227493.727</v>
      </c>
      <c r="AO3" t="n">
        <v>224291.411</v>
      </c>
      <c r="AP3" t="n">
        <v>267241.044</v>
      </c>
      <c r="AQ3" t="n">
        <v>238671.354</v>
      </c>
      <c r="AR3" t="n">
        <v>163505.502</v>
      </c>
      <c r="AS3" t="n">
        <v>173784.557</v>
      </c>
      <c r="AT3" t="n">
        <v>182635.223</v>
      </c>
      <c r="AU3" t="n">
        <v>190685.107</v>
      </c>
      <c r="AV3" t="n">
        <v>188982.124</v>
      </c>
      <c r="AW3" t="n">
        <v>144289.94</v>
      </c>
      <c r="AX3" t="n">
        <v>193467.896</v>
      </c>
      <c r="AY3" t="n">
        <v>284833.24</v>
      </c>
      <c r="AZ3" t="n">
        <v>459724.947</v>
      </c>
      <c r="BA3" t="n">
        <v>554402.105</v>
      </c>
      <c r="BB3" t="n">
        <v>500867.534</v>
      </c>
      <c r="BC3" t="n">
        <v>493814.108</v>
      </c>
      <c r="BD3" t="n">
        <v>394700.916</v>
      </c>
      <c r="BE3" t="n">
        <v>285854.426</v>
      </c>
      <c r="BF3" t="n">
        <v>279218.278</v>
      </c>
      <c r="BG3" t="n">
        <v>273618.112</v>
      </c>
      <c r="BH3" t="n">
        <v>276397.736</v>
      </c>
      <c r="BI3" t="n">
        <v>299068.05</v>
      </c>
      <c r="BJ3" t="n">
        <v>237348.358</v>
      </c>
      <c r="BK3" t="n">
        <v>245162.338</v>
      </c>
      <c r="BL3" t="n">
        <v>283681.681</v>
      </c>
      <c r="BM3" t="n">
        <v>342748.998</v>
      </c>
      <c r="BN3" t="n">
        <v>385202.649</v>
      </c>
      <c r="BO3" t="n">
        <v>439273.531</v>
      </c>
      <c r="BP3" t="n">
        <v>462396.625</v>
      </c>
      <c r="BQ3" t="n">
        <v>448038.391</v>
      </c>
      <c r="BR3" t="n">
        <v>455349.27</v>
      </c>
      <c r="BS3" t="n">
        <v>472266.201</v>
      </c>
      <c r="BT3" t="n">
        <v>486162.696</v>
      </c>
      <c r="BU3" t="n">
        <v>468891.196</v>
      </c>
      <c r="BV3" t="n">
        <v>473415.586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89617.251</v>
      </c>
      <c r="F4" t="n">
        <v>96136.886</v>
      </c>
      <c r="G4" t="n">
        <v>98035.88800000001</v>
      </c>
      <c r="H4" t="n">
        <v>110523.366</v>
      </c>
      <c r="I4" t="n">
        <v>131572.262</v>
      </c>
      <c r="J4" t="n">
        <v>150243.329</v>
      </c>
      <c r="K4" t="n">
        <v>161615.737</v>
      </c>
      <c r="L4" t="n">
        <v>159031.909</v>
      </c>
      <c r="M4" t="n">
        <v>97974.501</v>
      </c>
      <c r="N4" t="n">
        <v>88449.959</v>
      </c>
      <c r="O4" t="n">
        <v>81176.83100000001</v>
      </c>
      <c r="P4" t="n">
        <v>91426.649</v>
      </c>
      <c r="Q4" t="n">
        <v>86844.23699999999</v>
      </c>
      <c r="R4" t="n">
        <v>119496.489</v>
      </c>
      <c r="S4" t="n">
        <v>93201.484</v>
      </c>
      <c r="T4" t="n">
        <v>120892.88</v>
      </c>
      <c r="U4" t="n">
        <v>80582.825</v>
      </c>
      <c r="V4" t="n">
        <v>88347.558</v>
      </c>
      <c r="W4" t="n">
        <v>80485.79399999999</v>
      </c>
      <c r="X4" t="n">
        <v>102870.539</v>
      </c>
      <c r="Y4" t="n">
        <v>92185.02499999999</v>
      </c>
      <c r="Z4" t="n">
        <v>129150.097</v>
      </c>
      <c r="AA4" t="n">
        <v>106651.569</v>
      </c>
      <c r="AB4" t="n">
        <v>130269.31</v>
      </c>
      <c r="AC4" t="n">
        <v>128075.046</v>
      </c>
      <c r="AD4" t="n">
        <v>126405.652</v>
      </c>
      <c r="AE4" t="n">
        <v>153136.156</v>
      </c>
      <c r="AF4" t="n">
        <v>150304.543</v>
      </c>
      <c r="AG4" t="n">
        <v>100865.511</v>
      </c>
      <c r="AH4" t="n">
        <v>141341.942</v>
      </c>
      <c r="AI4" t="n">
        <v>131952.862</v>
      </c>
      <c r="AJ4" t="n">
        <v>223345.09</v>
      </c>
      <c r="AK4" t="n">
        <v>224215.637</v>
      </c>
      <c r="AL4" t="n">
        <v>226670.392</v>
      </c>
      <c r="AM4" t="n">
        <v>282705.935</v>
      </c>
      <c r="AN4" t="n">
        <v>304639.967</v>
      </c>
      <c r="AO4" t="n">
        <v>356533.032</v>
      </c>
      <c r="AP4" t="n">
        <v>319968.05</v>
      </c>
      <c r="AQ4" t="n">
        <v>332529.254</v>
      </c>
      <c r="AR4" t="n">
        <v>242372.339</v>
      </c>
      <c r="AS4" t="n">
        <v>298963.121</v>
      </c>
      <c r="AT4" t="n">
        <v>168860.56</v>
      </c>
      <c r="AU4" t="n">
        <v>305302.239</v>
      </c>
      <c r="AV4" t="n">
        <v>220879.787</v>
      </c>
      <c r="AW4" t="n">
        <v>145953.939</v>
      </c>
      <c r="AX4" t="n">
        <v>160385.189</v>
      </c>
      <c r="AY4" t="n">
        <v>168665.543</v>
      </c>
      <c r="AZ4" t="n">
        <v>169716.517</v>
      </c>
      <c r="BA4" t="n">
        <v>180937.947</v>
      </c>
      <c r="BB4" t="n">
        <v>185908.672</v>
      </c>
      <c r="BC4" t="n">
        <v>232702.892</v>
      </c>
      <c r="BD4" t="n">
        <v>236362.531</v>
      </c>
      <c r="BE4" t="n">
        <v>161788.909</v>
      </c>
      <c r="BF4" t="n">
        <v>260772.984</v>
      </c>
      <c r="BG4" t="n">
        <v>266787.954</v>
      </c>
      <c r="BH4" t="n">
        <v>278362.34</v>
      </c>
      <c r="BI4" t="n">
        <v>251538.128</v>
      </c>
      <c r="BJ4" t="n">
        <v>255510.366</v>
      </c>
      <c r="BK4" t="n">
        <v>267033.944</v>
      </c>
      <c r="BL4" t="n">
        <v>305514.432</v>
      </c>
      <c r="BM4" t="n">
        <v>326471.978</v>
      </c>
      <c r="BN4" t="n">
        <v>338597.783</v>
      </c>
      <c r="BO4" t="n">
        <v>347432.591</v>
      </c>
      <c r="BP4" t="n">
        <v>325439.214</v>
      </c>
      <c r="BQ4" t="n">
        <v>451820.365</v>
      </c>
      <c r="BR4" t="n">
        <v>335040.213</v>
      </c>
      <c r="BS4" t="n">
        <v>390215.871</v>
      </c>
      <c r="BT4" t="n">
        <v>388214.292</v>
      </c>
      <c r="BU4" t="n">
        <v>390901.403</v>
      </c>
      <c r="BV4" t="n">
        <v>375147.649</v>
      </c>
    </row>
    <row r="5">
      <c r="A5" t="inlineStr">
        <is>
          <t>Oncorhynchus gorbuscha</t>
        </is>
      </c>
      <c r="B5" t="inlineStr">
        <is>
          <t>Pink salmon</t>
        </is>
      </c>
      <c r="C5" t="inlineStr">
        <is>
          <t>Medium demersals (30 - 89 cm)</t>
        </is>
      </c>
      <c r="D5" t="inlineStr">
        <is>
          <t>Salmon, smelts, etc</t>
        </is>
      </c>
      <c r="E5" t="n">
        <v>72492.227</v>
      </c>
      <c r="F5" t="n">
        <v>154210.016</v>
      </c>
      <c r="G5" t="n">
        <v>98691.166</v>
      </c>
      <c r="H5" t="n">
        <v>158736.657</v>
      </c>
      <c r="I5" t="n">
        <v>104337.334</v>
      </c>
      <c r="J5" t="n">
        <v>139140.513</v>
      </c>
      <c r="K5" t="n">
        <v>134833.137</v>
      </c>
      <c r="L5" t="n">
        <v>163908.003</v>
      </c>
      <c r="M5" t="n">
        <v>31812.707</v>
      </c>
      <c r="N5" t="n">
        <v>42078.458</v>
      </c>
      <c r="O5" t="n">
        <v>17892.484</v>
      </c>
      <c r="P5" t="n">
        <v>24706.424</v>
      </c>
      <c r="Q5" t="n">
        <v>14792.359</v>
      </c>
      <c r="R5" t="n">
        <v>36143.732</v>
      </c>
      <c r="S5" t="n">
        <v>12621.567</v>
      </c>
      <c r="T5" t="n">
        <v>34771.697</v>
      </c>
      <c r="U5" t="n">
        <v>16748.572</v>
      </c>
      <c r="V5" t="n">
        <v>36696.52</v>
      </c>
      <c r="W5" t="n">
        <v>13569.356</v>
      </c>
      <c r="X5" t="n">
        <v>46036.968</v>
      </c>
      <c r="Y5" t="n">
        <v>15430.392</v>
      </c>
      <c r="Z5" t="n">
        <v>44525.376</v>
      </c>
      <c r="AA5" t="n">
        <v>17721.533</v>
      </c>
      <c r="AB5" t="n">
        <v>46973.787</v>
      </c>
      <c r="AC5" t="n">
        <v>25035.536</v>
      </c>
      <c r="AD5" t="n">
        <v>62410.889</v>
      </c>
      <c r="AE5" t="n">
        <v>39413.932</v>
      </c>
      <c r="AF5" t="n">
        <v>75024.061</v>
      </c>
      <c r="AG5" t="n">
        <v>39312.366</v>
      </c>
      <c r="AH5" t="n">
        <v>70019.04700000001</v>
      </c>
      <c r="AI5" t="n">
        <v>64291.065</v>
      </c>
      <c r="AJ5" t="n">
        <v>72191.122</v>
      </c>
      <c r="AK5" t="n">
        <v>52109.261</v>
      </c>
      <c r="AL5" t="n">
        <v>95978.993</v>
      </c>
      <c r="AM5" t="n">
        <v>71834.83900000001</v>
      </c>
      <c r="AN5" t="n">
        <v>102658.564</v>
      </c>
      <c r="AO5" t="n">
        <v>73758.78599999999</v>
      </c>
      <c r="AP5" t="n">
        <v>119274.61</v>
      </c>
      <c r="AQ5" t="n">
        <v>80499.11199999999</v>
      </c>
      <c r="AR5" t="n">
        <v>169417.672</v>
      </c>
      <c r="AS5" t="n">
        <v>131881.035</v>
      </c>
      <c r="AT5" t="n">
        <v>235408.254</v>
      </c>
      <c r="AU5" t="n">
        <v>139033.77</v>
      </c>
      <c r="AV5" t="n">
        <v>216872.788</v>
      </c>
      <c r="AW5" t="n">
        <v>220300.452</v>
      </c>
      <c r="AX5" t="n">
        <v>263075.671</v>
      </c>
      <c r="AY5" t="n">
        <v>221564.695</v>
      </c>
      <c r="AZ5" t="n">
        <v>290079.497</v>
      </c>
      <c r="BA5" t="n">
        <v>268021.937</v>
      </c>
      <c r="BB5" t="n">
        <v>287448.7</v>
      </c>
      <c r="BC5" t="n">
        <v>256812.383</v>
      </c>
      <c r="BD5" t="n">
        <v>273387.004</v>
      </c>
      <c r="BE5" t="n">
        <v>218780.677</v>
      </c>
      <c r="BF5" t="n">
        <v>258578.434</v>
      </c>
      <c r="BG5" t="n">
        <v>204110.919</v>
      </c>
      <c r="BH5" t="n">
        <v>289268.419</v>
      </c>
      <c r="BI5" t="n">
        <v>271798.038</v>
      </c>
      <c r="BJ5" t="n">
        <v>317874.021</v>
      </c>
      <c r="BK5" t="n">
        <v>253875.444</v>
      </c>
      <c r="BL5" t="n">
        <v>399207.599</v>
      </c>
      <c r="BM5" t="n">
        <v>288082.125</v>
      </c>
      <c r="BN5" t="n">
        <v>490084.929</v>
      </c>
      <c r="BO5" t="n">
        <v>398079.941</v>
      </c>
      <c r="BP5" t="n">
        <v>371946.61</v>
      </c>
      <c r="BQ5" t="n">
        <v>277629.276</v>
      </c>
      <c r="BR5" t="n">
        <v>282087.543</v>
      </c>
      <c r="BS5" t="n">
        <v>332671.453</v>
      </c>
      <c r="BT5" t="n">
        <v>279452.439</v>
      </c>
      <c r="BU5" t="n">
        <v>458957.661</v>
      </c>
      <c r="BV5" t="n">
        <v>332892.381</v>
      </c>
    </row>
    <row r="6">
      <c r="A6" t="inlineStr">
        <is>
          <t>Sardinops sagax</t>
        </is>
      </c>
      <c r="B6" t="inlineStr">
        <is>
          <t>South American pilchard</t>
        </is>
      </c>
      <c r="C6" t="inlineStr">
        <is>
          <t>Medium pelagics (30 - 89 cm)</t>
        </is>
      </c>
      <c r="D6" t="inlineStr">
        <is>
          <t>Herring-likes</t>
        </is>
      </c>
      <c r="E6" t="n">
        <v>7749.186</v>
      </c>
      <c r="F6" t="n">
        <v>7749.186</v>
      </c>
      <c r="G6" t="n">
        <v>7749.186</v>
      </c>
      <c r="H6" t="n">
        <v>10689.726</v>
      </c>
      <c r="I6" t="n">
        <v>7608.605</v>
      </c>
      <c r="J6" t="n">
        <v>6527.879</v>
      </c>
      <c r="K6" t="n">
        <v>6375.646</v>
      </c>
      <c r="L6" t="n">
        <v>6545.857</v>
      </c>
      <c r="M6" t="n">
        <v>4189.261</v>
      </c>
      <c r="N6" t="n">
        <v>3641.546</v>
      </c>
      <c r="O6" t="n">
        <v>2357.248</v>
      </c>
      <c r="P6" t="n">
        <v>3866.905</v>
      </c>
      <c r="Q6" t="n">
        <v>3296.059</v>
      </c>
      <c r="R6" t="n">
        <v>1649.887</v>
      </c>
      <c r="S6" t="n">
        <v>443.607</v>
      </c>
      <c r="T6" t="n">
        <v>211.304</v>
      </c>
      <c r="U6" t="n">
        <v>361.51</v>
      </c>
      <c r="V6" t="n">
        <v>465.842</v>
      </c>
      <c r="W6" t="n">
        <v>691.048</v>
      </c>
      <c r="X6" t="n">
        <v>597.227</v>
      </c>
      <c r="Y6" t="n">
        <v>462.982</v>
      </c>
      <c r="Z6" t="n">
        <v>1689.838</v>
      </c>
      <c r="AA6" t="n">
        <v>1713.938</v>
      </c>
      <c r="AB6" t="n">
        <v>8988.539000000001</v>
      </c>
      <c r="AC6" t="n">
        <v>10593.383</v>
      </c>
      <c r="AD6" t="n">
        <v>15874.648</v>
      </c>
      <c r="AE6" t="n">
        <v>32142.549</v>
      </c>
      <c r="AF6" t="n">
        <v>42874.223</v>
      </c>
      <c r="AG6" t="n">
        <v>151508.003</v>
      </c>
      <c r="AH6" t="n">
        <v>210081.111</v>
      </c>
      <c r="AI6" t="n">
        <v>220096.824</v>
      </c>
      <c r="AJ6" t="n">
        <v>293213.864</v>
      </c>
      <c r="AK6" t="n">
        <v>360974.308</v>
      </c>
      <c r="AL6" t="n">
        <v>371855.884</v>
      </c>
      <c r="AM6" t="n">
        <v>487664.166</v>
      </c>
      <c r="AN6" t="n">
        <v>460654.16</v>
      </c>
      <c r="AO6" t="n">
        <v>509016.265</v>
      </c>
      <c r="AP6" t="n">
        <v>492621.956</v>
      </c>
      <c r="AQ6" t="n">
        <v>515175.447</v>
      </c>
      <c r="AR6" t="n">
        <v>541802.389</v>
      </c>
      <c r="AS6" t="n">
        <v>544391.223</v>
      </c>
      <c r="AT6" t="n">
        <v>430599.222</v>
      </c>
      <c r="AU6" t="n">
        <v>151415.518</v>
      </c>
      <c r="AV6" t="n">
        <v>55686.767</v>
      </c>
      <c r="AW6" t="n">
        <v>38199.969</v>
      </c>
      <c r="AX6" t="n">
        <v>21924.995</v>
      </c>
      <c r="AY6" t="n">
        <v>16373.96</v>
      </c>
      <c r="AZ6" t="n">
        <v>10704.199</v>
      </c>
      <c r="BA6" t="n">
        <v>6689.694</v>
      </c>
      <c r="BB6" t="n">
        <v>13607.059</v>
      </c>
      <c r="BC6" t="n">
        <v>7555.156</v>
      </c>
      <c r="BD6" t="n">
        <v>7874.29</v>
      </c>
      <c r="BE6" t="n">
        <v>4315.97</v>
      </c>
      <c r="BF6" t="n">
        <v>3640.152</v>
      </c>
      <c r="BG6" t="n">
        <v>4232.418</v>
      </c>
      <c r="BH6" t="n">
        <v>3728.897</v>
      </c>
      <c r="BI6" t="n">
        <v>4957.039</v>
      </c>
      <c r="BJ6" t="n">
        <v>5520.264</v>
      </c>
      <c r="BK6" t="n">
        <v>4116.045</v>
      </c>
      <c r="BL6" t="n">
        <v>3967.253</v>
      </c>
      <c r="BM6" t="n">
        <v>4360.83</v>
      </c>
      <c r="BN6" t="n">
        <v>8014.15</v>
      </c>
      <c r="BO6" t="n">
        <v>6528.759</v>
      </c>
      <c r="BP6" t="n">
        <v>8494.799999999999</v>
      </c>
      <c r="BQ6" t="n">
        <v>8422.153</v>
      </c>
      <c r="BR6" t="n">
        <v>11371.39</v>
      </c>
      <c r="BS6" t="n">
        <v>16527.349</v>
      </c>
      <c r="BT6" t="n">
        <v>23529.922</v>
      </c>
      <c r="BU6" t="n">
        <v>41385.312</v>
      </c>
      <c r="BV6" t="n">
        <v>81121.58500000001</v>
      </c>
    </row>
    <row r="7">
      <c r="A7" t="inlineStr">
        <is>
          <t>Gadus macrocephalus</t>
        </is>
      </c>
      <c r="B7" t="inlineStr">
        <is>
          <t>Pacific cod</t>
        </is>
      </c>
      <c r="C7" t="inlineStr">
        <is>
          <t>Large demersals (&gt;=90 cm)</t>
        </is>
      </c>
      <c r="D7" t="inlineStr">
        <is>
          <t>Cod-likes</t>
        </is>
      </c>
      <c r="E7" t="n">
        <v>13175.96</v>
      </c>
      <c r="F7" t="n">
        <v>15274.842</v>
      </c>
      <c r="G7" t="n">
        <v>11998.432</v>
      </c>
      <c r="H7" t="n">
        <v>10838.032</v>
      </c>
      <c r="I7" t="n">
        <v>15046.711</v>
      </c>
      <c r="J7" t="n">
        <v>15430.179</v>
      </c>
      <c r="K7" t="n">
        <v>19461.699</v>
      </c>
      <c r="L7" t="n">
        <v>23323.235</v>
      </c>
      <c r="M7" t="n">
        <v>20914.421</v>
      </c>
      <c r="N7" t="n">
        <v>25834.415</v>
      </c>
      <c r="O7" t="n">
        <v>41770.5</v>
      </c>
      <c r="P7" t="n">
        <v>52934.339</v>
      </c>
      <c r="Q7" t="n">
        <v>43322.908</v>
      </c>
      <c r="R7" t="n">
        <v>29888.528</v>
      </c>
      <c r="S7" t="n">
        <v>34981.323</v>
      </c>
      <c r="T7" t="n">
        <v>30923.832</v>
      </c>
      <c r="U7" t="n">
        <v>28923.127</v>
      </c>
      <c r="V7" t="n">
        <v>31704.327</v>
      </c>
      <c r="W7" t="n">
        <v>36780.474</v>
      </c>
      <c r="X7" t="n">
        <v>46763.86</v>
      </c>
      <c r="Y7" t="n">
        <v>37870.421</v>
      </c>
      <c r="Z7" t="n">
        <v>44905.879</v>
      </c>
      <c r="AA7" t="n">
        <v>35512.27</v>
      </c>
      <c r="AB7" t="n">
        <v>44412.553</v>
      </c>
      <c r="AC7" t="n">
        <v>39900.522</v>
      </c>
      <c r="AD7" t="n">
        <v>46324.744</v>
      </c>
      <c r="AE7" t="n">
        <v>34174.555</v>
      </c>
      <c r="AF7" t="n">
        <v>40135.145</v>
      </c>
      <c r="AG7" t="n">
        <v>39238.357</v>
      </c>
      <c r="AH7" t="n">
        <v>39453.82</v>
      </c>
      <c r="AI7" t="n">
        <v>49601.46</v>
      </c>
      <c r="AJ7" t="n">
        <v>63464.642</v>
      </c>
      <c r="AK7" t="n">
        <v>90440.826</v>
      </c>
      <c r="AL7" t="n">
        <v>100010.242</v>
      </c>
      <c r="AM7" t="n">
        <v>140906.35</v>
      </c>
      <c r="AN7" t="n">
        <v>184745.631</v>
      </c>
      <c r="AO7" t="n">
        <v>173641.121</v>
      </c>
      <c r="AP7" t="n">
        <v>179749.643</v>
      </c>
      <c r="AQ7" t="n">
        <v>154572.217</v>
      </c>
      <c r="AR7" t="n">
        <v>155199.309</v>
      </c>
      <c r="AS7" t="n">
        <v>146968.542</v>
      </c>
      <c r="AT7" t="n">
        <v>130654.149</v>
      </c>
      <c r="AU7" t="n">
        <v>168588.46</v>
      </c>
      <c r="AV7" t="n">
        <v>120472.713</v>
      </c>
      <c r="AW7" t="n">
        <v>101121.121</v>
      </c>
      <c r="AX7" t="n">
        <v>123352.373</v>
      </c>
      <c r="AY7" t="n">
        <v>125380.806</v>
      </c>
      <c r="AZ7" t="n">
        <v>111125.093</v>
      </c>
      <c r="BA7" t="n">
        <v>115844.334</v>
      </c>
      <c r="BB7" t="n">
        <v>116684.993</v>
      </c>
      <c r="BC7" t="n">
        <v>84547.012</v>
      </c>
      <c r="BD7" t="n">
        <v>79117.298</v>
      </c>
      <c r="BE7" t="n">
        <v>68526.864</v>
      </c>
      <c r="BF7" t="n">
        <v>65880.17</v>
      </c>
      <c r="BG7" t="n">
        <v>69508.592</v>
      </c>
      <c r="BH7" t="n">
        <v>66116.474</v>
      </c>
      <c r="BI7" t="n">
        <v>61683.726</v>
      </c>
      <c r="BJ7" t="n">
        <v>67950.822</v>
      </c>
      <c r="BK7" t="n">
        <v>91591.61599999999</v>
      </c>
      <c r="BL7" t="n">
        <v>81219.351</v>
      </c>
      <c r="BM7" t="n">
        <v>109865.037</v>
      </c>
      <c r="BN7" t="n">
        <v>74110.304</v>
      </c>
      <c r="BO7" t="n">
        <v>78626.54700000001</v>
      </c>
      <c r="BP7" t="n">
        <v>79542.69899999999</v>
      </c>
      <c r="BQ7" t="n">
        <v>77291.25199999999</v>
      </c>
      <c r="BR7" t="n">
        <v>80347.04700000001</v>
      </c>
      <c r="BS7" t="n">
        <v>86852.08900000001</v>
      </c>
      <c r="BT7" t="n">
        <v>94817.969</v>
      </c>
      <c r="BU7" t="n">
        <v>111365.186</v>
      </c>
      <c r="BV7" t="n">
        <v>128809.931</v>
      </c>
    </row>
    <row r="8">
      <c r="A8" t="inlineStr">
        <is>
          <t>Oncorhynchus</t>
        </is>
      </c>
      <c r="B8" t="inlineStr">
        <is>
          <t>Salmons, trouts</t>
        </is>
      </c>
      <c r="C8" t="inlineStr">
        <is>
          <t>Large benthopelagics (&gt;=90 cm)</t>
        </is>
      </c>
      <c r="D8" t="inlineStr">
        <is>
          <t>Salmon, smelts, etc</t>
        </is>
      </c>
      <c r="E8" t="n">
        <v>89427.704</v>
      </c>
      <c r="F8" t="n">
        <v>99907.868</v>
      </c>
      <c r="G8" t="n">
        <v>110388.032</v>
      </c>
      <c r="H8" t="n">
        <v>119926.339</v>
      </c>
      <c r="I8" t="n">
        <v>132880.937</v>
      </c>
      <c r="J8" t="n">
        <v>149948.799</v>
      </c>
      <c r="K8" t="n">
        <v>159992.557</v>
      </c>
      <c r="L8" t="n">
        <v>160606.467</v>
      </c>
      <c r="M8" t="n">
        <v>23565.273</v>
      </c>
      <c r="N8" t="n">
        <v>22402.247</v>
      </c>
      <c r="O8" t="n">
        <v>20719.413</v>
      </c>
      <c r="P8" t="n">
        <v>19987.214</v>
      </c>
      <c r="Q8" t="n">
        <v>18014.191</v>
      </c>
      <c r="R8" t="n">
        <v>18786.986</v>
      </c>
      <c r="S8" t="n">
        <v>16002.944</v>
      </c>
      <c r="T8" t="n">
        <v>17743.053</v>
      </c>
      <c r="U8" t="n">
        <v>16355.897</v>
      </c>
      <c r="V8" t="n">
        <v>17578.055</v>
      </c>
      <c r="W8" t="n">
        <v>15125.953</v>
      </c>
      <c r="X8" t="n">
        <v>18562.318</v>
      </c>
      <c r="Y8" t="n">
        <v>17878.626</v>
      </c>
      <c r="Z8" t="n">
        <v>19599.049</v>
      </c>
      <c r="AA8" t="n">
        <v>18397.087</v>
      </c>
      <c r="AB8" t="n">
        <v>19780.165</v>
      </c>
      <c r="AC8" t="n">
        <v>19605.002</v>
      </c>
      <c r="AD8" t="n">
        <v>22486.336</v>
      </c>
      <c r="AE8" t="n">
        <v>20293.955</v>
      </c>
      <c r="AF8" t="n">
        <v>20548.387</v>
      </c>
      <c r="AG8" t="n">
        <v>18702.118</v>
      </c>
      <c r="AH8" t="n">
        <v>22424.281</v>
      </c>
      <c r="AI8" t="n">
        <v>23400.203</v>
      </c>
      <c r="AJ8" t="n">
        <v>25557.472</v>
      </c>
      <c r="AK8" t="n">
        <v>23190.221</v>
      </c>
      <c r="AL8" t="n">
        <v>28778.119</v>
      </c>
      <c r="AM8" t="n">
        <v>27206.221</v>
      </c>
      <c r="AN8" t="n">
        <v>32699.026</v>
      </c>
      <c r="AO8" t="n">
        <v>28322.979</v>
      </c>
      <c r="AP8" t="n">
        <v>32769.45</v>
      </c>
      <c r="AQ8" t="n">
        <v>24140.399</v>
      </c>
      <c r="AR8" t="n">
        <v>39181.201</v>
      </c>
      <c r="AS8" t="n">
        <v>38758.422</v>
      </c>
      <c r="AT8" t="n">
        <v>68554.78999999999</v>
      </c>
      <c r="AU8" t="n">
        <v>41775.209</v>
      </c>
      <c r="AV8" t="n">
        <v>57366.651</v>
      </c>
      <c r="AW8" t="n">
        <v>61739.211</v>
      </c>
      <c r="AX8" t="n">
        <v>71342.209</v>
      </c>
      <c r="AY8" t="n">
        <v>64492.781</v>
      </c>
      <c r="AZ8" t="n">
        <v>79038.591</v>
      </c>
      <c r="BA8" t="n">
        <v>74103.033</v>
      </c>
      <c r="BB8" t="n">
        <v>74954.151</v>
      </c>
      <c r="BC8" t="n">
        <v>68430.848</v>
      </c>
      <c r="BD8" t="n">
        <v>75976.774</v>
      </c>
      <c r="BE8" t="n">
        <v>64622.166</v>
      </c>
      <c r="BF8" t="n">
        <v>81767.686</v>
      </c>
      <c r="BG8" t="n">
        <v>65858.488</v>
      </c>
      <c r="BH8" t="n">
        <v>87369.261</v>
      </c>
      <c r="BI8" t="n">
        <v>91305.08100000001</v>
      </c>
      <c r="BJ8" t="n">
        <v>103919.078</v>
      </c>
      <c r="BK8" t="n">
        <v>86574.501</v>
      </c>
      <c r="BL8" t="n">
        <v>138828.946</v>
      </c>
      <c r="BM8" t="n">
        <v>101809.577</v>
      </c>
      <c r="BN8" t="n">
        <v>35948.525</v>
      </c>
      <c r="BO8" t="n">
        <v>35200.703</v>
      </c>
      <c r="BP8" t="n">
        <v>37104.802</v>
      </c>
      <c r="BQ8" t="n">
        <v>36538.516</v>
      </c>
      <c r="BR8" t="n">
        <v>35868.014</v>
      </c>
      <c r="BS8" t="n">
        <v>24539.306</v>
      </c>
      <c r="BT8" t="n">
        <v>25528.414</v>
      </c>
      <c r="BU8" t="n">
        <v>27279.916</v>
      </c>
      <c r="BV8" t="n">
        <v>27045.261</v>
      </c>
    </row>
    <row r="9">
      <c r="A9" t="inlineStr">
        <is>
          <t>Oncorhynchus keta</t>
        </is>
      </c>
      <c r="B9" t="inlineStr">
        <is>
          <t>Chum salmon</t>
        </is>
      </c>
      <c r="C9" t="inlineStr">
        <is>
          <t>Large benthopelagics (&gt;=90 cm)</t>
        </is>
      </c>
      <c r="D9" t="inlineStr">
        <is>
          <t>Salmon, smelts, etc</t>
        </is>
      </c>
      <c r="E9" t="n">
        <v>36699.518</v>
      </c>
      <c r="F9" t="n">
        <v>49719.433</v>
      </c>
      <c r="G9" t="n">
        <v>26414.38</v>
      </c>
      <c r="H9" t="n">
        <v>20350.31</v>
      </c>
      <c r="I9" t="n">
        <v>32035.315</v>
      </c>
      <c r="J9" t="n">
        <v>40762.784</v>
      </c>
      <c r="K9" t="n">
        <v>48244.901</v>
      </c>
      <c r="L9" t="n">
        <v>22830.438</v>
      </c>
      <c r="M9" t="n">
        <v>18440.105</v>
      </c>
      <c r="N9" t="n">
        <v>27591.785</v>
      </c>
      <c r="O9" t="n">
        <v>27529.949</v>
      </c>
      <c r="P9" t="n">
        <v>23943.48</v>
      </c>
      <c r="Q9" t="n">
        <v>21408.217</v>
      </c>
      <c r="R9" t="n">
        <v>26911.592</v>
      </c>
      <c r="S9" t="n">
        <v>16523.199</v>
      </c>
      <c r="T9" t="n">
        <v>20418.846</v>
      </c>
      <c r="U9" t="n">
        <v>18872.954</v>
      </c>
      <c r="V9" t="n">
        <v>15781.171</v>
      </c>
      <c r="W9" t="n">
        <v>10154.124</v>
      </c>
      <c r="X9" t="n">
        <v>5330.941</v>
      </c>
      <c r="Y9" t="n">
        <v>9164.753000000001</v>
      </c>
      <c r="Z9" t="n">
        <v>7928.039</v>
      </c>
      <c r="AA9" t="n">
        <v>4712.584</v>
      </c>
      <c r="AB9" t="n">
        <v>3599.542</v>
      </c>
      <c r="AC9" t="n">
        <v>5825.626</v>
      </c>
      <c r="AD9" t="n">
        <v>4892.526</v>
      </c>
      <c r="AE9" t="n">
        <v>6329.587</v>
      </c>
      <c r="AF9" t="n">
        <v>9212.985000000001</v>
      </c>
      <c r="AG9" t="n">
        <v>10444.133</v>
      </c>
      <c r="AH9" t="n">
        <v>14477.056</v>
      </c>
      <c r="AI9" t="n">
        <v>10009.805</v>
      </c>
      <c r="AJ9" t="n">
        <v>9858.893</v>
      </c>
      <c r="AK9" t="n">
        <v>9429.933000000001</v>
      </c>
      <c r="AL9" t="n">
        <v>15404.381</v>
      </c>
      <c r="AM9" t="n">
        <v>10389.057</v>
      </c>
      <c r="AN9" t="n">
        <v>18167.067</v>
      </c>
      <c r="AO9" t="n">
        <v>19637.872</v>
      </c>
      <c r="AP9" t="n">
        <v>17437.648</v>
      </c>
      <c r="AQ9" t="n">
        <v>24812.165</v>
      </c>
      <c r="AR9" t="n">
        <v>23287.499</v>
      </c>
      <c r="AS9" t="n">
        <v>35602.393</v>
      </c>
      <c r="AT9" t="n">
        <v>27246.019</v>
      </c>
      <c r="AU9" t="n">
        <v>33789.34</v>
      </c>
      <c r="AV9" t="n">
        <v>44857.019</v>
      </c>
      <c r="AW9" t="n">
        <v>54799.485</v>
      </c>
      <c r="AX9" t="n">
        <v>58240.115</v>
      </c>
      <c r="AY9" t="n">
        <v>51580.481</v>
      </c>
      <c r="AZ9" t="n">
        <v>44765.727</v>
      </c>
      <c r="BA9" t="n">
        <v>49769.895</v>
      </c>
      <c r="BB9" t="n">
        <v>48649.478</v>
      </c>
      <c r="BC9" t="n">
        <v>55358.633</v>
      </c>
      <c r="BD9" t="n">
        <v>51475.21</v>
      </c>
      <c r="BE9" t="n">
        <v>58259.37</v>
      </c>
      <c r="BF9" t="n">
        <v>50717.543</v>
      </c>
      <c r="BG9" t="n">
        <v>48498.95</v>
      </c>
      <c r="BH9" t="n">
        <v>51211.197</v>
      </c>
      <c r="BI9" t="n">
        <v>65666.334</v>
      </c>
      <c r="BJ9" t="n">
        <v>70970.427</v>
      </c>
      <c r="BK9" t="n">
        <v>82072.51700000001</v>
      </c>
      <c r="BL9" t="n">
        <v>113737.092</v>
      </c>
      <c r="BM9" t="n">
        <v>107979.897</v>
      </c>
      <c r="BN9" t="n">
        <v>109297.889</v>
      </c>
      <c r="BO9" t="n">
        <v>135033.32</v>
      </c>
      <c r="BP9" t="n">
        <v>143573.54</v>
      </c>
      <c r="BQ9" t="n">
        <v>187513.766</v>
      </c>
      <c r="BR9" t="n">
        <v>173656.402</v>
      </c>
      <c r="BS9" t="n">
        <v>137568.041</v>
      </c>
      <c r="BT9" t="n">
        <v>142339.43</v>
      </c>
      <c r="BU9" t="n">
        <v>144358.312</v>
      </c>
      <c r="BV9" t="n">
        <v>143367.682</v>
      </c>
    </row>
    <row r="10">
      <c r="A10" t="inlineStr">
        <is>
          <t>Pleuronectiformes</t>
        </is>
      </c>
      <c r="B10" t="inlineStr">
        <is>
          <t>Flatfishes</t>
        </is>
      </c>
      <c r="C10" t="inlineStr">
        <is>
          <t>Small to medium flatfishes (&lt;90 cm)</t>
        </is>
      </c>
      <c r="D10" t="inlineStr">
        <is>
          <t>Flatfishes</t>
        </is>
      </c>
      <c r="E10" t="n">
        <v>17091.826</v>
      </c>
      <c r="F10" t="n">
        <v>18032.144</v>
      </c>
      <c r="G10" t="n">
        <v>20979.857</v>
      </c>
      <c r="H10" t="n">
        <v>27983.752</v>
      </c>
      <c r="I10" t="n">
        <v>36731.689</v>
      </c>
      <c r="J10" t="n">
        <v>61009.692</v>
      </c>
      <c r="K10" t="n">
        <v>66877.41099999999</v>
      </c>
      <c r="L10" t="n">
        <v>63658.428</v>
      </c>
      <c r="M10" t="n">
        <v>89936.871</v>
      </c>
      <c r="N10" t="n">
        <v>77452.243</v>
      </c>
      <c r="O10" t="n">
        <v>26503.147</v>
      </c>
      <c r="P10" t="n">
        <v>20379.134</v>
      </c>
      <c r="Q10" t="n">
        <v>7974.368</v>
      </c>
      <c r="R10" t="n">
        <v>18655.329</v>
      </c>
      <c r="S10" t="n">
        <v>9023.133</v>
      </c>
      <c r="T10" t="n">
        <v>25827.339</v>
      </c>
      <c r="U10" t="n">
        <v>17149.845</v>
      </c>
      <c r="V10" t="n">
        <v>638.323</v>
      </c>
      <c r="W10" t="n">
        <v>7325.015</v>
      </c>
      <c r="X10" t="n">
        <v>744.099</v>
      </c>
      <c r="Y10" t="n">
        <v>721.476</v>
      </c>
      <c r="Z10" t="n">
        <v>23897.261</v>
      </c>
      <c r="AA10" t="n">
        <v>23229.862</v>
      </c>
      <c r="AB10" t="n">
        <v>25245.247</v>
      </c>
      <c r="AC10" t="n">
        <v>3938.526</v>
      </c>
      <c r="AD10" t="n">
        <v>4958.883</v>
      </c>
      <c r="AE10" t="n">
        <v>5639.354</v>
      </c>
      <c r="AF10" t="n">
        <v>18055.041</v>
      </c>
      <c r="AG10" t="n">
        <v>37198.656</v>
      </c>
      <c r="AH10" t="n">
        <v>20463.209</v>
      </c>
      <c r="AI10" t="n">
        <v>24278.01</v>
      </c>
      <c r="AJ10" t="n">
        <v>25131.635</v>
      </c>
      <c r="AK10" t="n">
        <v>25985.954</v>
      </c>
      <c r="AL10" t="n">
        <v>29022.902</v>
      </c>
      <c r="AM10" t="n">
        <v>33065.6</v>
      </c>
      <c r="AN10" t="n">
        <v>55700.222</v>
      </c>
      <c r="AO10" t="n">
        <v>56986.831</v>
      </c>
      <c r="AP10" t="n">
        <v>55217.151</v>
      </c>
      <c r="AQ10" t="n">
        <v>60031.683</v>
      </c>
      <c r="AR10" t="n">
        <v>55539.601</v>
      </c>
      <c r="AS10" t="n">
        <v>52656.422</v>
      </c>
      <c r="AT10" t="n">
        <v>62425.975</v>
      </c>
      <c r="AU10" t="n">
        <v>56003.952</v>
      </c>
      <c r="AV10" t="n">
        <v>43043.022</v>
      </c>
      <c r="AW10" t="n">
        <v>25974.59</v>
      </c>
      <c r="AX10" t="n">
        <v>31888.791</v>
      </c>
      <c r="AY10" t="n">
        <v>39015.502</v>
      </c>
      <c r="AZ10" t="n">
        <v>42784.56</v>
      </c>
      <c r="BA10" t="n">
        <v>52372.013</v>
      </c>
      <c r="BB10" t="n">
        <v>62724.033</v>
      </c>
      <c r="BC10" t="n">
        <v>66007.98699999999</v>
      </c>
      <c r="BD10" t="n">
        <v>61103.868</v>
      </c>
      <c r="BE10" t="n">
        <v>50972.219</v>
      </c>
      <c r="BF10" t="n">
        <v>52569.344</v>
      </c>
      <c r="BG10" t="n">
        <v>43295.197</v>
      </c>
      <c r="BH10" t="n">
        <v>55559.011</v>
      </c>
      <c r="BI10" t="n">
        <v>43182.197</v>
      </c>
      <c r="BJ10" t="n">
        <v>46305.819</v>
      </c>
      <c r="BK10" t="n">
        <v>39812.369</v>
      </c>
      <c r="BL10" t="n">
        <v>54809.059</v>
      </c>
      <c r="BM10" t="n">
        <v>47705.157</v>
      </c>
      <c r="BN10" t="n">
        <v>25018.187</v>
      </c>
      <c r="BO10" t="n">
        <v>47299.714</v>
      </c>
      <c r="BP10" t="n">
        <v>41216.13</v>
      </c>
      <c r="BQ10" t="n">
        <v>49218.213</v>
      </c>
      <c r="BR10" t="n">
        <v>50663.101</v>
      </c>
      <c r="BS10" t="n">
        <v>51879.17</v>
      </c>
      <c r="BT10" t="n">
        <v>50753.098</v>
      </c>
      <c r="BU10" t="n">
        <v>51044.276</v>
      </c>
      <c r="BV10" t="n">
        <v>52221.897</v>
      </c>
    </row>
    <row r="11">
      <c r="A11" t="inlineStr">
        <is>
          <t>Paralithodes camtschaticus</t>
        </is>
      </c>
      <c r="B11" t="inlineStr">
        <is>
          <t>Red king crab</t>
        </is>
      </c>
      <c r="C11" t="inlineStr">
        <is>
          <t>Lobsters, crabs</t>
        </is>
      </c>
      <c r="D11" t="inlineStr">
        <is>
          <t>Crustaceans</t>
        </is>
      </c>
      <c r="E11" t="n">
        <v>26842.523</v>
      </c>
      <c r="F11" t="n">
        <v>40989.491</v>
      </c>
      <c r="G11" t="n">
        <v>41593.694</v>
      </c>
      <c r="H11" t="n">
        <v>34538.171</v>
      </c>
      <c r="I11" t="n">
        <v>44053.879</v>
      </c>
      <c r="J11" t="n">
        <v>53375.559</v>
      </c>
      <c r="K11" t="n">
        <v>65761.769</v>
      </c>
      <c r="L11" t="n">
        <v>61414.715</v>
      </c>
      <c r="M11" t="n">
        <v>60223.209</v>
      </c>
      <c r="N11" t="n">
        <v>60281.366</v>
      </c>
      <c r="O11" t="n">
        <v>55271.025</v>
      </c>
      <c r="P11" t="n">
        <v>54943.371</v>
      </c>
      <c r="Q11" t="n">
        <v>60081.668</v>
      </c>
      <c r="R11" t="n">
        <v>59059.371</v>
      </c>
      <c r="S11" t="n">
        <v>56703.63</v>
      </c>
      <c r="T11" t="n">
        <v>66155.541</v>
      </c>
      <c r="U11" t="n">
        <v>61140.162</v>
      </c>
      <c r="V11" t="n">
        <v>63604.918</v>
      </c>
      <c r="W11" t="n">
        <v>60951.018</v>
      </c>
      <c r="X11" t="n">
        <v>53167.22</v>
      </c>
      <c r="Y11" t="n">
        <v>44969.747</v>
      </c>
      <c r="Z11" t="n">
        <v>31254.063</v>
      </c>
      <c r="AA11" t="n">
        <v>29527.721</v>
      </c>
      <c r="AB11" t="n">
        <v>24092.573</v>
      </c>
      <c r="AC11" t="n">
        <v>26199.427</v>
      </c>
      <c r="AD11" t="n">
        <v>14074.018</v>
      </c>
      <c r="AE11" t="n">
        <v>16466.728</v>
      </c>
      <c r="AF11" t="n">
        <v>12469.102</v>
      </c>
      <c r="AG11" t="n">
        <v>12599.495</v>
      </c>
      <c r="AH11" t="n">
        <v>12935.077</v>
      </c>
      <c r="AI11" t="n">
        <v>13385.966</v>
      </c>
      <c r="AJ11" t="n">
        <v>14654.258</v>
      </c>
      <c r="AK11" t="n">
        <v>16171.193</v>
      </c>
      <c r="AL11" t="n">
        <v>17588.084</v>
      </c>
      <c r="AM11" t="n">
        <v>22003.783</v>
      </c>
      <c r="AN11" t="n">
        <v>24062.829</v>
      </c>
      <c r="AO11" t="n">
        <v>28109.354</v>
      </c>
      <c r="AP11" t="n">
        <v>29840.431</v>
      </c>
      <c r="AQ11" t="n">
        <v>34114.96</v>
      </c>
      <c r="AR11" t="n">
        <v>32532.235</v>
      </c>
      <c r="AS11" t="n">
        <v>32878.99</v>
      </c>
      <c r="AT11" t="n">
        <v>31883.765</v>
      </c>
      <c r="AU11" t="n">
        <v>32038.058</v>
      </c>
      <c r="AV11" t="n">
        <v>28633.96</v>
      </c>
      <c r="AW11" t="n">
        <v>31289.502</v>
      </c>
      <c r="AX11" t="n">
        <v>54440.426</v>
      </c>
      <c r="AY11" t="n">
        <v>40107.139</v>
      </c>
      <c r="AZ11" t="n">
        <v>28081.95</v>
      </c>
      <c r="BA11" t="n">
        <v>40456.055</v>
      </c>
      <c r="BB11" t="n">
        <v>47615.138</v>
      </c>
      <c r="BC11" t="n">
        <v>42933.154</v>
      </c>
      <c r="BD11" t="n">
        <v>27745.978</v>
      </c>
      <c r="BE11" t="n">
        <v>20567.32</v>
      </c>
      <c r="BF11" t="n">
        <v>20771.767</v>
      </c>
      <c r="BG11" t="n">
        <v>14364.293</v>
      </c>
      <c r="BH11" t="n">
        <v>6954.215</v>
      </c>
      <c r="BI11" t="n">
        <v>7176.999</v>
      </c>
      <c r="BJ11" t="n">
        <v>16313.345</v>
      </c>
      <c r="BK11" t="n">
        <v>6124.544</v>
      </c>
      <c r="BL11" t="n">
        <v>6745.493</v>
      </c>
      <c r="BM11" t="n">
        <v>3640.972</v>
      </c>
      <c r="BN11" t="n">
        <v>2907.88</v>
      </c>
      <c r="BO11" t="n">
        <v>3757.514</v>
      </c>
      <c r="BP11" t="n">
        <v>12919.144</v>
      </c>
      <c r="BQ11" t="n">
        <v>12570.409</v>
      </c>
      <c r="BR11" t="n">
        <v>12335.658</v>
      </c>
      <c r="BS11" t="n">
        <v>15260.456</v>
      </c>
      <c r="BT11" t="n">
        <v>17368.025</v>
      </c>
      <c r="BU11" t="n">
        <v>19245.384</v>
      </c>
      <c r="BV11" t="n">
        <v>19858.342</v>
      </c>
    </row>
    <row r="12">
      <c r="A12" t="inlineStr">
        <is>
          <t>Pleurogrammus azonus</t>
        </is>
      </c>
      <c r="B12" t="inlineStr">
        <is>
          <t>Okhotsk atka mackerel</t>
        </is>
      </c>
      <c r="C12" t="inlineStr">
        <is>
          <t>Medium demersals (30 - 89 cm)</t>
        </is>
      </c>
      <c r="D12" t="inlineStr">
        <is>
          <t>Scorpionfishes</t>
        </is>
      </c>
      <c r="E12" t="n">
        <v>26527.397</v>
      </c>
      <c r="F12" t="n">
        <v>26527.397</v>
      </c>
      <c r="G12" t="n">
        <v>26527.397</v>
      </c>
      <c r="H12" t="n">
        <v>33754.609</v>
      </c>
      <c r="I12" t="n">
        <v>24905.046</v>
      </c>
      <c r="J12" t="n">
        <v>24749.763</v>
      </c>
      <c r="K12" t="n">
        <v>27035.325</v>
      </c>
      <c r="L12" t="n">
        <v>24514.985</v>
      </c>
      <c r="M12" t="n">
        <v>13621.745</v>
      </c>
      <c r="N12" t="n">
        <v>23890.444</v>
      </c>
      <c r="O12" t="n">
        <v>26712.276</v>
      </c>
      <c r="P12" t="n">
        <v>39579.517</v>
      </c>
      <c r="Q12" t="n">
        <v>27954.875</v>
      </c>
      <c r="R12" t="n">
        <v>33568.322</v>
      </c>
      <c r="S12" t="n">
        <v>44194.415</v>
      </c>
      <c r="T12" t="n">
        <v>25835.223</v>
      </c>
      <c r="U12" t="n">
        <v>24555.595</v>
      </c>
      <c r="V12" t="n">
        <v>20780.296</v>
      </c>
      <c r="W12" t="n">
        <v>21672.063</v>
      </c>
      <c r="X12" t="n">
        <v>24764.517</v>
      </c>
      <c r="Y12" t="n">
        <v>35150.375</v>
      </c>
      <c r="Z12" t="n">
        <v>36598.128</v>
      </c>
      <c r="AA12" t="n">
        <v>43583.369</v>
      </c>
      <c r="AB12" t="n">
        <v>32185.566</v>
      </c>
      <c r="AC12" t="n">
        <v>39191.187</v>
      </c>
      <c r="AD12" t="n">
        <v>34847.08</v>
      </c>
      <c r="AE12" t="n">
        <v>54613.55</v>
      </c>
      <c r="AF12" t="n">
        <v>54718.528</v>
      </c>
      <c r="AG12" t="n">
        <v>33964.194</v>
      </c>
      <c r="AH12" t="n">
        <v>31186.864</v>
      </c>
      <c r="AI12" t="n">
        <v>30372.567</v>
      </c>
      <c r="AJ12" t="n">
        <v>31771.811</v>
      </c>
      <c r="AK12" t="n">
        <v>28128.05</v>
      </c>
      <c r="AL12" t="n">
        <v>18147.213</v>
      </c>
      <c r="AM12" t="n">
        <v>20622.193</v>
      </c>
      <c r="AN12" t="n">
        <v>21132.902</v>
      </c>
      <c r="AO12" t="n">
        <v>23503.301</v>
      </c>
      <c r="AP12" t="n">
        <v>25169.877</v>
      </c>
      <c r="AQ12" t="n">
        <v>25835.882</v>
      </c>
      <c r="AR12" t="n">
        <v>27780.972</v>
      </c>
      <c r="AS12" t="n">
        <v>31261.731</v>
      </c>
      <c r="AT12" t="n">
        <v>30262.431</v>
      </c>
      <c r="AU12" t="n">
        <v>23620.417</v>
      </c>
      <c r="AV12" t="n">
        <v>29575.629</v>
      </c>
      <c r="AW12" t="n">
        <v>32872.037</v>
      </c>
      <c r="AX12" t="n">
        <v>37953.105</v>
      </c>
      <c r="AY12" t="n">
        <v>38690.645</v>
      </c>
      <c r="AZ12" t="n">
        <v>43830.519</v>
      </c>
      <c r="BA12" t="n">
        <v>49418.945</v>
      </c>
      <c r="BB12" t="n">
        <v>36127.326</v>
      </c>
      <c r="BC12" t="n">
        <v>34916.787</v>
      </c>
      <c r="BD12" t="n">
        <v>33793.777</v>
      </c>
      <c r="BE12" t="n">
        <v>32573.443</v>
      </c>
      <c r="BF12" t="n">
        <v>35113.059</v>
      </c>
      <c r="BG12" t="n">
        <v>36975.714</v>
      </c>
      <c r="BH12" t="n">
        <v>30086.598</v>
      </c>
      <c r="BI12" t="n">
        <v>25190.884</v>
      </c>
      <c r="BJ12" t="n">
        <v>29990.005</v>
      </c>
      <c r="BK12" t="n">
        <v>35383.833</v>
      </c>
      <c r="BL12" t="n">
        <v>25841.591</v>
      </c>
      <c r="BM12" t="n">
        <v>19213.458</v>
      </c>
      <c r="BN12" t="n">
        <v>15062.419</v>
      </c>
      <c r="BO12" t="n">
        <v>16039.492</v>
      </c>
      <c r="BP12" t="n">
        <v>12921.149</v>
      </c>
      <c r="BQ12" t="n">
        <v>8286.665999999999</v>
      </c>
      <c r="BR12" t="n">
        <v>6049.211</v>
      </c>
      <c r="BS12" t="n">
        <v>5926.269</v>
      </c>
      <c r="BT12" t="n">
        <v>5792.444</v>
      </c>
      <c r="BU12" t="n">
        <v>8683.414000000001</v>
      </c>
      <c r="BV12" t="n">
        <v>8662.834999999999</v>
      </c>
    </row>
    <row r="13">
      <c r="A13" t="inlineStr">
        <is>
          <t>Scomber</t>
        </is>
      </c>
      <c r="B13" t="inlineStr">
        <is>
          <t>Chub mackerels</t>
        </is>
      </c>
      <c r="C13" t="inlineStr">
        <is>
          <t>Medium pelagics (30 - 89 cm)</t>
        </is>
      </c>
      <c r="D13" t="inlineStr">
        <is>
          <t>Perch-likes</t>
        </is>
      </c>
      <c r="E13" t="n">
        <v>7534.86</v>
      </c>
      <c r="F13" t="n">
        <v>7516.352</v>
      </c>
      <c r="G13" t="n">
        <v>7516.352</v>
      </c>
      <c r="H13" t="n">
        <v>8896.969999999999</v>
      </c>
      <c r="I13" t="n">
        <v>11404.934</v>
      </c>
      <c r="J13" t="n">
        <v>9193.549000000001</v>
      </c>
      <c r="K13" t="n">
        <v>10713.64</v>
      </c>
      <c r="L13" t="n">
        <v>11409.305</v>
      </c>
      <c r="M13" t="n">
        <v>11304.569</v>
      </c>
      <c r="N13" t="n">
        <v>12099.549</v>
      </c>
      <c r="O13" t="n">
        <v>14270.704</v>
      </c>
      <c r="P13" t="n">
        <v>13827.687</v>
      </c>
      <c r="Q13" t="n">
        <v>16879.139</v>
      </c>
      <c r="R13" t="n">
        <v>19294.874</v>
      </c>
      <c r="S13" t="n">
        <v>20762.629</v>
      </c>
      <c r="T13" t="n">
        <v>27279.62</v>
      </c>
      <c r="U13" t="n">
        <v>25952.267</v>
      </c>
      <c r="V13" t="n">
        <v>28621.625</v>
      </c>
      <c r="W13" t="n">
        <v>41163.017</v>
      </c>
      <c r="X13" t="n">
        <v>40962.961</v>
      </c>
      <c r="Y13" t="n">
        <v>50983.308</v>
      </c>
      <c r="Z13" t="n">
        <v>48350.953</v>
      </c>
      <c r="AA13" t="n">
        <v>45786.886</v>
      </c>
      <c r="AB13" t="n">
        <v>43571.703</v>
      </c>
      <c r="AC13" t="n">
        <v>50632.268</v>
      </c>
      <c r="AD13" t="n">
        <v>50095.734</v>
      </c>
      <c r="AE13" t="n">
        <v>37010.107</v>
      </c>
      <c r="AF13" t="n">
        <v>51279.755</v>
      </c>
      <c r="AG13" t="n">
        <v>60561.656</v>
      </c>
      <c r="AH13" t="n">
        <v>53027.846</v>
      </c>
      <c r="AI13" t="n">
        <v>48907.567</v>
      </c>
      <c r="AJ13" t="n">
        <v>34233.298</v>
      </c>
      <c r="AK13" t="n">
        <v>27208.537</v>
      </c>
      <c r="AL13" t="n">
        <v>30375.617</v>
      </c>
      <c r="AM13" t="n">
        <v>30693.083</v>
      </c>
      <c r="AN13" t="n">
        <v>29409.44</v>
      </c>
      <c r="AO13" t="n">
        <v>35451.628</v>
      </c>
      <c r="AP13" t="n">
        <v>26702.617</v>
      </c>
      <c r="AQ13" t="n">
        <v>25361.955</v>
      </c>
      <c r="AR13" t="n">
        <v>22167.336</v>
      </c>
      <c r="AS13" t="n">
        <v>13105.262</v>
      </c>
      <c r="AT13" t="n">
        <v>12100.413</v>
      </c>
      <c r="AU13" t="n">
        <v>11889.156</v>
      </c>
      <c r="AV13" t="n">
        <v>27622.7</v>
      </c>
      <c r="AW13" t="n">
        <v>26276.938</v>
      </c>
      <c r="AX13" t="n">
        <v>20184.332</v>
      </c>
      <c r="AY13" t="n">
        <v>32171.146</v>
      </c>
      <c r="AZ13" t="n">
        <v>35025.746</v>
      </c>
      <c r="BA13" t="n">
        <v>21662.254</v>
      </c>
      <c r="BB13" t="n">
        <v>16783.772</v>
      </c>
      <c r="BC13" t="n">
        <v>15241.372</v>
      </c>
      <c r="BD13" t="n">
        <v>16626.723</v>
      </c>
      <c r="BE13" t="n">
        <v>12834.427</v>
      </c>
      <c r="BF13" t="n">
        <v>13160.43</v>
      </c>
      <c r="BG13" t="n">
        <v>13762.418</v>
      </c>
      <c r="BH13" t="n">
        <v>22701.411</v>
      </c>
      <c r="BI13" t="n">
        <v>23606.832</v>
      </c>
      <c r="BJ13" t="n">
        <v>17021.183</v>
      </c>
      <c r="BK13" t="n">
        <v>19355.097</v>
      </c>
      <c r="BL13" t="n">
        <v>17336.234</v>
      </c>
      <c r="BM13" t="n">
        <v>18369.769</v>
      </c>
      <c r="BN13" t="n">
        <v>14771.032</v>
      </c>
      <c r="BO13" t="n">
        <v>16319.117</v>
      </c>
      <c r="BP13" t="n">
        <v>14881.003</v>
      </c>
      <c r="BQ13" t="n">
        <v>18908.095</v>
      </c>
      <c r="BR13" t="n">
        <v>20260.22</v>
      </c>
      <c r="BS13" t="n">
        <v>19327.238</v>
      </c>
      <c r="BT13" t="n">
        <v>19497.473</v>
      </c>
      <c r="BU13" t="n">
        <v>20128.2</v>
      </c>
      <c r="BV13" t="n">
        <v>17012.176</v>
      </c>
    </row>
    <row r="14">
      <c r="A14" t="inlineStr">
        <is>
          <t>Teuthida</t>
        </is>
      </c>
      <c r="B14" t="inlineStr">
        <is>
          <t>Squids</t>
        </is>
      </c>
      <c r="C14" t="inlineStr">
        <is>
          <t>Cephalopods</t>
        </is>
      </c>
      <c r="D14" t="inlineStr">
        <is>
          <t>Other fishes &amp; inverts</t>
        </is>
      </c>
      <c r="E14" t="n">
        <v>177.009</v>
      </c>
      <c r="F14" t="n">
        <v>182.626</v>
      </c>
      <c r="G14" t="n">
        <v>134.951</v>
      </c>
      <c r="H14" t="n">
        <v>185.943</v>
      </c>
      <c r="I14" t="n">
        <v>193.882</v>
      </c>
      <c r="J14" t="n">
        <v>143.949</v>
      </c>
      <c r="K14" t="n">
        <v>147.126</v>
      </c>
      <c r="L14" t="n">
        <v>144.907</v>
      </c>
      <c r="M14" t="n">
        <v>145.26</v>
      </c>
      <c r="N14" t="n">
        <v>148.637</v>
      </c>
      <c r="O14" t="n">
        <v>149.537</v>
      </c>
      <c r="P14" t="n">
        <v>150.971</v>
      </c>
      <c r="Q14" t="n">
        <v>154.049</v>
      </c>
      <c r="R14" t="n">
        <v>154.132</v>
      </c>
      <c r="S14" t="n">
        <v>154.888</v>
      </c>
      <c r="T14" t="n">
        <v>3451.978</v>
      </c>
      <c r="U14" t="n">
        <v>1945.605</v>
      </c>
      <c r="V14" t="n">
        <v>4235.802</v>
      </c>
      <c r="W14" t="n">
        <v>1667.308</v>
      </c>
      <c r="X14" t="n">
        <v>6527.228</v>
      </c>
      <c r="Y14" t="n">
        <v>501.691</v>
      </c>
      <c r="Z14" t="n">
        <v>6534.185</v>
      </c>
      <c r="AA14" t="n">
        <v>4598.711</v>
      </c>
      <c r="AB14" t="n">
        <v>3536.787</v>
      </c>
      <c r="AC14" t="n">
        <v>5076.81</v>
      </c>
      <c r="AD14" t="n">
        <v>5297.795</v>
      </c>
      <c r="AE14" t="n">
        <v>4809.435</v>
      </c>
      <c r="AF14" t="n">
        <v>10664.182</v>
      </c>
      <c r="AG14" t="n">
        <v>4518.394</v>
      </c>
      <c r="AH14" t="n">
        <v>17504.23</v>
      </c>
      <c r="AI14" t="n">
        <v>15414.711</v>
      </c>
      <c r="AJ14" t="n">
        <v>13395.789</v>
      </c>
      <c r="AK14" t="n">
        <v>16271.968</v>
      </c>
      <c r="AL14" t="n">
        <v>7412.663</v>
      </c>
      <c r="AM14" t="n">
        <v>18289.542</v>
      </c>
      <c r="AN14" t="n">
        <v>33030.308</v>
      </c>
      <c r="AO14" t="n">
        <v>30477.965</v>
      </c>
      <c r="AP14" t="n">
        <v>19215.152</v>
      </c>
      <c r="AQ14" t="n">
        <v>23333.024</v>
      </c>
      <c r="AR14" t="n">
        <v>46390.335</v>
      </c>
      <c r="AS14" t="n">
        <v>53546.791</v>
      </c>
      <c r="AT14" t="n">
        <v>27399.401</v>
      </c>
      <c r="AU14" t="n">
        <v>25869.028</v>
      </c>
      <c r="AV14" t="n">
        <v>12903.61</v>
      </c>
      <c r="AW14" t="n">
        <v>9803.076999999999</v>
      </c>
      <c r="AX14" t="n">
        <v>19537.244</v>
      </c>
      <c r="AY14" t="n">
        <v>17584.468</v>
      </c>
      <c r="AZ14" t="n">
        <v>28394.697</v>
      </c>
      <c r="BA14" t="n">
        <v>31057.337</v>
      </c>
      <c r="BB14" t="n">
        <v>35629.592</v>
      </c>
      <c r="BC14" t="n">
        <v>42856.105</v>
      </c>
      <c r="BD14" t="n">
        <v>26350.243</v>
      </c>
      <c r="BE14" t="n">
        <v>41046.141</v>
      </c>
      <c r="BF14" t="n">
        <v>45768.033</v>
      </c>
      <c r="BG14" t="n">
        <v>57078.457</v>
      </c>
      <c r="BH14" t="n">
        <v>62025.841</v>
      </c>
      <c r="BI14" t="n">
        <v>60581.711</v>
      </c>
      <c r="BJ14" t="n">
        <v>51655.898</v>
      </c>
      <c r="BK14" t="n">
        <v>51260.947</v>
      </c>
      <c r="BL14" t="n">
        <v>51122.04</v>
      </c>
      <c r="BM14" t="n">
        <v>54160.603</v>
      </c>
      <c r="BN14" t="n">
        <v>47380.579</v>
      </c>
      <c r="BO14" t="n">
        <v>50435.579</v>
      </c>
      <c r="BP14" t="n">
        <v>51872.354</v>
      </c>
      <c r="BQ14" t="n">
        <v>62400.905</v>
      </c>
      <c r="BR14" t="n">
        <v>41746.053</v>
      </c>
      <c r="BS14" t="n">
        <v>58004.479</v>
      </c>
      <c r="BT14" t="n">
        <v>58350.946</v>
      </c>
      <c r="BU14" t="n">
        <v>61956.554</v>
      </c>
      <c r="BV14" t="n">
        <v>57346.997</v>
      </c>
    </row>
    <row r="15">
      <c r="A15" t="inlineStr">
        <is>
          <t>Eleginus gracilis</t>
        </is>
      </c>
      <c r="B15" t="inlineStr">
        <is>
          <t>Saffron cod</t>
        </is>
      </c>
      <c r="C15" t="inlineStr">
        <is>
          <t>Medium demersals (30 - 89 cm)</t>
        </is>
      </c>
      <c r="D15" t="inlineStr">
        <is>
          <t>Cod-likes</t>
        </is>
      </c>
      <c r="E15" t="n">
        <v>4851.589</v>
      </c>
      <c r="F15" t="n">
        <v>4225.059</v>
      </c>
      <c r="G15" t="n">
        <v>4812.847</v>
      </c>
      <c r="H15" t="n">
        <v>4475.44</v>
      </c>
      <c r="I15" t="n">
        <v>11360.966</v>
      </c>
      <c r="J15" t="n">
        <v>13812.312</v>
      </c>
      <c r="K15" t="n">
        <v>11583.294</v>
      </c>
      <c r="L15" t="n">
        <v>11461.155</v>
      </c>
      <c r="M15" t="n">
        <v>10680.617</v>
      </c>
      <c r="N15" t="n">
        <v>12731.198</v>
      </c>
      <c r="O15" t="n">
        <v>13728.339</v>
      </c>
      <c r="P15" t="n">
        <v>14857.16</v>
      </c>
      <c r="Q15" t="n">
        <v>17697.821</v>
      </c>
      <c r="R15" t="n">
        <v>20275.122</v>
      </c>
      <c r="S15" t="n">
        <v>20218.823</v>
      </c>
      <c r="T15" t="n">
        <v>13446.846</v>
      </c>
      <c r="U15" t="n">
        <v>5160.55</v>
      </c>
      <c r="V15" t="n">
        <v>7935.37</v>
      </c>
      <c r="W15" t="n">
        <v>13014.591</v>
      </c>
      <c r="X15" t="n">
        <v>12760.772</v>
      </c>
      <c r="Y15" t="n">
        <v>13428.713</v>
      </c>
      <c r="Z15" t="n">
        <v>9882.896000000001</v>
      </c>
      <c r="AA15" t="n">
        <v>13711.156</v>
      </c>
      <c r="AB15" t="n">
        <v>15103.337</v>
      </c>
      <c r="AC15" t="n">
        <v>18207.358</v>
      </c>
      <c r="AD15" t="n">
        <v>20122.308</v>
      </c>
      <c r="AE15" t="n">
        <v>18753.16</v>
      </c>
      <c r="AF15" t="n">
        <v>24941.784</v>
      </c>
      <c r="AG15" t="n">
        <v>23833.363</v>
      </c>
      <c r="AH15" t="n">
        <v>23840.27</v>
      </c>
      <c r="AI15" t="n">
        <v>22927.794</v>
      </c>
      <c r="AJ15" t="n">
        <v>24559.242</v>
      </c>
      <c r="AK15" t="n">
        <v>22886.419</v>
      </c>
      <c r="AL15" t="n">
        <v>18468.627</v>
      </c>
      <c r="AM15" t="n">
        <v>25348.824</v>
      </c>
      <c r="AN15" t="n">
        <v>16911.453</v>
      </c>
      <c r="AO15" t="n">
        <v>20017.274</v>
      </c>
      <c r="AP15" t="n">
        <v>21360.64</v>
      </c>
      <c r="AQ15" t="n">
        <v>21853.088</v>
      </c>
      <c r="AR15" t="n">
        <v>23845.266</v>
      </c>
      <c r="AS15" t="n">
        <v>28608.547</v>
      </c>
      <c r="AT15" t="n">
        <v>28426.975</v>
      </c>
      <c r="AU15" t="n">
        <v>38354.678</v>
      </c>
      <c r="AV15" t="n">
        <v>33536.586</v>
      </c>
      <c r="AW15" t="n">
        <v>13754.792</v>
      </c>
      <c r="AX15" t="n">
        <v>22053.103</v>
      </c>
      <c r="AY15" t="n">
        <v>19050.28</v>
      </c>
      <c r="AZ15" t="n">
        <v>23497.942</v>
      </c>
      <c r="BA15" t="n">
        <v>31886.395</v>
      </c>
      <c r="BB15" t="n">
        <v>36271.528</v>
      </c>
      <c r="BC15" t="n">
        <v>28735.771</v>
      </c>
      <c r="BD15" t="n">
        <v>27291.431</v>
      </c>
      <c r="BE15" t="n">
        <v>26550.58</v>
      </c>
      <c r="BF15" t="n">
        <v>22321.779</v>
      </c>
      <c r="BG15" t="n">
        <v>18242.224</v>
      </c>
      <c r="BH15" t="n">
        <v>14968.876</v>
      </c>
      <c r="BI15" t="n">
        <v>19563.522</v>
      </c>
      <c r="BJ15" t="n">
        <v>20900.654</v>
      </c>
      <c r="BK15" t="n">
        <v>19689.198</v>
      </c>
      <c r="BL15" t="n">
        <v>30726.087</v>
      </c>
      <c r="BM15" t="n">
        <v>25523.269</v>
      </c>
      <c r="BN15" t="n">
        <v>23861.383</v>
      </c>
      <c r="BO15" t="n">
        <v>25721.905</v>
      </c>
      <c r="BP15" t="n">
        <v>23262.793</v>
      </c>
      <c r="BQ15" t="n">
        <v>24010.49</v>
      </c>
      <c r="BR15" t="n">
        <v>30573.923</v>
      </c>
      <c r="BS15" t="n">
        <v>28532.532</v>
      </c>
      <c r="BT15" t="n">
        <v>33019.192</v>
      </c>
      <c r="BU15" t="n">
        <v>36457.343</v>
      </c>
      <c r="BV15" t="n">
        <v>35580.683</v>
      </c>
    </row>
    <row r="16">
      <c r="A16" t="inlineStr">
        <is>
          <t>Ammodytes personatus</t>
        </is>
      </c>
      <c r="B16" t="inlineStr">
        <is>
          <t>Pacific sandlance</t>
        </is>
      </c>
      <c r="C16" t="inlineStr">
        <is>
          <t>Small demersals (&lt;30 cm)</t>
        </is>
      </c>
      <c r="D16" t="inlineStr">
        <is>
          <t>Perch-likes</t>
        </is>
      </c>
      <c r="E16" t="n">
        <v>5377.384</v>
      </c>
      <c r="F16" t="n">
        <v>5377.384</v>
      </c>
      <c r="G16" t="n">
        <v>5377.384</v>
      </c>
      <c r="H16" t="n">
        <v>6806.051</v>
      </c>
      <c r="I16" t="n">
        <v>4094.991</v>
      </c>
      <c r="J16" t="n">
        <v>5958.241</v>
      </c>
      <c r="K16" t="n">
        <v>9139.008</v>
      </c>
      <c r="L16" t="n">
        <v>10393.425</v>
      </c>
      <c r="M16" t="n">
        <v>11759.405</v>
      </c>
      <c r="N16" t="n">
        <v>8452.027</v>
      </c>
      <c r="O16" t="n">
        <v>9616.075999999999</v>
      </c>
      <c r="P16" t="n">
        <v>13102.794</v>
      </c>
      <c r="Q16" t="n">
        <v>8823.478999999999</v>
      </c>
      <c r="R16" t="n">
        <v>10183.18</v>
      </c>
      <c r="S16" t="n">
        <v>7017.673</v>
      </c>
      <c r="T16" t="n">
        <v>13789.337</v>
      </c>
      <c r="U16" t="n">
        <v>8922.025</v>
      </c>
      <c r="V16" t="n">
        <v>12647.021</v>
      </c>
      <c r="W16" t="n">
        <v>18378.479</v>
      </c>
      <c r="X16" t="n">
        <v>13520.068</v>
      </c>
      <c r="Y16" t="n">
        <v>27855.82</v>
      </c>
      <c r="Z16" t="n">
        <v>33349.299</v>
      </c>
      <c r="AA16" t="n">
        <v>24600.534</v>
      </c>
      <c r="AB16" t="n">
        <v>24523.95</v>
      </c>
      <c r="AC16" t="n">
        <v>37162.129</v>
      </c>
      <c r="AD16" t="n">
        <v>34547.272</v>
      </c>
      <c r="AE16" t="n">
        <v>28644.016</v>
      </c>
      <c r="AF16" t="n">
        <v>18056.183</v>
      </c>
      <c r="AG16" t="n">
        <v>14465.157</v>
      </c>
      <c r="AH16" t="n">
        <v>14377.711</v>
      </c>
      <c r="AI16" t="n">
        <v>25180.146</v>
      </c>
      <c r="AJ16" t="n">
        <v>21173.949</v>
      </c>
      <c r="AK16" t="n">
        <v>17049.018</v>
      </c>
      <c r="AL16" t="n">
        <v>16990.162</v>
      </c>
      <c r="AM16" t="n">
        <v>24012.615</v>
      </c>
      <c r="AN16" t="n">
        <v>17436.611</v>
      </c>
      <c r="AO16" t="n">
        <v>19518.641</v>
      </c>
      <c r="AP16" t="n">
        <v>16918.487</v>
      </c>
      <c r="AQ16" t="n">
        <v>11350.438</v>
      </c>
      <c r="AR16" t="n">
        <v>11027.247</v>
      </c>
      <c r="AS16" t="n">
        <v>10160.054</v>
      </c>
      <c r="AT16" t="n">
        <v>12337.382</v>
      </c>
      <c r="AU16" t="n">
        <v>16577.309</v>
      </c>
      <c r="AV16" t="n">
        <v>14004.777</v>
      </c>
      <c r="AW16" t="n">
        <v>14254.343</v>
      </c>
      <c r="AX16" t="n">
        <v>13899.674</v>
      </c>
      <c r="AY16" t="n">
        <v>14977.532</v>
      </c>
      <c r="AZ16" t="n">
        <v>13935.75</v>
      </c>
      <c r="BA16" t="n">
        <v>11999.466</v>
      </c>
      <c r="BB16" t="n">
        <v>11260.567</v>
      </c>
      <c r="BC16" t="n">
        <v>7255.514</v>
      </c>
      <c r="BD16" t="n">
        <v>11741.092</v>
      </c>
      <c r="BE16" t="n">
        <v>9353.955</v>
      </c>
      <c r="BF16" t="n">
        <v>58048.292</v>
      </c>
      <c r="BG16" t="n">
        <v>50352.277</v>
      </c>
      <c r="BH16" t="n">
        <v>51535.556</v>
      </c>
      <c r="BI16" t="n">
        <v>48288.222</v>
      </c>
      <c r="BJ16" t="n">
        <v>37519.495</v>
      </c>
      <c r="BK16" t="n">
        <v>37063.417</v>
      </c>
      <c r="BL16" t="n">
        <v>37106.616</v>
      </c>
      <c r="BM16" t="n">
        <v>43331.863</v>
      </c>
      <c r="BN16" t="n">
        <v>36159.252</v>
      </c>
      <c r="BO16" t="n">
        <v>35044.614</v>
      </c>
      <c r="BP16" t="n">
        <v>31955.646</v>
      </c>
      <c r="BQ16" t="n">
        <v>30668.631</v>
      </c>
      <c r="BR16" t="n">
        <v>30174.613</v>
      </c>
      <c r="BS16" t="n">
        <v>27216.869</v>
      </c>
      <c r="BT16" t="n">
        <v>24330.584</v>
      </c>
      <c r="BU16" t="n">
        <v>22797.564</v>
      </c>
      <c r="BV16" t="n">
        <v>22825.862</v>
      </c>
    </row>
    <row r="17">
      <c r="A17" t="inlineStr">
        <is>
          <t>Todarodes pacificus</t>
        </is>
      </c>
      <c r="B17" t="inlineStr">
        <is>
          <t>Japanese flying squid</t>
        </is>
      </c>
      <c r="C17" t="inlineStr">
        <is>
          <t>Cephalopods</t>
        </is>
      </c>
      <c r="D17" t="inlineStr">
        <is>
          <t>Other fishes &amp; inverts</t>
        </is>
      </c>
      <c r="E17" t="n">
        <v>24970.448</v>
      </c>
      <c r="F17" t="n">
        <v>24978.211</v>
      </c>
      <c r="G17" t="n">
        <v>24982.093</v>
      </c>
      <c r="H17" t="n">
        <v>31525.936</v>
      </c>
      <c r="I17" t="n">
        <v>28932.772</v>
      </c>
      <c r="J17" t="n">
        <v>27949.423</v>
      </c>
      <c r="K17" t="n">
        <v>18692.321</v>
      </c>
      <c r="L17" t="n">
        <v>22149.37</v>
      </c>
      <c r="M17" t="n">
        <v>20698.263</v>
      </c>
      <c r="N17" t="n">
        <v>28422.003</v>
      </c>
      <c r="O17" t="n">
        <v>28987.153</v>
      </c>
      <c r="P17" t="n">
        <v>23523.833</v>
      </c>
      <c r="Q17" t="n">
        <v>33316.879</v>
      </c>
      <c r="R17" t="n">
        <v>33973.302</v>
      </c>
      <c r="S17" t="n">
        <v>13079.13</v>
      </c>
      <c r="T17" t="n">
        <v>22358.951</v>
      </c>
      <c r="U17" t="n">
        <v>20904.76</v>
      </c>
      <c r="V17" t="n">
        <v>25515.887</v>
      </c>
      <c r="W17" t="n">
        <v>32677.91</v>
      </c>
      <c r="X17" t="n">
        <v>21167.385</v>
      </c>
      <c r="Y17" t="n">
        <v>16125.019</v>
      </c>
      <c r="Z17" t="n">
        <v>13123.206</v>
      </c>
      <c r="AA17" t="n">
        <v>19275.819</v>
      </c>
      <c r="AB17" t="n">
        <v>14350.111</v>
      </c>
      <c r="AC17" t="n">
        <v>13640.87</v>
      </c>
      <c r="AD17" t="n">
        <v>19262.422</v>
      </c>
      <c r="AE17" t="n">
        <v>18514.862</v>
      </c>
      <c r="AF17" t="n">
        <v>19300.94</v>
      </c>
      <c r="AG17" t="n">
        <v>16427.301</v>
      </c>
      <c r="AH17" t="n">
        <v>17789.398</v>
      </c>
      <c r="AI17" t="n">
        <v>26609.392</v>
      </c>
      <c r="AJ17" t="n">
        <v>17631.881</v>
      </c>
      <c r="AK17" t="n">
        <v>16557.539</v>
      </c>
      <c r="AL17" t="n">
        <v>16820.111</v>
      </c>
      <c r="AM17" t="n">
        <v>15535.93</v>
      </c>
      <c r="AN17" t="n">
        <v>13028.821</v>
      </c>
      <c r="AO17" t="n">
        <v>8952.755999999999</v>
      </c>
      <c r="AP17" t="n">
        <v>15151.773</v>
      </c>
      <c r="AQ17" t="n">
        <v>12867.215</v>
      </c>
      <c r="AR17" t="n">
        <v>17217.385</v>
      </c>
      <c r="AS17" t="n">
        <v>17319.454</v>
      </c>
      <c r="AT17" t="n">
        <v>27688.224</v>
      </c>
      <c r="AU17" t="n">
        <v>32475.722</v>
      </c>
      <c r="AV17" t="n">
        <v>24876.767</v>
      </c>
      <c r="AW17" t="n">
        <v>24520.094</v>
      </c>
      <c r="AX17" t="n">
        <v>24520.595</v>
      </c>
      <c r="AY17" t="n">
        <v>36396.24</v>
      </c>
      <c r="AZ17" t="n">
        <v>29424.232</v>
      </c>
      <c r="BA17" t="n">
        <v>15371.158</v>
      </c>
      <c r="BB17" t="n">
        <v>19945.885</v>
      </c>
      <c r="BC17" t="n">
        <v>27914.092</v>
      </c>
      <c r="BD17" t="n">
        <v>25413.657</v>
      </c>
      <c r="BE17" t="n">
        <v>23812.875</v>
      </c>
      <c r="BF17" t="n">
        <v>17249.153</v>
      </c>
      <c r="BG17" t="n">
        <v>14825.984</v>
      </c>
      <c r="BH17" t="n">
        <v>13790.826</v>
      </c>
      <c r="BI17" t="n">
        <v>12305.728</v>
      </c>
      <c r="BJ17" t="n">
        <v>17786.918</v>
      </c>
      <c r="BK17" t="n">
        <v>16042.83</v>
      </c>
      <c r="BL17" t="n">
        <v>13793.751</v>
      </c>
      <c r="BM17" t="n">
        <v>14076.349</v>
      </c>
      <c r="BN17" t="n">
        <v>18696.32</v>
      </c>
      <c r="BO17" t="n">
        <v>14122.935</v>
      </c>
      <c r="BP17" t="n">
        <v>15974.989</v>
      </c>
      <c r="BQ17" t="n">
        <v>14847.502</v>
      </c>
      <c r="BR17" t="n">
        <v>15855.147</v>
      </c>
      <c r="BS17" t="n">
        <v>10090.109</v>
      </c>
      <c r="BT17" t="n">
        <v>7437.893</v>
      </c>
      <c r="BU17" t="n">
        <v>6356.837</v>
      </c>
      <c r="BV17" t="n">
        <v>7851.626</v>
      </c>
    </row>
    <row r="18">
      <c r="A18" t="inlineStr">
        <is>
          <t>Mollusca</t>
        </is>
      </c>
      <c r="B18" t="inlineStr">
        <is>
          <t>Clams, seasnails, squids, octopuses</t>
        </is>
      </c>
      <c r="C18" t="inlineStr">
        <is>
          <t>Other demersal invertebrates</t>
        </is>
      </c>
      <c r="D18" t="inlineStr">
        <is>
          <t>Molluscs</t>
        </is>
      </c>
      <c r="E18" t="n">
        <v>61.023</v>
      </c>
      <c r="F18" t="n">
        <v>72.357</v>
      </c>
      <c r="G18" t="n">
        <v>95.005</v>
      </c>
      <c r="H18" t="n">
        <v>164.286</v>
      </c>
      <c r="I18" t="n">
        <v>166.668</v>
      </c>
      <c r="J18" t="n">
        <v>214.328</v>
      </c>
      <c r="K18" t="n">
        <v>188.688</v>
      </c>
      <c r="L18" t="n">
        <v>266.494</v>
      </c>
      <c r="M18" t="n">
        <v>395.951</v>
      </c>
      <c r="N18" t="n">
        <v>460.668</v>
      </c>
      <c r="O18" t="n">
        <v>470.929</v>
      </c>
      <c r="P18" t="n">
        <v>661.422</v>
      </c>
      <c r="Q18" t="n">
        <v>810.663</v>
      </c>
      <c r="R18" t="n">
        <v>875.062</v>
      </c>
      <c r="S18" t="n">
        <v>23135.823</v>
      </c>
      <c r="T18" t="n">
        <v>21922.154</v>
      </c>
      <c r="U18" t="n">
        <v>23204.788</v>
      </c>
      <c r="V18" t="n">
        <v>19915.852</v>
      </c>
      <c r="W18" t="n">
        <v>15123.354</v>
      </c>
      <c r="X18" t="n">
        <v>17624.785</v>
      </c>
      <c r="Y18" t="n">
        <v>24355.932</v>
      </c>
      <c r="Z18" t="n">
        <v>18559.504</v>
      </c>
      <c r="AA18" t="n">
        <v>13988.201</v>
      </c>
      <c r="AB18" t="n">
        <v>11508.342</v>
      </c>
      <c r="AC18" t="n">
        <v>16990.816</v>
      </c>
      <c r="AD18" t="n">
        <v>15614.353</v>
      </c>
      <c r="AE18" t="n">
        <v>9193.107</v>
      </c>
      <c r="AF18" t="n">
        <v>4445.975</v>
      </c>
      <c r="AG18" t="n">
        <v>2538.937</v>
      </c>
      <c r="AH18" t="n">
        <v>535.519</v>
      </c>
      <c r="AI18" t="n">
        <v>1090.723</v>
      </c>
      <c r="AJ18" t="n">
        <v>1218.065</v>
      </c>
      <c r="AK18" t="n">
        <v>2023.116</v>
      </c>
      <c r="AL18" t="n">
        <v>3144.067</v>
      </c>
      <c r="AM18" t="n">
        <v>3867.543</v>
      </c>
      <c r="AN18" t="n">
        <v>8093.521</v>
      </c>
      <c r="AO18" t="n">
        <v>18232.502</v>
      </c>
      <c r="AP18" t="n">
        <v>22916.142</v>
      </c>
      <c r="AQ18" t="n">
        <v>22157.22</v>
      </c>
      <c r="AR18" t="n">
        <v>23963.506</v>
      </c>
      <c r="AS18" t="n">
        <v>18778.185</v>
      </c>
      <c r="AT18" t="n">
        <v>23188.674</v>
      </c>
      <c r="AU18" t="n">
        <v>29393.387</v>
      </c>
      <c r="AV18" t="n">
        <v>45876.807</v>
      </c>
      <c r="AW18" t="n">
        <v>48146.955</v>
      </c>
      <c r="AX18" t="n">
        <v>53905.677</v>
      </c>
      <c r="AY18" t="n">
        <v>40979.14</v>
      </c>
      <c r="AZ18" t="n">
        <v>47015.316</v>
      </c>
      <c r="BA18" t="n">
        <v>51663.975</v>
      </c>
      <c r="BB18" t="n">
        <v>73649.159</v>
      </c>
      <c r="BC18" t="n">
        <v>70319.486</v>
      </c>
      <c r="BD18" t="n">
        <v>54545.21</v>
      </c>
      <c r="BE18" t="n">
        <v>53531.462</v>
      </c>
      <c r="BF18" t="n">
        <v>32716.544</v>
      </c>
      <c r="BG18" t="n">
        <v>34071.293</v>
      </c>
      <c r="BH18" t="n">
        <v>37646.525</v>
      </c>
      <c r="BI18" t="n">
        <v>39608.459</v>
      </c>
      <c r="BJ18" t="n">
        <v>38467.997</v>
      </c>
      <c r="BK18" t="n">
        <v>35032.584</v>
      </c>
      <c r="BL18" t="n">
        <v>35119.253</v>
      </c>
      <c r="BM18" t="n">
        <v>33210.985</v>
      </c>
      <c r="BN18" t="n">
        <v>30697.855</v>
      </c>
      <c r="BO18" t="n">
        <v>26818.677</v>
      </c>
      <c r="BP18" t="n">
        <v>25055.745</v>
      </c>
      <c r="BQ18" t="n">
        <v>155.275</v>
      </c>
      <c r="BR18" t="n">
        <v>171.802</v>
      </c>
      <c r="BS18" t="n">
        <v>173.231</v>
      </c>
      <c r="BT18" t="n">
        <v>164.878</v>
      </c>
      <c r="BU18" t="n">
        <v>172.805</v>
      </c>
      <c r="BV18" t="n">
        <v>176.505</v>
      </c>
    </row>
    <row r="19">
      <c r="A19" t="inlineStr">
        <is>
          <t>Cololabis saira</t>
        </is>
      </c>
      <c r="B19" t="inlineStr">
        <is>
          <t>Pacific saury</t>
        </is>
      </c>
      <c r="C19" t="inlineStr">
        <is>
          <t>Medium pelagics (30 - 89 cm)</t>
        </is>
      </c>
      <c r="D19" t="inlineStr">
        <is>
          <t>Other fishes &amp; inverts</t>
        </is>
      </c>
      <c r="E19" t="n">
        <v>11661.838</v>
      </c>
      <c r="F19" t="n">
        <v>11763.975</v>
      </c>
      <c r="G19" t="n">
        <v>11782.109</v>
      </c>
      <c r="H19" t="n">
        <v>11890.501</v>
      </c>
      <c r="I19" t="n">
        <v>13437.065</v>
      </c>
      <c r="J19" t="n">
        <v>22491.029</v>
      </c>
      <c r="K19" t="n">
        <v>15083.33</v>
      </c>
      <c r="L19" t="n">
        <v>19659.799</v>
      </c>
      <c r="M19" t="n">
        <v>26530.884</v>
      </c>
      <c r="N19" t="n">
        <v>23871.808</v>
      </c>
      <c r="O19" t="n">
        <v>13327.88</v>
      </c>
      <c r="P19" t="n">
        <v>22954.887</v>
      </c>
      <c r="Q19" t="n">
        <v>27677.839</v>
      </c>
      <c r="R19" t="n">
        <v>27639.084</v>
      </c>
      <c r="S19" t="n">
        <v>10807.426</v>
      </c>
      <c r="T19" t="n">
        <v>14910.995</v>
      </c>
      <c r="U19" t="n">
        <v>15850.894</v>
      </c>
      <c r="V19" t="n">
        <v>15286.341</v>
      </c>
      <c r="W19" t="n">
        <v>11199.82</v>
      </c>
      <c r="X19" t="n">
        <v>4519.522</v>
      </c>
      <c r="Y19" t="n">
        <v>8473.288</v>
      </c>
      <c r="Z19" t="n">
        <v>12843.365</v>
      </c>
      <c r="AA19" t="n">
        <v>13283.02</v>
      </c>
      <c r="AB19" t="n">
        <v>21595.112</v>
      </c>
      <c r="AC19" t="n">
        <v>9795.148999999999</v>
      </c>
      <c r="AD19" t="n">
        <v>17916.805</v>
      </c>
      <c r="AE19" t="n">
        <v>7883.584</v>
      </c>
      <c r="AF19" t="n">
        <v>19747.718</v>
      </c>
      <c r="AG19" t="n">
        <v>25100.389</v>
      </c>
      <c r="AH19" t="n">
        <v>18123.297</v>
      </c>
      <c r="AI19" t="n">
        <v>10680.24</v>
      </c>
      <c r="AJ19" t="n">
        <v>9968.226000000001</v>
      </c>
      <c r="AK19" t="n">
        <v>12355.304</v>
      </c>
      <c r="AL19" t="n">
        <v>13478.873</v>
      </c>
      <c r="AM19" t="n">
        <v>13572.162</v>
      </c>
      <c r="AN19" t="n">
        <v>14996.621</v>
      </c>
      <c r="AO19" t="n">
        <v>14047.665</v>
      </c>
      <c r="AP19" t="n">
        <v>12701.104</v>
      </c>
      <c r="AQ19" t="n">
        <v>16575.864</v>
      </c>
      <c r="AR19" t="n">
        <v>14541.146</v>
      </c>
      <c r="AS19" t="n">
        <v>18403.089</v>
      </c>
      <c r="AT19" t="n">
        <v>19128.085</v>
      </c>
      <c r="AU19" t="n">
        <v>25363.91</v>
      </c>
      <c r="AV19" t="n">
        <v>19055.432</v>
      </c>
      <c r="AW19" t="n">
        <v>15933.131</v>
      </c>
      <c r="AX19" t="n">
        <v>16144.75</v>
      </c>
      <c r="AY19" t="n">
        <v>12953.571</v>
      </c>
      <c r="AZ19" t="n">
        <v>17718.472</v>
      </c>
      <c r="BA19" t="n">
        <v>8709.163</v>
      </c>
      <c r="BB19" t="n">
        <v>8665.264999999999</v>
      </c>
      <c r="BC19" t="n">
        <v>12648.122</v>
      </c>
      <c r="BD19" t="n">
        <v>21631.033</v>
      </c>
      <c r="BE19" t="n">
        <v>21633.101</v>
      </c>
      <c r="BF19" t="n">
        <v>25933.368</v>
      </c>
      <c r="BG19" t="n">
        <v>29049.439</v>
      </c>
      <c r="BH19" t="n">
        <v>30565.088</v>
      </c>
      <c r="BI19" t="n">
        <v>28155.6</v>
      </c>
      <c r="BJ19" t="n">
        <v>41395.599</v>
      </c>
      <c r="BK19" t="n">
        <v>37196.672</v>
      </c>
      <c r="BL19" t="n">
        <v>20161.768</v>
      </c>
      <c r="BM19" t="n">
        <v>15662.672</v>
      </c>
      <c r="BN19" t="n">
        <v>25643.432</v>
      </c>
      <c r="BO19" t="n">
        <v>25755.222</v>
      </c>
      <c r="BP19" t="n">
        <v>24038.314</v>
      </c>
      <c r="BQ19" t="n">
        <v>38548.95</v>
      </c>
      <c r="BR19" t="n">
        <v>16931.882</v>
      </c>
      <c r="BS19" t="n">
        <v>15288.407</v>
      </c>
      <c r="BT19" t="n">
        <v>11122.682</v>
      </c>
      <c r="BU19" t="n">
        <v>12847.914</v>
      </c>
      <c r="BV19" t="n">
        <v>10763.863</v>
      </c>
    </row>
    <row r="20">
      <c r="A20" t="inlineStr">
        <is>
          <t>Pleurogrammus monopterygius</t>
        </is>
      </c>
      <c r="B20" t="inlineStr">
        <is>
          <t>Atka mackerel</t>
        </is>
      </c>
      <c r="C20" t="inlineStr">
        <is>
          <t>Medium demersals (30 - 89 cm)</t>
        </is>
      </c>
      <c r="D20" t="inlineStr">
        <is>
          <t>Scorpionfishes</t>
        </is>
      </c>
      <c r="E20" t="n">
        <v>624.652</v>
      </c>
      <c r="F20" t="n">
        <v>674.662</v>
      </c>
      <c r="G20" t="n">
        <v>680.082</v>
      </c>
      <c r="H20" t="n">
        <v>791.668</v>
      </c>
      <c r="I20" t="n">
        <v>1214.548</v>
      </c>
      <c r="J20" t="n">
        <v>1889.456</v>
      </c>
      <c r="K20" t="n">
        <v>2273.591</v>
      </c>
      <c r="L20" t="n">
        <v>2191.975</v>
      </c>
      <c r="M20" t="n">
        <v>2779.645</v>
      </c>
      <c r="N20" t="n">
        <v>2580.895</v>
      </c>
      <c r="O20" t="n">
        <v>2960.871</v>
      </c>
      <c r="P20" t="n">
        <v>13909.822</v>
      </c>
      <c r="Q20" t="n">
        <v>4001.991</v>
      </c>
      <c r="R20" t="n">
        <v>4149.362</v>
      </c>
      <c r="S20" t="n">
        <v>5314.768</v>
      </c>
      <c r="T20" t="n">
        <v>5539.021</v>
      </c>
      <c r="U20" t="n">
        <v>3680.797</v>
      </c>
      <c r="V20" t="n">
        <v>3294.165</v>
      </c>
      <c r="W20" t="n">
        <v>14750.61</v>
      </c>
      <c r="X20" t="n">
        <v>9629.120999999999</v>
      </c>
      <c r="Y20" t="n">
        <v>9528.017</v>
      </c>
      <c r="Z20" t="n">
        <v>13119.289</v>
      </c>
      <c r="AA20" t="n">
        <v>17811.082</v>
      </c>
      <c r="AB20" t="n">
        <v>13630.557</v>
      </c>
      <c r="AC20" t="n">
        <v>24795.478</v>
      </c>
      <c r="AD20" t="n">
        <v>48661.201</v>
      </c>
      <c r="AE20" t="n">
        <v>30918.783</v>
      </c>
      <c r="AF20" t="n">
        <v>25645.987</v>
      </c>
      <c r="AG20" t="n">
        <v>14502.366</v>
      </c>
      <c r="AH20" t="n">
        <v>14082.391</v>
      </c>
      <c r="AI20" t="n">
        <v>5892.953</v>
      </c>
      <c r="AJ20" t="n">
        <v>4079.156</v>
      </c>
      <c r="AK20" t="n">
        <v>5760.376</v>
      </c>
      <c r="AL20" t="n">
        <v>5278.497</v>
      </c>
      <c r="AM20" t="n">
        <v>7984.417</v>
      </c>
      <c r="AN20" t="n">
        <v>9271.156000000001</v>
      </c>
      <c r="AO20" t="n">
        <v>8814.242</v>
      </c>
      <c r="AP20" t="n">
        <v>8099.818</v>
      </c>
      <c r="AQ20" t="n">
        <v>14512.345</v>
      </c>
      <c r="AR20" t="n">
        <v>10773.336</v>
      </c>
      <c r="AS20" t="n">
        <v>10442.343</v>
      </c>
      <c r="AT20" t="n">
        <v>16672.993</v>
      </c>
      <c r="AU20" t="n">
        <v>18972.883</v>
      </c>
      <c r="AV20" t="n">
        <v>13982.591</v>
      </c>
      <c r="AW20" t="n">
        <v>14002.965</v>
      </c>
      <c r="AX20" t="n">
        <v>15141.869</v>
      </c>
      <c r="AY20" t="n">
        <v>16547.034</v>
      </c>
      <c r="AZ20" t="n">
        <v>26152.218</v>
      </c>
      <c r="BA20" t="n">
        <v>29897.032</v>
      </c>
      <c r="BB20" t="n">
        <v>29972.286</v>
      </c>
      <c r="BC20" t="n">
        <v>37767.512</v>
      </c>
      <c r="BD20" t="n">
        <v>35073.884</v>
      </c>
      <c r="BE20" t="n">
        <v>38993.999</v>
      </c>
      <c r="BF20" t="n">
        <v>42210.044</v>
      </c>
      <c r="BG20" t="n">
        <v>34610.546</v>
      </c>
      <c r="BH20" t="n">
        <v>31571.944</v>
      </c>
      <c r="BI20" t="n">
        <v>32197.292</v>
      </c>
      <c r="BJ20" t="n">
        <v>34209.352</v>
      </c>
      <c r="BK20" t="n">
        <v>39113.338</v>
      </c>
      <c r="BL20" t="n">
        <v>41697.738</v>
      </c>
      <c r="BM20" t="n">
        <v>47768.515</v>
      </c>
      <c r="BN20" t="n">
        <v>43468.201</v>
      </c>
      <c r="BO20" t="n">
        <v>45894.747</v>
      </c>
      <c r="BP20" t="n">
        <v>35184.827</v>
      </c>
      <c r="BQ20" t="n">
        <v>39024.318</v>
      </c>
      <c r="BR20" t="n">
        <v>25590.582</v>
      </c>
      <c r="BS20" t="n">
        <v>18231.863</v>
      </c>
      <c r="BT20" t="n">
        <v>20019.157</v>
      </c>
      <c r="BU20" t="n">
        <v>16960.876</v>
      </c>
      <c r="BV20" t="n">
        <v>17700.848</v>
      </c>
    </row>
    <row r="21">
      <c r="A21" t="inlineStr">
        <is>
          <t>Oncorhynchus nerka</t>
        </is>
      </c>
      <c r="B21" t="inlineStr">
        <is>
          <t>Sockeye salmon</t>
        </is>
      </c>
      <c r="C21" t="inlineStr">
        <is>
          <t>Medium pelagics (30 - 89 cm)</t>
        </is>
      </c>
      <c r="D21" t="inlineStr">
        <is>
          <t>Salmon, smelts, etc</t>
        </is>
      </c>
      <c r="E21" t="n">
        <v>6370.407</v>
      </c>
      <c r="F21" t="n">
        <v>5274.423</v>
      </c>
      <c r="G21" t="n">
        <v>6301.908</v>
      </c>
      <c r="H21" t="n">
        <v>3493.449</v>
      </c>
      <c r="I21" t="n">
        <v>2876.958</v>
      </c>
      <c r="J21" t="n">
        <v>2335.816</v>
      </c>
      <c r="K21" t="n">
        <v>4370.237</v>
      </c>
      <c r="L21" t="n">
        <v>2637.212</v>
      </c>
      <c r="M21" t="n">
        <v>979.5359999999999</v>
      </c>
      <c r="N21" t="n">
        <v>3089.305</v>
      </c>
      <c r="O21" t="n">
        <v>3240.003</v>
      </c>
      <c r="P21" t="n">
        <v>5726.517</v>
      </c>
      <c r="Q21" t="n">
        <v>3767.445</v>
      </c>
      <c r="R21" t="n">
        <v>2561.863</v>
      </c>
      <c r="S21" t="n">
        <v>2335.816</v>
      </c>
      <c r="T21" t="n">
        <v>3416.911</v>
      </c>
      <c r="U21" t="n">
        <v>2991.028</v>
      </c>
      <c r="V21" t="n">
        <v>2489.796</v>
      </c>
      <c r="W21" t="n">
        <v>1887.005</v>
      </c>
      <c r="X21" t="n">
        <v>1359.562</v>
      </c>
      <c r="Y21" t="n">
        <v>3620.029</v>
      </c>
      <c r="Z21" t="n">
        <v>1887.005</v>
      </c>
      <c r="AA21" t="n">
        <v>907.4690000000001</v>
      </c>
      <c r="AB21" t="n">
        <v>1359.562</v>
      </c>
      <c r="AC21" t="n">
        <v>832.12</v>
      </c>
      <c r="AD21" t="n">
        <v>1132.762</v>
      </c>
      <c r="AE21" t="n">
        <v>960.213</v>
      </c>
      <c r="AF21" t="n">
        <v>1486.902</v>
      </c>
      <c r="AG21" t="n">
        <v>2600.721</v>
      </c>
      <c r="AH21" t="n">
        <v>2199.273</v>
      </c>
      <c r="AI21" t="n">
        <v>1238.592</v>
      </c>
      <c r="AJ21" t="n">
        <v>1176.868</v>
      </c>
      <c r="AK21" t="n">
        <v>1033.342</v>
      </c>
      <c r="AL21" t="n">
        <v>1112.766</v>
      </c>
      <c r="AM21" t="n">
        <v>4003.287</v>
      </c>
      <c r="AN21" t="n">
        <v>2590.358</v>
      </c>
      <c r="AO21" t="n">
        <v>2865.944</v>
      </c>
      <c r="AP21" t="n">
        <v>3978.395</v>
      </c>
      <c r="AQ21" t="n">
        <v>4156.389</v>
      </c>
      <c r="AR21" t="n">
        <v>2735.843</v>
      </c>
      <c r="AS21" t="n">
        <v>5212.904</v>
      </c>
      <c r="AT21" t="n">
        <v>6924.695</v>
      </c>
      <c r="AU21" t="n">
        <v>10051.276</v>
      </c>
      <c r="AV21" t="n">
        <v>22571.537</v>
      </c>
      <c r="AW21" t="n">
        <v>15614.854</v>
      </c>
      <c r="AX21" t="n">
        <v>21717.673</v>
      </c>
      <c r="AY21" t="n">
        <v>24541.032</v>
      </c>
      <c r="AZ21" t="n">
        <v>19431.17</v>
      </c>
      <c r="BA21" t="n">
        <v>15270.317</v>
      </c>
      <c r="BB21" t="n">
        <v>25721.705</v>
      </c>
      <c r="BC21" t="n">
        <v>24092.921</v>
      </c>
      <c r="BD21" t="n">
        <v>31362.64</v>
      </c>
      <c r="BE21" t="n">
        <v>36913.879</v>
      </c>
      <c r="BF21" t="n">
        <v>29239.196</v>
      </c>
      <c r="BG21" t="n">
        <v>25430.587</v>
      </c>
      <c r="BH21" t="n">
        <v>35435.205</v>
      </c>
      <c r="BI21" t="n">
        <v>33809.055</v>
      </c>
      <c r="BJ21" t="n">
        <v>39331.459</v>
      </c>
      <c r="BK21" t="n">
        <v>36299.768</v>
      </c>
      <c r="BL21" t="n">
        <v>31316.074</v>
      </c>
      <c r="BM21" t="n">
        <v>41595.239</v>
      </c>
      <c r="BN21" t="n">
        <v>54613.429</v>
      </c>
      <c r="BO21" t="n">
        <v>65514.548</v>
      </c>
      <c r="BP21" t="n">
        <v>72698.91899999999</v>
      </c>
      <c r="BQ21" t="n">
        <v>58707.972</v>
      </c>
      <c r="BR21" t="n">
        <v>66407.617</v>
      </c>
      <c r="BS21" t="n">
        <v>60341.716</v>
      </c>
      <c r="BT21" t="n">
        <v>53403.553</v>
      </c>
      <c r="BU21" t="n">
        <v>52926.927</v>
      </c>
      <c r="BV21" t="n">
        <v>56581.404</v>
      </c>
    </row>
    <row r="22">
      <c r="A22" t="inlineStr">
        <is>
          <t>Pleuronectidae</t>
        </is>
      </c>
      <c r="B22" t="inlineStr">
        <is>
          <t>Righteye flounders</t>
        </is>
      </c>
      <c r="C22" t="inlineStr">
        <is>
          <t>Small to medium flatfishes (&lt;90 cm)</t>
        </is>
      </c>
      <c r="D22" t="inlineStr">
        <is>
          <t>Flatfishes</t>
        </is>
      </c>
      <c r="E22" t="n">
        <v>10161.446</v>
      </c>
      <c r="F22" t="n">
        <v>10168.282</v>
      </c>
      <c r="G22" t="n">
        <v>10173.048</v>
      </c>
      <c r="H22" t="n">
        <v>10492.415</v>
      </c>
      <c r="I22" t="n">
        <v>10439.066</v>
      </c>
      <c r="J22" t="n">
        <v>10012.97</v>
      </c>
      <c r="K22" t="n">
        <v>11875.933</v>
      </c>
      <c r="L22" t="n">
        <v>12637.57</v>
      </c>
      <c r="M22" t="n">
        <v>14410.162</v>
      </c>
      <c r="N22" t="n">
        <v>20866.724</v>
      </c>
      <c r="O22" t="n">
        <v>35583.962</v>
      </c>
      <c r="P22" t="n">
        <v>39536.535</v>
      </c>
      <c r="Q22" t="n">
        <v>33983.246</v>
      </c>
      <c r="R22" t="n">
        <v>15779.149</v>
      </c>
      <c r="S22" t="n">
        <v>18213.044</v>
      </c>
      <c r="T22" t="n">
        <v>15138.451</v>
      </c>
      <c r="U22" t="n">
        <v>19219.833</v>
      </c>
      <c r="V22" t="n">
        <v>21341.963</v>
      </c>
      <c r="W22" t="n">
        <v>18554.534</v>
      </c>
      <c r="X22" t="n">
        <v>20955.186</v>
      </c>
      <c r="Y22" t="n">
        <v>20869.258</v>
      </c>
      <c r="Z22" t="n">
        <v>24176.271</v>
      </c>
      <c r="AA22" t="n">
        <v>24527.011</v>
      </c>
      <c r="AB22" t="n">
        <v>26854.288</v>
      </c>
      <c r="AC22" t="n">
        <v>25118.904</v>
      </c>
      <c r="AD22" t="n">
        <v>25018.247</v>
      </c>
      <c r="AE22" t="n">
        <v>25590.638</v>
      </c>
      <c r="AF22" t="n">
        <v>21874.41</v>
      </c>
      <c r="AG22" t="n">
        <v>23472.936</v>
      </c>
      <c r="AH22" t="n">
        <v>22231.907</v>
      </c>
      <c r="AI22" t="n">
        <v>22620.802</v>
      </c>
      <c r="AJ22" t="n">
        <v>23467.244</v>
      </c>
      <c r="AK22" t="n">
        <v>22831.588</v>
      </c>
      <c r="AL22" t="n">
        <v>21888.341</v>
      </c>
      <c r="AM22" t="n">
        <v>22711.186</v>
      </c>
      <c r="AN22" t="n">
        <v>19605.951</v>
      </c>
      <c r="AO22" t="n">
        <v>16318.067</v>
      </c>
      <c r="AP22" t="n">
        <v>12212.523</v>
      </c>
      <c r="AQ22" t="n">
        <v>10918.286</v>
      </c>
      <c r="AR22" t="n">
        <v>11324.08</v>
      </c>
      <c r="AS22" t="n">
        <v>11552.249</v>
      </c>
      <c r="AT22" t="n">
        <v>11241.016</v>
      </c>
      <c r="AU22" t="n">
        <v>11689.226</v>
      </c>
      <c r="AV22" t="n">
        <v>10914.819</v>
      </c>
      <c r="AW22" t="n">
        <v>9806.822</v>
      </c>
      <c r="AX22" t="n">
        <v>10936.135</v>
      </c>
      <c r="AY22" t="n">
        <v>12372.864</v>
      </c>
      <c r="AZ22" t="n">
        <v>11715.622</v>
      </c>
      <c r="BA22" t="n">
        <v>10902.461</v>
      </c>
      <c r="BB22" t="n">
        <v>10358.584</v>
      </c>
      <c r="BC22" t="n">
        <v>9889.473</v>
      </c>
      <c r="BD22" t="n">
        <v>9537.849</v>
      </c>
      <c r="BE22" t="n">
        <v>8868.314</v>
      </c>
      <c r="BF22" t="n">
        <v>9417.700999999999</v>
      </c>
      <c r="BG22" t="n">
        <v>8184.066</v>
      </c>
      <c r="BH22" t="n">
        <v>8119.22</v>
      </c>
      <c r="BI22" t="n">
        <v>8159.835</v>
      </c>
      <c r="BJ22" t="n">
        <v>8101.589</v>
      </c>
      <c r="BK22" t="n">
        <v>9373.74</v>
      </c>
      <c r="BL22" t="n">
        <v>9164.888000000001</v>
      </c>
      <c r="BM22" t="n">
        <v>9540.23</v>
      </c>
      <c r="BN22" t="n">
        <v>35718.674</v>
      </c>
      <c r="BO22" t="n">
        <v>7030.05</v>
      </c>
      <c r="BP22" t="n">
        <v>7000.323</v>
      </c>
      <c r="BQ22" t="n">
        <v>6856.893</v>
      </c>
      <c r="BR22" t="n">
        <v>6749.658</v>
      </c>
      <c r="BS22" t="n">
        <v>7010.522</v>
      </c>
      <c r="BT22" t="n">
        <v>7292.035</v>
      </c>
      <c r="BU22" t="n">
        <v>7113.416</v>
      </c>
      <c r="BV22" t="n">
        <v>7024.926</v>
      </c>
    </row>
    <row r="23">
      <c r="A23" t="inlineStr">
        <is>
          <t>Mallotus villosus</t>
        </is>
      </c>
      <c r="B23" t="inlineStr">
        <is>
          <t>Capelin</t>
        </is>
      </c>
      <c r="C23" t="inlineStr">
        <is>
          <t>Small pelagics (&lt;30 cm)</t>
        </is>
      </c>
      <c r="D23" t="inlineStr">
        <is>
          <t>Salmon, smelts, etc</t>
        </is>
      </c>
      <c r="E23" t="n">
        <v>3859.255</v>
      </c>
      <c r="F23" t="n">
        <v>4530.555</v>
      </c>
      <c r="G23" t="n">
        <v>4613.956</v>
      </c>
      <c r="H23" t="n">
        <v>4265.935</v>
      </c>
      <c r="I23" t="n">
        <v>3171.116</v>
      </c>
      <c r="J23" t="n">
        <v>3700.465</v>
      </c>
      <c r="K23" t="n">
        <v>6302.553</v>
      </c>
      <c r="L23" t="n">
        <v>8877.386</v>
      </c>
      <c r="M23" t="n">
        <v>9536.099</v>
      </c>
      <c r="N23" t="n">
        <v>8362.882</v>
      </c>
      <c r="O23" t="n">
        <v>5307.846</v>
      </c>
      <c r="P23" t="n">
        <v>5575.602</v>
      </c>
      <c r="Q23" t="n">
        <v>4965.493</v>
      </c>
      <c r="R23" t="n">
        <v>8187.466</v>
      </c>
      <c r="S23" t="n">
        <v>8969.602999999999</v>
      </c>
      <c r="T23" t="n">
        <v>8729.007</v>
      </c>
      <c r="U23" t="n">
        <v>9092.424999999999</v>
      </c>
      <c r="V23" t="n">
        <v>9443.397000000001</v>
      </c>
      <c r="W23" t="n">
        <v>14173.834</v>
      </c>
      <c r="X23" t="n">
        <v>10580.555</v>
      </c>
      <c r="Y23" t="n">
        <v>10218.366</v>
      </c>
      <c r="Z23" t="n">
        <v>11247.586</v>
      </c>
      <c r="AA23" t="n">
        <v>12118.808</v>
      </c>
      <c r="AB23" t="n">
        <v>16190</v>
      </c>
      <c r="AC23" t="n">
        <v>17012.281</v>
      </c>
      <c r="AD23" t="n">
        <v>14730.269</v>
      </c>
      <c r="AE23" t="n">
        <v>11264.087</v>
      </c>
      <c r="AF23" t="n">
        <v>15195.488</v>
      </c>
      <c r="AG23" t="n">
        <v>14794.534</v>
      </c>
      <c r="AH23" t="n">
        <v>20236.643</v>
      </c>
      <c r="AI23" t="n">
        <v>17151.33</v>
      </c>
      <c r="AJ23" t="n">
        <v>23455.699</v>
      </c>
      <c r="AK23" t="n">
        <v>22377.251</v>
      </c>
      <c r="AL23" t="n">
        <v>22954.481</v>
      </c>
      <c r="AM23" t="n">
        <v>66169.523</v>
      </c>
      <c r="AN23" t="n">
        <v>58865.504</v>
      </c>
      <c r="AO23" t="n">
        <v>61557.127</v>
      </c>
      <c r="AP23" t="n">
        <v>47695.96</v>
      </c>
      <c r="AQ23" t="n">
        <v>27302.13</v>
      </c>
      <c r="AR23" t="n">
        <v>27893.996</v>
      </c>
      <c r="AS23" t="n">
        <v>27821.592</v>
      </c>
      <c r="AT23" t="n">
        <v>23860.703</v>
      </c>
      <c r="AU23" t="n">
        <v>10312.045</v>
      </c>
      <c r="AV23" t="n">
        <v>5381.019</v>
      </c>
      <c r="AW23" t="n">
        <v>3397.972</v>
      </c>
      <c r="AX23" t="n">
        <v>4486.813</v>
      </c>
      <c r="AY23" t="n">
        <v>6932.945</v>
      </c>
      <c r="AZ23" t="n">
        <v>12319.131</v>
      </c>
      <c r="BA23" t="n">
        <v>15708.849</v>
      </c>
      <c r="BB23" t="n">
        <v>13969.084</v>
      </c>
      <c r="BC23" t="n">
        <v>14338.001</v>
      </c>
      <c r="BD23" t="n">
        <v>13102.489</v>
      </c>
      <c r="BE23" t="n">
        <v>13061.963</v>
      </c>
      <c r="BF23" t="n">
        <v>10742.962</v>
      </c>
      <c r="BG23" t="n">
        <v>11277.611</v>
      </c>
      <c r="BH23" t="n">
        <v>11667.492</v>
      </c>
      <c r="BI23" t="n">
        <v>12200.324</v>
      </c>
      <c r="BJ23" t="n">
        <v>12332.796</v>
      </c>
      <c r="BK23" t="n">
        <v>9461.433000000001</v>
      </c>
      <c r="BL23" t="n">
        <v>9250.546</v>
      </c>
      <c r="BM23" t="n">
        <v>10456.557</v>
      </c>
      <c r="BN23" t="n">
        <v>11492.594</v>
      </c>
      <c r="BO23" t="n">
        <v>13667.846</v>
      </c>
      <c r="BP23" t="n">
        <v>12594.823</v>
      </c>
      <c r="BQ23" t="n">
        <v>14464.18</v>
      </c>
      <c r="BR23" t="n">
        <v>14329.549</v>
      </c>
      <c r="BS23" t="n">
        <v>21905.776</v>
      </c>
      <c r="BT23" t="n">
        <v>24598.88</v>
      </c>
      <c r="BU23" t="n">
        <v>27576.42</v>
      </c>
      <c r="BV23" t="n">
        <v>23982.413</v>
      </c>
    </row>
    <row r="24">
      <c r="A24" t="inlineStr">
        <is>
          <t>Miscellaneous marine crustaceans</t>
        </is>
      </c>
      <c r="B24" t="inlineStr">
        <is>
          <t>Marine crabs, shrimps, lobsters nei</t>
        </is>
      </c>
      <c r="C24" t="inlineStr">
        <is>
          <t>Shrimps</t>
        </is>
      </c>
      <c r="D24" t="inlineStr">
        <is>
          <t>Crustaceans</t>
        </is>
      </c>
      <c r="E24" t="n">
        <v>45.445</v>
      </c>
      <c r="F24" t="n">
        <v>54.533</v>
      </c>
      <c r="G24" t="n">
        <v>68.167</v>
      </c>
      <c r="H24" t="n">
        <v>136.334</v>
      </c>
      <c r="I24" t="n">
        <v>127.245</v>
      </c>
      <c r="J24" t="n">
        <v>145.423</v>
      </c>
      <c r="K24" t="n">
        <v>136.334</v>
      </c>
      <c r="L24" t="n">
        <v>253.999</v>
      </c>
      <c r="M24" t="n">
        <v>382.715</v>
      </c>
      <c r="N24" t="n">
        <v>504.658</v>
      </c>
      <c r="O24" t="n">
        <v>563.097</v>
      </c>
      <c r="P24" t="n">
        <v>706.47</v>
      </c>
      <c r="Q24" t="n">
        <v>867.614</v>
      </c>
      <c r="R24" t="n">
        <v>967.4059999999999</v>
      </c>
      <c r="S24" t="n">
        <v>1094.743</v>
      </c>
      <c r="T24" t="n">
        <v>1306.301</v>
      </c>
      <c r="U24" t="n">
        <v>1449.383</v>
      </c>
      <c r="V24" t="n">
        <v>1601.633</v>
      </c>
      <c r="W24" t="n">
        <v>1829.553</v>
      </c>
      <c r="X24" t="n">
        <v>1996.845</v>
      </c>
      <c r="Y24" t="n">
        <v>1870.091</v>
      </c>
      <c r="Z24" t="n">
        <v>2003.904</v>
      </c>
      <c r="AA24" t="n">
        <v>3938.696</v>
      </c>
      <c r="AB24" t="n">
        <v>7011.739</v>
      </c>
      <c r="AC24" t="n">
        <v>8541.636</v>
      </c>
      <c r="AD24" t="n">
        <v>6928.531</v>
      </c>
      <c r="AE24" t="n">
        <v>6644.957</v>
      </c>
      <c r="AF24" t="n">
        <v>417.46</v>
      </c>
      <c r="AG24" t="n">
        <v>305.809</v>
      </c>
      <c r="AH24" t="n">
        <v>70.003</v>
      </c>
      <c r="AI24" t="n">
        <v>22.479</v>
      </c>
      <c r="AJ24" t="n">
        <v>47.729</v>
      </c>
      <c r="AK24" t="n">
        <v>57.275</v>
      </c>
      <c r="AL24" t="n">
        <v>91.42700000000001</v>
      </c>
      <c r="AM24" t="n">
        <v>119.801</v>
      </c>
      <c r="AN24" t="n">
        <v>4923.925</v>
      </c>
      <c r="AO24" t="n">
        <v>11119.03</v>
      </c>
      <c r="AP24" t="n">
        <v>12659.29</v>
      </c>
      <c r="AQ24" t="n">
        <v>13053.372</v>
      </c>
      <c r="AR24" t="n">
        <v>34143.324</v>
      </c>
      <c r="AS24" t="n">
        <v>26155.193</v>
      </c>
      <c r="AT24" t="n">
        <v>35491.296</v>
      </c>
      <c r="AU24" t="n">
        <v>35010.48</v>
      </c>
      <c r="AV24" t="n">
        <v>68226.777</v>
      </c>
      <c r="AW24" t="n">
        <v>62469.641</v>
      </c>
      <c r="AX24" t="n">
        <v>68659.698</v>
      </c>
      <c r="AY24" t="n">
        <v>82707.469</v>
      </c>
      <c r="AZ24" t="n">
        <v>34374.887</v>
      </c>
      <c r="BA24" t="n">
        <v>43014.623</v>
      </c>
      <c r="BB24" t="n">
        <v>56155.777</v>
      </c>
      <c r="BC24" t="n">
        <v>61315.915</v>
      </c>
      <c r="BD24" t="n">
        <v>48864.046</v>
      </c>
      <c r="BE24" t="n">
        <v>47882.94</v>
      </c>
      <c r="BF24" t="n">
        <v>141.385</v>
      </c>
      <c r="BG24" t="n">
        <v>103.452</v>
      </c>
      <c r="BH24" t="n">
        <v>113.798</v>
      </c>
      <c r="BI24" t="n">
        <v>127.591</v>
      </c>
      <c r="BJ24" t="n">
        <v>141.385</v>
      </c>
      <c r="BK24" t="n">
        <v>151.73</v>
      </c>
      <c r="BL24" t="n">
        <v>172.421</v>
      </c>
      <c r="BM24" t="n">
        <v>155.179</v>
      </c>
      <c r="BN24" t="n">
        <v>156.246</v>
      </c>
      <c r="BO24" t="n">
        <v>151.953</v>
      </c>
      <c r="BP24" t="n">
        <v>151.41</v>
      </c>
      <c r="BQ24" t="n">
        <v>27767.328</v>
      </c>
      <c r="BR24" t="n">
        <v>24714.932</v>
      </c>
      <c r="BS24" t="n">
        <v>22031.406</v>
      </c>
      <c r="BT24" t="n">
        <v>21101.786</v>
      </c>
      <c r="BU24" t="n">
        <v>20518.547</v>
      </c>
      <c r="BV24" t="n">
        <v>19649.504</v>
      </c>
    </row>
    <row r="25">
      <c r="A25" t="inlineStr">
        <is>
          <t>Scomber japonicus</t>
        </is>
      </c>
      <c r="B25" t="inlineStr">
        <is>
          <t>Pacific chub mackerel</t>
        </is>
      </c>
      <c r="C25" t="inlineStr">
        <is>
          <t>Medium pelagics (30 - 89 cm)</t>
        </is>
      </c>
      <c r="D25" t="inlineStr">
        <is>
          <t>Perch-likes</t>
        </is>
      </c>
      <c r="E25" t="n">
        <v>218.233</v>
      </c>
      <c r="F25" t="n">
        <v>694.029</v>
      </c>
      <c r="G25" t="n">
        <v>784.521</v>
      </c>
      <c r="H25" t="n">
        <v>1930.894</v>
      </c>
      <c r="I25" t="n">
        <v>199.889</v>
      </c>
      <c r="J25" t="n">
        <v>225.064</v>
      </c>
      <c r="K25" t="n">
        <v>64.925</v>
      </c>
      <c r="L25" t="n">
        <v>49.917</v>
      </c>
      <c r="M25" t="n">
        <v>55.02</v>
      </c>
      <c r="N25" t="n">
        <v>70.52500000000001</v>
      </c>
      <c r="O25" t="n">
        <v>78.45999999999999</v>
      </c>
      <c r="P25" t="n">
        <v>82.967</v>
      </c>
      <c r="Q25" t="n">
        <v>90.023</v>
      </c>
      <c r="R25" t="n">
        <v>116.74</v>
      </c>
      <c r="S25" t="n">
        <v>151.553</v>
      </c>
      <c r="T25" t="n">
        <v>166.968</v>
      </c>
      <c r="U25" t="n">
        <v>163.065</v>
      </c>
      <c r="V25" t="n">
        <v>247.565</v>
      </c>
      <c r="W25" t="n">
        <v>482.047</v>
      </c>
      <c r="X25" t="n">
        <v>509.926</v>
      </c>
      <c r="Y25" t="n">
        <v>923.184</v>
      </c>
      <c r="Z25" t="n">
        <v>12026.244</v>
      </c>
      <c r="AA25" t="n">
        <v>28410.384</v>
      </c>
      <c r="AB25" t="n">
        <v>44904.958</v>
      </c>
      <c r="AC25" t="n">
        <v>56797.013</v>
      </c>
      <c r="AD25" t="n">
        <v>38246.119</v>
      </c>
      <c r="AE25" t="n">
        <v>49677.489</v>
      </c>
      <c r="AF25" t="n">
        <v>33847.583</v>
      </c>
      <c r="AG25" t="n">
        <v>52021.398</v>
      </c>
      <c r="AH25" t="n">
        <v>43149.6</v>
      </c>
      <c r="AI25" t="n">
        <v>51926.726</v>
      </c>
      <c r="AJ25" t="n">
        <v>57933.267</v>
      </c>
      <c r="AK25" t="n">
        <v>54352.769</v>
      </c>
      <c r="AL25" t="n">
        <v>23753.856</v>
      </c>
      <c r="AM25" t="n">
        <v>60106.362</v>
      </c>
      <c r="AN25" t="n">
        <v>58550.721</v>
      </c>
      <c r="AO25" t="n">
        <v>61785.415</v>
      </c>
      <c r="AP25" t="n">
        <v>22735.883</v>
      </c>
      <c r="AQ25" t="n">
        <v>1654.98</v>
      </c>
      <c r="AR25" t="n">
        <v>1629.034</v>
      </c>
      <c r="AS25" t="n">
        <v>959.559</v>
      </c>
      <c r="AT25" t="n">
        <v>1209.372</v>
      </c>
      <c r="AU25" t="n">
        <v>1146.547</v>
      </c>
      <c r="AV25" t="n">
        <v>1484.746</v>
      </c>
      <c r="AW25" t="n">
        <v>1631.902</v>
      </c>
      <c r="AX25" t="n">
        <v>1797.449</v>
      </c>
      <c r="AY25" t="n">
        <v>5820.902</v>
      </c>
      <c r="AZ25" t="n">
        <v>1529.615</v>
      </c>
      <c r="BA25" t="n">
        <v>1352.078</v>
      </c>
      <c r="BB25" t="n">
        <v>2038.108</v>
      </c>
      <c r="BC25" t="n">
        <v>1810.491</v>
      </c>
      <c r="BD25" t="n">
        <v>1568.829</v>
      </c>
      <c r="BE25" t="n">
        <v>1741.076</v>
      </c>
      <c r="BF25" t="n">
        <v>1866.596</v>
      </c>
      <c r="BG25" t="n">
        <v>1969.036</v>
      </c>
      <c r="BH25" t="n">
        <v>2197.95</v>
      </c>
      <c r="BI25" t="n">
        <v>2161.709</v>
      </c>
      <c r="BJ25" t="n">
        <v>1878.934</v>
      </c>
      <c r="BK25" t="n">
        <v>3302.445</v>
      </c>
      <c r="BL25" t="n">
        <v>2255.04</v>
      </c>
      <c r="BM25" t="n">
        <v>2709.117</v>
      </c>
      <c r="BN25" t="n">
        <v>3320.084</v>
      </c>
      <c r="BO25" t="n">
        <v>2559.894</v>
      </c>
      <c r="BP25" t="n">
        <v>2614.907</v>
      </c>
      <c r="BQ25" t="n">
        <v>2468.454</v>
      </c>
      <c r="BR25" t="n">
        <v>2527.391</v>
      </c>
      <c r="BS25" t="n">
        <v>4900.399</v>
      </c>
      <c r="BT25" t="n">
        <v>14485.398</v>
      </c>
      <c r="BU25" t="n">
        <v>23794.453</v>
      </c>
      <c r="BV25" t="n">
        <v>23113.347</v>
      </c>
    </row>
    <row r="26">
      <c r="A26" t="inlineStr">
        <is>
          <t>Pectinidae</t>
        </is>
      </c>
      <c r="B26" t="inlineStr">
        <is>
          <t>Scallops</t>
        </is>
      </c>
      <c r="C26" t="inlineStr">
        <is>
          <t>Other demersal invertebrates</t>
        </is>
      </c>
      <c r="D26" t="inlineStr">
        <is>
          <t>Molluscs</t>
        </is>
      </c>
      <c r="E26" t="n">
        <v>2421.126</v>
      </c>
      <c r="F26" t="n">
        <v>2421.133</v>
      </c>
      <c r="G26" t="n">
        <v>2421.143</v>
      </c>
      <c r="H26" t="n">
        <v>1872.734</v>
      </c>
      <c r="I26" t="n">
        <v>2316.697</v>
      </c>
      <c r="J26" t="n">
        <v>2366.155</v>
      </c>
      <c r="K26" t="n">
        <v>2511.733</v>
      </c>
      <c r="L26" t="n">
        <v>2966.454</v>
      </c>
      <c r="M26" t="n">
        <v>3519.136</v>
      </c>
      <c r="N26" t="n">
        <v>3524.245</v>
      </c>
      <c r="O26" t="n">
        <v>2952.204</v>
      </c>
      <c r="P26" t="n">
        <v>2815.487</v>
      </c>
      <c r="Q26" t="n">
        <v>2703.896</v>
      </c>
      <c r="R26" t="n">
        <v>2652.069</v>
      </c>
      <c r="S26" t="n">
        <v>2771.426</v>
      </c>
      <c r="T26" t="n">
        <v>2953.237</v>
      </c>
      <c r="U26" t="n">
        <v>3202.126</v>
      </c>
      <c r="V26" t="n">
        <v>3250.748</v>
      </c>
      <c r="W26" t="n">
        <v>2976.471</v>
      </c>
      <c r="X26" t="n">
        <v>3534.144</v>
      </c>
      <c r="Y26" t="n">
        <v>3400.418</v>
      </c>
      <c r="Z26" t="n">
        <v>3524.967</v>
      </c>
      <c r="AA26" t="n">
        <v>4611.708</v>
      </c>
      <c r="AB26" t="n">
        <v>3855.197</v>
      </c>
      <c r="AC26" t="n">
        <v>4350.814</v>
      </c>
      <c r="AD26" t="n">
        <v>4557.734</v>
      </c>
      <c r="AE26" t="n">
        <v>4566.469</v>
      </c>
      <c r="AF26" t="n">
        <v>5620.861</v>
      </c>
      <c r="AG26" t="n">
        <v>6598.887</v>
      </c>
      <c r="AH26" t="n">
        <v>7788.261</v>
      </c>
      <c r="AI26" t="n">
        <v>7846.634</v>
      </c>
      <c r="AJ26" t="n">
        <v>8675.673000000001</v>
      </c>
      <c r="AK26" t="n">
        <v>9040.959000000001</v>
      </c>
      <c r="AL26" t="n">
        <v>10639.414</v>
      </c>
      <c r="AM26" t="n">
        <v>11114.507</v>
      </c>
      <c r="AN26" t="n">
        <v>9967.625</v>
      </c>
      <c r="AO26" t="n">
        <v>9411.894</v>
      </c>
      <c r="AP26" t="n">
        <v>11470.833</v>
      </c>
      <c r="AQ26" t="n">
        <v>12386.448</v>
      </c>
      <c r="AR26" t="n">
        <v>14100.836</v>
      </c>
      <c r="AS26" t="n">
        <v>16542.565</v>
      </c>
      <c r="AT26" t="n">
        <v>13395.738</v>
      </c>
      <c r="AU26" t="n">
        <v>14125.664</v>
      </c>
      <c r="AV26" t="n">
        <v>15907.836</v>
      </c>
      <c r="AW26" t="n">
        <v>18753.005</v>
      </c>
      <c r="AX26" t="n">
        <v>19101.486</v>
      </c>
      <c r="AY26" t="n">
        <v>18869.365</v>
      </c>
      <c r="AZ26" t="n">
        <v>18106.308</v>
      </c>
      <c r="BA26" t="n">
        <v>19725.187</v>
      </c>
      <c r="BB26" t="n">
        <v>19504.886</v>
      </c>
      <c r="BC26" t="n">
        <v>19722.294</v>
      </c>
      <c r="BD26" t="n">
        <v>18841.098</v>
      </c>
      <c r="BE26" t="n">
        <v>19831.249</v>
      </c>
      <c r="BF26" t="n">
        <v>19836.066</v>
      </c>
      <c r="BG26" t="n">
        <v>18253.057</v>
      </c>
      <c r="BH26" t="n">
        <v>16823.827</v>
      </c>
      <c r="BI26" t="n">
        <v>15908.045</v>
      </c>
      <c r="BJ26" t="n">
        <v>15146.642</v>
      </c>
      <c r="BK26" t="n">
        <v>17793.137</v>
      </c>
      <c r="BL26" t="n">
        <v>18093.132</v>
      </c>
      <c r="BM26" t="n">
        <v>18449.123</v>
      </c>
      <c r="BN26" t="n">
        <v>17415.749</v>
      </c>
      <c r="BO26" t="n">
        <v>17953.972</v>
      </c>
      <c r="BP26" t="n">
        <v>18738.813</v>
      </c>
      <c r="BQ26" t="n">
        <v>18959.47</v>
      </c>
      <c r="BR26" t="n">
        <v>13727.834</v>
      </c>
      <c r="BS26" t="n">
        <v>12880.291</v>
      </c>
      <c r="BT26" t="n">
        <v>13729.615</v>
      </c>
      <c r="BU26" t="n">
        <v>16762.17</v>
      </c>
      <c r="BV26" t="n">
        <v>18212.897</v>
      </c>
    </row>
    <row r="27">
      <c r="A27" t="inlineStr">
        <is>
          <t>Moridae</t>
        </is>
      </c>
      <c r="B27" t="inlineStr">
        <is>
          <t>Codlings, moras</t>
        </is>
      </c>
      <c r="C27" t="inlineStr">
        <is>
          <t>Medium benthopelagics (30 - 89 cm)</t>
        </is>
      </c>
      <c r="D27" t="inlineStr">
        <is>
          <t>Cod-likes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28000.972</v>
      </c>
      <c r="AG27" t="n">
        <v>30256.003</v>
      </c>
      <c r="AH27" t="n">
        <v>39640.87</v>
      </c>
      <c r="AI27" t="n">
        <v>31466.658</v>
      </c>
      <c r="AJ27" t="n">
        <v>18880.322</v>
      </c>
      <c r="AK27" t="n">
        <v>12402.491</v>
      </c>
      <c r="AL27" t="n">
        <v>11867.924</v>
      </c>
      <c r="AM27" t="n">
        <v>1298.458</v>
      </c>
      <c r="AN27" t="n">
        <v>6751.18</v>
      </c>
      <c r="AO27" t="n">
        <v>27933.247</v>
      </c>
      <c r="AP27" t="n">
        <v>14389.187</v>
      </c>
      <c r="AQ27" t="n">
        <v>13059.112</v>
      </c>
      <c r="AR27" t="n">
        <v>6743.927</v>
      </c>
      <c r="AS27" t="n">
        <v>6453.202</v>
      </c>
      <c r="AT27" t="n">
        <v>13288.989</v>
      </c>
      <c r="AU27" t="n">
        <v>6425.129</v>
      </c>
      <c r="AV27" t="n">
        <v>6457.894</v>
      </c>
      <c r="AW27" t="n">
        <v>11036.997</v>
      </c>
      <c r="AX27" t="n">
        <v>3003.188</v>
      </c>
      <c r="AY27" t="n">
        <v>0</v>
      </c>
      <c r="AZ27" t="n">
        <v>121.47</v>
      </c>
      <c r="BA27" t="n">
        <v>8882.501</v>
      </c>
      <c r="BB27" t="n">
        <v>25009.255</v>
      </c>
      <c r="BC27" t="n">
        <v>31419.201</v>
      </c>
      <c r="BD27" t="n">
        <v>25885.918</v>
      </c>
      <c r="BE27" t="n">
        <v>23433.341</v>
      </c>
      <c r="BF27" t="n">
        <v>21965.311</v>
      </c>
      <c r="BG27" t="n">
        <v>20483.695</v>
      </c>
      <c r="BH27" t="n">
        <v>21849.435</v>
      </c>
      <c r="BI27" t="n">
        <v>22029.242</v>
      </c>
      <c r="BJ27" t="n">
        <v>20934.413</v>
      </c>
      <c r="BK27" t="n">
        <v>16238.635</v>
      </c>
      <c r="BL27" t="n">
        <v>13512.75</v>
      </c>
      <c r="BM27" t="n">
        <v>13975.455</v>
      </c>
      <c r="BN27" t="n">
        <v>7132.68</v>
      </c>
      <c r="BO27" t="n">
        <v>9804.898999999999</v>
      </c>
      <c r="BP27" t="n">
        <v>9716.379000000001</v>
      </c>
      <c r="BQ27" t="n">
        <v>14060.041</v>
      </c>
      <c r="BR27" t="n">
        <v>13714.933</v>
      </c>
      <c r="BS27" t="n">
        <v>11148.878</v>
      </c>
      <c r="BT27" t="n">
        <v>9306.540000000001</v>
      </c>
      <c r="BU27" t="n">
        <v>6681.04</v>
      </c>
      <c r="BV27" t="n">
        <v>4795.057</v>
      </c>
    </row>
    <row r="28">
      <c r="A28" t="inlineStr">
        <is>
          <t>Engraulis japonicus</t>
        </is>
      </c>
      <c r="B28" t="inlineStr">
        <is>
          <t>Japanese anchovy</t>
        </is>
      </c>
      <c r="C28" t="inlineStr">
        <is>
          <t>Small pelagics (&lt;30 cm)</t>
        </is>
      </c>
      <c r="D28" t="inlineStr">
        <is>
          <t>Anchovies</t>
        </is>
      </c>
      <c r="E28" t="n">
        <v>4541.33</v>
      </c>
      <c r="F28" t="n">
        <v>4541.33</v>
      </c>
      <c r="G28" t="n">
        <v>4541.33</v>
      </c>
      <c r="H28" t="n">
        <v>4314.655</v>
      </c>
      <c r="I28" t="n">
        <v>5386.856</v>
      </c>
      <c r="J28" t="n">
        <v>4409.593</v>
      </c>
      <c r="K28" t="n">
        <v>6490.475</v>
      </c>
      <c r="L28" t="n">
        <v>7962.769</v>
      </c>
      <c r="M28" t="n">
        <v>7697.971</v>
      </c>
      <c r="N28" t="n">
        <v>6475.598</v>
      </c>
      <c r="O28" t="n">
        <v>6458.066</v>
      </c>
      <c r="P28" t="n">
        <v>6709.787</v>
      </c>
      <c r="Q28" t="n">
        <v>6483.048</v>
      </c>
      <c r="R28" t="n">
        <v>5889.701</v>
      </c>
      <c r="S28" t="n">
        <v>5431.818</v>
      </c>
      <c r="T28" t="n">
        <v>7390.013</v>
      </c>
      <c r="U28" t="n">
        <v>7522.994</v>
      </c>
      <c r="V28" t="n">
        <v>6874.896</v>
      </c>
      <c r="W28" t="n">
        <v>6622.312</v>
      </c>
      <c r="X28" t="n">
        <v>6916.084</v>
      </c>
      <c r="Y28" t="n">
        <v>6590.528</v>
      </c>
      <c r="Z28" t="n">
        <v>6258.251</v>
      </c>
      <c r="AA28" t="n">
        <v>6570.544</v>
      </c>
      <c r="AB28" t="n">
        <v>5983.935</v>
      </c>
      <c r="AC28" t="n">
        <v>5101.231</v>
      </c>
      <c r="AD28" t="n">
        <v>4431.199</v>
      </c>
      <c r="AE28" t="n">
        <v>3981.423</v>
      </c>
      <c r="AF28" t="n">
        <v>4520.093</v>
      </c>
      <c r="AG28" t="n">
        <v>2881.867</v>
      </c>
      <c r="AH28" t="n">
        <v>2563.65</v>
      </c>
      <c r="AI28" t="n">
        <v>2967.284</v>
      </c>
      <c r="AJ28" t="n">
        <v>3092.716</v>
      </c>
      <c r="AK28" t="n">
        <v>3714.029</v>
      </c>
      <c r="AL28" t="n">
        <v>3903.254</v>
      </c>
      <c r="AM28" t="n">
        <v>4305.834</v>
      </c>
      <c r="AN28" t="n">
        <v>4078.366</v>
      </c>
      <c r="AO28" t="n">
        <v>4281.61</v>
      </c>
      <c r="AP28" t="n">
        <v>2912.74</v>
      </c>
      <c r="AQ28" t="n">
        <v>3382.806</v>
      </c>
      <c r="AR28" t="n">
        <v>3597.563</v>
      </c>
      <c r="AS28" t="n">
        <v>6222.064</v>
      </c>
      <c r="AT28" t="n">
        <v>7496.609</v>
      </c>
      <c r="AU28" t="n">
        <v>8246.565000000001</v>
      </c>
      <c r="AV28" t="n">
        <v>13068.029</v>
      </c>
      <c r="AW28" t="n">
        <v>10245.488</v>
      </c>
      <c r="AX28" t="n">
        <v>12097.992</v>
      </c>
      <c r="AY28" t="n">
        <v>26620.928</v>
      </c>
      <c r="AZ28" t="n">
        <v>9585.762000000001</v>
      </c>
      <c r="BA28" t="n">
        <v>14589.658</v>
      </c>
      <c r="BB28" t="n">
        <v>15916.583</v>
      </c>
      <c r="BC28" t="n">
        <v>14570.54</v>
      </c>
      <c r="BD28" t="n">
        <v>12304.581</v>
      </c>
      <c r="BE28" t="n">
        <v>14504.196</v>
      </c>
      <c r="BF28" t="n">
        <v>15192.52</v>
      </c>
      <c r="BG28" t="n">
        <v>13937.8</v>
      </c>
      <c r="BH28" t="n">
        <v>11778.733</v>
      </c>
      <c r="BI28" t="n">
        <v>12704.529</v>
      </c>
      <c r="BJ28" t="n">
        <v>11519.638</v>
      </c>
      <c r="BK28" t="n">
        <v>10667.654</v>
      </c>
      <c r="BL28" t="n">
        <v>9485.496999999999</v>
      </c>
      <c r="BM28" t="n">
        <v>10352.542</v>
      </c>
      <c r="BN28" t="n">
        <v>10330.273</v>
      </c>
      <c r="BO28" t="n">
        <v>9169.253000000001</v>
      </c>
      <c r="BP28" t="n">
        <v>9208.275</v>
      </c>
      <c r="BQ28" t="n">
        <v>9853.453</v>
      </c>
      <c r="BR28" t="n">
        <v>8325.875</v>
      </c>
      <c r="BS28" t="n">
        <v>7617.852</v>
      </c>
      <c r="BT28" t="n">
        <v>6557.856</v>
      </c>
      <c r="BU28" t="n">
        <v>5746.981</v>
      </c>
      <c r="BV28" t="n">
        <v>10377.761</v>
      </c>
    </row>
    <row r="29">
      <c r="A29" t="inlineStr">
        <is>
          <t>Laemonema longipes</t>
        </is>
      </c>
      <c r="B29" t="inlineStr">
        <is>
          <t>Longfin codling</t>
        </is>
      </c>
      <c r="C29" t="inlineStr">
        <is>
          <t>Medium benthopelagics (30 - 89 cm)</t>
        </is>
      </c>
      <c r="D29" t="inlineStr">
        <is>
          <t>Cod-likes</t>
        </is>
      </c>
      <c r="E29" t="n">
        <v>3117.176</v>
      </c>
      <c r="F29" t="n">
        <v>3665.369</v>
      </c>
      <c r="G29" t="n">
        <v>3740.611</v>
      </c>
      <c r="H29" t="n">
        <v>3439.642</v>
      </c>
      <c r="I29" t="n">
        <v>2439.996</v>
      </c>
      <c r="J29" t="n">
        <v>2654.974</v>
      </c>
      <c r="K29" t="n">
        <v>2859.203</v>
      </c>
      <c r="L29" t="n">
        <v>5417.437</v>
      </c>
      <c r="M29" t="n">
        <v>6073.119</v>
      </c>
      <c r="N29" t="n">
        <v>4364.046</v>
      </c>
      <c r="O29" t="n">
        <v>3181.669</v>
      </c>
      <c r="P29" t="n">
        <v>4697.262</v>
      </c>
      <c r="Q29" t="n">
        <v>4998.23</v>
      </c>
      <c r="R29" t="n">
        <v>7470.473</v>
      </c>
      <c r="S29" t="n">
        <v>8007.917</v>
      </c>
      <c r="T29" t="n">
        <v>6599.814</v>
      </c>
      <c r="U29" t="n">
        <v>6653.558</v>
      </c>
      <c r="V29" t="n">
        <v>7169.505</v>
      </c>
      <c r="W29" t="n">
        <v>8846.33</v>
      </c>
      <c r="X29" t="n">
        <v>8749.59</v>
      </c>
      <c r="Y29" t="n">
        <v>7878.931</v>
      </c>
      <c r="Z29" t="n">
        <v>7169.505</v>
      </c>
      <c r="AA29" t="n">
        <v>8115.406</v>
      </c>
      <c r="AB29" t="n">
        <v>10426.416</v>
      </c>
      <c r="AC29" t="n">
        <v>10641.394</v>
      </c>
      <c r="AD29" t="n">
        <v>10082.452</v>
      </c>
      <c r="AE29" t="n">
        <v>8115.406</v>
      </c>
      <c r="AF29" t="n">
        <v>8771.088</v>
      </c>
      <c r="AG29" t="n">
        <v>11456.374</v>
      </c>
      <c r="AH29" t="n">
        <v>13905.722</v>
      </c>
      <c r="AI29" t="n">
        <v>12975.191</v>
      </c>
      <c r="AJ29" t="n">
        <v>15274.162</v>
      </c>
      <c r="AK29" t="n">
        <v>17348.696</v>
      </c>
      <c r="AL29" t="n">
        <v>15521.386</v>
      </c>
      <c r="AM29" t="n">
        <v>23464.81</v>
      </c>
      <c r="AN29" t="n">
        <v>22798.38</v>
      </c>
      <c r="AO29" t="n">
        <v>23970.008</v>
      </c>
      <c r="AP29" t="n">
        <v>21282.787</v>
      </c>
      <c r="AQ29" t="n">
        <v>19971.424</v>
      </c>
      <c r="AR29" t="n">
        <v>19401.733</v>
      </c>
      <c r="AS29" t="n">
        <v>19390.984</v>
      </c>
      <c r="AT29" t="n">
        <v>14779.713</v>
      </c>
      <c r="AU29" t="n">
        <v>6040.872</v>
      </c>
      <c r="AV29" t="n">
        <v>9953.465</v>
      </c>
      <c r="AW29" t="n">
        <v>5868.89</v>
      </c>
      <c r="AX29" t="n">
        <v>5868.89</v>
      </c>
      <c r="AY29" t="n">
        <v>5868.89</v>
      </c>
      <c r="AZ29" t="n">
        <v>5868.89</v>
      </c>
      <c r="BA29" t="n">
        <v>5578.67</v>
      </c>
      <c r="BB29" t="n">
        <v>4761.755</v>
      </c>
      <c r="BC29" t="n">
        <v>3934.091</v>
      </c>
      <c r="BD29" t="n">
        <v>3106.427</v>
      </c>
      <c r="BE29" t="n">
        <v>3256.911</v>
      </c>
      <c r="BF29" t="n">
        <v>3299.907</v>
      </c>
      <c r="BG29" t="n">
        <v>3321.405</v>
      </c>
      <c r="BH29" t="n">
        <v>2977.44</v>
      </c>
      <c r="BI29" t="n">
        <v>2998.938</v>
      </c>
      <c r="BJ29" t="n">
        <v>3031.185</v>
      </c>
      <c r="BK29" t="n">
        <v>3095.678</v>
      </c>
      <c r="BL29" t="n">
        <v>3084.929</v>
      </c>
      <c r="BM29" t="n">
        <v>3106.427</v>
      </c>
      <c r="BN29" t="n">
        <v>1726.797</v>
      </c>
      <c r="BO29" t="n">
        <v>2348.996</v>
      </c>
      <c r="BP29" t="n">
        <v>2312.816</v>
      </c>
      <c r="BQ29" t="n">
        <v>3299.541</v>
      </c>
      <c r="BR29" t="n">
        <v>3474.426</v>
      </c>
      <c r="BS29" t="n">
        <v>3649.203</v>
      </c>
      <c r="BT29" t="n">
        <v>3045.947</v>
      </c>
      <c r="BU29" t="n">
        <v>2186.254</v>
      </c>
      <c r="BV29" t="n">
        <v>1568.707</v>
      </c>
    </row>
    <row r="30">
      <c r="A30" t="inlineStr">
        <is>
          <t>Chionoecetes</t>
        </is>
      </c>
      <c r="B30" t="inlineStr">
        <is>
          <t>Tanner, snow crabs</t>
        </is>
      </c>
      <c r="C30" t="inlineStr">
        <is>
          <t>Lobsters, crabs</t>
        </is>
      </c>
      <c r="D30" t="inlineStr">
        <is>
          <t>Crustaceans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12633.729</v>
      </c>
      <c r="AZ30" t="n">
        <v>15043.51</v>
      </c>
      <c r="BA30" t="n">
        <v>11567.833</v>
      </c>
      <c r="BB30" t="n">
        <v>11782.011</v>
      </c>
      <c r="BC30" t="n">
        <v>12122.698</v>
      </c>
      <c r="BD30" t="n">
        <v>13590.317</v>
      </c>
      <c r="BE30" t="n">
        <v>13183.046</v>
      </c>
      <c r="BF30" t="n">
        <v>15357.785</v>
      </c>
      <c r="BG30" t="n">
        <v>13941.468</v>
      </c>
      <c r="BH30" t="n">
        <v>11531.371</v>
      </c>
      <c r="BI30" t="n">
        <v>16794.953</v>
      </c>
      <c r="BJ30" t="n">
        <v>23847.23</v>
      </c>
      <c r="BK30" t="n">
        <v>23942.804</v>
      </c>
      <c r="BL30" t="n">
        <v>23636.128</v>
      </c>
      <c r="BM30" t="n">
        <v>28152.995</v>
      </c>
      <c r="BN30" t="n">
        <v>29673.708</v>
      </c>
      <c r="BO30" t="n">
        <v>32410.283</v>
      </c>
      <c r="BP30" t="n">
        <v>29373.801</v>
      </c>
      <c r="BQ30" t="n">
        <v>32249.227</v>
      </c>
      <c r="BR30" t="n">
        <v>23139.185</v>
      </c>
      <c r="BS30" t="n">
        <v>26429.481</v>
      </c>
      <c r="BT30" t="n">
        <v>30272.434</v>
      </c>
      <c r="BU30" t="n">
        <v>32186.368</v>
      </c>
      <c r="BV30" t="n">
        <v>30271.931</v>
      </c>
    </row>
    <row r="31">
      <c r="A31" t="inlineStr">
        <is>
          <t>Oncorhynchus kisutch</t>
        </is>
      </c>
      <c r="B31" t="inlineStr">
        <is>
          <t>Coho salmon</t>
        </is>
      </c>
      <c r="C31" t="inlineStr">
        <is>
          <t>Large demersals (&gt;=90 cm)</t>
        </is>
      </c>
      <c r="D31" t="inlineStr">
        <is>
          <t>Salmon, smelts, etc</t>
        </is>
      </c>
      <c r="E31" t="n">
        <v>1335.553</v>
      </c>
      <c r="F31" t="n">
        <v>1567.823</v>
      </c>
      <c r="G31" t="n">
        <v>2671.106</v>
      </c>
      <c r="H31" t="n">
        <v>3774.39</v>
      </c>
      <c r="I31" t="n">
        <v>4594.512</v>
      </c>
      <c r="J31" t="n">
        <v>3958.963</v>
      </c>
      <c r="K31" t="n">
        <v>2513.627</v>
      </c>
      <c r="L31" t="n">
        <v>3456.238</v>
      </c>
      <c r="M31" t="n">
        <v>1696.698</v>
      </c>
      <c r="N31" t="n">
        <v>2450.787</v>
      </c>
      <c r="O31" t="n">
        <v>1256.814</v>
      </c>
      <c r="P31" t="n">
        <v>2953.512</v>
      </c>
      <c r="Q31" t="n">
        <v>3079.193</v>
      </c>
      <c r="R31" t="n">
        <v>4650.211</v>
      </c>
      <c r="S31" t="n">
        <v>754.088</v>
      </c>
      <c r="T31" t="n">
        <v>2076.917</v>
      </c>
      <c r="U31" t="n">
        <v>2017.251</v>
      </c>
      <c r="V31" t="n">
        <v>2334.63</v>
      </c>
      <c r="W31" t="n">
        <v>2083.267</v>
      </c>
      <c r="X31" t="n">
        <v>2146.108</v>
      </c>
      <c r="Y31" t="n">
        <v>2837.355</v>
      </c>
      <c r="Z31" t="n">
        <v>2774.515</v>
      </c>
      <c r="AA31" t="n">
        <v>1203.497</v>
      </c>
      <c r="AB31" t="n">
        <v>1392.02</v>
      </c>
      <c r="AC31" t="n">
        <v>2460.311</v>
      </c>
      <c r="AD31" t="n">
        <v>2089.551</v>
      </c>
      <c r="AE31" t="n">
        <v>2244.139</v>
      </c>
      <c r="AF31" t="n">
        <v>2528.807</v>
      </c>
      <c r="AG31" t="n">
        <v>1504.472</v>
      </c>
      <c r="AH31" t="n">
        <v>2554.507</v>
      </c>
      <c r="AI31" t="n">
        <v>157.662</v>
      </c>
      <c r="AJ31" t="n">
        <v>256.457</v>
      </c>
      <c r="AK31" t="n">
        <v>320.078</v>
      </c>
      <c r="AL31" t="n">
        <v>202.667</v>
      </c>
      <c r="AM31" t="n">
        <v>449.416</v>
      </c>
      <c r="AN31" t="n">
        <v>471.759</v>
      </c>
      <c r="AO31" t="n">
        <v>616.8150000000001</v>
      </c>
      <c r="AP31" t="n">
        <v>330.63</v>
      </c>
      <c r="AQ31" t="n">
        <v>171.869</v>
      </c>
      <c r="AR31" t="n">
        <v>323.476</v>
      </c>
      <c r="AS31" t="n">
        <v>1438.671</v>
      </c>
      <c r="AT31" t="n">
        <v>1869.424</v>
      </c>
      <c r="AU31" t="n">
        <v>5245.947</v>
      </c>
      <c r="AV31" t="n">
        <v>6473.132</v>
      </c>
      <c r="AW31" t="n">
        <v>6045.617</v>
      </c>
      <c r="AX31" t="n">
        <v>3748.476</v>
      </c>
      <c r="AY31" t="n">
        <v>5214.767</v>
      </c>
      <c r="AZ31" t="n">
        <v>5065.651</v>
      </c>
      <c r="BA31" t="n">
        <v>4836.684</v>
      </c>
      <c r="BB31" t="n">
        <v>3920.895</v>
      </c>
      <c r="BC31" t="n">
        <v>4715.17</v>
      </c>
      <c r="BD31" t="n">
        <v>4842.668</v>
      </c>
      <c r="BE31" t="n">
        <v>4477.358</v>
      </c>
      <c r="BF31" t="n">
        <v>3977.32</v>
      </c>
      <c r="BG31" t="n">
        <v>4578.692</v>
      </c>
      <c r="BH31" t="n">
        <v>2588.625</v>
      </c>
      <c r="BI31" t="n">
        <v>3368.994</v>
      </c>
      <c r="BJ31" t="n">
        <v>9168.689</v>
      </c>
      <c r="BK31" t="n">
        <v>9030.916999999999</v>
      </c>
      <c r="BL31" t="n">
        <v>8777.030000000001</v>
      </c>
      <c r="BM31" t="n">
        <v>12032.803</v>
      </c>
      <c r="BN31" t="n">
        <v>13568.513</v>
      </c>
      <c r="BO31" t="n">
        <v>11793.087</v>
      </c>
      <c r="BP31" t="n">
        <v>25942.281</v>
      </c>
      <c r="BQ31" t="n">
        <v>38223.919</v>
      </c>
      <c r="BR31" t="n">
        <v>38286.353</v>
      </c>
      <c r="BS31" t="n">
        <v>17335.657</v>
      </c>
      <c r="BT31" t="n">
        <v>28927.475</v>
      </c>
      <c r="BU31" t="n">
        <v>28767.531</v>
      </c>
      <c r="BV31" t="n">
        <v>28214.414</v>
      </c>
    </row>
    <row r="32">
      <c r="A32" t="inlineStr">
        <is>
          <t>Chionoecetes opilio</t>
        </is>
      </c>
      <c r="B32" t="inlineStr">
        <is>
          <t>Snow crab</t>
        </is>
      </c>
      <c r="C32" t="inlineStr">
        <is>
          <t>Lobsters, crabs</t>
        </is>
      </c>
      <c r="D32" t="inlineStr">
        <is>
          <t>Crustaceans</t>
        </is>
      </c>
      <c r="E32" t="n">
        <v>1808.701</v>
      </c>
      <c r="F32" t="n">
        <v>1808.701</v>
      </c>
      <c r="G32" t="n">
        <v>1808.701</v>
      </c>
      <c r="H32" t="n">
        <v>1808.701</v>
      </c>
      <c r="I32" t="n">
        <v>1808.701</v>
      </c>
      <c r="J32" t="n">
        <v>1808.701</v>
      </c>
      <c r="K32" t="n">
        <v>1837.804</v>
      </c>
      <c r="L32" t="n">
        <v>2166.178</v>
      </c>
      <c r="M32" t="n">
        <v>2446.843</v>
      </c>
      <c r="N32" t="n">
        <v>2452.698</v>
      </c>
      <c r="O32" t="n">
        <v>2974.819</v>
      </c>
      <c r="P32" t="n">
        <v>2899.713</v>
      </c>
      <c r="Q32" t="n">
        <v>3288.634</v>
      </c>
      <c r="R32" t="n">
        <v>3639.838</v>
      </c>
      <c r="S32" t="n">
        <v>18814.227</v>
      </c>
      <c r="T32" t="n">
        <v>16164.957</v>
      </c>
      <c r="U32" t="n">
        <v>16823.161</v>
      </c>
      <c r="V32" t="n">
        <v>18827.15</v>
      </c>
      <c r="W32" t="n">
        <v>42356.87</v>
      </c>
      <c r="X32" t="n">
        <v>32400.841</v>
      </c>
      <c r="Y32" t="n">
        <v>30882.746</v>
      </c>
      <c r="Z32" t="n">
        <v>23717.235</v>
      </c>
      <c r="AA32" t="n">
        <v>23098.455</v>
      </c>
      <c r="AB32" t="n">
        <v>18329.108</v>
      </c>
      <c r="AC32" t="n">
        <v>15537.438</v>
      </c>
      <c r="AD32" t="n">
        <v>12429.631</v>
      </c>
      <c r="AE32" t="n">
        <v>11634.353</v>
      </c>
      <c r="AF32" t="n">
        <v>11118.552</v>
      </c>
      <c r="AG32" t="n">
        <v>12603.52</v>
      </c>
      <c r="AH32" t="n">
        <v>12698.813</v>
      </c>
      <c r="AI32" t="n">
        <v>8259.785</v>
      </c>
      <c r="AJ32" t="n">
        <v>2980.784</v>
      </c>
      <c r="AK32" t="n">
        <v>2458.143</v>
      </c>
      <c r="AL32" t="n">
        <v>2154.658</v>
      </c>
      <c r="AM32" t="n">
        <v>1895.913</v>
      </c>
      <c r="AN32" t="n">
        <v>2110.06</v>
      </c>
      <c r="AO32" t="n">
        <v>2681.62</v>
      </c>
      <c r="AP32" t="n">
        <v>1876.007</v>
      </c>
      <c r="AQ32" t="n">
        <v>1570.215</v>
      </c>
      <c r="AR32" t="n">
        <v>1717.29</v>
      </c>
      <c r="AS32" t="n">
        <v>1024.701</v>
      </c>
      <c r="AT32" t="n">
        <v>1607.135</v>
      </c>
      <c r="AU32" t="n">
        <v>1367.99</v>
      </c>
      <c r="AV32" t="n">
        <v>1164.225</v>
      </c>
      <c r="AW32" t="n">
        <v>1414.837</v>
      </c>
      <c r="AX32" t="n">
        <v>1850.515</v>
      </c>
      <c r="AY32" t="n">
        <v>778.937</v>
      </c>
      <c r="AZ32" t="n">
        <v>1066.812</v>
      </c>
      <c r="BA32" t="n">
        <v>1012.922</v>
      </c>
      <c r="BB32" t="n">
        <v>1057.105</v>
      </c>
      <c r="BC32" t="n">
        <v>1181.732</v>
      </c>
      <c r="BD32" t="n">
        <v>1109.856</v>
      </c>
      <c r="BE32" t="n">
        <v>1084.744</v>
      </c>
      <c r="BF32" t="n">
        <v>1089.864</v>
      </c>
      <c r="BG32" t="n">
        <v>1200.121</v>
      </c>
      <c r="BH32" t="n">
        <v>978.8630000000001</v>
      </c>
      <c r="BI32" t="n">
        <v>1193.505</v>
      </c>
      <c r="BJ32" t="n">
        <v>1138.833</v>
      </c>
      <c r="BK32" t="n">
        <v>1026.025</v>
      </c>
      <c r="BL32" t="n">
        <v>955.2</v>
      </c>
      <c r="BM32" t="n">
        <v>970.6950000000001</v>
      </c>
      <c r="BN32" t="n">
        <v>914.922</v>
      </c>
      <c r="BO32" t="n">
        <v>895.504</v>
      </c>
      <c r="BP32" t="n">
        <v>879.352</v>
      </c>
      <c r="BQ32" t="n">
        <v>847.293</v>
      </c>
      <c r="BR32" t="n">
        <v>850.013</v>
      </c>
      <c r="BS32" t="n">
        <v>793.571</v>
      </c>
      <c r="BT32" t="n">
        <v>757.975</v>
      </c>
      <c r="BU32" t="n">
        <v>782.313</v>
      </c>
      <c r="BV32" t="n">
        <v>652.66</v>
      </c>
    </row>
    <row r="33">
      <c r="A33" t="inlineStr">
        <is>
          <t>Bivalvia</t>
        </is>
      </c>
      <c r="B33" t="inlineStr">
        <is>
          <t>Clams</t>
        </is>
      </c>
      <c r="C33" t="inlineStr">
        <is>
          <t>Other demersal invertebrates</t>
        </is>
      </c>
      <c r="D33" t="inlineStr">
        <is>
          <t>Molluscs</t>
        </is>
      </c>
      <c r="E33" t="n">
        <v>4711.62</v>
      </c>
      <c r="F33" t="n">
        <v>4711.62</v>
      </c>
      <c r="G33" t="n">
        <v>4711.62</v>
      </c>
      <c r="H33" t="n">
        <v>5198.486</v>
      </c>
      <c r="I33" t="n">
        <v>4850.456</v>
      </c>
      <c r="J33" t="n">
        <v>5999.345</v>
      </c>
      <c r="K33" t="n">
        <v>7408.373</v>
      </c>
      <c r="L33" t="n">
        <v>7392.276</v>
      </c>
      <c r="M33" t="n">
        <v>6681.647</v>
      </c>
      <c r="N33" t="n">
        <v>7343.568</v>
      </c>
      <c r="O33" t="n">
        <v>8509.463</v>
      </c>
      <c r="P33" t="n">
        <v>8693.929</v>
      </c>
      <c r="Q33" t="n">
        <v>8151.716</v>
      </c>
      <c r="R33" t="n">
        <v>9400.294</v>
      </c>
      <c r="S33" t="n">
        <v>7907.22</v>
      </c>
      <c r="T33" t="n">
        <v>8541.967000000001</v>
      </c>
      <c r="U33" t="n">
        <v>10176.27</v>
      </c>
      <c r="V33" t="n">
        <v>8692.446</v>
      </c>
      <c r="W33" t="n">
        <v>8200.058000000001</v>
      </c>
      <c r="X33" t="n">
        <v>8613.451999999999</v>
      </c>
      <c r="Y33" t="n">
        <v>9210.255999999999</v>
      </c>
      <c r="Z33" t="n">
        <v>7099.036</v>
      </c>
      <c r="AA33" t="n">
        <v>8169.851</v>
      </c>
      <c r="AB33" t="n">
        <v>6929.721</v>
      </c>
      <c r="AC33" t="n">
        <v>7748.407</v>
      </c>
      <c r="AD33" t="n">
        <v>7338.442</v>
      </c>
      <c r="AE33" t="n">
        <v>9736.044</v>
      </c>
      <c r="AF33" t="n">
        <v>9422.578</v>
      </c>
      <c r="AG33" t="n">
        <v>8779.82</v>
      </c>
      <c r="AH33" t="n">
        <v>8439.405000000001</v>
      </c>
      <c r="AI33" t="n">
        <v>7995.868</v>
      </c>
      <c r="AJ33" t="n">
        <v>8281.727000000001</v>
      </c>
      <c r="AK33" t="n">
        <v>7854.353</v>
      </c>
      <c r="AL33" t="n">
        <v>7832.05</v>
      </c>
      <c r="AM33" t="n">
        <v>7407.378</v>
      </c>
      <c r="AN33" t="n">
        <v>7467.259</v>
      </c>
      <c r="AO33" t="n">
        <v>7035.589</v>
      </c>
      <c r="AP33" t="n">
        <v>5928.462</v>
      </c>
      <c r="AQ33" t="n">
        <v>6169.538</v>
      </c>
      <c r="AR33" t="n">
        <v>5335.03</v>
      </c>
      <c r="AS33" t="n">
        <v>5235.627</v>
      </c>
      <c r="AT33" t="n">
        <v>4729.043</v>
      </c>
      <c r="AU33" t="n">
        <v>4252.867</v>
      </c>
      <c r="AV33" t="n">
        <v>4216.576</v>
      </c>
      <c r="AW33" t="n">
        <v>3389.94</v>
      </c>
      <c r="AX33" t="n">
        <v>3844.365</v>
      </c>
      <c r="AY33" t="n">
        <v>3735.002</v>
      </c>
      <c r="AZ33" t="n">
        <v>3205.434</v>
      </c>
      <c r="BA33" t="n">
        <v>3285.41</v>
      </c>
      <c r="BB33" t="n">
        <v>3109.765</v>
      </c>
      <c r="BC33" t="n">
        <v>2996.31</v>
      </c>
      <c r="BD33" t="n">
        <v>2708.094</v>
      </c>
      <c r="BE33" t="n">
        <v>2694.293</v>
      </c>
      <c r="BF33" t="n">
        <v>3303.359</v>
      </c>
      <c r="BG33" t="n">
        <v>3360.618</v>
      </c>
      <c r="BH33" t="n">
        <v>3084.868</v>
      </c>
      <c r="BI33" t="n">
        <v>2922.713</v>
      </c>
      <c r="BJ33" t="n">
        <v>3234.081</v>
      </c>
      <c r="BK33" t="n">
        <v>3344.577</v>
      </c>
      <c r="BL33" t="n">
        <v>2915.47</v>
      </c>
      <c r="BM33" t="n">
        <v>3299.824</v>
      </c>
      <c r="BN33" t="n">
        <v>2486.3</v>
      </c>
      <c r="BO33" t="n">
        <v>2364.333</v>
      </c>
      <c r="BP33" t="n">
        <v>2227.466</v>
      </c>
      <c r="BQ33" t="n">
        <v>1996.761</v>
      </c>
      <c r="BR33" t="n">
        <v>1863.994</v>
      </c>
      <c r="BS33" t="n">
        <v>2522.624</v>
      </c>
      <c r="BT33" t="n">
        <v>1616.717</v>
      </c>
      <c r="BU33" t="n">
        <v>1584.19</v>
      </c>
      <c r="BV33" t="n">
        <v>1541.565</v>
      </c>
    </row>
    <row r="34">
      <c r="A34" t="inlineStr">
        <is>
          <t>Atheresthes evermanni</t>
        </is>
      </c>
      <c r="B34" t="inlineStr">
        <is>
          <t>Kamchatka flounder</t>
        </is>
      </c>
      <c r="C34" t="inlineStr">
        <is>
          <t>Large flatfishes (&gt;=90 cm)</t>
        </is>
      </c>
      <c r="D34" t="inlineStr">
        <is>
          <t>Flatfishes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1896.613</v>
      </c>
      <c r="L34" t="n">
        <v>1625.668</v>
      </c>
      <c r="M34" t="n">
        <v>948.306</v>
      </c>
      <c r="N34" t="n">
        <v>812.8339999999999</v>
      </c>
      <c r="O34" t="n">
        <v>1016.042</v>
      </c>
      <c r="P34" t="n">
        <v>1151.515</v>
      </c>
      <c r="Q34" t="n">
        <v>2573.974</v>
      </c>
      <c r="R34" t="n">
        <v>812.8339999999999</v>
      </c>
      <c r="S34" t="n">
        <v>2032.085</v>
      </c>
      <c r="T34" t="n">
        <v>2032.085</v>
      </c>
      <c r="U34" t="n">
        <v>2032.085</v>
      </c>
      <c r="V34" t="n">
        <v>2032.085</v>
      </c>
      <c r="W34" t="n">
        <v>1354.723</v>
      </c>
      <c r="X34" t="n">
        <v>1354.723</v>
      </c>
      <c r="Y34" t="n">
        <v>0</v>
      </c>
      <c r="Z34" t="n">
        <v>0</v>
      </c>
      <c r="AA34" t="n">
        <v>0</v>
      </c>
      <c r="AB34" t="n">
        <v>3048.127</v>
      </c>
      <c r="AC34" t="n">
        <v>541.889</v>
      </c>
      <c r="AD34" t="n">
        <v>659.073</v>
      </c>
      <c r="AE34" t="n">
        <v>574.403</v>
      </c>
      <c r="AF34" t="n">
        <v>14343.81</v>
      </c>
      <c r="AG34" t="n">
        <v>6452.547</v>
      </c>
      <c r="AH34" t="n">
        <v>5859.178</v>
      </c>
      <c r="AI34" t="n">
        <v>6394.91</v>
      </c>
      <c r="AJ34" t="n">
        <v>8720.805</v>
      </c>
      <c r="AK34" t="n">
        <v>7833.564</v>
      </c>
      <c r="AL34" t="n">
        <v>11451.517</v>
      </c>
      <c r="AM34" t="n">
        <v>11959.774</v>
      </c>
      <c r="AN34" t="n">
        <v>11469.087</v>
      </c>
      <c r="AO34" t="n">
        <v>16559.482</v>
      </c>
      <c r="AP34" t="n">
        <v>12959.068</v>
      </c>
      <c r="AQ34" t="n">
        <v>10815.418</v>
      </c>
      <c r="AR34" t="n">
        <v>11873.485</v>
      </c>
      <c r="AS34" t="n">
        <v>9897.371999999999</v>
      </c>
      <c r="AT34" t="n">
        <v>6262.727</v>
      </c>
      <c r="AU34" t="n">
        <v>5150.128</v>
      </c>
      <c r="AV34" t="n">
        <v>1130.365</v>
      </c>
      <c r="AW34" t="n">
        <v>6208.41</v>
      </c>
      <c r="AX34" t="n">
        <v>6351.084</v>
      </c>
      <c r="AY34" t="n">
        <v>8787.215</v>
      </c>
      <c r="AZ34" t="n">
        <v>7647.647</v>
      </c>
      <c r="BA34" t="n">
        <v>8632.023999999999</v>
      </c>
      <c r="BB34" t="n">
        <v>9693.093999999999</v>
      </c>
      <c r="BC34" t="n">
        <v>21954.752</v>
      </c>
      <c r="BD34" t="n">
        <v>17816.899</v>
      </c>
      <c r="BE34" t="n">
        <v>16470.039</v>
      </c>
      <c r="BF34" t="n">
        <v>16181.961</v>
      </c>
      <c r="BG34" t="n">
        <v>15622.64</v>
      </c>
      <c r="BH34" t="n">
        <v>15549.685</v>
      </c>
      <c r="BI34" t="n">
        <v>15204.552</v>
      </c>
      <c r="BJ34" t="n">
        <v>13253.476</v>
      </c>
      <c r="BK34" t="n">
        <v>13766.966</v>
      </c>
      <c r="BL34" t="n">
        <v>155.263</v>
      </c>
      <c r="BM34" t="n">
        <v>351.68</v>
      </c>
      <c r="BN34" t="n">
        <v>283.402</v>
      </c>
      <c r="BO34" t="n">
        <v>278.725</v>
      </c>
      <c r="BP34" t="n">
        <v>368.516</v>
      </c>
      <c r="BQ34" t="n">
        <v>408.735</v>
      </c>
      <c r="BR34" t="n">
        <v>274.049</v>
      </c>
      <c r="BS34" t="n">
        <v>564.933</v>
      </c>
      <c r="BT34" t="n">
        <v>654.321</v>
      </c>
      <c r="BU34" t="n">
        <v>514.861</v>
      </c>
      <c r="BV34" t="n">
        <v>1009.274</v>
      </c>
    </row>
    <row r="35">
      <c r="A35" t="inlineStr">
        <is>
          <t>Batoidea</t>
        </is>
      </c>
      <c r="B35" t="inlineStr">
        <is>
          <t>Batoids, skates, rays, sawfishes</t>
        </is>
      </c>
      <c r="C35" t="inlineStr">
        <is>
          <t>Large rays (&gt;=90 cm)</t>
        </is>
      </c>
      <c r="D35" t="inlineStr">
        <is>
          <t>Sharks &amp; rays</t>
        </is>
      </c>
      <c r="E35" t="n">
        <v>1950.741</v>
      </c>
      <c r="F35" t="n">
        <v>2058.698</v>
      </c>
      <c r="G35" t="n">
        <v>2069.058</v>
      </c>
      <c r="H35" t="n">
        <v>2304.27</v>
      </c>
      <c r="I35" t="n">
        <v>3213.432</v>
      </c>
      <c r="J35" t="n">
        <v>4438.171</v>
      </c>
      <c r="K35" t="n">
        <v>5331.764</v>
      </c>
      <c r="L35" t="n">
        <v>5138.856</v>
      </c>
      <c r="M35" t="n">
        <v>6009.709</v>
      </c>
      <c r="N35" t="n">
        <v>5551.534</v>
      </c>
      <c r="O35" t="n">
        <v>3617.212</v>
      </c>
      <c r="P35" t="n">
        <v>3668.432</v>
      </c>
      <c r="Q35" t="n">
        <v>2884.863</v>
      </c>
      <c r="R35" t="n">
        <v>2979.766</v>
      </c>
      <c r="S35" t="n">
        <v>2948.691</v>
      </c>
      <c r="T35" t="n">
        <v>3468.895</v>
      </c>
      <c r="U35" t="n">
        <v>2944.839</v>
      </c>
      <c r="V35" t="n">
        <v>2489.006</v>
      </c>
      <c r="W35" t="n">
        <v>3272.154</v>
      </c>
      <c r="X35" t="n">
        <v>3388.355</v>
      </c>
      <c r="Y35" t="n">
        <v>2252.141</v>
      </c>
      <c r="Z35" t="n">
        <v>3487.484</v>
      </c>
      <c r="AA35" t="n">
        <v>3177.567</v>
      </c>
      <c r="AB35" t="n">
        <v>4162.482</v>
      </c>
      <c r="AC35" t="n">
        <v>2804.312</v>
      </c>
      <c r="AD35" t="n">
        <v>3348.86</v>
      </c>
      <c r="AE35" t="n">
        <v>2989.716</v>
      </c>
      <c r="AF35" t="n">
        <v>4381.201</v>
      </c>
      <c r="AG35" t="n">
        <v>4899.702</v>
      </c>
      <c r="AH35" t="n">
        <v>4146.195</v>
      </c>
      <c r="AI35" t="n">
        <v>4799.913</v>
      </c>
      <c r="AJ35" t="n">
        <v>5436.945</v>
      </c>
      <c r="AK35" t="n">
        <v>6601.305</v>
      </c>
      <c r="AL35" t="n">
        <v>6793.226</v>
      </c>
      <c r="AM35" t="n">
        <v>8359.597</v>
      </c>
      <c r="AN35" t="n">
        <v>9655.673000000001</v>
      </c>
      <c r="AO35" t="n">
        <v>9704.916999999999</v>
      </c>
      <c r="AP35" t="n">
        <v>9666.056</v>
      </c>
      <c r="AQ35" t="n">
        <v>9157.714</v>
      </c>
      <c r="AR35" t="n">
        <v>9112.718999999999</v>
      </c>
      <c r="AS35" t="n">
        <v>8911.234</v>
      </c>
      <c r="AT35" t="n">
        <v>8437.924999999999</v>
      </c>
      <c r="AU35" t="n">
        <v>9442.632</v>
      </c>
      <c r="AV35" t="n">
        <v>6998.056</v>
      </c>
      <c r="AW35" t="n">
        <v>5244.444</v>
      </c>
      <c r="AX35" t="n">
        <v>6658.607</v>
      </c>
      <c r="AY35" t="n">
        <v>7219.208</v>
      </c>
      <c r="AZ35" t="n">
        <v>6889.933</v>
      </c>
      <c r="BA35" t="n">
        <v>7451.829</v>
      </c>
      <c r="BB35" t="n">
        <v>7899.377</v>
      </c>
      <c r="BC35" t="n">
        <v>6988.27</v>
      </c>
      <c r="BD35" t="n">
        <v>6478.295</v>
      </c>
      <c r="BE35" t="n">
        <v>5545.02</v>
      </c>
      <c r="BF35" t="n">
        <v>5673.86</v>
      </c>
      <c r="BG35" t="n">
        <v>5085.794</v>
      </c>
      <c r="BH35" t="n">
        <v>5423.538</v>
      </c>
      <c r="BI35" t="n">
        <v>4954.625</v>
      </c>
      <c r="BJ35" t="n">
        <v>5128.702</v>
      </c>
      <c r="BK35" t="n">
        <v>5994.71</v>
      </c>
      <c r="BL35" t="n">
        <v>6470.152</v>
      </c>
      <c r="BM35" t="n">
        <v>7155.551</v>
      </c>
      <c r="BN35" t="n">
        <v>4886.772</v>
      </c>
      <c r="BO35" t="n">
        <v>5149.066</v>
      </c>
      <c r="BP35" t="n">
        <v>4904.493</v>
      </c>
      <c r="BQ35" t="n">
        <v>5124.774</v>
      </c>
      <c r="BR35" t="n">
        <v>5546.795</v>
      </c>
      <c r="BS35" t="n">
        <v>5763.038</v>
      </c>
      <c r="BT35" t="n">
        <v>6069.174</v>
      </c>
      <c r="BU35" t="n">
        <v>6849.255</v>
      </c>
      <c r="BV35" t="n">
        <v>6855.284</v>
      </c>
    </row>
    <row r="36">
      <c r="A36" t="inlineStr">
        <is>
          <t>Osmeridae</t>
        </is>
      </c>
      <c r="B36" t="inlineStr">
        <is>
          <t>Smelts</t>
        </is>
      </c>
      <c r="C36" t="inlineStr">
        <is>
          <t>Small pelagics (&lt;30 cm)</t>
        </is>
      </c>
      <c r="D36" t="inlineStr">
        <is>
          <t>Salmon, smelts, etc</t>
        </is>
      </c>
      <c r="E36" t="n">
        <v>3450.225</v>
      </c>
      <c r="F36" t="n">
        <v>4320.807</v>
      </c>
      <c r="G36" t="n">
        <v>3733.081</v>
      </c>
      <c r="H36" t="n">
        <v>2973.79</v>
      </c>
      <c r="I36" t="n">
        <v>3556.999</v>
      </c>
      <c r="J36" t="n">
        <v>7202.655</v>
      </c>
      <c r="K36" t="n">
        <v>7404.131</v>
      </c>
      <c r="L36" t="n">
        <v>4963.496</v>
      </c>
      <c r="M36" t="n">
        <v>4410.084</v>
      </c>
      <c r="N36" t="n">
        <v>3196.143</v>
      </c>
      <c r="O36" t="n">
        <v>4718.675</v>
      </c>
      <c r="P36" t="n">
        <v>4165.262</v>
      </c>
      <c r="Q36" t="n">
        <v>4555.46</v>
      </c>
      <c r="R36" t="n">
        <v>4945.658</v>
      </c>
      <c r="S36" t="n">
        <v>4580.968</v>
      </c>
      <c r="T36" t="n">
        <v>4404.999</v>
      </c>
      <c r="U36" t="n">
        <v>3096.698</v>
      </c>
      <c r="V36" t="n">
        <v>4524.868</v>
      </c>
      <c r="W36" t="n">
        <v>4160.178</v>
      </c>
      <c r="X36" t="n">
        <v>4267.292</v>
      </c>
      <c r="Y36" t="n">
        <v>4185.685</v>
      </c>
      <c r="Z36" t="n">
        <v>3254.828</v>
      </c>
      <c r="AA36" t="n">
        <v>3173.221</v>
      </c>
      <c r="AB36" t="n">
        <v>2714.169</v>
      </c>
      <c r="AC36" t="n">
        <v>9143.477000000001</v>
      </c>
      <c r="AD36" t="n">
        <v>3782.367</v>
      </c>
      <c r="AE36" t="n">
        <v>3281.796</v>
      </c>
      <c r="AF36" t="n">
        <v>3091.674</v>
      </c>
      <c r="AG36" t="n">
        <v>3596.993</v>
      </c>
      <c r="AH36" t="n">
        <v>903.47</v>
      </c>
      <c r="AI36" t="n">
        <v>3100.254</v>
      </c>
      <c r="AJ36" t="n">
        <v>928.978</v>
      </c>
      <c r="AK36" t="n">
        <v>941.732</v>
      </c>
      <c r="AL36" t="n">
        <v>952.184</v>
      </c>
      <c r="AM36" t="n">
        <v>3041.555</v>
      </c>
      <c r="AN36" t="n">
        <v>3557.897</v>
      </c>
      <c r="AO36" t="n">
        <v>3296.027</v>
      </c>
      <c r="AP36" t="n">
        <v>3694.257</v>
      </c>
      <c r="AQ36" t="n">
        <v>3510.387</v>
      </c>
      <c r="AR36" t="n">
        <v>4573.385</v>
      </c>
      <c r="AS36" t="n">
        <v>5852.228</v>
      </c>
      <c r="AT36" t="n">
        <v>7595.148</v>
      </c>
      <c r="AU36" t="n">
        <v>7389.013</v>
      </c>
      <c r="AV36" t="n">
        <v>7147.091</v>
      </c>
      <c r="AW36" t="n">
        <v>6978.254</v>
      </c>
      <c r="AX36" t="n">
        <v>6903.36</v>
      </c>
      <c r="AY36" t="n">
        <v>6873.928</v>
      </c>
      <c r="AZ36" t="n">
        <v>6846.775</v>
      </c>
      <c r="BA36" t="n">
        <v>6713.925</v>
      </c>
      <c r="BB36" t="n">
        <v>6648.07</v>
      </c>
      <c r="BC36" t="n">
        <v>6765.991</v>
      </c>
      <c r="BD36" t="n">
        <v>6599.295</v>
      </c>
      <c r="BE36" t="n">
        <v>6740.361</v>
      </c>
      <c r="BF36" t="n">
        <v>6679.162</v>
      </c>
      <c r="BG36" t="n">
        <v>6604.391</v>
      </c>
      <c r="BH36" t="n">
        <v>6654.678</v>
      </c>
      <c r="BI36" t="n">
        <v>6577.18</v>
      </c>
      <c r="BJ36" t="n">
        <v>6266.73</v>
      </c>
      <c r="BK36" t="n">
        <v>6234.573</v>
      </c>
      <c r="BL36" t="n">
        <v>5993.077</v>
      </c>
      <c r="BM36" t="n">
        <v>5993.013</v>
      </c>
      <c r="BN36" t="n">
        <v>5538.808</v>
      </c>
      <c r="BO36" t="n">
        <v>5536.297</v>
      </c>
      <c r="BP36" t="n">
        <v>5533.785</v>
      </c>
      <c r="BQ36" t="n">
        <v>5531.274</v>
      </c>
      <c r="BR36" t="n">
        <v>5528.763</v>
      </c>
      <c r="BS36" t="n">
        <v>5527.603</v>
      </c>
      <c r="BT36" t="n">
        <v>4966.434</v>
      </c>
      <c r="BU36" t="n">
        <v>4391.829</v>
      </c>
      <c r="BV36" t="n">
        <v>4228.307</v>
      </c>
    </row>
    <row r="37">
      <c r="A37" t="inlineStr">
        <is>
          <t>Hippoglossus stenolepis</t>
        </is>
      </c>
      <c r="B37" t="inlineStr">
        <is>
          <t>Pacific halibut</t>
        </is>
      </c>
      <c r="C37" t="inlineStr">
        <is>
          <t>Large flatfishes (&gt;=90 cm)</t>
        </is>
      </c>
      <c r="D37" t="inlineStr">
        <is>
          <t>Flatfishes</t>
        </is>
      </c>
      <c r="E37" t="n">
        <v>0</v>
      </c>
      <c r="F37" t="n">
        <v>0</v>
      </c>
      <c r="G37" t="n">
        <v>0</v>
      </c>
      <c r="H37" t="n">
        <v>0</v>
      </c>
      <c r="I37" t="n">
        <v>8.131</v>
      </c>
      <c r="J37" t="n">
        <v>7.56</v>
      </c>
      <c r="K37" t="n">
        <v>6174.6</v>
      </c>
      <c r="L37" t="n">
        <v>6153.896</v>
      </c>
      <c r="M37" t="n">
        <v>5737.021</v>
      </c>
      <c r="N37" t="n">
        <v>5055.893</v>
      </c>
      <c r="O37" t="n">
        <v>2076.695</v>
      </c>
      <c r="P37" t="n">
        <v>1989.139</v>
      </c>
      <c r="Q37" t="n">
        <v>1868.349</v>
      </c>
      <c r="R37" t="n">
        <v>3331.072</v>
      </c>
      <c r="S37" t="n">
        <v>4411.95</v>
      </c>
      <c r="T37" t="n">
        <v>3370.752</v>
      </c>
      <c r="U37" t="n">
        <v>4672.756</v>
      </c>
      <c r="V37" t="n">
        <v>10327.19</v>
      </c>
      <c r="W37" t="n">
        <v>18277.1</v>
      </c>
      <c r="X37" t="n">
        <v>20310.302</v>
      </c>
      <c r="Y37" t="n">
        <v>5396.579</v>
      </c>
      <c r="Z37" t="n">
        <v>5387.099</v>
      </c>
      <c r="AA37" t="n">
        <v>5377.62</v>
      </c>
      <c r="AB37" t="n">
        <v>5368.141</v>
      </c>
      <c r="AC37" t="n">
        <v>5358.661</v>
      </c>
      <c r="AD37" t="n">
        <v>5212.887</v>
      </c>
      <c r="AE37" t="n">
        <v>5067.113</v>
      </c>
      <c r="AF37" t="n">
        <v>5051.389</v>
      </c>
      <c r="AG37" t="n">
        <v>5035.666</v>
      </c>
      <c r="AH37" t="n">
        <v>5019.943</v>
      </c>
      <c r="AI37" t="n">
        <v>5004.22</v>
      </c>
      <c r="AJ37" t="n">
        <v>4988.496</v>
      </c>
      <c r="AK37" t="n">
        <v>4972.773</v>
      </c>
      <c r="AL37" t="n">
        <v>4957.05</v>
      </c>
      <c r="AM37" t="n">
        <v>4941.326</v>
      </c>
      <c r="AN37" t="n">
        <v>4925.603</v>
      </c>
      <c r="AO37" t="n">
        <v>5365.914</v>
      </c>
      <c r="AP37" t="n">
        <v>4602.906</v>
      </c>
      <c r="AQ37" t="n">
        <v>4947.402</v>
      </c>
      <c r="AR37" t="n">
        <v>4808.648</v>
      </c>
      <c r="AS37" t="n">
        <v>4834.416</v>
      </c>
      <c r="AT37" t="n">
        <v>1120.481</v>
      </c>
      <c r="AU37" t="n">
        <v>0</v>
      </c>
      <c r="AV37" t="n">
        <v>0</v>
      </c>
      <c r="AW37" t="n">
        <v>0</v>
      </c>
      <c r="AX37" t="n">
        <v>688.298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1718.667</v>
      </c>
      <c r="BM37" t="n">
        <v>2611.765</v>
      </c>
      <c r="BN37" t="n">
        <v>3095.246</v>
      </c>
      <c r="BO37" t="n">
        <v>2573</v>
      </c>
      <c r="BP37" t="n">
        <v>3402.496</v>
      </c>
      <c r="BQ37" t="n">
        <v>4013.036</v>
      </c>
      <c r="BR37" t="n">
        <v>3562.266</v>
      </c>
      <c r="BS37" t="n">
        <v>3668.627</v>
      </c>
      <c r="BT37" t="n">
        <v>3461.262</v>
      </c>
      <c r="BU37" t="n">
        <v>4725.588</v>
      </c>
      <c r="BV37" t="n">
        <v>3697.634</v>
      </c>
    </row>
    <row r="38">
      <c r="A38" t="inlineStr">
        <is>
          <t>Sebastidae</t>
        </is>
      </c>
      <c r="B38" t="inlineStr">
        <is>
          <t>Rockfishes, rockcods, thornyheads</t>
        </is>
      </c>
      <c r="C38" t="inlineStr">
        <is>
          <t>Medium demersals (30 - 89 cm)</t>
        </is>
      </c>
      <c r="D38" t="inlineStr">
        <is>
          <t>Scorpionfishes</t>
        </is>
      </c>
      <c r="E38" t="n">
        <v>694.585</v>
      </c>
      <c r="F38" t="n">
        <v>694.585</v>
      </c>
      <c r="G38" t="n">
        <v>694.585</v>
      </c>
      <c r="H38" t="n">
        <v>694.585</v>
      </c>
      <c r="I38" t="n">
        <v>750.744</v>
      </c>
      <c r="J38" t="n">
        <v>744.8150000000001</v>
      </c>
      <c r="K38" t="n">
        <v>841.7670000000001</v>
      </c>
      <c r="L38" t="n">
        <v>1144.073</v>
      </c>
      <c r="M38" t="n">
        <v>1388.14</v>
      </c>
      <c r="N38" t="n">
        <v>1980.769</v>
      </c>
      <c r="O38" t="n">
        <v>3563.011</v>
      </c>
      <c r="P38" t="n">
        <v>5129.244</v>
      </c>
      <c r="Q38" t="n">
        <v>8926.034</v>
      </c>
      <c r="R38" t="n">
        <v>5388.648</v>
      </c>
      <c r="S38" t="n">
        <v>6372.765</v>
      </c>
      <c r="T38" t="n">
        <v>1845.249</v>
      </c>
      <c r="U38" t="n">
        <v>6255.465</v>
      </c>
      <c r="V38" t="n">
        <v>8014.691</v>
      </c>
      <c r="W38" t="n">
        <v>8353.312</v>
      </c>
      <c r="X38" t="n">
        <v>8343.656999999999</v>
      </c>
      <c r="Y38" t="n">
        <v>8334.49</v>
      </c>
      <c r="Z38" t="n">
        <v>8319.255999999999</v>
      </c>
      <c r="AA38" t="n">
        <v>8302.851000000001</v>
      </c>
      <c r="AB38" t="n">
        <v>8201.203</v>
      </c>
      <c r="AC38" t="n">
        <v>8229.709999999999</v>
      </c>
      <c r="AD38" t="n">
        <v>8054.806</v>
      </c>
      <c r="AE38" t="n">
        <v>7842.699</v>
      </c>
      <c r="AF38" t="n">
        <v>7698.366</v>
      </c>
      <c r="AG38" t="n">
        <v>7747.83</v>
      </c>
      <c r="AH38" t="n">
        <v>7665.53</v>
      </c>
      <c r="AI38" t="n">
        <v>7710.798</v>
      </c>
      <c r="AJ38" t="n">
        <v>7645.336</v>
      </c>
      <c r="AK38" t="n">
        <v>7686.541</v>
      </c>
      <c r="AL38" t="n">
        <v>7601.475</v>
      </c>
      <c r="AM38" t="n">
        <v>7458.769</v>
      </c>
      <c r="AN38" t="n">
        <v>7416.297</v>
      </c>
      <c r="AO38" t="n">
        <v>7979.556</v>
      </c>
      <c r="AP38" t="n">
        <v>6894.766</v>
      </c>
      <c r="AQ38" t="n">
        <v>7403.402</v>
      </c>
      <c r="AR38" t="n">
        <v>7179.421</v>
      </c>
      <c r="AS38" t="n">
        <v>7187.35</v>
      </c>
      <c r="AT38" t="n">
        <v>1745.011</v>
      </c>
      <c r="AU38" t="n">
        <v>132.277</v>
      </c>
      <c r="AV38" t="n">
        <v>125.086</v>
      </c>
      <c r="AW38" t="n">
        <v>107.425</v>
      </c>
      <c r="AX38" t="n">
        <v>103.427</v>
      </c>
      <c r="AY38" t="n">
        <v>83.809</v>
      </c>
      <c r="AZ38" t="n">
        <v>74.788</v>
      </c>
      <c r="BA38" t="n">
        <v>58.703</v>
      </c>
      <c r="BB38" t="n">
        <v>47.904</v>
      </c>
      <c r="BC38" t="n">
        <v>45.722</v>
      </c>
      <c r="BD38" t="n">
        <v>41.949</v>
      </c>
      <c r="BE38" t="n">
        <v>49.141</v>
      </c>
      <c r="BF38" t="n">
        <v>48.705</v>
      </c>
      <c r="BG38" t="n">
        <v>48.17</v>
      </c>
      <c r="BH38" t="n">
        <v>50.978</v>
      </c>
      <c r="BI38" t="n">
        <v>45.561</v>
      </c>
      <c r="BJ38" t="n">
        <v>39.694</v>
      </c>
      <c r="BK38" t="n">
        <v>40.827</v>
      </c>
      <c r="BL38" t="n">
        <v>50.569</v>
      </c>
      <c r="BM38" t="n">
        <v>40.463</v>
      </c>
      <c r="BN38" t="n">
        <v>38.754</v>
      </c>
      <c r="BO38" t="n">
        <v>38.381</v>
      </c>
      <c r="BP38" t="n">
        <v>35.47</v>
      </c>
      <c r="BQ38" t="n">
        <v>33.961</v>
      </c>
      <c r="BR38" t="n">
        <v>37.976</v>
      </c>
      <c r="BS38" t="n">
        <v>35.875</v>
      </c>
      <c r="BT38" t="n">
        <v>35.153</v>
      </c>
      <c r="BU38" t="n">
        <v>39.831</v>
      </c>
      <c r="BV38" t="n">
        <v>30.957</v>
      </c>
    </row>
    <row r="39">
      <c r="A39" t="inlineStr">
        <is>
          <t>Decapoda</t>
        </is>
      </c>
      <c r="B39" t="inlineStr">
        <is>
          <t>Crabs, lobsters, shrimps</t>
        </is>
      </c>
      <c r="C39" t="inlineStr">
        <is>
          <t>Lobsters, crabs</t>
        </is>
      </c>
      <c r="D39" t="inlineStr">
        <is>
          <t>Crustaceans</t>
        </is>
      </c>
      <c r="E39" t="n">
        <v>166.142</v>
      </c>
      <c r="F39" t="n">
        <v>168.263</v>
      </c>
      <c r="G39" t="n">
        <v>170.45</v>
      </c>
      <c r="H39" t="n">
        <v>203.3</v>
      </c>
      <c r="I39" t="n">
        <v>193.516</v>
      </c>
      <c r="J39" t="n">
        <v>205.185</v>
      </c>
      <c r="K39" t="n">
        <v>195.088</v>
      </c>
      <c r="L39" t="n">
        <v>187.195</v>
      </c>
      <c r="M39" t="n">
        <v>214.234</v>
      </c>
      <c r="N39" t="n">
        <v>209.195</v>
      </c>
      <c r="O39" t="n">
        <v>221.919</v>
      </c>
      <c r="P39" t="n">
        <v>247.812</v>
      </c>
      <c r="Q39" t="n">
        <v>216.16</v>
      </c>
      <c r="R39" t="n">
        <v>220.369</v>
      </c>
      <c r="S39" t="n">
        <v>227.117</v>
      </c>
      <c r="T39" t="n">
        <v>224.602</v>
      </c>
      <c r="U39" t="n">
        <v>204.271</v>
      </c>
      <c r="V39" t="n">
        <v>198.594</v>
      </c>
      <c r="W39" t="n">
        <v>181.8</v>
      </c>
      <c r="X39" t="n">
        <v>173.199</v>
      </c>
      <c r="Y39" t="n">
        <v>173.935</v>
      </c>
      <c r="Z39" t="n">
        <v>204.088</v>
      </c>
      <c r="AA39" t="n">
        <v>218.203</v>
      </c>
      <c r="AB39" t="n">
        <v>238.528</v>
      </c>
      <c r="AC39" t="n">
        <v>235.362</v>
      </c>
      <c r="AD39" t="n">
        <v>245.3</v>
      </c>
      <c r="AE39" t="n">
        <v>234.711</v>
      </c>
      <c r="AF39" t="n">
        <v>218.445</v>
      </c>
      <c r="AG39" t="n">
        <v>227.109</v>
      </c>
      <c r="AH39" t="n">
        <v>222.654</v>
      </c>
      <c r="AI39" t="n">
        <v>219.58</v>
      </c>
      <c r="AJ39" t="n">
        <v>239.81</v>
      </c>
      <c r="AK39" t="n">
        <v>249.194</v>
      </c>
      <c r="AL39" t="n">
        <v>266.476</v>
      </c>
      <c r="AM39" t="n">
        <v>260.17</v>
      </c>
      <c r="AN39" t="n">
        <v>276.95</v>
      </c>
      <c r="AO39" t="n">
        <v>325.986</v>
      </c>
      <c r="AP39" t="n">
        <v>377.251</v>
      </c>
      <c r="AQ39" t="n">
        <v>455.419</v>
      </c>
      <c r="AR39" t="n">
        <v>512.91</v>
      </c>
      <c r="AS39" t="n">
        <v>598.081</v>
      </c>
      <c r="AT39" t="n">
        <v>675.622</v>
      </c>
      <c r="AU39" t="n">
        <v>675.754</v>
      </c>
      <c r="AV39" t="n">
        <v>669.165</v>
      </c>
      <c r="AW39" t="n">
        <v>697.8680000000001</v>
      </c>
      <c r="AX39" t="n">
        <v>709.817</v>
      </c>
      <c r="AY39" t="n">
        <v>704.8579999999999</v>
      </c>
      <c r="AZ39" t="n">
        <v>707.467</v>
      </c>
      <c r="BA39" t="n">
        <v>710.812</v>
      </c>
      <c r="BB39" t="n">
        <v>696.971</v>
      </c>
      <c r="BC39" t="n">
        <v>698.09</v>
      </c>
      <c r="BD39" t="n">
        <v>670.799</v>
      </c>
      <c r="BE39" t="n">
        <v>644.809</v>
      </c>
      <c r="BF39" t="n">
        <v>13136.134</v>
      </c>
      <c r="BG39" t="n">
        <v>18834.822</v>
      </c>
      <c r="BH39" t="n">
        <v>13354.846</v>
      </c>
      <c r="BI39" t="n">
        <v>11860.111</v>
      </c>
      <c r="BJ39" t="n">
        <v>8425.049000000001</v>
      </c>
      <c r="BK39" t="n">
        <v>10250.264</v>
      </c>
      <c r="BL39" t="n">
        <v>10897.408</v>
      </c>
      <c r="BM39" t="n">
        <v>10431.562</v>
      </c>
      <c r="BN39" t="n">
        <v>14611.768</v>
      </c>
      <c r="BO39" t="n">
        <v>14704.723</v>
      </c>
      <c r="BP39" t="n">
        <v>12791.106</v>
      </c>
      <c r="BQ39" t="n">
        <v>13847.723</v>
      </c>
      <c r="BR39" t="n">
        <v>12253.955</v>
      </c>
      <c r="BS39" t="n">
        <v>13765.504</v>
      </c>
      <c r="BT39" t="n">
        <v>12594.774</v>
      </c>
      <c r="BU39" t="n">
        <v>11144.354</v>
      </c>
      <c r="BV39" t="n">
        <v>11617.846</v>
      </c>
    </row>
    <row r="40">
      <c r="A40" t="inlineStr">
        <is>
          <t>Octopoda</t>
        </is>
      </c>
      <c r="B40" t="inlineStr">
        <is>
          <t>Octopuses, argonauts</t>
        </is>
      </c>
      <c r="C40" t="inlineStr">
        <is>
          <t>Cephalopods</t>
        </is>
      </c>
      <c r="D40" t="inlineStr">
        <is>
          <t>Other fishes &amp; inverts</t>
        </is>
      </c>
      <c r="E40" t="n">
        <v>2244.185</v>
      </c>
      <c r="F40" t="n">
        <v>2244.185</v>
      </c>
      <c r="G40" t="n">
        <v>2244.185</v>
      </c>
      <c r="H40" t="n">
        <v>2138.563</v>
      </c>
      <c r="I40" t="n">
        <v>2225.424</v>
      </c>
      <c r="J40" t="n">
        <v>2405.735</v>
      </c>
      <c r="K40" t="n">
        <v>2796.766</v>
      </c>
      <c r="L40" t="n">
        <v>3236.683</v>
      </c>
      <c r="M40" t="n">
        <v>3041.203</v>
      </c>
      <c r="N40" t="n">
        <v>3106.462</v>
      </c>
      <c r="O40" t="n">
        <v>3449.645</v>
      </c>
      <c r="P40" t="n">
        <v>3363.307</v>
      </c>
      <c r="Q40" t="n">
        <v>3768.588</v>
      </c>
      <c r="R40" t="n">
        <v>3741.271</v>
      </c>
      <c r="S40" t="n">
        <v>3468.245</v>
      </c>
      <c r="T40" t="n">
        <v>4061.894</v>
      </c>
      <c r="U40" t="n">
        <v>3495.765</v>
      </c>
      <c r="V40" t="n">
        <v>4556.996</v>
      </c>
      <c r="W40" t="n">
        <v>4654.75</v>
      </c>
      <c r="X40" t="n">
        <v>3855.007</v>
      </c>
      <c r="Y40" t="n">
        <v>3975.064</v>
      </c>
      <c r="Z40" t="n">
        <v>3455.726</v>
      </c>
      <c r="AA40" t="n">
        <v>2679.193</v>
      </c>
      <c r="AB40" t="n">
        <v>2596.267</v>
      </c>
      <c r="AC40" t="n">
        <v>3099.381</v>
      </c>
      <c r="AD40" t="n">
        <v>2971.865</v>
      </c>
      <c r="AE40" t="n">
        <v>2648.716</v>
      </c>
      <c r="AF40" t="n">
        <v>2824.755</v>
      </c>
      <c r="AG40" t="n">
        <v>2843.971</v>
      </c>
      <c r="AH40" t="n">
        <v>2273.465</v>
      </c>
      <c r="AI40" t="n">
        <v>1948.805</v>
      </c>
      <c r="AJ40" t="n">
        <v>2180.767</v>
      </c>
      <c r="AK40" t="n">
        <v>1913.198</v>
      </c>
      <c r="AL40" t="n">
        <v>1757.243</v>
      </c>
      <c r="AM40" t="n">
        <v>1810.035</v>
      </c>
      <c r="AN40" t="n">
        <v>1689.201</v>
      </c>
      <c r="AO40" t="n">
        <v>2027.476</v>
      </c>
      <c r="AP40" t="n">
        <v>2091.966</v>
      </c>
      <c r="AQ40" t="n">
        <v>2441.145</v>
      </c>
      <c r="AR40" t="n">
        <v>2512.704</v>
      </c>
      <c r="AS40" t="n">
        <v>2763.769</v>
      </c>
      <c r="AT40" t="n">
        <v>2568.469</v>
      </c>
      <c r="AU40" t="n">
        <v>2621.211</v>
      </c>
      <c r="AV40" t="n">
        <v>2355.24</v>
      </c>
      <c r="AW40" t="n">
        <v>2344.632</v>
      </c>
      <c r="AX40" t="n">
        <v>2436.832</v>
      </c>
      <c r="AY40" t="n">
        <v>2447.231</v>
      </c>
      <c r="AZ40" t="n">
        <v>2669.395</v>
      </c>
      <c r="BA40" t="n">
        <v>2915.477</v>
      </c>
      <c r="BB40" t="n">
        <v>2749.238</v>
      </c>
      <c r="BC40" t="n">
        <v>2333.72</v>
      </c>
      <c r="BD40" t="n">
        <v>2227.689</v>
      </c>
      <c r="BE40" t="n">
        <v>2730.151</v>
      </c>
      <c r="BF40" t="n">
        <v>5855.156</v>
      </c>
      <c r="BG40" t="n">
        <v>6489.933</v>
      </c>
      <c r="BH40" t="n">
        <v>6026.056</v>
      </c>
      <c r="BI40" t="n">
        <v>6669.839</v>
      </c>
      <c r="BJ40" t="n">
        <v>6119.4</v>
      </c>
      <c r="BK40" t="n">
        <v>5520.369</v>
      </c>
      <c r="BL40" t="n">
        <v>5966.68</v>
      </c>
      <c r="BM40" t="n">
        <v>6089.199</v>
      </c>
      <c r="BN40" t="n">
        <v>4988.43</v>
      </c>
      <c r="BO40" t="n">
        <v>4220.383</v>
      </c>
      <c r="BP40" t="n">
        <v>3674.058</v>
      </c>
      <c r="BQ40" t="n">
        <v>4197.909</v>
      </c>
      <c r="BR40" t="n">
        <v>4009.457</v>
      </c>
      <c r="BS40" t="n">
        <v>4019.961</v>
      </c>
      <c r="BT40" t="n">
        <v>3480.663</v>
      </c>
      <c r="BU40" t="n">
        <v>3386.529</v>
      </c>
      <c r="BV40" t="n">
        <v>3346.023</v>
      </c>
    </row>
    <row r="41">
      <c r="A41" t="inlineStr">
        <is>
          <t>Anoplopoma fimbria</t>
        </is>
      </c>
      <c r="B41" t="inlineStr">
        <is>
          <t>Sablefish</t>
        </is>
      </c>
      <c r="C41" t="inlineStr">
        <is>
          <t>Large bathydemersals (&gt;=90 cm)</t>
        </is>
      </c>
      <c r="D41" t="inlineStr">
        <is>
          <t>Scorpionfishes</t>
        </is>
      </c>
      <c r="E41" t="n">
        <v>0</v>
      </c>
      <c r="F41" t="n">
        <v>0</v>
      </c>
      <c r="G41" t="n">
        <v>0</v>
      </c>
      <c r="H41" t="n">
        <v>0</v>
      </c>
      <c r="I41" t="n">
        <v>7.673</v>
      </c>
      <c r="J41" t="n">
        <v>6.863</v>
      </c>
      <c r="K41" t="n">
        <v>17.421</v>
      </c>
      <c r="L41" t="n">
        <v>57.441</v>
      </c>
      <c r="M41" t="n">
        <v>90.73699999999999</v>
      </c>
      <c r="N41" t="n">
        <v>178.236</v>
      </c>
      <c r="O41" t="n">
        <v>414.683</v>
      </c>
      <c r="P41" t="n">
        <v>629.276</v>
      </c>
      <c r="Q41" t="n">
        <v>1524.35</v>
      </c>
      <c r="R41" t="n">
        <v>1213.64</v>
      </c>
      <c r="S41" t="n">
        <v>5533.299</v>
      </c>
      <c r="T41" t="n">
        <v>6150.087</v>
      </c>
      <c r="U41" t="n">
        <v>8251.040999999999</v>
      </c>
      <c r="V41" t="n">
        <v>8145.533</v>
      </c>
      <c r="W41" t="n">
        <v>8458.823</v>
      </c>
      <c r="X41" t="n">
        <v>8444.016</v>
      </c>
      <c r="Y41" t="n">
        <v>8429.209999999999</v>
      </c>
      <c r="Z41" t="n">
        <v>8414.403</v>
      </c>
      <c r="AA41" t="n">
        <v>8399.597</v>
      </c>
      <c r="AB41" t="n">
        <v>9076.665000000001</v>
      </c>
      <c r="AC41" t="n">
        <v>9870.683000000001</v>
      </c>
      <c r="AD41" t="n">
        <v>8918.245999999999</v>
      </c>
      <c r="AE41" t="n">
        <v>8510.897999999999</v>
      </c>
      <c r="AF41" t="n">
        <v>8057.19</v>
      </c>
      <c r="AG41" t="n">
        <v>7867.781</v>
      </c>
      <c r="AH41" t="n">
        <v>7840.922</v>
      </c>
      <c r="AI41" t="n">
        <v>7816.362</v>
      </c>
      <c r="AJ41" t="n">
        <v>7791.803</v>
      </c>
      <c r="AK41" t="n">
        <v>7820.15</v>
      </c>
      <c r="AL41" t="n">
        <v>7747.564</v>
      </c>
      <c r="AM41" t="n">
        <v>7719.679</v>
      </c>
      <c r="AN41" t="n">
        <v>7746.165</v>
      </c>
      <c r="AO41" t="n">
        <v>8427.109</v>
      </c>
      <c r="AP41" t="n">
        <v>7197.266</v>
      </c>
      <c r="AQ41" t="n">
        <v>7734.586</v>
      </c>
      <c r="AR41" t="n">
        <v>7511.771</v>
      </c>
      <c r="AS41" t="n">
        <v>7551.138</v>
      </c>
      <c r="AT41" t="n">
        <v>1733.629</v>
      </c>
      <c r="AU41" t="n">
        <v>0</v>
      </c>
      <c r="AV41" t="n">
        <v>0</v>
      </c>
      <c r="AW41" t="n">
        <v>0</v>
      </c>
      <c r="AX41" t="n">
        <v>7.249</v>
      </c>
      <c r="AY41" t="n">
        <v>454.89</v>
      </c>
      <c r="AZ41" t="n">
        <v>0</v>
      </c>
      <c r="BA41" t="n">
        <v>0</v>
      </c>
      <c r="BB41" t="n">
        <v>0</v>
      </c>
      <c r="BC41" t="n">
        <v>5.437</v>
      </c>
      <c r="BD41" t="n">
        <v>5.437</v>
      </c>
      <c r="BE41" t="n">
        <v>17.217</v>
      </c>
      <c r="BF41" t="n">
        <v>41.683</v>
      </c>
      <c r="BG41" t="n">
        <v>25.372</v>
      </c>
      <c r="BH41" t="n">
        <v>5.437</v>
      </c>
      <c r="BI41" t="n">
        <v>12.686</v>
      </c>
      <c r="BJ41" t="n">
        <v>17.217</v>
      </c>
      <c r="BK41" t="n">
        <v>24.466</v>
      </c>
      <c r="BL41" t="n">
        <v>13.592</v>
      </c>
      <c r="BM41" t="n">
        <v>9.061999999999999</v>
      </c>
      <c r="BN41" t="n">
        <v>6.343</v>
      </c>
      <c r="BO41" t="n">
        <v>0.906</v>
      </c>
      <c r="BP41" t="n">
        <v>9.061999999999999</v>
      </c>
      <c r="BQ41" t="n">
        <v>3.625</v>
      </c>
      <c r="BR41" t="n">
        <v>0.906</v>
      </c>
      <c r="BS41" t="n">
        <v>5.437</v>
      </c>
      <c r="BT41" t="n">
        <v>72.35299999999999</v>
      </c>
      <c r="BU41" t="n">
        <v>73.05</v>
      </c>
      <c r="BV41" t="n">
        <v>301.68</v>
      </c>
    </row>
    <row r="42">
      <c r="A42" t="inlineStr">
        <is>
          <t>Reinhardtius hippoglossoides</t>
        </is>
      </c>
      <c r="B42" t="inlineStr">
        <is>
          <t>Greenland halibut</t>
        </is>
      </c>
      <c r="C42" t="inlineStr">
        <is>
          <t>Small to medium flatfishes (&lt;90 cm)</t>
        </is>
      </c>
      <c r="D42" t="inlineStr">
        <is>
          <t>Flatfishes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3058.152</v>
      </c>
      <c r="L42" t="n">
        <v>2797.884</v>
      </c>
      <c r="M42" t="n">
        <v>2537.616</v>
      </c>
      <c r="N42" t="n">
        <v>2407.482</v>
      </c>
      <c r="O42" t="n">
        <v>2342.415</v>
      </c>
      <c r="P42" t="n">
        <v>1561.61</v>
      </c>
      <c r="Q42" t="n">
        <v>2928.018</v>
      </c>
      <c r="R42" t="n">
        <v>1106.14</v>
      </c>
      <c r="S42" t="n">
        <v>9068.968000000001</v>
      </c>
      <c r="T42" t="n">
        <v>11835.256</v>
      </c>
      <c r="U42" t="n">
        <v>11758.404</v>
      </c>
      <c r="V42" t="n">
        <v>11604.699</v>
      </c>
      <c r="W42" t="n">
        <v>7454.674</v>
      </c>
      <c r="X42" t="n">
        <v>9529.687</v>
      </c>
      <c r="Y42" t="n">
        <v>0</v>
      </c>
      <c r="Z42" t="n">
        <v>0</v>
      </c>
      <c r="AA42" t="n">
        <v>0</v>
      </c>
      <c r="AB42" t="n">
        <v>10451.915</v>
      </c>
      <c r="AC42" t="n">
        <v>4534.287</v>
      </c>
      <c r="AD42" t="n">
        <v>7815.88</v>
      </c>
      <c r="AE42" t="n">
        <v>6842.93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8610.166999999999</v>
      </c>
      <c r="BM42" t="n">
        <v>11046.971</v>
      </c>
      <c r="BN42" t="n">
        <v>10622.838</v>
      </c>
      <c r="BO42" t="n">
        <v>9665.606</v>
      </c>
      <c r="BP42" t="n">
        <v>11496.264</v>
      </c>
      <c r="BQ42" t="n">
        <v>10416.27</v>
      </c>
      <c r="BR42" t="n">
        <v>10172.538</v>
      </c>
      <c r="BS42" t="n">
        <v>11317.199</v>
      </c>
      <c r="BT42" t="n">
        <v>10289.915</v>
      </c>
      <c r="BU42" t="n">
        <v>9874.802</v>
      </c>
      <c r="BV42" t="n">
        <v>8962.276</v>
      </c>
    </row>
    <row r="43">
      <c r="A43" t="inlineStr">
        <is>
          <t>Salmonidae</t>
        </is>
      </c>
      <c r="B43" t="inlineStr">
        <is>
          <t>Salmonids</t>
        </is>
      </c>
      <c r="C43" t="inlineStr">
        <is>
          <t>Large benthopelagics (&gt;=90 cm)</t>
        </is>
      </c>
      <c r="D43" t="inlineStr">
        <is>
          <t>Salmon, smelts, etc</t>
        </is>
      </c>
      <c r="E43" t="n">
        <v>2495.061</v>
      </c>
      <c r="F43" t="n">
        <v>2443.556</v>
      </c>
      <c r="G43" t="n">
        <v>2392.052</v>
      </c>
      <c r="H43" t="n">
        <v>1988.143</v>
      </c>
      <c r="I43" t="n">
        <v>2827.032</v>
      </c>
      <c r="J43" t="n">
        <v>5895.557</v>
      </c>
      <c r="K43" t="n">
        <v>4749.054</v>
      </c>
      <c r="L43" t="n">
        <v>6136.156</v>
      </c>
      <c r="M43" t="n">
        <v>6557.132</v>
      </c>
      <c r="N43" t="n">
        <v>6261.022</v>
      </c>
      <c r="O43" t="n">
        <v>4081.151</v>
      </c>
      <c r="P43" t="n">
        <v>4963.357</v>
      </c>
      <c r="Q43" t="n">
        <v>2716.723</v>
      </c>
      <c r="R43" t="n">
        <v>4797.575</v>
      </c>
      <c r="S43" t="n">
        <v>3968.692</v>
      </c>
      <c r="T43" t="n">
        <v>5884.027</v>
      </c>
      <c r="U43" t="n">
        <v>4117.953</v>
      </c>
      <c r="V43" t="n">
        <v>5364.013</v>
      </c>
      <c r="W43" t="n">
        <v>3930.2</v>
      </c>
      <c r="X43" t="n">
        <v>5719.677</v>
      </c>
      <c r="Y43" t="n">
        <v>3223.141</v>
      </c>
      <c r="Z43" t="n">
        <v>4601.954</v>
      </c>
      <c r="AA43" t="n">
        <v>3196.416</v>
      </c>
      <c r="AB43" t="n">
        <v>5613.581</v>
      </c>
      <c r="AC43" t="n">
        <v>4374.654</v>
      </c>
      <c r="AD43" t="n">
        <v>4209.458</v>
      </c>
      <c r="AE43" t="n">
        <v>3942.764</v>
      </c>
      <c r="AF43" t="n">
        <v>4254.875</v>
      </c>
      <c r="AG43" t="n">
        <v>3386.17</v>
      </c>
      <c r="AH43" t="n">
        <v>3170.272</v>
      </c>
      <c r="AI43" t="n">
        <v>3598.597</v>
      </c>
      <c r="AJ43" t="n">
        <v>3234.48</v>
      </c>
      <c r="AK43" t="n">
        <v>3000.978</v>
      </c>
      <c r="AL43" t="n">
        <v>3358.962</v>
      </c>
      <c r="AM43" t="n">
        <v>2898.474</v>
      </c>
      <c r="AN43" t="n">
        <v>5409.512</v>
      </c>
      <c r="AO43" t="n">
        <v>3359.487</v>
      </c>
      <c r="AP43" t="n">
        <v>2249.671</v>
      </c>
      <c r="AQ43" t="n">
        <v>1837.683</v>
      </c>
      <c r="AR43" t="n">
        <v>1842.587</v>
      </c>
      <c r="AS43" t="n">
        <v>1440.708</v>
      </c>
      <c r="AT43" t="n">
        <v>1889.69</v>
      </c>
      <c r="AU43" t="n">
        <v>2340.939</v>
      </c>
      <c r="AV43" t="n">
        <v>2352.549</v>
      </c>
      <c r="AW43" t="n">
        <v>2532.072</v>
      </c>
      <c r="AX43" t="n">
        <v>2230.354</v>
      </c>
      <c r="AY43" t="n">
        <v>2442.5</v>
      </c>
      <c r="AZ43" t="n">
        <v>1726.97</v>
      </c>
      <c r="BA43" t="n">
        <v>2460.119</v>
      </c>
      <c r="BB43" t="n">
        <v>1686.845</v>
      </c>
      <c r="BC43" t="n">
        <v>2918.875</v>
      </c>
      <c r="BD43" t="n">
        <v>1203.355</v>
      </c>
      <c r="BE43" t="n">
        <v>2133.557</v>
      </c>
      <c r="BF43" t="n">
        <v>2042.419</v>
      </c>
      <c r="BG43" t="n">
        <v>1423.423</v>
      </c>
      <c r="BH43" t="n">
        <v>1399.156</v>
      </c>
      <c r="BI43" t="n">
        <v>1701.147</v>
      </c>
      <c r="BJ43" t="n">
        <v>2445.987</v>
      </c>
      <c r="BK43" t="n">
        <v>2057.689</v>
      </c>
      <c r="BL43" t="n">
        <v>2071.723</v>
      </c>
      <c r="BM43" t="n">
        <v>2467.452</v>
      </c>
      <c r="BN43" t="n">
        <v>911.678</v>
      </c>
      <c r="BO43" t="n">
        <v>840.2910000000001</v>
      </c>
      <c r="BP43" t="n">
        <v>1022.93</v>
      </c>
      <c r="BQ43" t="n">
        <v>2497.611</v>
      </c>
      <c r="BR43" t="n">
        <v>2425.873</v>
      </c>
      <c r="BS43" t="n">
        <v>3454.746</v>
      </c>
      <c r="BT43" t="n">
        <v>1579.396</v>
      </c>
      <c r="BU43" t="n">
        <v>1370.679</v>
      </c>
      <c r="BV43" t="n">
        <v>2363.348</v>
      </c>
    </row>
    <row r="44">
      <c r="A44" t="inlineStr">
        <is>
          <t>Arctoscopus japonicus</t>
        </is>
      </c>
      <c r="B44" t="inlineStr">
        <is>
          <t>Japanese sandfish</t>
        </is>
      </c>
      <c r="C44" t="inlineStr">
        <is>
          <t>Small bathydemersals (&lt;30 cm)</t>
        </is>
      </c>
      <c r="D44" t="inlineStr">
        <is>
          <t>Perch-likes</t>
        </is>
      </c>
      <c r="E44" t="n">
        <v>2925.382</v>
      </c>
      <c r="F44" t="n">
        <v>2925.382</v>
      </c>
      <c r="G44" t="n">
        <v>2925.382</v>
      </c>
      <c r="H44" t="n">
        <v>2925.382</v>
      </c>
      <c r="I44" t="n">
        <v>2892.629</v>
      </c>
      <c r="J44" t="n">
        <v>2892.629</v>
      </c>
      <c r="K44" t="n">
        <v>3059.733</v>
      </c>
      <c r="L44" t="n">
        <v>2535.72</v>
      </c>
      <c r="M44" t="n">
        <v>2542.562</v>
      </c>
      <c r="N44" t="n">
        <v>4023.899</v>
      </c>
      <c r="O44" t="n">
        <v>2793.268</v>
      </c>
      <c r="P44" t="n">
        <v>3863.735</v>
      </c>
      <c r="Q44" t="n">
        <v>4278.853</v>
      </c>
      <c r="R44" t="n">
        <v>4682.167</v>
      </c>
      <c r="S44" t="n">
        <v>4121.477</v>
      </c>
      <c r="T44" t="n">
        <v>5799.461</v>
      </c>
      <c r="U44" t="n">
        <v>6399.876</v>
      </c>
      <c r="V44" t="n">
        <v>5855.174</v>
      </c>
      <c r="W44" t="n">
        <v>6731.264</v>
      </c>
      <c r="X44" t="n">
        <v>5626.422</v>
      </c>
      <c r="Y44" t="n">
        <v>5659.272</v>
      </c>
      <c r="Z44" t="n">
        <v>5877.516</v>
      </c>
      <c r="AA44" t="n">
        <v>5473.683</v>
      </c>
      <c r="AB44" t="n">
        <v>5663.13</v>
      </c>
      <c r="AC44" t="n">
        <v>6350.199</v>
      </c>
      <c r="AD44" t="n">
        <v>6288.164</v>
      </c>
      <c r="AE44" t="n">
        <v>4506.949</v>
      </c>
      <c r="AF44" t="n">
        <v>3046.983</v>
      </c>
      <c r="AG44" t="n">
        <v>2678.237</v>
      </c>
      <c r="AH44" t="n">
        <v>2292.454</v>
      </c>
      <c r="AI44" t="n">
        <v>2636.745</v>
      </c>
      <c r="AJ44" t="n">
        <v>2375.03</v>
      </c>
      <c r="AK44" t="n">
        <v>2691.364</v>
      </c>
      <c r="AL44" t="n">
        <v>2555.012</v>
      </c>
      <c r="AM44" t="n">
        <v>1975.074</v>
      </c>
      <c r="AN44" t="n">
        <v>1935.949</v>
      </c>
      <c r="AO44" t="n">
        <v>2536.586</v>
      </c>
      <c r="AP44" t="n">
        <v>1898.483</v>
      </c>
      <c r="AQ44" t="n">
        <v>1863.496</v>
      </c>
      <c r="AR44" t="n">
        <v>1760.539</v>
      </c>
      <c r="AS44" t="n">
        <v>1495.092</v>
      </c>
      <c r="AT44" t="n">
        <v>1802.031</v>
      </c>
      <c r="AU44" t="n">
        <v>1415.042</v>
      </c>
      <c r="AV44" t="n">
        <v>1408.399</v>
      </c>
      <c r="AW44" t="n">
        <v>1438.268</v>
      </c>
      <c r="AX44" t="n">
        <v>1389.838</v>
      </c>
      <c r="AY44" t="n">
        <v>1591.545</v>
      </c>
      <c r="AZ44" t="n">
        <v>1492.886</v>
      </c>
      <c r="BA44" t="n">
        <v>1606.922</v>
      </c>
      <c r="BB44" t="n">
        <v>1574.029</v>
      </c>
      <c r="BC44" t="n">
        <v>1559.948</v>
      </c>
      <c r="BD44" t="n">
        <v>1875.692</v>
      </c>
      <c r="BE44" t="n">
        <v>1957.812</v>
      </c>
      <c r="BF44" t="n">
        <v>3022.784</v>
      </c>
      <c r="BG44" t="n">
        <v>2551.574</v>
      </c>
      <c r="BH44" t="n">
        <v>2805.803</v>
      </c>
      <c r="BI44" t="n">
        <v>2612.55</v>
      </c>
      <c r="BJ44" t="n">
        <v>1716.446</v>
      </c>
      <c r="BK44" t="n">
        <v>2922.627</v>
      </c>
      <c r="BL44" t="n">
        <v>2036.66</v>
      </c>
      <c r="BM44" t="n">
        <v>1869.566</v>
      </c>
      <c r="BN44" t="n">
        <v>1965.859</v>
      </c>
      <c r="BO44" t="n">
        <v>1946.735</v>
      </c>
      <c r="BP44" t="n">
        <v>1816.644</v>
      </c>
      <c r="BQ44" t="n">
        <v>1408.023</v>
      </c>
      <c r="BR44" t="n">
        <v>1761.102</v>
      </c>
      <c r="BS44" t="n">
        <v>1507.775</v>
      </c>
      <c r="BT44" t="n">
        <v>1368.088</v>
      </c>
      <c r="BU44" t="n">
        <v>1083.069</v>
      </c>
      <c r="BV44" t="n">
        <v>1189.324</v>
      </c>
    </row>
    <row r="45">
      <c r="A45" t="inlineStr">
        <is>
          <t>Trichiurus lepturus</t>
        </is>
      </c>
      <c r="B45" t="inlineStr">
        <is>
          <t>Largehead hairtail</t>
        </is>
      </c>
      <c r="C45" t="inlineStr">
        <is>
          <t>Large benthopelagics (&gt;=90 cm)</t>
        </is>
      </c>
      <c r="D45" t="inlineStr">
        <is>
          <t>Perch-likes</t>
        </is>
      </c>
      <c r="E45" t="n">
        <v>717.552</v>
      </c>
      <c r="F45" t="n">
        <v>719.289</v>
      </c>
      <c r="G45" t="n">
        <v>721.124</v>
      </c>
      <c r="H45" t="n">
        <v>706.397</v>
      </c>
      <c r="I45" t="n">
        <v>710.598</v>
      </c>
      <c r="J45" t="n">
        <v>717.134</v>
      </c>
      <c r="K45" t="n">
        <v>634.563</v>
      </c>
      <c r="L45" t="n">
        <v>692.659</v>
      </c>
      <c r="M45" t="n">
        <v>809.255</v>
      </c>
      <c r="N45" t="n">
        <v>874.2380000000001</v>
      </c>
      <c r="O45" t="n">
        <v>987.4930000000001</v>
      </c>
      <c r="P45" t="n">
        <v>1100.927</v>
      </c>
      <c r="Q45" t="n">
        <v>989.908</v>
      </c>
      <c r="R45" t="n">
        <v>1074.473</v>
      </c>
      <c r="S45" t="n">
        <v>1799.813</v>
      </c>
      <c r="T45" t="n">
        <v>1917.727</v>
      </c>
      <c r="U45" t="n">
        <v>1819.526</v>
      </c>
      <c r="V45" t="n">
        <v>2126.998</v>
      </c>
      <c r="W45" t="n">
        <v>1929.739</v>
      </c>
      <c r="X45" t="n">
        <v>2340.385</v>
      </c>
      <c r="Y45" t="n">
        <v>2155.09</v>
      </c>
      <c r="Z45" t="n">
        <v>2071.233</v>
      </c>
      <c r="AA45" t="n">
        <v>2546.663</v>
      </c>
      <c r="AB45" t="n">
        <v>2498.096</v>
      </c>
      <c r="AC45" t="n">
        <v>2516.782</v>
      </c>
      <c r="AD45" t="n">
        <v>2105.629</v>
      </c>
      <c r="AE45" t="n">
        <v>2157.65</v>
      </c>
      <c r="AF45" t="n">
        <v>1144.244</v>
      </c>
      <c r="AG45" t="n">
        <v>1068.96</v>
      </c>
      <c r="AH45" t="n">
        <v>1181.579</v>
      </c>
      <c r="AI45" t="n">
        <v>1516.107</v>
      </c>
      <c r="AJ45" t="n">
        <v>1468.401</v>
      </c>
      <c r="AK45" t="n">
        <v>1389.788</v>
      </c>
      <c r="AL45" t="n">
        <v>1457.334</v>
      </c>
      <c r="AM45" t="n">
        <v>1439.318</v>
      </c>
      <c r="AN45" t="n">
        <v>1611.963</v>
      </c>
      <c r="AO45" t="n">
        <v>1648.865</v>
      </c>
      <c r="AP45" t="n">
        <v>1835.205</v>
      </c>
      <c r="AQ45" t="n">
        <v>1422.159</v>
      </c>
      <c r="AR45" t="n">
        <v>2218.283</v>
      </c>
      <c r="AS45" t="n">
        <v>2215.215</v>
      </c>
      <c r="AT45" t="n">
        <v>2674.549</v>
      </c>
      <c r="AU45" t="n">
        <v>2751.244</v>
      </c>
      <c r="AV45" t="n">
        <v>3655.203</v>
      </c>
      <c r="AW45" t="n">
        <v>4322.307</v>
      </c>
      <c r="AX45" t="n">
        <v>4767.796</v>
      </c>
      <c r="AY45" t="n">
        <v>6905.082</v>
      </c>
      <c r="AZ45" t="n">
        <v>4767.926</v>
      </c>
      <c r="BA45" t="n">
        <v>4359.105</v>
      </c>
      <c r="BB45" t="n">
        <v>6161.435</v>
      </c>
      <c r="BC45" t="n">
        <v>6480.446</v>
      </c>
      <c r="BD45" t="n">
        <v>4978.17</v>
      </c>
      <c r="BE45" t="n">
        <v>5040.118</v>
      </c>
      <c r="BF45" t="n">
        <v>4050.775</v>
      </c>
      <c r="BG45" t="n">
        <v>5622.114</v>
      </c>
      <c r="BH45" t="n">
        <v>5265.948</v>
      </c>
      <c r="BI45" t="n">
        <v>5880.564</v>
      </c>
      <c r="BJ45" t="n">
        <v>5786.971</v>
      </c>
      <c r="BK45" t="n">
        <v>6050.538</v>
      </c>
      <c r="BL45" t="n">
        <v>4767.696</v>
      </c>
      <c r="BM45" t="n">
        <v>4864.439</v>
      </c>
      <c r="BN45" t="n">
        <v>5911.823</v>
      </c>
      <c r="BO45" t="n">
        <v>4679.531</v>
      </c>
      <c r="BP45" t="n">
        <v>3972.553</v>
      </c>
      <c r="BQ45" t="n">
        <v>4610.392</v>
      </c>
      <c r="BR45" t="n">
        <v>3590.578</v>
      </c>
      <c r="BS45" t="n">
        <v>3390.574</v>
      </c>
      <c r="BT45" t="n">
        <v>3313.61</v>
      </c>
      <c r="BU45" t="n">
        <v>3102.621</v>
      </c>
      <c r="BV45" t="n">
        <v>3034.581</v>
      </c>
    </row>
    <row r="46">
      <c r="A46" t="inlineStr">
        <is>
          <t>Brachyura</t>
        </is>
      </c>
      <c r="B46" t="inlineStr">
        <is>
          <t>Marine crabs</t>
        </is>
      </c>
      <c r="C46" t="inlineStr">
        <is>
          <t>Lobsters, crabs</t>
        </is>
      </c>
      <c r="D46" t="inlineStr">
        <is>
          <t>Crustaceans</t>
        </is>
      </c>
      <c r="E46" t="n">
        <v>333.523</v>
      </c>
      <c r="F46" t="n">
        <v>336.398</v>
      </c>
      <c r="G46" t="n">
        <v>362.709</v>
      </c>
      <c r="H46" t="n">
        <v>364.678</v>
      </c>
      <c r="I46" t="n">
        <v>358.007</v>
      </c>
      <c r="J46" t="n">
        <v>344.731</v>
      </c>
      <c r="K46" t="n">
        <v>413.893</v>
      </c>
      <c r="L46" t="n">
        <v>385.503</v>
      </c>
      <c r="M46" t="n">
        <v>342.271</v>
      </c>
      <c r="N46" t="n">
        <v>350.89</v>
      </c>
      <c r="O46" t="n">
        <v>393.044</v>
      </c>
      <c r="P46" t="n">
        <v>398.438</v>
      </c>
      <c r="Q46" t="n">
        <v>448.477</v>
      </c>
      <c r="R46" t="n">
        <v>456.824</v>
      </c>
      <c r="S46" t="n">
        <v>580.859</v>
      </c>
      <c r="T46" t="n">
        <v>1164.844</v>
      </c>
      <c r="U46" t="n">
        <v>998.532</v>
      </c>
      <c r="V46" t="n">
        <v>1103.896</v>
      </c>
      <c r="W46" t="n">
        <v>813.813</v>
      </c>
      <c r="X46" t="n">
        <v>854.044</v>
      </c>
      <c r="Y46" t="n">
        <v>1341.84</v>
      </c>
      <c r="Z46" t="n">
        <v>1625.817</v>
      </c>
      <c r="AA46" t="n">
        <v>2427.815</v>
      </c>
      <c r="AB46" t="n">
        <v>3212.837</v>
      </c>
      <c r="AC46" t="n">
        <v>2019.357</v>
      </c>
      <c r="AD46" t="n">
        <v>1972.404</v>
      </c>
      <c r="AE46" t="n">
        <v>1818.598</v>
      </c>
      <c r="AF46" t="n">
        <v>2682.632</v>
      </c>
      <c r="AG46" t="n">
        <v>386.237</v>
      </c>
      <c r="AH46" t="n">
        <v>370.876</v>
      </c>
      <c r="AI46" t="n">
        <v>581.545</v>
      </c>
      <c r="AJ46" t="n">
        <v>820.121</v>
      </c>
      <c r="AK46" t="n">
        <v>959.859</v>
      </c>
      <c r="AL46" t="n">
        <v>1033.92</v>
      </c>
      <c r="AM46" t="n">
        <v>1036.946</v>
      </c>
      <c r="AN46" t="n">
        <v>1030.383</v>
      </c>
      <c r="AO46" t="n">
        <v>911.341</v>
      </c>
      <c r="AP46" t="n">
        <v>796.954</v>
      </c>
      <c r="AQ46" t="n">
        <v>722.231</v>
      </c>
      <c r="AR46" t="n">
        <v>8773.422</v>
      </c>
      <c r="AS46" t="n">
        <v>1429.951</v>
      </c>
      <c r="AT46" t="n">
        <v>2137.876</v>
      </c>
      <c r="AU46" t="n">
        <v>1424.63</v>
      </c>
      <c r="AV46" t="n">
        <v>580.402</v>
      </c>
      <c r="AW46" t="n">
        <v>586.095</v>
      </c>
      <c r="AX46" t="n">
        <v>948.497</v>
      </c>
      <c r="AY46" t="n">
        <v>578.731</v>
      </c>
      <c r="AZ46" t="n">
        <v>461.718</v>
      </c>
      <c r="BA46" t="n">
        <v>373.144</v>
      </c>
      <c r="BB46" t="n">
        <v>365.423</v>
      </c>
      <c r="BC46" t="n">
        <v>425.805</v>
      </c>
      <c r="BD46" t="n">
        <v>528.019</v>
      </c>
      <c r="BE46" t="n">
        <v>915.167</v>
      </c>
      <c r="BF46" t="n">
        <v>6603.474</v>
      </c>
      <c r="BG46" t="n">
        <v>7169.208</v>
      </c>
      <c r="BH46" t="n">
        <v>7126.887</v>
      </c>
      <c r="BI46" t="n">
        <v>7175.509</v>
      </c>
      <c r="BJ46" t="n">
        <v>5076.293</v>
      </c>
      <c r="BK46" t="n">
        <v>4958.844</v>
      </c>
      <c r="BL46" t="n">
        <v>7997.932</v>
      </c>
      <c r="BM46" t="n">
        <v>8413.157999999999</v>
      </c>
      <c r="BN46" t="n">
        <v>9026.936</v>
      </c>
      <c r="BO46" t="n">
        <v>8697.384</v>
      </c>
      <c r="BP46" t="n">
        <v>10037.94</v>
      </c>
      <c r="BQ46" t="n">
        <v>11156.577</v>
      </c>
      <c r="BR46" t="n">
        <v>11230.262</v>
      </c>
      <c r="BS46" t="n">
        <v>9346.941999999999</v>
      </c>
      <c r="BT46" t="n">
        <v>8720.963</v>
      </c>
      <c r="BU46" t="n">
        <v>6457.646</v>
      </c>
      <c r="BV46" t="n">
        <v>6676.256</v>
      </c>
    </row>
    <row r="47">
      <c r="A47" t="inlineStr">
        <is>
          <t>Pandalus borealis</t>
        </is>
      </c>
      <c r="B47" t="inlineStr">
        <is>
          <t>Northern prawn</t>
        </is>
      </c>
      <c r="C47" t="inlineStr">
        <is>
          <t>Shrimps</t>
        </is>
      </c>
      <c r="D47" t="inlineStr">
        <is>
          <t>Crustaceans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1609.403</v>
      </c>
      <c r="BA47" t="n">
        <v>2817.807</v>
      </c>
      <c r="BB47" t="n">
        <v>4592.116</v>
      </c>
      <c r="BC47" t="n">
        <v>8054.114</v>
      </c>
      <c r="BD47" t="n">
        <v>7994.559</v>
      </c>
      <c r="BE47" t="n">
        <v>7180.639</v>
      </c>
      <c r="BF47" t="n">
        <v>7737.432</v>
      </c>
      <c r="BG47" t="n">
        <v>7171.186</v>
      </c>
      <c r="BH47" t="n">
        <v>7370.648</v>
      </c>
      <c r="BI47" t="n">
        <v>6956.599</v>
      </c>
      <c r="BJ47" t="n">
        <v>8123.122</v>
      </c>
      <c r="BK47" t="n">
        <v>7315.82</v>
      </c>
      <c r="BL47" t="n">
        <v>7491.649</v>
      </c>
      <c r="BM47" t="n">
        <v>8536.226000000001</v>
      </c>
      <c r="BN47" t="n">
        <v>8305.567999999999</v>
      </c>
      <c r="BO47" t="n">
        <v>8444.530000000001</v>
      </c>
      <c r="BP47" t="n">
        <v>8229.942999999999</v>
      </c>
      <c r="BQ47" t="n">
        <v>9770.616</v>
      </c>
      <c r="BR47" t="n">
        <v>10442.581</v>
      </c>
      <c r="BS47" t="n">
        <v>10026.773</v>
      </c>
      <c r="BT47" t="n">
        <v>8824.724</v>
      </c>
      <c r="BU47" t="n">
        <v>10368.941</v>
      </c>
      <c r="BV47" t="n">
        <v>10717.58</v>
      </c>
    </row>
    <row r="48">
      <c r="A48" t="inlineStr">
        <is>
          <t>Cephalopoda</t>
        </is>
      </c>
      <c r="B48" t="inlineStr">
        <is>
          <t>Squids, cuttlefishes, octopuses</t>
        </is>
      </c>
      <c r="C48" t="inlineStr">
        <is>
          <t>Cephalopods</t>
        </is>
      </c>
      <c r="D48" t="inlineStr">
        <is>
          <t>Other fishes &amp; inverts</t>
        </is>
      </c>
      <c r="E48" t="n">
        <v>130.476</v>
      </c>
      <c r="F48" t="n">
        <v>130.476</v>
      </c>
      <c r="G48" t="n">
        <v>130.476</v>
      </c>
      <c r="H48" t="n">
        <v>142.727</v>
      </c>
      <c r="I48" t="n">
        <v>117.585</v>
      </c>
      <c r="J48" t="n">
        <v>101.559</v>
      </c>
      <c r="K48" t="n">
        <v>144.934</v>
      </c>
      <c r="L48" t="n">
        <v>157.825</v>
      </c>
      <c r="M48" t="n">
        <v>148.708</v>
      </c>
      <c r="N48" t="n">
        <v>154.689</v>
      </c>
      <c r="O48" t="n">
        <v>154.689</v>
      </c>
      <c r="P48" t="n">
        <v>154.689</v>
      </c>
      <c r="Q48" t="n">
        <v>154.689</v>
      </c>
      <c r="R48" t="n">
        <v>162.238</v>
      </c>
      <c r="S48" t="n">
        <v>176.697</v>
      </c>
      <c r="T48" t="n">
        <v>171.355</v>
      </c>
      <c r="U48" t="n">
        <v>157.825</v>
      </c>
      <c r="V48" t="n">
        <v>176.058</v>
      </c>
      <c r="W48" t="n">
        <v>176.058</v>
      </c>
      <c r="X48" t="n">
        <v>179.832</v>
      </c>
      <c r="Y48" t="n">
        <v>200.272</v>
      </c>
      <c r="Z48" t="n">
        <v>220.711</v>
      </c>
      <c r="AA48" t="n">
        <v>235.808</v>
      </c>
      <c r="AB48" t="n">
        <v>232.034</v>
      </c>
      <c r="AC48" t="n">
        <v>260.022</v>
      </c>
      <c r="AD48" t="n">
        <v>280.462</v>
      </c>
      <c r="AE48" t="n">
        <v>286.443</v>
      </c>
      <c r="AF48" t="n">
        <v>246.493</v>
      </c>
      <c r="AG48" t="n">
        <v>2024.001</v>
      </c>
      <c r="AH48" t="n">
        <v>2274.024</v>
      </c>
      <c r="AI48" t="n">
        <v>2845.446</v>
      </c>
      <c r="AJ48" t="n">
        <v>2770.605</v>
      </c>
      <c r="AK48" t="n">
        <v>4002.387</v>
      </c>
      <c r="AL48" t="n">
        <v>3038.553</v>
      </c>
      <c r="AM48" t="n">
        <v>3680.948</v>
      </c>
      <c r="AN48" t="n">
        <v>4172.524</v>
      </c>
      <c r="AO48" t="n">
        <v>4212.887</v>
      </c>
      <c r="AP48" t="n">
        <v>7972.569</v>
      </c>
      <c r="AQ48" t="n">
        <v>7532.352</v>
      </c>
      <c r="AR48" t="n">
        <v>7774.746</v>
      </c>
      <c r="AS48" t="n">
        <v>3607.071</v>
      </c>
      <c r="AT48" t="n">
        <v>4193.342</v>
      </c>
      <c r="AU48" t="n">
        <v>4101.951</v>
      </c>
      <c r="AV48" t="n">
        <v>1789.83</v>
      </c>
      <c r="AW48" t="n">
        <v>2981.226</v>
      </c>
      <c r="AX48" t="n">
        <v>3755.813</v>
      </c>
      <c r="AY48" t="n">
        <v>3374.418</v>
      </c>
      <c r="AZ48" t="n">
        <v>3376.004</v>
      </c>
      <c r="BA48" t="n">
        <v>2923.459</v>
      </c>
      <c r="BB48" t="n">
        <v>2940.989</v>
      </c>
      <c r="BC48" t="n">
        <v>2537.352</v>
      </c>
      <c r="BD48" t="n">
        <v>2021.044</v>
      </c>
      <c r="BE48" t="n">
        <v>1689.245</v>
      </c>
      <c r="BF48" t="n">
        <v>2480.708</v>
      </c>
      <c r="BG48" t="n">
        <v>3208.929</v>
      </c>
      <c r="BH48" t="n">
        <v>3045.445</v>
      </c>
      <c r="BI48" t="n">
        <v>2246.2</v>
      </c>
      <c r="BJ48" t="n">
        <v>3298.617</v>
      </c>
      <c r="BK48" t="n">
        <v>3882.699</v>
      </c>
      <c r="BL48" t="n">
        <v>3789.844</v>
      </c>
      <c r="BM48" t="n">
        <v>3817.131</v>
      </c>
      <c r="BN48" t="n">
        <v>3500.95</v>
      </c>
      <c r="BO48" t="n">
        <v>3910.776</v>
      </c>
      <c r="BP48" t="n">
        <v>5570.888</v>
      </c>
      <c r="BQ48" t="n">
        <v>5340.046</v>
      </c>
      <c r="BR48" t="n">
        <v>5170.686</v>
      </c>
      <c r="BS48" t="n">
        <v>5376.484</v>
      </c>
      <c r="BT48" t="n">
        <v>4963.394</v>
      </c>
      <c r="BU48" t="n">
        <v>4640.522</v>
      </c>
      <c r="BV48" t="n">
        <v>4626.355</v>
      </c>
    </row>
    <row r="49">
      <c r="A49" t="inlineStr">
        <is>
          <t>Trachurus japonicus</t>
        </is>
      </c>
      <c r="B49" t="inlineStr">
        <is>
          <t>Japanese jack mackerel</t>
        </is>
      </c>
      <c r="C49" t="inlineStr">
        <is>
          <t>Medium demersals (30 - 89 cm)</t>
        </is>
      </c>
      <c r="D49" t="inlineStr">
        <is>
          <t>Perch-likes</t>
        </is>
      </c>
      <c r="E49" t="n">
        <v>2682.143</v>
      </c>
      <c r="F49" t="n">
        <v>2682.143</v>
      </c>
      <c r="G49" t="n">
        <v>2682.143</v>
      </c>
      <c r="H49" t="n">
        <v>2969.519</v>
      </c>
      <c r="I49" t="n">
        <v>3083.465</v>
      </c>
      <c r="J49" t="n">
        <v>2917.17</v>
      </c>
      <c r="K49" t="n">
        <v>3028.005</v>
      </c>
      <c r="L49" t="n">
        <v>3676.522</v>
      </c>
      <c r="M49" t="n">
        <v>3661.253</v>
      </c>
      <c r="N49" t="n">
        <v>4191.959</v>
      </c>
      <c r="O49" t="n">
        <v>5415.276</v>
      </c>
      <c r="P49" t="n">
        <v>4872.302</v>
      </c>
      <c r="Q49" t="n">
        <v>4864.299</v>
      </c>
      <c r="R49" t="n">
        <v>4315.839</v>
      </c>
      <c r="S49" t="n">
        <v>4771.881</v>
      </c>
      <c r="T49" t="n">
        <v>4914.436</v>
      </c>
      <c r="U49" t="n">
        <v>4656.869</v>
      </c>
      <c r="V49" t="n">
        <v>3450.072</v>
      </c>
      <c r="W49" t="n">
        <v>3079.44</v>
      </c>
      <c r="X49" t="n">
        <v>2792.334</v>
      </c>
      <c r="Y49" t="n">
        <v>2124.722</v>
      </c>
      <c r="Z49" t="n">
        <v>2431.674</v>
      </c>
      <c r="AA49" t="n">
        <v>1395.969</v>
      </c>
      <c r="AB49" t="n">
        <v>1187.008</v>
      </c>
      <c r="AC49" t="n">
        <v>1488.155</v>
      </c>
      <c r="AD49" t="n">
        <v>1659.624</v>
      </c>
      <c r="AE49" t="n">
        <v>1260.984</v>
      </c>
      <c r="AF49" t="n">
        <v>1037.926</v>
      </c>
      <c r="AG49" t="n">
        <v>845.441</v>
      </c>
      <c r="AH49" t="n">
        <v>1080.869</v>
      </c>
      <c r="AI49" t="n">
        <v>865.351</v>
      </c>
      <c r="AJ49" t="n">
        <v>955.717</v>
      </c>
      <c r="AK49" t="n">
        <v>1289.3</v>
      </c>
      <c r="AL49" t="n">
        <v>1477.255</v>
      </c>
      <c r="AM49" t="n">
        <v>1449.185</v>
      </c>
      <c r="AN49" t="n">
        <v>1554.821</v>
      </c>
      <c r="AO49" t="n">
        <v>1151.326</v>
      </c>
      <c r="AP49" t="n">
        <v>1603.822</v>
      </c>
      <c r="AQ49" t="n">
        <v>1804.398</v>
      </c>
      <c r="AR49" t="n">
        <v>1579.391</v>
      </c>
      <c r="AS49" t="n">
        <v>1858.009</v>
      </c>
      <c r="AT49" t="n">
        <v>1853.645</v>
      </c>
      <c r="AU49" t="n">
        <v>2041.8</v>
      </c>
      <c r="AV49" t="n">
        <v>2690.154</v>
      </c>
      <c r="AW49" t="n">
        <v>2933.916</v>
      </c>
      <c r="AX49" t="n">
        <v>3009.923</v>
      </c>
      <c r="AY49" t="n">
        <v>3216.889</v>
      </c>
      <c r="AZ49" t="n">
        <v>3056.59</v>
      </c>
      <c r="BA49" t="n">
        <v>2942.768</v>
      </c>
      <c r="BB49" t="n">
        <v>2159.555</v>
      </c>
      <c r="BC49" t="n">
        <v>2527.991</v>
      </c>
      <c r="BD49" t="n">
        <v>2278.268</v>
      </c>
      <c r="BE49" t="n">
        <v>2129.481</v>
      </c>
      <c r="BF49" t="n">
        <v>1861.513</v>
      </c>
      <c r="BG49" t="n">
        <v>2060.922</v>
      </c>
      <c r="BH49" t="n">
        <v>2015.84</v>
      </c>
      <c r="BI49" t="n">
        <v>1790.075</v>
      </c>
      <c r="BJ49" t="n">
        <v>1964.627</v>
      </c>
      <c r="BK49" t="n">
        <v>1593.797</v>
      </c>
      <c r="BL49" t="n">
        <v>1387.331</v>
      </c>
      <c r="BM49" t="n">
        <v>1205.01</v>
      </c>
      <c r="BN49" t="n">
        <v>1381.089</v>
      </c>
      <c r="BO49" t="n">
        <v>1161.46</v>
      </c>
      <c r="BP49" t="n">
        <v>1277.736</v>
      </c>
      <c r="BQ49" t="n">
        <v>1268.626</v>
      </c>
      <c r="BR49" t="n">
        <v>1295.822</v>
      </c>
      <c r="BS49" t="n">
        <v>1129.558</v>
      </c>
      <c r="BT49" t="n">
        <v>1253.155</v>
      </c>
      <c r="BU49" t="n">
        <v>1078.395</v>
      </c>
      <c r="BV49" t="n">
        <v>1062.411</v>
      </c>
    </row>
    <row r="50">
      <c r="A50" t="inlineStr">
        <is>
          <t>Mizuhopecten yessoensis</t>
        </is>
      </c>
      <c r="B50" t="inlineStr">
        <is>
          <t>Yesso scallop</t>
        </is>
      </c>
      <c r="C50" t="inlineStr">
        <is>
          <t>Other demersal invertebrates</t>
        </is>
      </c>
      <c r="D50" t="inlineStr">
        <is>
          <t>Molluscs</t>
        </is>
      </c>
      <c r="E50" t="n">
        <v>1765.394</v>
      </c>
      <c r="F50" t="n">
        <v>189.149</v>
      </c>
      <c r="G50" t="n">
        <v>0</v>
      </c>
      <c r="H50" t="n">
        <v>0</v>
      </c>
      <c r="I50" t="n">
        <v>0</v>
      </c>
      <c r="J50" t="n">
        <v>69.355</v>
      </c>
      <c r="K50" t="n">
        <v>138.71</v>
      </c>
      <c r="L50" t="n">
        <v>138.71</v>
      </c>
      <c r="M50" t="n">
        <v>138.71</v>
      </c>
      <c r="N50" t="n">
        <v>138.71</v>
      </c>
      <c r="O50" t="n">
        <v>208.064</v>
      </c>
      <c r="P50" t="n">
        <v>138.71</v>
      </c>
      <c r="Q50" t="n">
        <v>3675.802</v>
      </c>
      <c r="R50" t="n">
        <v>1803.224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2.494</v>
      </c>
      <c r="Z50" t="n">
        <v>0.371</v>
      </c>
      <c r="AA50" t="n">
        <v>34.513</v>
      </c>
      <c r="AB50" t="n">
        <v>12.934</v>
      </c>
      <c r="AC50" t="n">
        <v>4.457</v>
      </c>
      <c r="AD50" t="n">
        <v>2.373</v>
      </c>
      <c r="AE50" t="n">
        <v>45.365</v>
      </c>
      <c r="AF50" t="n">
        <v>0</v>
      </c>
      <c r="AG50" t="n">
        <v>0</v>
      </c>
      <c r="AH50" t="n">
        <v>1818.482</v>
      </c>
      <c r="AI50" t="n">
        <v>1153.948</v>
      </c>
      <c r="AJ50" t="n">
        <v>1257.633</v>
      </c>
      <c r="AK50" t="n">
        <v>1192.744</v>
      </c>
      <c r="AL50" t="n">
        <v>1572.672</v>
      </c>
      <c r="AM50" t="n">
        <v>1113.165</v>
      </c>
      <c r="AN50" t="n">
        <v>1804.485</v>
      </c>
      <c r="AO50" t="n">
        <v>2267.564</v>
      </c>
      <c r="AP50" t="n">
        <v>1928.483</v>
      </c>
      <c r="AQ50" t="n">
        <v>2060.94</v>
      </c>
      <c r="AR50" t="n">
        <v>2400.683</v>
      </c>
      <c r="AS50" t="n">
        <v>1566.493</v>
      </c>
      <c r="AT50" t="n">
        <v>1476.328</v>
      </c>
      <c r="AU50" t="n">
        <v>2244.879</v>
      </c>
      <c r="AV50" t="n">
        <v>2281.078</v>
      </c>
      <c r="AW50" t="n">
        <v>2695.82</v>
      </c>
      <c r="AX50" t="n">
        <v>3612.185</v>
      </c>
      <c r="AY50" t="n">
        <v>4167.086</v>
      </c>
      <c r="AZ50" t="n">
        <v>4535.927</v>
      </c>
      <c r="BA50" t="n">
        <v>5125.254</v>
      </c>
      <c r="BB50" t="n">
        <v>4724.446</v>
      </c>
      <c r="BC50" t="n">
        <v>4694.939</v>
      </c>
      <c r="BD50" t="n">
        <v>1832.731</v>
      </c>
      <c r="BE50" t="n">
        <v>2960.566</v>
      </c>
      <c r="BF50" t="n">
        <v>2337.634</v>
      </c>
      <c r="BG50" t="n">
        <v>2407.304</v>
      </c>
      <c r="BH50" t="n">
        <v>2272.062</v>
      </c>
      <c r="BI50" t="n">
        <v>2044.2</v>
      </c>
      <c r="BJ50" t="n">
        <v>1452.415</v>
      </c>
      <c r="BK50" t="n">
        <v>2928.599</v>
      </c>
      <c r="BL50" t="n">
        <v>3112.2</v>
      </c>
      <c r="BM50" t="n">
        <v>2875.322</v>
      </c>
      <c r="BN50" t="n">
        <v>2752.375</v>
      </c>
      <c r="BO50" t="n">
        <v>2080.264</v>
      </c>
      <c r="BP50" t="n">
        <v>2953.194</v>
      </c>
      <c r="BQ50" t="n">
        <v>6421.79</v>
      </c>
      <c r="BR50" t="n">
        <v>7318.184</v>
      </c>
      <c r="BS50" t="n">
        <v>8894.796</v>
      </c>
      <c r="BT50" t="n">
        <v>9178.901</v>
      </c>
      <c r="BU50" t="n">
        <v>9112.334999999999</v>
      </c>
      <c r="BV50" t="n">
        <v>9271.076999999999</v>
      </c>
    </row>
    <row r="51">
      <c r="A51" t="inlineStr">
        <is>
          <t>Octopodidae</t>
        </is>
      </c>
      <c r="B51" t="inlineStr">
        <is>
          <t>Octopuses</t>
        </is>
      </c>
      <c r="C51" t="inlineStr">
        <is>
          <t>Cephalopods</t>
        </is>
      </c>
      <c r="D51" t="inlineStr">
        <is>
          <t>Other fishes &amp; inverts</t>
        </is>
      </c>
      <c r="E51" t="n">
        <v>0.082</v>
      </c>
      <c r="F51" t="n">
        <v>0.099</v>
      </c>
      <c r="G51" t="n">
        <v>0.122</v>
      </c>
      <c r="H51" t="n">
        <v>0.133</v>
      </c>
      <c r="I51" t="n">
        <v>0.139</v>
      </c>
      <c r="J51" t="n">
        <v>0.176</v>
      </c>
      <c r="K51" t="n">
        <v>0.203</v>
      </c>
      <c r="L51" t="n">
        <v>0.224</v>
      </c>
      <c r="M51" t="n">
        <v>2.634</v>
      </c>
      <c r="N51" t="n">
        <v>2.7</v>
      </c>
      <c r="O51" t="n">
        <v>2.913</v>
      </c>
      <c r="P51" t="n">
        <v>3.086</v>
      </c>
      <c r="Q51" t="n">
        <v>5.732</v>
      </c>
      <c r="R51" t="n">
        <v>10.523</v>
      </c>
      <c r="S51" t="n">
        <v>4483.54</v>
      </c>
      <c r="T51" t="n">
        <v>4585.721</v>
      </c>
      <c r="U51" t="n">
        <v>3936.776</v>
      </c>
      <c r="V51" t="n">
        <v>4300.211</v>
      </c>
      <c r="W51" t="n">
        <v>3821.258</v>
      </c>
      <c r="X51" t="n">
        <v>6725.954</v>
      </c>
      <c r="Y51" t="n">
        <v>6572.253</v>
      </c>
      <c r="Z51" t="n">
        <v>6959.356</v>
      </c>
      <c r="AA51" t="n">
        <v>6860.577</v>
      </c>
      <c r="AB51" t="n">
        <v>6643.161</v>
      </c>
      <c r="AC51" t="n">
        <v>6382.771</v>
      </c>
      <c r="AD51" t="n">
        <v>6370.169</v>
      </c>
      <c r="AE51" t="n">
        <v>6405.461</v>
      </c>
      <c r="AF51" t="n">
        <v>4726.323</v>
      </c>
      <c r="AG51" t="n">
        <v>4003.281</v>
      </c>
      <c r="AH51" t="n">
        <v>4544.883</v>
      </c>
      <c r="AI51" t="n">
        <v>6270.433</v>
      </c>
      <c r="AJ51" t="n">
        <v>6182.181</v>
      </c>
      <c r="AK51" t="n">
        <v>5362.726</v>
      </c>
      <c r="AL51" t="n">
        <v>6044.564</v>
      </c>
      <c r="AM51" t="n">
        <v>6174.524</v>
      </c>
      <c r="AN51" t="n">
        <v>6267.411</v>
      </c>
      <c r="AO51" t="n">
        <v>5056.06</v>
      </c>
      <c r="AP51" t="n">
        <v>5801.367</v>
      </c>
      <c r="AQ51" t="n">
        <v>256.999</v>
      </c>
      <c r="AR51" t="n">
        <v>223.552</v>
      </c>
      <c r="AS51" t="n">
        <v>0</v>
      </c>
      <c r="AT51" t="n">
        <v>21.066</v>
      </c>
      <c r="AU51" t="n">
        <v>15.888</v>
      </c>
      <c r="AV51" t="n">
        <v>2290.962</v>
      </c>
      <c r="AW51" t="n">
        <v>2611.548</v>
      </c>
      <c r="AX51" t="n">
        <v>1841.804</v>
      </c>
      <c r="AY51" t="n">
        <v>1284.587</v>
      </c>
      <c r="AZ51" t="n">
        <v>1252.983</v>
      </c>
      <c r="BA51" t="n">
        <v>22.265</v>
      </c>
      <c r="BB51" t="n">
        <v>193.903</v>
      </c>
      <c r="BC51" t="n">
        <v>18.99</v>
      </c>
      <c r="BD51" t="n">
        <v>75.639</v>
      </c>
      <c r="BE51" t="n">
        <v>50.423</v>
      </c>
      <c r="BF51" t="n">
        <v>119.181</v>
      </c>
      <c r="BG51" t="n">
        <v>87.09399999999999</v>
      </c>
      <c r="BH51" t="n">
        <v>129.003</v>
      </c>
      <c r="BI51" t="n">
        <v>24.229</v>
      </c>
      <c r="BJ51" t="n">
        <v>62.865</v>
      </c>
      <c r="BK51" t="n">
        <v>16.371</v>
      </c>
      <c r="BL51" t="n">
        <v>42.565</v>
      </c>
      <c r="BM51" t="n">
        <v>34.052</v>
      </c>
      <c r="BN51" t="n">
        <v>0</v>
      </c>
      <c r="BO51" t="n">
        <v>2.889</v>
      </c>
      <c r="BP51" t="n">
        <v>55.053</v>
      </c>
      <c r="BQ51" t="n">
        <v>3.254</v>
      </c>
      <c r="BR51" t="n">
        <v>2.974</v>
      </c>
      <c r="BS51" t="n">
        <v>2.498</v>
      </c>
      <c r="BT51" t="n">
        <v>7.968</v>
      </c>
      <c r="BU51" t="n">
        <v>0.639</v>
      </c>
      <c r="BV51" t="n">
        <v>0.208</v>
      </c>
    </row>
    <row r="52">
      <c r="A52" t="inlineStr">
        <is>
          <t>Sciaenidae</t>
        </is>
      </c>
      <c r="B52" t="inlineStr">
        <is>
          <t>Drums, croakers</t>
        </is>
      </c>
      <c r="C52" t="inlineStr">
        <is>
          <t>Medium demersals (30 - 89 cm)</t>
        </is>
      </c>
      <c r="D52" t="inlineStr">
        <is>
          <t>Perch-likes</t>
        </is>
      </c>
      <c r="E52" t="n">
        <v>2865.829</v>
      </c>
      <c r="F52" t="n">
        <v>2866.8</v>
      </c>
      <c r="G52" t="n">
        <v>2866.874</v>
      </c>
      <c r="H52" t="n">
        <v>2704.984</v>
      </c>
      <c r="I52" t="n">
        <v>3150.991</v>
      </c>
      <c r="J52" t="n">
        <v>3693.713</v>
      </c>
      <c r="K52" t="n">
        <v>3522.325</v>
      </c>
      <c r="L52" t="n">
        <v>3719.633</v>
      </c>
      <c r="M52" t="n">
        <v>3551.705</v>
      </c>
      <c r="N52" t="n">
        <v>3618.251</v>
      </c>
      <c r="O52" t="n">
        <v>3920.201</v>
      </c>
      <c r="P52" t="n">
        <v>3505.645</v>
      </c>
      <c r="Q52" t="n">
        <v>3113.5</v>
      </c>
      <c r="R52" t="n">
        <v>3133.42</v>
      </c>
      <c r="S52" t="n">
        <v>2234.811</v>
      </c>
      <c r="T52" t="n">
        <v>3034.77</v>
      </c>
      <c r="U52" t="n">
        <v>2991.904</v>
      </c>
      <c r="V52" t="n">
        <v>2624.19</v>
      </c>
      <c r="W52" t="n">
        <v>2147.307</v>
      </c>
      <c r="X52" t="n">
        <v>1987.855</v>
      </c>
      <c r="Y52" t="n">
        <v>1910.107</v>
      </c>
      <c r="Z52" t="n">
        <v>1469.098</v>
      </c>
      <c r="AA52" t="n">
        <v>1230.576</v>
      </c>
      <c r="AB52" t="n">
        <v>1331.48</v>
      </c>
      <c r="AC52" t="n">
        <v>1503.853</v>
      </c>
      <c r="AD52" t="n">
        <v>1309.54</v>
      </c>
      <c r="AE52" t="n">
        <v>1131.031</v>
      </c>
      <c r="AF52" t="n">
        <v>1165.254</v>
      </c>
      <c r="AG52" t="n">
        <v>1069.002</v>
      </c>
      <c r="AH52" t="n">
        <v>1129.18</v>
      </c>
      <c r="AI52" t="n">
        <v>920.627</v>
      </c>
      <c r="AJ52" t="n">
        <v>953.252</v>
      </c>
      <c r="AK52" t="n">
        <v>864.14</v>
      </c>
      <c r="AL52" t="n">
        <v>755.079</v>
      </c>
      <c r="AM52" t="n">
        <v>686.13</v>
      </c>
      <c r="AN52" t="n">
        <v>605.6319999999999</v>
      </c>
      <c r="AO52" t="n">
        <v>562.061</v>
      </c>
      <c r="AP52" t="n">
        <v>530.679</v>
      </c>
      <c r="AQ52" t="n">
        <v>469.345</v>
      </c>
      <c r="AR52" t="n">
        <v>406.684</v>
      </c>
      <c r="AS52" t="n">
        <v>374.802</v>
      </c>
      <c r="AT52" t="n">
        <v>375.718</v>
      </c>
      <c r="AU52" t="n">
        <v>325.772</v>
      </c>
      <c r="AV52" t="n">
        <v>219.439</v>
      </c>
      <c r="AW52" t="n">
        <v>244.966</v>
      </c>
      <c r="AX52" t="n">
        <v>609.393</v>
      </c>
      <c r="AY52" t="n">
        <v>212.047</v>
      </c>
      <c r="AZ52" t="n">
        <v>178.421</v>
      </c>
      <c r="BA52" t="n">
        <v>161.843</v>
      </c>
      <c r="BB52" t="n">
        <v>298.118</v>
      </c>
      <c r="BC52" t="n">
        <v>144.738</v>
      </c>
      <c r="BD52" t="n">
        <v>154.753</v>
      </c>
      <c r="BE52" t="n">
        <v>137.063</v>
      </c>
      <c r="BF52" t="n">
        <v>1380.952</v>
      </c>
      <c r="BG52" t="n">
        <v>1638.026</v>
      </c>
      <c r="BH52" t="n">
        <v>1716.743</v>
      </c>
      <c r="BI52" t="n">
        <v>1770.247</v>
      </c>
      <c r="BJ52" t="n">
        <v>1779.69</v>
      </c>
      <c r="BK52" t="n">
        <v>1923.747</v>
      </c>
      <c r="BL52" t="n">
        <v>1765.139</v>
      </c>
      <c r="BM52" t="n">
        <v>1820.616</v>
      </c>
      <c r="BN52" t="n">
        <v>2443.144</v>
      </c>
      <c r="BO52" t="n">
        <v>2118.588</v>
      </c>
      <c r="BP52" t="n">
        <v>1857.142</v>
      </c>
      <c r="BQ52" t="n">
        <v>2129.374</v>
      </c>
      <c r="BR52" t="n">
        <v>1888.009</v>
      </c>
      <c r="BS52" t="n">
        <v>1780.656</v>
      </c>
      <c r="BT52" t="n">
        <v>1671.673</v>
      </c>
      <c r="BU52" t="n">
        <v>1501.157</v>
      </c>
      <c r="BV52" t="n">
        <v>1433.235</v>
      </c>
    </row>
    <row r="53">
      <c r="A53" t="inlineStr">
        <is>
          <t>Carangidae</t>
        </is>
      </c>
      <c r="B53" t="inlineStr">
        <is>
          <t>Jacks, pompanos</t>
        </is>
      </c>
      <c r="C53" t="inlineStr">
        <is>
          <t>Medium pelagics (30 - 89 cm)</t>
        </is>
      </c>
      <c r="D53" t="inlineStr">
        <is>
          <t>Perch-likes</t>
        </is>
      </c>
      <c r="E53" t="n">
        <v>606.066</v>
      </c>
      <c r="F53" t="n">
        <v>620.437</v>
      </c>
      <c r="G53" t="n">
        <v>625.207</v>
      </c>
      <c r="H53" t="n">
        <v>760.7809999999999</v>
      </c>
      <c r="I53" t="n">
        <v>812.689</v>
      </c>
      <c r="J53" t="n">
        <v>807.9880000000001</v>
      </c>
      <c r="K53" t="n">
        <v>866.369</v>
      </c>
      <c r="L53" t="n">
        <v>1287.321</v>
      </c>
      <c r="M53" t="n">
        <v>1653.397</v>
      </c>
      <c r="N53" t="n">
        <v>1002.764</v>
      </c>
      <c r="O53" t="n">
        <v>1790.755</v>
      </c>
      <c r="P53" t="n">
        <v>1289.981</v>
      </c>
      <c r="Q53" t="n">
        <v>913.759</v>
      </c>
      <c r="R53" t="n">
        <v>976.461</v>
      </c>
      <c r="S53" t="n">
        <v>1149.823</v>
      </c>
      <c r="T53" t="n">
        <v>1449.197</v>
      </c>
      <c r="U53" t="n">
        <v>1864.071</v>
      </c>
      <c r="V53" t="n">
        <v>4155.032</v>
      </c>
      <c r="W53" t="n">
        <v>2415.603</v>
      </c>
      <c r="X53" t="n">
        <v>2661.834</v>
      </c>
      <c r="Y53" t="n">
        <v>2487.87</v>
      </c>
      <c r="Z53" t="n">
        <v>2242.307</v>
      </c>
      <c r="AA53" t="n">
        <v>2233.24</v>
      </c>
      <c r="AB53" t="n">
        <v>2442.712</v>
      </c>
      <c r="AC53" t="n">
        <v>2261.102</v>
      </c>
      <c r="AD53" t="n">
        <v>2226.628</v>
      </c>
      <c r="AE53" t="n">
        <v>3183.551</v>
      </c>
      <c r="AF53" t="n">
        <v>3267.953</v>
      </c>
      <c r="AG53" t="n">
        <v>3116.422</v>
      </c>
      <c r="AH53" t="n">
        <v>3336.335</v>
      </c>
      <c r="AI53" t="n">
        <v>3038.977</v>
      </c>
      <c r="AJ53" t="n">
        <v>2003.865</v>
      </c>
      <c r="AK53" t="n">
        <v>2288.927</v>
      </c>
      <c r="AL53" t="n">
        <v>1468.107</v>
      </c>
      <c r="AM53" t="n">
        <v>3197.17</v>
      </c>
      <c r="AN53" t="n">
        <v>2372.046</v>
      </c>
      <c r="AO53" t="n">
        <v>2301.532</v>
      </c>
      <c r="AP53" t="n">
        <v>2311.645</v>
      </c>
      <c r="AQ53" t="n">
        <v>2024.343</v>
      </c>
      <c r="AR53" t="n">
        <v>3217.527</v>
      </c>
      <c r="AS53" t="n">
        <v>3580.973</v>
      </c>
      <c r="AT53" t="n">
        <v>3893.616</v>
      </c>
      <c r="AU53" t="n">
        <v>2777.227</v>
      </c>
      <c r="AV53" t="n">
        <v>1690.679</v>
      </c>
      <c r="AW53" t="n">
        <v>1647.174</v>
      </c>
      <c r="AX53" t="n">
        <v>2538.444</v>
      </c>
      <c r="AY53" t="n">
        <v>2025.947</v>
      </c>
      <c r="AZ53" t="n">
        <v>1760.025</v>
      </c>
      <c r="BA53" t="n">
        <v>2067.426</v>
      </c>
      <c r="BB53" t="n">
        <v>1675.952</v>
      </c>
      <c r="BC53" t="n">
        <v>1308.636</v>
      </c>
      <c r="BD53" t="n">
        <v>1490.135</v>
      </c>
      <c r="BE53" t="n">
        <v>1518.476</v>
      </c>
      <c r="BF53" t="n">
        <v>1173.281</v>
      </c>
      <c r="BG53" t="n">
        <v>815.006</v>
      </c>
      <c r="BH53" t="n">
        <v>724.5549999999999</v>
      </c>
      <c r="BI53" t="n">
        <v>750.5</v>
      </c>
      <c r="BJ53" t="n">
        <v>773.377</v>
      </c>
      <c r="BK53" t="n">
        <v>1031.591</v>
      </c>
      <c r="BL53" t="n">
        <v>793.795</v>
      </c>
      <c r="BM53" t="n">
        <v>747.4930000000001</v>
      </c>
      <c r="BN53" t="n">
        <v>0</v>
      </c>
      <c r="BO53" t="n">
        <v>0</v>
      </c>
      <c r="BP53" t="n">
        <v>4.828</v>
      </c>
      <c r="BQ53" t="n">
        <v>0</v>
      </c>
      <c r="BR53" t="n">
        <v>0</v>
      </c>
      <c r="BS53" t="n">
        <v>0</v>
      </c>
      <c r="BT53" t="n">
        <v>0</v>
      </c>
      <c r="BU53" t="n">
        <v>0.729</v>
      </c>
      <c r="BV53" t="n">
        <v>0.885</v>
      </c>
    </row>
    <row r="54">
      <c r="A54" t="inlineStr">
        <is>
          <t>Sebastes</t>
        </is>
      </c>
      <c r="B54" t="inlineStr">
        <is>
          <t>Redfishes</t>
        </is>
      </c>
      <c r="C54" t="inlineStr">
        <is>
          <t>Large reef assoc. fish (&gt;=90 cm)</t>
        </is>
      </c>
      <c r="D54" t="inlineStr">
        <is>
          <t>Scorpionfishes</t>
        </is>
      </c>
      <c r="E54" t="n">
        <v>702.663</v>
      </c>
      <c r="F54" t="n">
        <v>702.663</v>
      </c>
      <c r="G54" t="n">
        <v>702.663</v>
      </c>
      <c r="H54" t="n">
        <v>702.663</v>
      </c>
      <c r="I54" t="n">
        <v>702.663</v>
      </c>
      <c r="J54" t="n">
        <v>702.663</v>
      </c>
      <c r="K54" t="n">
        <v>659.771</v>
      </c>
      <c r="L54" t="n">
        <v>600.6369999999999</v>
      </c>
      <c r="M54" t="n">
        <v>732.261</v>
      </c>
      <c r="N54" t="n">
        <v>909.889</v>
      </c>
      <c r="O54" t="n">
        <v>1066.075</v>
      </c>
      <c r="P54" t="n">
        <v>868.1849999999999</v>
      </c>
      <c r="Q54" t="n">
        <v>1699.355</v>
      </c>
      <c r="R54" t="n">
        <v>2684.911</v>
      </c>
      <c r="S54" t="n">
        <v>3478.545</v>
      </c>
      <c r="T54" t="n">
        <v>5027.238</v>
      </c>
      <c r="U54" t="n">
        <v>5639.36</v>
      </c>
      <c r="V54" t="n">
        <v>5701.149</v>
      </c>
      <c r="W54" t="n">
        <v>5941.98</v>
      </c>
      <c r="X54" t="n">
        <v>4522.516</v>
      </c>
      <c r="Y54" t="n">
        <v>3307.54</v>
      </c>
      <c r="Z54" t="n">
        <v>3821.047</v>
      </c>
      <c r="AA54" t="n">
        <v>3811.586</v>
      </c>
      <c r="AB54" t="n">
        <v>4345.33</v>
      </c>
      <c r="AC54" t="n">
        <v>4809.99</v>
      </c>
      <c r="AD54" t="n">
        <v>3692.976</v>
      </c>
      <c r="AE54" t="n">
        <v>3514.704</v>
      </c>
      <c r="AF54" t="n">
        <v>2593.433</v>
      </c>
      <c r="AG54" t="n">
        <v>1823.229</v>
      </c>
      <c r="AH54" t="n">
        <v>2196.933</v>
      </c>
      <c r="AI54" t="n">
        <v>1865.513</v>
      </c>
      <c r="AJ54" t="n">
        <v>1758.919</v>
      </c>
      <c r="AK54" t="n">
        <v>1347.31</v>
      </c>
      <c r="AL54" t="n">
        <v>1183.035</v>
      </c>
      <c r="AM54" t="n">
        <v>1237.257</v>
      </c>
      <c r="AN54" t="n">
        <v>1222.256</v>
      </c>
      <c r="AO54" t="n">
        <v>1279.961</v>
      </c>
      <c r="AP54" t="n">
        <v>793.6</v>
      </c>
      <c r="AQ54" t="n">
        <v>653.8150000000001</v>
      </c>
      <c r="AR54" t="n">
        <v>522.47</v>
      </c>
      <c r="AS54" t="n">
        <v>674.837</v>
      </c>
      <c r="AT54" t="n">
        <v>451.962</v>
      </c>
      <c r="AU54" t="n">
        <v>393.383</v>
      </c>
      <c r="AV54" t="n">
        <v>459.528</v>
      </c>
      <c r="AW54" t="n">
        <v>449.696</v>
      </c>
      <c r="AX54" t="n">
        <v>361.137</v>
      </c>
      <c r="AY54" t="n">
        <v>398.819</v>
      </c>
      <c r="AZ54" t="n">
        <v>315.562</v>
      </c>
      <c r="BA54" t="n">
        <v>339.423</v>
      </c>
      <c r="BB54" t="n">
        <v>317.207</v>
      </c>
      <c r="BC54" t="n">
        <v>290.295</v>
      </c>
      <c r="BD54" t="n">
        <v>306.827</v>
      </c>
      <c r="BE54" t="n">
        <v>311.134</v>
      </c>
      <c r="BF54" t="n">
        <v>290.615</v>
      </c>
      <c r="BG54" t="n">
        <v>251.688</v>
      </c>
      <c r="BH54" t="n">
        <v>177.022</v>
      </c>
      <c r="BI54" t="n">
        <v>218.66</v>
      </c>
      <c r="BJ54" t="n">
        <v>183.748</v>
      </c>
      <c r="BK54" t="n">
        <v>178.344</v>
      </c>
      <c r="BL54" t="n">
        <v>162.131</v>
      </c>
      <c r="BM54" t="n">
        <v>145.918</v>
      </c>
      <c r="BN54" t="n">
        <v>145.918</v>
      </c>
      <c r="BO54" t="n">
        <v>145.918</v>
      </c>
      <c r="BP54" t="n">
        <v>145.918</v>
      </c>
      <c r="BQ54" t="n">
        <v>145.918</v>
      </c>
      <c r="BR54" t="n">
        <v>145.918</v>
      </c>
      <c r="BS54" t="n">
        <v>145.918</v>
      </c>
      <c r="BT54" t="n">
        <v>151.297</v>
      </c>
      <c r="BU54" t="n">
        <v>151.297</v>
      </c>
      <c r="BV54" t="n">
        <v>151.297</v>
      </c>
    </row>
    <row r="55">
      <c r="A55" t="inlineStr">
        <is>
          <t>Echinoidea</t>
        </is>
      </c>
      <c r="B55" t="inlineStr">
        <is>
          <t>Sea urchins, sea hedgehogs</t>
        </is>
      </c>
      <c r="C55" t="inlineStr">
        <is>
          <t>Other demersal invertebrates</t>
        </is>
      </c>
      <c r="D55" t="inlineStr">
        <is>
          <t>Other fishes &amp; inverts</t>
        </is>
      </c>
      <c r="E55" t="n">
        <v>554.8680000000001</v>
      </c>
      <c r="F55" t="n">
        <v>554.8680000000001</v>
      </c>
      <c r="G55" t="n">
        <v>554.8680000000001</v>
      </c>
      <c r="H55" t="n">
        <v>554.8680000000001</v>
      </c>
      <c r="I55" t="n">
        <v>554.8680000000001</v>
      </c>
      <c r="J55" t="n">
        <v>554.8680000000001</v>
      </c>
      <c r="K55" t="n">
        <v>595.37</v>
      </c>
      <c r="L55" t="n">
        <v>388.359</v>
      </c>
      <c r="M55" t="n">
        <v>514.864</v>
      </c>
      <c r="N55" t="n">
        <v>579.672</v>
      </c>
      <c r="O55" t="n">
        <v>664.764</v>
      </c>
      <c r="P55" t="n">
        <v>659.0309999999999</v>
      </c>
      <c r="Q55" t="n">
        <v>687.497</v>
      </c>
      <c r="R55" t="n">
        <v>749.367</v>
      </c>
      <c r="S55" t="n">
        <v>801.559</v>
      </c>
      <c r="T55" t="n">
        <v>796.448</v>
      </c>
      <c r="U55" t="n">
        <v>905.173</v>
      </c>
      <c r="V55" t="n">
        <v>920.39</v>
      </c>
      <c r="W55" t="n">
        <v>1008.593</v>
      </c>
      <c r="X55" t="n">
        <v>1004.526</v>
      </c>
      <c r="Y55" t="n">
        <v>970.484</v>
      </c>
      <c r="Z55" t="n">
        <v>892.211</v>
      </c>
      <c r="AA55" t="n">
        <v>788.342</v>
      </c>
      <c r="AB55" t="n">
        <v>900.369</v>
      </c>
      <c r="AC55" t="n">
        <v>808.114</v>
      </c>
      <c r="AD55" t="n">
        <v>766.585</v>
      </c>
      <c r="AE55" t="n">
        <v>783.396</v>
      </c>
      <c r="AF55" t="n">
        <v>903.824</v>
      </c>
      <c r="AG55" t="n">
        <v>855.825</v>
      </c>
      <c r="AH55" t="n">
        <v>880.12</v>
      </c>
      <c r="AI55" t="n">
        <v>808.998</v>
      </c>
      <c r="AJ55" t="n">
        <v>794.002</v>
      </c>
      <c r="AK55" t="n">
        <v>861.745</v>
      </c>
      <c r="AL55" t="n">
        <v>832.359</v>
      </c>
      <c r="AM55" t="n">
        <v>784.606</v>
      </c>
      <c r="AN55" t="n">
        <v>756.61</v>
      </c>
      <c r="AO55" t="n">
        <v>760.558</v>
      </c>
      <c r="AP55" t="n">
        <v>756.0599999999999</v>
      </c>
      <c r="AQ55" t="n">
        <v>711.952</v>
      </c>
      <c r="AR55" t="n">
        <v>679.77</v>
      </c>
      <c r="AS55" t="n">
        <v>645.6559999999999</v>
      </c>
      <c r="AT55" t="n">
        <v>471.591</v>
      </c>
      <c r="AU55" t="n">
        <v>482.183</v>
      </c>
      <c r="AV55" t="n">
        <v>476.087</v>
      </c>
      <c r="AW55" t="n">
        <v>550.092</v>
      </c>
      <c r="AX55" t="n">
        <v>499.404</v>
      </c>
      <c r="AY55" t="n">
        <v>478.984</v>
      </c>
      <c r="AZ55" t="n">
        <v>517.196</v>
      </c>
      <c r="BA55" t="n">
        <v>494.89</v>
      </c>
      <c r="BB55" t="n">
        <v>501.196</v>
      </c>
      <c r="BC55" t="n">
        <v>466.652</v>
      </c>
      <c r="BD55" t="n">
        <v>421.661</v>
      </c>
      <c r="BE55" t="n">
        <v>479.915</v>
      </c>
      <c r="BF55" t="n">
        <v>597.301</v>
      </c>
      <c r="BG55" t="n">
        <v>600.878</v>
      </c>
      <c r="BH55" t="n">
        <v>561.824</v>
      </c>
      <c r="BI55" t="n">
        <v>512.12</v>
      </c>
      <c r="BJ55" t="n">
        <v>23.166</v>
      </c>
      <c r="BK55" t="n">
        <v>24.627</v>
      </c>
      <c r="BL55" t="n">
        <v>446.881</v>
      </c>
      <c r="BM55" t="n">
        <v>414.374</v>
      </c>
      <c r="BN55" t="n">
        <v>7432.419</v>
      </c>
      <c r="BO55" t="n">
        <v>7270.184</v>
      </c>
      <c r="BP55" t="n">
        <v>7775.237</v>
      </c>
      <c r="BQ55" t="n">
        <v>7386.722</v>
      </c>
      <c r="BR55" t="n">
        <v>5039.256</v>
      </c>
      <c r="BS55" t="n">
        <v>5060.886</v>
      </c>
      <c r="BT55" t="n">
        <v>5005.569</v>
      </c>
      <c r="BU55" t="n">
        <v>4997.563</v>
      </c>
      <c r="BV55" t="n">
        <v>5285.408</v>
      </c>
    </row>
    <row r="56">
      <c r="A56" t="inlineStr">
        <is>
          <t>Seriola lalandi</t>
        </is>
      </c>
      <c r="B56" t="inlineStr">
        <is>
          <t>Yellowtail amberjack</t>
        </is>
      </c>
      <c r="C56" t="inlineStr">
        <is>
          <t>Large benthopelagics (&gt;=90 cm)</t>
        </is>
      </c>
      <c r="D56" t="inlineStr">
        <is>
          <t>Perch-likes</t>
        </is>
      </c>
      <c r="E56" t="n">
        <v>1357.065</v>
      </c>
      <c r="F56" t="n">
        <v>1357.065</v>
      </c>
      <c r="G56" t="n">
        <v>1357.065</v>
      </c>
      <c r="H56" t="n">
        <v>1478.431</v>
      </c>
      <c r="I56" t="n">
        <v>1370.816</v>
      </c>
      <c r="J56" t="n">
        <v>1333.902</v>
      </c>
      <c r="K56" t="n">
        <v>1319.021</v>
      </c>
      <c r="L56" t="n">
        <v>1298.437</v>
      </c>
      <c r="M56" t="n">
        <v>1325.671</v>
      </c>
      <c r="N56" t="n">
        <v>1321.819</v>
      </c>
      <c r="O56" t="n">
        <v>1187.9</v>
      </c>
      <c r="P56" t="n">
        <v>1441.747</v>
      </c>
      <c r="Q56" t="n">
        <v>1384.805</v>
      </c>
      <c r="R56" t="n">
        <v>1164.43</v>
      </c>
      <c r="S56" t="n">
        <v>1248</v>
      </c>
      <c r="T56" t="n">
        <v>1241.543</v>
      </c>
      <c r="U56" t="n">
        <v>1151.554</v>
      </c>
      <c r="V56" t="n">
        <v>1466.603</v>
      </c>
      <c r="W56" t="n">
        <v>1409.093</v>
      </c>
      <c r="X56" t="n">
        <v>1482.387</v>
      </c>
      <c r="Y56" t="n">
        <v>1542.424</v>
      </c>
      <c r="Z56" t="n">
        <v>1329.53</v>
      </c>
      <c r="AA56" t="n">
        <v>1351.61</v>
      </c>
      <c r="AB56" t="n">
        <v>1371.82</v>
      </c>
      <c r="AC56" t="n">
        <v>1064.736</v>
      </c>
      <c r="AD56" t="n">
        <v>1013.366</v>
      </c>
      <c r="AE56" t="n">
        <v>1083.245</v>
      </c>
      <c r="AF56" t="n">
        <v>743.436</v>
      </c>
      <c r="AG56" t="n">
        <v>959.773</v>
      </c>
      <c r="AH56" t="n">
        <v>1145.625</v>
      </c>
      <c r="AI56" t="n">
        <v>1098.072</v>
      </c>
      <c r="AJ56" t="n">
        <v>1023.333</v>
      </c>
      <c r="AK56" t="n">
        <v>1060.886</v>
      </c>
      <c r="AL56" t="n">
        <v>1122.117</v>
      </c>
      <c r="AM56" t="n">
        <v>1124.08</v>
      </c>
      <c r="AN56" t="n">
        <v>982.1130000000001</v>
      </c>
      <c r="AO56" t="n">
        <v>951.369</v>
      </c>
      <c r="AP56" t="n">
        <v>1014.3</v>
      </c>
      <c r="AQ56" t="n">
        <v>984.353</v>
      </c>
      <c r="AR56" t="n">
        <v>1139.658</v>
      </c>
      <c r="AS56" t="n">
        <v>1403.363</v>
      </c>
      <c r="AT56" t="n">
        <v>1347.854</v>
      </c>
      <c r="AU56" t="n">
        <v>1522.141</v>
      </c>
      <c r="AV56" t="n">
        <v>1192.27</v>
      </c>
      <c r="AW56" t="n">
        <v>1474.42</v>
      </c>
      <c r="AX56" t="n">
        <v>1724.857</v>
      </c>
      <c r="AY56" t="n">
        <v>1466.52</v>
      </c>
      <c r="AZ56" t="n">
        <v>1349.429</v>
      </c>
      <c r="BA56" t="n">
        <v>1290.009</v>
      </c>
      <c r="BB56" t="n">
        <v>1570.947</v>
      </c>
      <c r="BC56" t="n">
        <v>2069.757</v>
      </c>
      <c r="BD56" t="n">
        <v>1828.153</v>
      </c>
      <c r="BE56" t="n">
        <v>1441.231</v>
      </c>
      <c r="BF56" t="n">
        <v>2084.579</v>
      </c>
      <c r="BG56" t="n">
        <v>2206.803</v>
      </c>
      <c r="BH56" t="n">
        <v>2053.179</v>
      </c>
      <c r="BI56" t="n">
        <v>2135.552</v>
      </c>
      <c r="BJ56" t="n">
        <v>2289.22</v>
      </c>
      <c r="BK56" t="n">
        <v>2416.725</v>
      </c>
      <c r="BL56" t="n">
        <v>2469.536</v>
      </c>
      <c r="BM56" t="n">
        <v>2953.008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Mugil cephalus</t>
        </is>
      </c>
      <c r="B57" t="inlineStr">
        <is>
          <t>Flathead grey mullet</t>
        </is>
      </c>
      <c r="C57" t="inlineStr">
        <is>
          <t>Large benthopelagics (&gt;=90 cm)</t>
        </is>
      </c>
      <c r="D57" t="inlineStr">
        <is>
          <t>Perch-likes</t>
        </is>
      </c>
      <c r="E57" t="n">
        <v>252.789</v>
      </c>
      <c r="F57" t="n">
        <v>285.255</v>
      </c>
      <c r="G57" t="n">
        <v>317.767</v>
      </c>
      <c r="H57" t="n">
        <v>322.847</v>
      </c>
      <c r="I57" t="n">
        <v>269.172</v>
      </c>
      <c r="J57" t="n">
        <v>241.931</v>
      </c>
      <c r="K57" t="n">
        <v>279.536</v>
      </c>
      <c r="L57" t="n">
        <v>226.33</v>
      </c>
      <c r="M57" t="n">
        <v>225.834</v>
      </c>
      <c r="N57" t="n">
        <v>244.983</v>
      </c>
      <c r="O57" t="n">
        <v>303.84</v>
      </c>
      <c r="P57" t="n">
        <v>398.067</v>
      </c>
      <c r="Q57" t="n">
        <v>369.059</v>
      </c>
      <c r="R57" t="n">
        <v>318.119</v>
      </c>
      <c r="S57" t="n">
        <v>406.712</v>
      </c>
      <c r="T57" t="n">
        <v>358.41</v>
      </c>
      <c r="U57" t="n">
        <v>398.99</v>
      </c>
      <c r="V57" t="n">
        <v>396.388</v>
      </c>
      <c r="W57" t="n">
        <v>328.036</v>
      </c>
      <c r="X57" t="n">
        <v>415.326</v>
      </c>
      <c r="Y57" t="n">
        <v>362.138</v>
      </c>
      <c r="Z57" t="n">
        <v>370.213</v>
      </c>
      <c r="AA57" t="n">
        <v>290.005</v>
      </c>
      <c r="AB57" t="n">
        <v>257.477</v>
      </c>
      <c r="AC57" t="n">
        <v>252.169</v>
      </c>
      <c r="AD57" t="n">
        <v>434.74</v>
      </c>
      <c r="AE57" t="n">
        <v>403.35</v>
      </c>
      <c r="AF57" t="n">
        <v>312.902</v>
      </c>
      <c r="AG57" t="n">
        <v>314.708</v>
      </c>
      <c r="AH57" t="n">
        <v>333.676</v>
      </c>
      <c r="AI57" t="n">
        <v>338.503</v>
      </c>
      <c r="AJ57" t="n">
        <v>316.537</v>
      </c>
      <c r="AK57" t="n">
        <v>319.514</v>
      </c>
      <c r="AL57" t="n">
        <v>327.483</v>
      </c>
      <c r="AM57" t="n">
        <v>302.34</v>
      </c>
      <c r="AN57" t="n">
        <v>271.558</v>
      </c>
      <c r="AO57" t="n">
        <v>250.048</v>
      </c>
      <c r="AP57" t="n">
        <v>241.848</v>
      </c>
      <c r="AQ57" t="n">
        <v>202.085</v>
      </c>
      <c r="AR57" t="n">
        <v>179.744</v>
      </c>
      <c r="AS57" t="n">
        <v>173.579</v>
      </c>
      <c r="AT57" t="n">
        <v>181.193</v>
      </c>
      <c r="AU57" t="n">
        <v>215.977</v>
      </c>
      <c r="AV57" t="n">
        <v>135.255</v>
      </c>
      <c r="AW57" t="n">
        <v>137.336</v>
      </c>
      <c r="AX57" t="n">
        <v>2021.934</v>
      </c>
      <c r="AY57" t="n">
        <v>2160.812</v>
      </c>
      <c r="AZ57" t="n">
        <v>1961.548</v>
      </c>
      <c r="BA57" t="n">
        <v>2261.065</v>
      </c>
      <c r="BB57" t="n">
        <v>3647.153</v>
      </c>
      <c r="BC57" t="n">
        <v>3522.868</v>
      </c>
      <c r="BD57" t="n">
        <v>3034.167</v>
      </c>
      <c r="BE57" t="n">
        <v>2942.559</v>
      </c>
      <c r="BF57" t="n">
        <v>3205.463</v>
      </c>
      <c r="BG57" t="n">
        <v>4372.219</v>
      </c>
      <c r="BH57" t="n">
        <v>2963.327</v>
      </c>
      <c r="BI57" t="n">
        <v>2434.374</v>
      </c>
      <c r="BJ57" t="n">
        <v>2048.19</v>
      </c>
      <c r="BK57" t="n">
        <v>2503.048</v>
      </c>
      <c r="BL57" t="n">
        <v>2815.172</v>
      </c>
      <c r="BM57" t="n">
        <v>2907.812</v>
      </c>
      <c r="BN57" t="n">
        <v>4065.676</v>
      </c>
      <c r="BO57" t="n">
        <v>3412.514</v>
      </c>
      <c r="BP57" t="n">
        <v>3262.145</v>
      </c>
      <c r="BQ57" t="n">
        <v>3650.72</v>
      </c>
      <c r="BR57" t="n">
        <v>3279.393</v>
      </c>
      <c r="BS57" t="n">
        <v>2749.407</v>
      </c>
      <c r="BT57" t="n">
        <v>2696.541</v>
      </c>
      <c r="BU57" t="n">
        <v>2403.698</v>
      </c>
      <c r="BV57" t="n">
        <v>2213.708</v>
      </c>
    </row>
    <row r="58">
      <c r="A58" t="inlineStr">
        <is>
          <t>Chondrichthyes</t>
        </is>
      </c>
      <c r="B58" t="inlineStr">
        <is>
          <t>Sharks, rays, chimaeras</t>
        </is>
      </c>
      <c r="C58" t="inlineStr">
        <is>
          <t>Large sharks (&gt;=90 cm)</t>
        </is>
      </c>
      <c r="D58" t="inlineStr">
        <is>
          <t>Sharks &amp; rays</t>
        </is>
      </c>
      <c r="E58" t="n">
        <v>3275.913</v>
      </c>
      <c r="F58" t="n">
        <v>3275.913</v>
      </c>
      <c r="G58" t="n">
        <v>3275.913</v>
      </c>
      <c r="H58" t="n">
        <v>3414.514</v>
      </c>
      <c r="I58" t="n">
        <v>3550.83</v>
      </c>
      <c r="J58" t="n">
        <v>3313.554</v>
      </c>
      <c r="K58" t="n">
        <v>2815.873</v>
      </c>
      <c r="L58" t="n">
        <v>2796.24</v>
      </c>
      <c r="M58" t="n">
        <v>2246.18</v>
      </c>
      <c r="N58" t="n">
        <v>2251.707</v>
      </c>
      <c r="O58" t="n">
        <v>2181.627</v>
      </c>
      <c r="P58" t="n">
        <v>1830.423</v>
      </c>
      <c r="Q58" t="n">
        <v>1905.697</v>
      </c>
      <c r="R58" t="n">
        <v>1712.864</v>
      </c>
      <c r="S58" t="n">
        <v>957.275</v>
      </c>
      <c r="T58" t="n">
        <v>822.414</v>
      </c>
      <c r="U58" t="n">
        <v>1236.493</v>
      </c>
      <c r="V58" t="n">
        <v>1327.438</v>
      </c>
      <c r="W58" t="n">
        <v>1319.502</v>
      </c>
      <c r="X58" t="n">
        <v>1134.79</v>
      </c>
      <c r="Y58" t="n">
        <v>1219.176</v>
      </c>
      <c r="Z58" t="n">
        <v>1026.612</v>
      </c>
      <c r="AA58" t="n">
        <v>1036.106</v>
      </c>
      <c r="AB58" t="n">
        <v>1131.223</v>
      </c>
      <c r="AC58" t="n">
        <v>1050.068</v>
      </c>
      <c r="AD58" t="n">
        <v>1152.125</v>
      </c>
      <c r="AE58" t="n">
        <v>1274.711</v>
      </c>
      <c r="AF58" t="n">
        <v>1476.774</v>
      </c>
      <c r="AG58" t="n">
        <v>1218.177</v>
      </c>
      <c r="AH58" t="n">
        <v>1232.46</v>
      </c>
      <c r="AI58" t="n">
        <v>1232.291</v>
      </c>
      <c r="AJ58" t="n">
        <v>978.645</v>
      </c>
      <c r="AK58" t="n">
        <v>848.623</v>
      </c>
      <c r="AL58" t="n">
        <v>896.871</v>
      </c>
      <c r="AM58" t="n">
        <v>858.1130000000001</v>
      </c>
      <c r="AN58" t="n">
        <v>776.877</v>
      </c>
      <c r="AO58" t="n">
        <v>835.772</v>
      </c>
      <c r="AP58" t="n">
        <v>896.263</v>
      </c>
      <c r="AQ58" t="n">
        <v>768.05</v>
      </c>
      <c r="AR58" t="n">
        <v>667.609</v>
      </c>
      <c r="AS58" t="n">
        <v>657.723</v>
      </c>
      <c r="AT58" t="n">
        <v>711.421</v>
      </c>
      <c r="AU58" t="n">
        <v>803.1849999999999</v>
      </c>
      <c r="AV58" t="n">
        <v>698.3</v>
      </c>
      <c r="AW58" t="n">
        <v>610.676</v>
      </c>
      <c r="AX58" t="n">
        <v>460.164</v>
      </c>
      <c r="AY58" t="n">
        <v>579.927</v>
      </c>
      <c r="AZ58" t="n">
        <v>686.35</v>
      </c>
      <c r="BA58" t="n">
        <v>750.976</v>
      </c>
      <c r="BB58" t="n">
        <v>816.1559999999999</v>
      </c>
      <c r="BC58" t="n">
        <v>697.951</v>
      </c>
      <c r="BD58" t="n">
        <v>797.131</v>
      </c>
      <c r="BE58" t="n">
        <v>827.611</v>
      </c>
      <c r="BF58" t="n">
        <v>673.385</v>
      </c>
      <c r="BG58" t="n">
        <v>591.942</v>
      </c>
      <c r="BH58" t="n">
        <v>790.849</v>
      </c>
      <c r="BI58" t="n">
        <v>781.6180000000001</v>
      </c>
      <c r="BJ58" t="n">
        <v>654.722</v>
      </c>
      <c r="BK58" t="n">
        <v>613.126</v>
      </c>
      <c r="BL58" t="n">
        <v>658.936</v>
      </c>
      <c r="BM58" t="n">
        <v>625.095</v>
      </c>
      <c r="BN58" t="n">
        <v>474.864</v>
      </c>
      <c r="BO58" t="n">
        <v>545.926</v>
      </c>
      <c r="BP58" t="n">
        <v>487.573</v>
      </c>
      <c r="BQ58" t="n">
        <v>526.728</v>
      </c>
      <c r="BR58" t="n">
        <v>525.855</v>
      </c>
      <c r="BS58" t="n">
        <v>497.083</v>
      </c>
      <c r="BT58" t="n">
        <v>416.212</v>
      </c>
      <c r="BU58" t="n">
        <v>463.7</v>
      </c>
      <c r="BV58" t="n">
        <v>417.968</v>
      </c>
    </row>
    <row r="59">
      <c r="A59" t="inlineStr">
        <is>
          <t>Scombridae</t>
        </is>
      </c>
      <c r="B59" t="inlineStr">
        <is>
          <t>Mackerels, tunas, bonitos</t>
        </is>
      </c>
      <c r="C59" t="inlineStr">
        <is>
          <t>Medium pelagics (30 - 89 cm)</t>
        </is>
      </c>
      <c r="D59" t="inlineStr">
        <is>
          <t>Perch-likes</t>
        </is>
      </c>
      <c r="E59" t="n">
        <v>325.651</v>
      </c>
      <c r="F59" t="n">
        <v>325.651</v>
      </c>
      <c r="G59" t="n">
        <v>325.67</v>
      </c>
      <c r="H59" t="n">
        <v>330.203</v>
      </c>
      <c r="I59" t="n">
        <v>321.239</v>
      </c>
      <c r="J59" t="n">
        <v>312.09</v>
      </c>
      <c r="K59" t="n">
        <v>350.969</v>
      </c>
      <c r="L59" t="n">
        <v>339.428</v>
      </c>
      <c r="M59" t="n">
        <v>571.829</v>
      </c>
      <c r="N59" t="n">
        <v>318.188</v>
      </c>
      <c r="O59" t="n">
        <v>313.584</v>
      </c>
      <c r="P59" t="n">
        <v>677.337</v>
      </c>
      <c r="Q59" t="n">
        <v>778.9</v>
      </c>
      <c r="R59" t="n">
        <v>783.712</v>
      </c>
      <c r="S59" t="n">
        <v>624.872</v>
      </c>
      <c r="T59" t="n">
        <v>647.766</v>
      </c>
      <c r="U59" t="n">
        <v>444.232</v>
      </c>
      <c r="V59" t="n">
        <v>468.12</v>
      </c>
      <c r="W59" t="n">
        <v>870.929</v>
      </c>
      <c r="X59" t="n">
        <v>974.881</v>
      </c>
      <c r="Y59" t="n">
        <v>956.9880000000001</v>
      </c>
      <c r="Z59" t="n">
        <v>1117.056</v>
      </c>
      <c r="AA59" t="n">
        <v>1275.933</v>
      </c>
      <c r="AB59" t="n">
        <v>1194.294</v>
      </c>
      <c r="AC59" t="n">
        <v>1633.071</v>
      </c>
      <c r="AD59" t="n">
        <v>1204.7</v>
      </c>
      <c r="AE59" t="n">
        <v>1405.996</v>
      </c>
      <c r="AF59" t="n">
        <v>1724.701</v>
      </c>
      <c r="AG59" t="n">
        <v>1473.838</v>
      </c>
      <c r="AH59" t="n">
        <v>1338.907</v>
      </c>
      <c r="AI59" t="n">
        <v>1234.212</v>
      </c>
      <c r="AJ59" t="n">
        <v>1343.379</v>
      </c>
      <c r="AK59" t="n">
        <v>1226.07</v>
      </c>
      <c r="AL59" t="n">
        <v>1140.041</v>
      </c>
      <c r="AM59" t="n">
        <v>1323.627</v>
      </c>
      <c r="AN59" t="n">
        <v>1485.347</v>
      </c>
      <c r="AO59" t="n">
        <v>977.915</v>
      </c>
      <c r="AP59" t="n">
        <v>783.173</v>
      </c>
      <c r="AQ59" t="n">
        <v>592.351</v>
      </c>
      <c r="AR59" t="n">
        <v>989.6900000000001</v>
      </c>
      <c r="AS59" t="n">
        <v>937.056</v>
      </c>
      <c r="AT59" t="n">
        <v>790.454</v>
      </c>
      <c r="AU59" t="n">
        <v>806.1849999999999</v>
      </c>
      <c r="AV59" t="n">
        <v>647.341</v>
      </c>
      <c r="AW59" t="n">
        <v>912.211</v>
      </c>
      <c r="AX59" t="n">
        <v>2911.741</v>
      </c>
      <c r="AY59" t="n">
        <v>2477.046</v>
      </c>
      <c r="AZ59" t="n">
        <v>1161.488</v>
      </c>
      <c r="BA59" t="n">
        <v>1068.088</v>
      </c>
      <c r="BB59" t="n">
        <v>1334.26</v>
      </c>
      <c r="BC59" t="n">
        <v>1852.418</v>
      </c>
      <c r="BD59" t="n">
        <v>890.527</v>
      </c>
      <c r="BE59" t="n">
        <v>815.335</v>
      </c>
      <c r="BF59" t="n">
        <v>2269.62</v>
      </c>
      <c r="BG59" t="n">
        <v>2472.974</v>
      </c>
      <c r="BH59" t="n">
        <v>1719.086</v>
      </c>
      <c r="BI59" t="n">
        <v>2708.326</v>
      </c>
      <c r="BJ59" t="n">
        <v>2712.427</v>
      </c>
      <c r="BK59" t="n">
        <v>2069.016</v>
      </c>
      <c r="BL59" t="n">
        <v>1689.107</v>
      </c>
      <c r="BM59" t="n">
        <v>1846.978</v>
      </c>
      <c r="BN59" t="n">
        <v>1621.013</v>
      </c>
      <c r="BO59" t="n">
        <v>1302.069</v>
      </c>
      <c r="BP59" t="n">
        <v>1263.135</v>
      </c>
      <c r="BQ59" t="n">
        <v>1406.193</v>
      </c>
      <c r="BR59" t="n">
        <v>1368.014</v>
      </c>
      <c r="BS59" t="n">
        <v>1426.676</v>
      </c>
      <c r="BT59" t="n">
        <v>1556.677</v>
      </c>
      <c r="BU59" t="n">
        <v>1477.372</v>
      </c>
      <c r="BV59" t="n">
        <v>1071.925</v>
      </c>
    </row>
    <row r="60">
      <c r="A60" t="inlineStr">
        <is>
          <t>Sebastes alutus</t>
        </is>
      </c>
      <c r="B60" t="inlineStr">
        <is>
          <t>Pacific ocean perch</t>
        </is>
      </c>
      <c r="C60" t="inlineStr">
        <is>
          <t>Medium demersals (30 - 89 cm)</t>
        </is>
      </c>
      <c r="D60" t="inlineStr">
        <is>
          <t>Scorpionfishes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296.39</v>
      </c>
      <c r="L60" t="n">
        <v>7417.324</v>
      </c>
      <c r="M60" t="n">
        <v>3441.638</v>
      </c>
      <c r="N60" t="n">
        <v>2729.575</v>
      </c>
      <c r="O60" t="n">
        <v>1068.095</v>
      </c>
      <c r="P60" t="n">
        <v>356.032</v>
      </c>
      <c r="Q60" t="n">
        <v>593.386</v>
      </c>
      <c r="R60" t="n">
        <v>2432.882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0.148</v>
      </c>
      <c r="AB60" t="n">
        <v>2788.914</v>
      </c>
      <c r="AC60" t="n">
        <v>5874.521</v>
      </c>
      <c r="AD60" t="n">
        <v>4700.21</v>
      </c>
      <c r="AE60" t="n">
        <v>3673.652</v>
      </c>
      <c r="AF60" t="n">
        <v>2144.604</v>
      </c>
      <c r="AG60" t="n">
        <v>756.128</v>
      </c>
      <c r="AH60" t="n">
        <v>409.513</v>
      </c>
      <c r="AI60" t="n">
        <v>704.375</v>
      </c>
      <c r="AJ60" t="n">
        <v>744.3</v>
      </c>
      <c r="AK60" t="n">
        <v>220.525</v>
      </c>
      <c r="AL60" t="n">
        <v>186.046</v>
      </c>
      <c r="AM60" t="n">
        <v>93.41800000000001</v>
      </c>
      <c r="AN60" t="n">
        <v>268.761</v>
      </c>
      <c r="AO60" t="n">
        <v>158.97</v>
      </c>
      <c r="AP60" t="n">
        <v>421.489</v>
      </c>
      <c r="AQ60" t="n">
        <v>634.341</v>
      </c>
      <c r="AR60" t="n">
        <v>372.265</v>
      </c>
      <c r="AS60" t="n">
        <v>234.401</v>
      </c>
      <c r="AT60" t="n">
        <v>148.736</v>
      </c>
      <c r="AU60" t="n">
        <v>400.701</v>
      </c>
      <c r="AV60" t="n">
        <v>820.537</v>
      </c>
      <c r="AW60" t="n">
        <v>2453.07</v>
      </c>
      <c r="AX60" t="n">
        <v>2518.543</v>
      </c>
      <c r="AY60" t="n">
        <v>1860.974</v>
      </c>
      <c r="AZ60" t="n">
        <v>1490.915</v>
      </c>
      <c r="BA60" t="n">
        <v>1098.793</v>
      </c>
      <c r="BB60" t="n">
        <v>614.869</v>
      </c>
      <c r="BC60" t="n">
        <v>723.752</v>
      </c>
      <c r="BD60" t="n">
        <v>564.341</v>
      </c>
      <c r="BE60" t="n">
        <v>849.715</v>
      </c>
      <c r="BF60" t="n">
        <v>685.323</v>
      </c>
      <c r="BG60" t="n">
        <v>624.832</v>
      </c>
      <c r="BH60" t="n">
        <v>866.083</v>
      </c>
      <c r="BI60" t="n">
        <v>857.543</v>
      </c>
      <c r="BJ60" t="n">
        <v>674.648</v>
      </c>
      <c r="BK60" t="n">
        <v>525.912</v>
      </c>
      <c r="BL60" t="n">
        <v>690.304</v>
      </c>
      <c r="BM60" t="n">
        <v>1209.811</v>
      </c>
      <c r="BN60" t="n">
        <v>1673.098</v>
      </c>
      <c r="BO60" t="n">
        <v>1764.901</v>
      </c>
      <c r="BP60" t="n">
        <v>1791.944</v>
      </c>
      <c r="BQ60" t="n">
        <v>1520.804</v>
      </c>
      <c r="BR60" t="n">
        <v>2550.567</v>
      </c>
      <c r="BS60" t="n">
        <v>1468.142</v>
      </c>
      <c r="BT60" t="n">
        <v>1380.524</v>
      </c>
      <c r="BU60" t="n">
        <v>2137.025</v>
      </c>
      <c r="BV60" t="n">
        <v>2245.478</v>
      </c>
    </row>
    <row r="61">
      <c r="A61" t="inlineStr">
        <is>
          <t>Oncorhynchus tshawytscha</t>
        </is>
      </c>
      <c r="B61" t="inlineStr">
        <is>
          <t>Chinook salmon</t>
        </is>
      </c>
      <c r="C61" t="inlineStr">
        <is>
          <t>Large benthopelagics (&gt;=90 cm)</t>
        </is>
      </c>
      <c r="D61" t="inlineStr">
        <is>
          <t>Salmon, smelts, etc</t>
        </is>
      </c>
      <c r="E61" t="n">
        <v>373.695</v>
      </c>
      <c r="F61" t="n">
        <v>435.978</v>
      </c>
      <c r="G61" t="n">
        <v>435.978</v>
      </c>
      <c r="H61" t="n">
        <v>560.543</v>
      </c>
      <c r="I61" t="n">
        <v>1046.346</v>
      </c>
      <c r="J61" t="n">
        <v>890.64</v>
      </c>
      <c r="K61" t="n">
        <v>685.1079999999999</v>
      </c>
      <c r="L61" t="n">
        <v>616.597</v>
      </c>
      <c r="M61" t="n">
        <v>479.575</v>
      </c>
      <c r="N61" t="n">
        <v>685.1079999999999</v>
      </c>
      <c r="O61" t="n">
        <v>479.575</v>
      </c>
      <c r="P61" t="n">
        <v>479.575</v>
      </c>
      <c r="Q61" t="n">
        <v>685.1079999999999</v>
      </c>
      <c r="R61" t="n">
        <v>685.1079999999999</v>
      </c>
      <c r="S61" t="n">
        <v>959.151</v>
      </c>
      <c r="T61" t="n">
        <v>822.129</v>
      </c>
      <c r="U61" t="n">
        <v>685.1079999999999</v>
      </c>
      <c r="V61" t="n">
        <v>616.597</v>
      </c>
      <c r="W61" t="n">
        <v>548.086</v>
      </c>
      <c r="X61" t="n">
        <v>822.129</v>
      </c>
      <c r="Y61" t="n">
        <v>959.151</v>
      </c>
      <c r="Z61" t="n">
        <v>1370.216</v>
      </c>
      <c r="AA61" t="n">
        <v>1507.237</v>
      </c>
      <c r="AB61" t="n">
        <v>1507.237</v>
      </c>
      <c r="AC61" t="n">
        <v>1233.194</v>
      </c>
      <c r="AD61" t="n">
        <v>1527.105</v>
      </c>
      <c r="AE61" t="n">
        <v>1340.071</v>
      </c>
      <c r="AF61" t="n">
        <v>2123.149</v>
      </c>
      <c r="AG61" t="n">
        <v>2019.698</v>
      </c>
      <c r="AH61" t="n">
        <v>1649.74</v>
      </c>
      <c r="AI61" t="n">
        <v>163.847</v>
      </c>
      <c r="AJ61" t="n">
        <v>253.913</v>
      </c>
      <c r="AK61" t="n">
        <v>283.628</v>
      </c>
      <c r="AL61" t="n">
        <v>202.356</v>
      </c>
      <c r="AM61" t="n">
        <v>732.0069999999999</v>
      </c>
      <c r="AN61" t="n">
        <v>265.149</v>
      </c>
      <c r="AO61" t="n">
        <v>349.779</v>
      </c>
      <c r="AP61" t="n">
        <v>216.805</v>
      </c>
      <c r="AQ61" t="n">
        <v>277.936</v>
      </c>
      <c r="AR61" t="n">
        <v>227.589</v>
      </c>
      <c r="AS61" t="n">
        <v>270.084</v>
      </c>
      <c r="AT61" t="n">
        <v>178.813</v>
      </c>
      <c r="AU61" t="n">
        <v>1215.823</v>
      </c>
      <c r="AV61" t="n">
        <v>3020.859</v>
      </c>
      <c r="AW61" t="n">
        <v>2411.304</v>
      </c>
      <c r="AX61" t="n">
        <v>1970.331</v>
      </c>
      <c r="AY61" t="n">
        <v>1223.716</v>
      </c>
      <c r="AZ61" t="n">
        <v>1601.867</v>
      </c>
      <c r="BA61" t="n">
        <v>1208.581</v>
      </c>
      <c r="BB61" t="n">
        <v>1650.628</v>
      </c>
      <c r="BC61" t="n">
        <v>1011.678</v>
      </c>
      <c r="BD61" t="n">
        <v>999.163</v>
      </c>
      <c r="BE61" t="n">
        <v>1576.361</v>
      </c>
      <c r="BF61" t="n">
        <v>493.071</v>
      </c>
      <c r="BG61" t="n">
        <v>697.849</v>
      </c>
      <c r="BH61" t="n">
        <v>1228.813</v>
      </c>
      <c r="BI61" t="n">
        <v>1537.382</v>
      </c>
      <c r="BJ61" t="n">
        <v>1646.314</v>
      </c>
      <c r="BK61" t="n">
        <v>1911.451</v>
      </c>
      <c r="BL61" t="n">
        <v>1428.45</v>
      </c>
      <c r="BM61" t="n">
        <v>1549.714</v>
      </c>
      <c r="BN61" t="n">
        <v>1355.677</v>
      </c>
      <c r="BO61" t="n">
        <v>1130.319</v>
      </c>
      <c r="BP61" t="n">
        <v>1067.562</v>
      </c>
      <c r="BQ61" t="n">
        <v>1332.517</v>
      </c>
      <c r="BR61" t="n">
        <v>1856.641</v>
      </c>
      <c r="BS61" t="n">
        <v>1701.351</v>
      </c>
      <c r="BT61" t="n">
        <v>1634.549</v>
      </c>
      <c r="BU61" t="n">
        <v>1559.047</v>
      </c>
      <c r="BV61" t="n">
        <v>1628.058</v>
      </c>
    </row>
    <row r="62">
      <c r="A62" t="inlineStr">
        <is>
          <t>Salvelinus</t>
        </is>
      </c>
      <c r="B62" t="inlineStr">
        <is>
          <t>Chars</t>
        </is>
      </c>
      <c r="C62" t="inlineStr">
        <is>
          <t>Large benthopelagics (&gt;=90 cm)</t>
        </is>
      </c>
      <c r="D62" t="inlineStr">
        <is>
          <t>Salmon, smelts, etc</t>
        </is>
      </c>
      <c r="E62" t="n">
        <v>397.163</v>
      </c>
      <c r="F62" t="n">
        <v>406.696</v>
      </c>
      <c r="G62" t="n">
        <v>416.229</v>
      </c>
      <c r="H62" t="n">
        <v>425.762</v>
      </c>
      <c r="I62" t="n">
        <v>435.294</v>
      </c>
      <c r="J62" t="n">
        <v>444.827</v>
      </c>
      <c r="K62" t="n">
        <v>454.36</v>
      </c>
      <c r="L62" t="n">
        <v>463.893</v>
      </c>
      <c r="M62" t="n">
        <v>473.426</v>
      </c>
      <c r="N62" t="n">
        <v>482.958</v>
      </c>
      <c r="O62" t="n">
        <v>492.491</v>
      </c>
      <c r="P62" t="n">
        <v>502.024</v>
      </c>
      <c r="Q62" t="n">
        <v>511.557</v>
      </c>
      <c r="R62" t="n">
        <v>521.0890000000001</v>
      </c>
      <c r="S62" t="n">
        <v>530.622</v>
      </c>
      <c r="T62" t="n">
        <v>540.155</v>
      </c>
      <c r="U62" t="n">
        <v>549.688</v>
      </c>
      <c r="V62" t="n">
        <v>559.221</v>
      </c>
      <c r="W62" t="n">
        <v>568.753</v>
      </c>
      <c r="X62" t="n">
        <v>578.2859999999999</v>
      </c>
      <c r="Y62" t="n">
        <v>587.819</v>
      </c>
      <c r="Z62" t="n">
        <v>597.352</v>
      </c>
      <c r="AA62" t="n">
        <v>606.884</v>
      </c>
      <c r="AB62" t="n">
        <v>616.417</v>
      </c>
      <c r="AC62" t="n">
        <v>625.95</v>
      </c>
      <c r="AD62" t="n">
        <v>635.4829999999999</v>
      </c>
      <c r="AE62" t="n">
        <v>645.016</v>
      </c>
      <c r="AF62" t="n">
        <v>654.548</v>
      </c>
      <c r="AG62" t="n">
        <v>664.081</v>
      </c>
      <c r="AH62" t="n">
        <v>673.614</v>
      </c>
      <c r="AI62" t="n">
        <v>683.147</v>
      </c>
      <c r="AJ62" t="n">
        <v>692.6799999999999</v>
      </c>
      <c r="AK62" t="n">
        <v>702.212</v>
      </c>
      <c r="AL62" t="n">
        <v>712.626</v>
      </c>
      <c r="AM62" t="n">
        <v>723.039</v>
      </c>
      <c r="AN62" t="n">
        <v>733.453</v>
      </c>
      <c r="AO62" t="n">
        <v>789.53</v>
      </c>
      <c r="AP62" t="n">
        <v>847.329</v>
      </c>
      <c r="AQ62" t="n">
        <v>906.851</v>
      </c>
      <c r="AR62" t="n">
        <v>968.0940000000001</v>
      </c>
      <c r="AS62" t="n">
        <v>1049.511</v>
      </c>
      <c r="AT62" t="n">
        <v>1126.765</v>
      </c>
      <c r="AU62" t="n">
        <v>1178.716</v>
      </c>
      <c r="AV62" t="n">
        <v>1228.808</v>
      </c>
      <c r="AW62" t="n">
        <v>1277.062</v>
      </c>
      <c r="AX62" t="n">
        <v>1323.497</v>
      </c>
      <c r="AY62" t="n">
        <v>1471.526</v>
      </c>
      <c r="AZ62" t="n">
        <v>1545.286</v>
      </c>
      <c r="BA62" t="n">
        <v>1539.371</v>
      </c>
      <c r="BB62" t="n">
        <v>1604.493</v>
      </c>
      <c r="BC62" t="n">
        <v>1831.136</v>
      </c>
      <c r="BD62" t="n">
        <v>1834.373</v>
      </c>
      <c r="BE62" t="n">
        <v>2078.591</v>
      </c>
      <c r="BF62" t="n">
        <v>2098.552</v>
      </c>
      <c r="BG62" t="n">
        <v>1911.21</v>
      </c>
      <c r="BH62" t="n">
        <v>2112.55</v>
      </c>
      <c r="BI62" t="n">
        <v>1831.248</v>
      </c>
      <c r="BJ62" t="n">
        <v>1549.213</v>
      </c>
      <c r="BK62" t="n">
        <v>1534.279</v>
      </c>
      <c r="BL62" t="n">
        <v>1518.892</v>
      </c>
      <c r="BM62" t="n">
        <v>1503.647</v>
      </c>
      <c r="BN62" t="n">
        <v>1473.16</v>
      </c>
      <c r="BO62" t="n">
        <v>1469.021</v>
      </c>
      <c r="BP62" t="n">
        <v>1464.882</v>
      </c>
      <c r="BQ62" t="n">
        <v>1460.744</v>
      </c>
      <c r="BR62" t="n">
        <v>1456.605</v>
      </c>
      <c r="BS62" t="n">
        <v>1455.428</v>
      </c>
      <c r="BT62" t="n">
        <v>1454.85</v>
      </c>
      <c r="BU62" t="n">
        <v>1454.417</v>
      </c>
      <c r="BV62" t="n">
        <v>1453.984</v>
      </c>
    </row>
    <row r="63">
      <c r="A63" t="inlineStr">
        <is>
          <t>Paralithodes platypus</t>
        </is>
      </c>
      <c r="B63" t="inlineStr">
        <is>
          <t>Blue king crab</t>
        </is>
      </c>
      <c r="C63" t="inlineStr">
        <is>
          <t>Lobsters, crabs</t>
        </is>
      </c>
      <c r="D63" t="inlineStr">
        <is>
          <t>Crustaceans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2429.576</v>
      </c>
      <c r="AZ63" t="n">
        <v>2943.702</v>
      </c>
      <c r="BA63" t="n">
        <v>1334.767</v>
      </c>
      <c r="BB63" t="n">
        <v>1666.447</v>
      </c>
      <c r="BC63" t="n">
        <v>1871.867</v>
      </c>
      <c r="BD63" t="n">
        <v>1844.634</v>
      </c>
      <c r="BE63" t="n">
        <v>2124.889</v>
      </c>
      <c r="BF63" t="n">
        <v>2667.389</v>
      </c>
      <c r="BG63" t="n">
        <v>3893.437</v>
      </c>
      <c r="BH63" t="n">
        <v>4827.435</v>
      </c>
      <c r="BI63" t="n">
        <v>4526.407</v>
      </c>
      <c r="BJ63" t="n">
        <v>4312.333</v>
      </c>
      <c r="BK63" t="n">
        <v>3630.446</v>
      </c>
      <c r="BL63" t="n">
        <v>2584.99</v>
      </c>
      <c r="BM63" t="n">
        <v>1710.062</v>
      </c>
      <c r="BN63" t="n">
        <v>2041.412</v>
      </c>
      <c r="BO63" t="n">
        <v>2622.089</v>
      </c>
      <c r="BP63" t="n">
        <v>3245.146</v>
      </c>
      <c r="BQ63" t="n">
        <v>3511.396</v>
      </c>
      <c r="BR63" t="n">
        <v>2650.707</v>
      </c>
      <c r="BS63" t="n">
        <v>2830.141</v>
      </c>
      <c r="BT63" t="n">
        <v>2919.043</v>
      </c>
      <c r="BU63" t="n">
        <v>3194.077</v>
      </c>
      <c r="BV63" t="n">
        <v>3122.557</v>
      </c>
    </row>
    <row r="64">
      <c r="A64" t="inlineStr">
        <is>
          <t>Pentaceros wheeleri</t>
        </is>
      </c>
      <c r="B64" t="inlineStr">
        <is>
          <t>Slender armorhead</t>
        </is>
      </c>
      <c r="C64" t="inlineStr">
        <is>
          <t>Medium pelagics (30 - 89 cm)</t>
        </is>
      </c>
      <c r="D64" t="inlineStr">
        <is>
          <t>Perch-likes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5094.492</v>
      </c>
      <c r="X64" t="n">
        <v>16047.65</v>
      </c>
      <c r="Y64" t="n">
        <v>15084.127</v>
      </c>
      <c r="Z64" t="n">
        <v>354.399</v>
      </c>
      <c r="AA64" t="n">
        <v>8782.462</v>
      </c>
      <c r="AB64" t="n">
        <v>16601.4</v>
      </c>
      <c r="AC64" t="n">
        <v>1816.297</v>
      </c>
      <c r="AD64" t="n">
        <v>3189.595</v>
      </c>
      <c r="AE64" t="n">
        <v>598.049</v>
      </c>
      <c r="AF64" t="n">
        <v>22.15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0.101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Limanda aspera</t>
        </is>
      </c>
      <c r="B65" t="inlineStr">
        <is>
          <t>Yellowfin sole</t>
        </is>
      </c>
      <c r="C65" t="inlineStr">
        <is>
          <t>Small to medium flatfishes (&lt;90 cm)</t>
        </is>
      </c>
      <c r="D65" t="inlineStr">
        <is>
          <t>Flatfishes</t>
        </is>
      </c>
      <c r="E65" t="n">
        <v>0</v>
      </c>
      <c r="F65" t="n">
        <v>0</v>
      </c>
      <c r="G65" t="n">
        <v>0</v>
      </c>
      <c r="H65" t="n">
        <v>0</v>
      </c>
      <c r="I65" t="n">
        <v>11.059</v>
      </c>
      <c r="J65" t="n">
        <v>10.283</v>
      </c>
      <c r="K65" t="n">
        <v>26.103</v>
      </c>
      <c r="L65" t="n">
        <v>86.069</v>
      </c>
      <c r="M65" t="n">
        <v>135.958</v>
      </c>
      <c r="N65" t="n">
        <v>267.065</v>
      </c>
      <c r="O65" t="n">
        <v>621.353</v>
      </c>
      <c r="P65" t="n">
        <v>942.894</v>
      </c>
      <c r="Q65" t="n">
        <v>426.419</v>
      </c>
      <c r="R65" t="n">
        <v>671.495</v>
      </c>
      <c r="S65" t="n">
        <v>784.6369999999999</v>
      </c>
      <c r="T65" t="n">
        <v>1772.567</v>
      </c>
      <c r="U65" t="n">
        <v>4226.454</v>
      </c>
      <c r="V65" t="n">
        <v>2149.997</v>
      </c>
      <c r="W65" t="n">
        <v>2232.689</v>
      </c>
      <c r="X65" t="n">
        <v>2228.781</v>
      </c>
      <c r="Y65" t="n">
        <v>2224.873</v>
      </c>
      <c r="Z65" t="n">
        <v>2220.965</v>
      </c>
      <c r="AA65" t="n">
        <v>2217.057</v>
      </c>
      <c r="AB65" t="n">
        <v>2213.149</v>
      </c>
      <c r="AC65" t="n">
        <v>2209.24</v>
      </c>
      <c r="AD65" t="n">
        <v>2149.141</v>
      </c>
      <c r="AE65" t="n">
        <v>2089.042</v>
      </c>
      <c r="AF65" t="n">
        <v>2082.56</v>
      </c>
      <c r="AG65" t="n">
        <v>2076.078</v>
      </c>
      <c r="AH65" t="n">
        <v>2069.595</v>
      </c>
      <c r="AI65" t="n">
        <v>2063.113</v>
      </c>
      <c r="AJ65" t="n">
        <v>2056.631</v>
      </c>
      <c r="AK65" t="n">
        <v>2050.148</v>
      </c>
      <c r="AL65" t="n">
        <v>2043.666</v>
      </c>
      <c r="AM65" t="n">
        <v>2037.184</v>
      </c>
      <c r="AN65" t="n">
        <v>2030.701</v>
      </c>
      <c r="AO65" t="n">
        <v>2212.231</v>
      </c>
      <c r="AP65" t="n">
        <v>1897.662</v>
      </c>
      <c r="AQ65" t="n">
        <v>2039.689</v>
      </c>
      <c r="AR65" t="n">
        <v>1982.484</v>
      </c>
      <c r="AS65" t="n">
        <v>1993.108</v>
      </c>
      <c r="AT65" t="n">
        <v>461.946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Bathylagidae</t>
        </is>
      </c>
      <c r="B66" t="inlineStr">
        <is>
          <t>Deepsea smelts</t>
        </is>
      </c>
      <c r="C66" t="inlineStr">
        <is>
          <t>Small bathypelagics (&lt;30 cm)</t>
        </is>
      </c>
      <c r="D66" t="inlineStr">
        <is>
          <t>Salmon, smelts, etc</t>
        </is>
      </c>
      <c r="E66" t="n">
        <v>950.921</v>
      </c>
      <c r="F66" t="n">
        <v>950.921</v>
      </c>
      <c r="G66" t="n">
        <v>950.921</v>
      </c>
      <c r="H66" t="n">
        <v>950.921</v>
      </c>
      <c r="I66" t="n">
        <v>950.921</v>
      </c>
      <c r="J66" t="n">
        <v>950.921</v>
      </c>
      <c r="K66" t="n">
        <v>906.463</v>
      </c>
      <c r="L66" t="n">
        <v>1054.428</v>
      </c>
      <c r="M66" t="n">
        <v>948.14</v>
      </c>
      <c r="N66" t="n">
        <v>958.829</v>
      </c>
      <c r="O66" t="n">
        <v>990.467</v>
      </c>
      <c r="P66" t="n">
        <v>775.326</v>
      </c>
      <c r="Q66" t="n">
        <v>676.9109999999999</v>
      </c>
      <c r="R66" t="n">
        <v>842.645</v>
      </c>
      <c r="S66" t="n">
        <v>1058.977</v>
      </c>
      <c r="T66" t="n">
        <v>1154.574</v>
      </c>
      <c r="U66" t="n">
        <v>1249.74</v>
      </c>
      <c r="V66" t="n">
        <v>1318.324</v>
      </c>
      <c r="W66" t="n">
        <v>1211.673</v>
      </c>
      <c r="X66" t="n">
        <v>1021.163</v>
      </c>
      <c r="Y66" t="n">
        <v>1501.352</v>
      </c>
      <c r="Z66" t="n">
        <v>1999.164</v>
      </c>
      <c r="AA66" t="n">
        <v>1053.374</v>
      </c>
      <c r="AB66" t="n">
        <v>1064.353</v>
      </c>
      <c r="AC66" t="n">
        <v>1059.693</v>
      </c>
      <c r="AD66" t="n">
        <v>937.7670000000001</v>
      </c>
      <c r="AE66" t="n">
        <v>959.039</v>
      </c>
      <c r="AF66" t="n">
        <v>1336.011</v>
      </c>
      <c r="AG66" t="n">
        <v>1156.77</v>
      </c>
      <c r="AH66" t="n">
        <v>1084.431</v>
      </c>
      <c r="AI66" t="n">
        <v>1005.484</v>
      </c>
      <c r="AJ66" t="n">
        <v>1091.437</v>
      </c>
      <c r="AK66" t="n">
        <v>1086.887</v>
      </c>
      <c r="AL66" t="n">
        <v>1021.59</v>
      </c>
      <c r="AM66" t="n">
        <v>819.381</v>
      </c>
      <c r="AN66" t="n">
        <v>626.8869999999999</v>
      </c>
      <c r="AO66" t="n">
        <v>625.6950000000001</v>
      </c>
      <c r="AP66" t="n">
        <v>669.467</v>
      </c>
      <c r="AQ66" t="n">
        <v>716.778</v>
      </c>
      <c r="AR66" t="n">
        <v>572.2089999999999</v>
      </c>
      <c r="AS66" t="n">
        <v>574.123</v>
      </c>
      <c r="AT66" t="n">
        <v>608.216</v>
      </c>
      <c r="AU66" t="n">
        <v>681.423</v>
      </c>
      <c r="AV66" t="n">
        <v>698</v>
      </c>
      <c r="AW66" t="n">
        <v>809.598</v>
      </c>
      <c r="AX66" t="n">
        <v>720.105</v>
      </c>
      <c r="AY66" t="n">
        <v>760.446</v>
      </c>
      <c r="AZ66" t="n">
        <v>699.627</v>
      </c>
      <c r="BA66" t="n">
        <v>667.448</v>
      </c>
      <c r="BB66" t="n">
        <v>602.513</v>
      </c>
      <c r="BC66" t="n">
        <v>568.926</v>
      </c>
      <c r="BD66" t="n">
        <v>516.198</v>
      </c>
      <c r="BE66" t="n">
        <v>480.769</v>
      </c>
      <c r="BF66" t="n">
        <v>378.666</v>
      </c>
      <c r="BG66" t="n">
        <v>444.586</v>
      </c>
      <c r="BH66" t="n">
        <v>358.481</v>
      </c>
      <c r="BI66" t="n">
        <v>386.094</v>
      </c>
      <c r="BJ66" t="n">
        <v>394.205</v>
      </c>
      <c r="BK66" t="n">
        <v>417.453</v>
      </c>
      <c r="BL66" t="n">
        <v>365.201</v>
      </c>
      <c r="BM66" t="n">
        <v>338.007</v>
      </c>
      <c r="BN66" t="n">
        <v>325.872</v>
      </c>
      <c r="BO66" t="n">
        <v>320.289</v>
      </c>
      <c r="BP66" t="n">
        <v>293.914</v>
      </c>
      <c r="BQ66" t="n">
        <v>244.801</v>
      </c>
      <c r="BR66" t="n">
        <v>262.985</v>
      </c>
      <c r="BS66" t="n">
        <v>247.889</v>
      </c>
      <c r="BT66" t="n">
        <v>225.113</v>
      </c>
      <c r="BU66" t="n">
        <v>217.106</v>
      </c>
      <c r="BV66" t="n">
        <v>194.269</v>
      </c>
    </row>
    <row r="67">
      <c r="A67" t="inlineStr">
        <is>
          <t>Seriola</t>
        </is>
      </c>
      <c r="B67" t="inlineStr">
        <is>
          <t>Amberjacks</t>
        </is>
      </c>
      <c r="C67" t="inlineStr">
        <is>
          <t>Large benthopelagics (&gt;=90 cm)</t>
        </is>
      </c>
      <c r="D67" t="inlineStr">
        <is>
          <t>Perch-likes</t>
        </is>
      </c>
      <c r="E67" t="n">
        <v>232.695</v>
      </c>
      <c r="F67" t="n">
        <v>232.695</v>
      </c>
      <c r="G67" t="n">
        <v>232.695</v>
      </c>
      <c r="H67" t="n">
        <v>232.695</v>
      </c>
      <c r="I67" t="n">
        <v>232.695</v>
      </c>
      <c r="J67" t="n">
        <v>232.695</v>
      </c>
      <c r="K67" t="n">
        <v>232.695</v>
      </c>
      <c r="L67" t="n">
        <v>232.695</v>
      </c>
      <c r="M67" t="n">
        <v>232.695</v>
      </c>
      <c r="N67" t="n">
        <v>232.695</v>
      </c>
      <c r="O67" t="n">
        <v>232.695</v>
      </c>
      <c r="P67" t="n">
        <v>232.695</v>
      </c>
      <c r="Q67" t="n">
        <v>232.695</v>
      </c>
      <c r="R67" t="n">
        <v>232.695</v>
      </c>
      <c r="S67" t="n">
        <v>232.695</v>
      </c>
      <c r="T67" t="n">
        <v>232.695</v>
      </c>
      <c r="U67" t="n">
        <v>232.695</v>
      </c>
      <c r="V67" t="n">
        <v>232.695</v>
      </c>
      <c r="W67" t="n">
        <v>232.695</v>
      </c>
      <c r="X67" t="n">
        <v>232.695</v>
      </c>
      <c r="Y67" t="n">
        <v>232.695</v>
      </c>
      <c r="Z67" t="n">
        <v>232.695</v>
      </c>
      <c r="AA67" t="n">
        <v>232.695</v>
      </c>
      <c r="AB67" t="n">
        <v>232.695</v>
      </c>
      <c r="AC67" t="n">
        <v>299.683</v>
      </c>
      <c r="AD67" t="n">
        <v>370.197</v>
      </c>
      <c r="AE67" t="n">
        <v>437.185</v>
      </c>
      <c r="AF67" t="n">
        <v>507.699</v>
      </c>
      <c r="AG67" t="n">
        <v>574.687</v>
      </c>
      <c r="AH67" t="n">
        <v>616.995</v>
      </c>
      <c r="AI67" t="n">
        <v>659.304</v>
      </c>
      <c r="AJ67" t="n">
        <v>701.612</v>
      </c>
      <c r="AK67" t="n">
        <v>743.92</v>
      </c>
      <c r="AL67" t="n">
        <v>786.228</v>
      </c>
      <c r="AM67" t="n">
        <v>687.509</v>
      </c>
      <c r="AN67" t="n">
        <v>592.316</v>
      </c>
      <c r="AO67" t="n">
        <v>497.122</v>
      </c>
      <c r="AP67" t="n">
        <v>398.403</v>
      </c>
      <c r="AQ67" t="n">
        <v>303.209</v>
      </c>
      <c r="AR67" t="n">
        <v>299.683</v>
      </c>
      <c r="AS67" t="n">
        <v>296.158</v>
      </c>
      <c r="AT67" t="n">
        <v>292.632</v>
      </c>
      <c r="AU67" t="n">
        <v>285.581</v>
      </c>
      <c r="AV67" t="n">
        <v>282.055</v>
      </c>
      <c r="AW67" t="n">
        <v>285.581</v>
      </c>
      <c r="AX67" t="n">
        <v>285.581</v>
      </c>
      <c r="AY67" t="n">
        <v>289.106</v>
      </c>
      <c r="AZ67" t="n">
        <v>289.106</v>
      </c>
      <c r="BA67" t="n">
        <v>292.632</v>
      </c>
      <c r="BB67" t="n">
        <v>292.632</v>
      </c>
      <c r="BC67" t="n">
        <v>296.158</v>
      </c>
      <c r="BD67" t="n">
        <v>299.683</v>
      </c>
      <c r="BE67" t="n">
        <v>299.683</v>
      </c>
      <c r="BF67" t="n">
        <v>303.209</v>
      </c>
      <c r="BG67" t="n">
        <v>260.901</v>
      </c>
      <c r="BH67" t="n">
        <v>186.861</v>
      </c>
      <c r="BI67" t="n">
        <v>225.644</v>
      </c>
      <c r="BJ67" t="n">
        <v>200.964</v>
      </c>
      <c r="BK67" t="n">
        <v>197.439</v>
      </c>
      <c r="BL67" t="n">
        <v>183.336</v>
      </c>
      <c r="BM67" t="n">
        <v>165.707</v>
      </c>
      <c r="BN67" t="n">
        <v>3659.292</v>
      </c>
      <c r="BO67" t="n">
        <v>3385.08</v>
      </c>
      <c r="BP67" t="n">
        <v>3765.409</v>
      </c>
      <c r="BQ67" t="n">
        <v>3916.984</v>
      </c>
      <c r="BR67" t="n">
        <v>3842.618</v>
      </c>
      <c r="BS67" t="n">
        <v>3385.786</v>
      </c>
      <c r="BT67" t="n">
        <v>3695.764</v>
      </c>
      <c r="BU67" t="n">
        <v>3188.986</v>
      </c>
      <c r="BV67" t="n">
        <v>3456.348</v>
      </c>
    </row>
    <row r="68">
      <c r="A68" t="inlineStr">
        <is>
          <t>Thunnus alalunga</t>
        </is>
      </c>
      <c r="B68" t="inlineStr">
        <is>
          <t>Albacore</t>
        </is>
      </c>
      <c r="C68" t="inlineStr">
        <is>
          <t>Large pelagics (&gt;=90 cm)</t>
        </is>
      </c>
      <c r="D68" t="inlineStr">
        <is>
          <t>Tuna &amp; billfishes</t>
        </is>
      </c>
      <c r="E68" t="n">
        <v>63.232</v>
      </c>
      <c r="F68" t="n">
        <v>63.232</v>
      </c>
      <c r="G68" t="n">
        <v>63.252</v>
      </c>
      <c r="H68" t="n">
        <v>50.606</v>
      </c>
      <c r="I68" t="n">
        <v>50.737</v>
      </c>
      <c r="J68" t="n">
        <v>148.626</v>
      </c>
      <c r="K68" t="n">
        <v>546.322</v>
      </c>
      <c r="L68" t="n">
        <v>753.722</v>
      </c>
      <c r="M68" t="n">
        <v>290.867</v>
      </c>
      <c r="N68" t="n">
        <v>333.869</v>
      </c>
      <c r="O68" t="n">
        <v>1092.648</v>
      </c>
      <c r="P68" t="n">
        <v>741.775</v>
      </c>
      <c r="Q68" t="n">
        <v>1011.794</v>
      </c>
      <c r="R68" t="n">
        <v>1400.634</v>
      </c>
      <c r="S68" t="n">
        <v>523.066</v>
      </c>
      <c r="T68" t="n">
        <v>475.73</v>
      </c>
      <c r="U68" t="n">
        <v>354.189</v>
      </c>
      <c r="V68" t="n">
        <v>641.431</v>
      </c>
      <c r="W68" t="n">
        <v>314.233</v>
      </c>
      <c r="X68" t="n">
        <v>561.869</v>
      </c>
      <c r="Y68" t="n">
        <v>260.188</v>
      </c>
      <c r="Z68" t="n">
        <v>890.718</v>
      </c>
      <c r="AA68" t="n">
        <v>461.539</v>
      </c>
      <c r="AB68" t="n">
        <v>421.697</v>
      </c>
      <c r="AC68" t="n">
        <v>334.784</v>
      </c>
      <c r="AD68" t="n">
        <v>108.612</v>
      </c>
      <c r="AE68" t="n">
        <v>657.758</v>
      </c>
      <c r="AF68" t="n">
        <v>113.658</v>
      </c>
      <c r="AG68" t="n">
        <v>330.473</v>
      </c>
      <c r="AH68" t="n">
        <v>155.232</v>
      </c>
      <c r="AI68" t="n">
        <v>261.027</v>
      </c>
      <c r="AJ68" t="n">
        <v>154.603</v>
      </c>
      <c r="AK68" t="n">
        <v>357.51</v>
      </c>
      <c r="AL68" t="n">
        <v>148.965</v>
      </c>
      <c r="AM68" t="n">
        <v>239.45</v>
      </c>
      <c r="AN68" t="n">
        <v>180.861</v>
      </c>
      <c r="AO68" t="n">
        <v>94.84699999999999</v>
      </c>
      <c r="AP68" t="n">
        <v>120.759</v>
      </c>
      <c r="AQ68" t="n">
        <v>118.683</v>
      </c>
      <c r="AR68" t="n">
        <v>110.198</v>
      </c>
      <c r="AS68" t="n">
        <v>221.552</v>
      </c>
      <c r="AT68" t="n">
        <v>131.902</v>
      </c>
      <c r="AU68" t="n">
        <v>358.501</v>
      </c>
      <c r="AV68" t="n">
        <v>554.389</v>
      </c>
      <c r="AW68" t="n">
        <v>973.3920000000001</v>
      </c>
      <c r="AX68" t="n">
        <v>763.63</v>
      </c>
      <c r="AY68" t="n">
        <v>746.384</v>
      </c>
      <c r="AZ68" t="n">
        <v>1112.19</v>
      </c>
      <c r="BA68" t="n">
        <v>960.229</v>
      </c>
      <c r="BB68" t="n">
        <v>1865.432</v>
      </c>
      <c r="BC68" t="n">
        <v>1210.774</v>
      </c>
      <c r="BD68" t="n">
        <v>1340.41</v>
      </c>
      <c r="BE68" t="n">
        <v>1335.657</v>
      </c>
      <c r="BF68" t="n">
        <v>119.377</v>
      </c>
      <c r="BG68" t="n">
        <v>288.501</v>
      </c>
      <c r="BH68" t="n">
        <v>256.334</v>
      </c>
      <c r="BI68" t="n">
        <v>70.324</v>
      </c>
      <c r="BJ68" t="n">
        <v>313.553</v>
      </c>
      <c r="BK68" t="n">
        <v>126.257</v>
      </c>
      <c r="BL68" t="n">
        <v>209.629</v>
      </c>
      <c r="BM68" t="n">
        <v>155.934</v>
      </c>
      <c r="BN68" t="n">
        <v>1875.386</v>
      </c>
      <c r="BO68" t="n">
        <v>2453.305</v>
      </c>
      <c r="BP68" t="n">
        <v>2216.583</v>
      </c>
      <c r="BQ68" t="n">
        <v>1994.73</v>
      </c>
      <c r="BR68" t="n">
        <v>1690.505</v>
      </c>
      <c r="BS68" t="n">
        <v>1409.514</v>
      </c>
      <c r="BT68" t="n">
        <v>1535.529</v>
      </c>
      <c r="BU68" t="n">
        <v>1333.929</v>
      </c>
      <c r="BV68" t="n">
        <v>1511.764</v>
      </c>
    </row>
    <row r="69">
      <c r="A69" t="inlineStr">
        <is>
          <t>Loliginidae</t>
        </is>
      </c>
      <c r="B69" t="inlineStr">
        <is>
          <t>Common pencil squids</t>
        </is>
      </c>
      <c r="C69" t="inlineStr">
        <is>
          <t>Cephalopods</t>
        </is>
      </c>
      <c r="D69" t="inlineStr">
        <is>
          <t>Other fishes &amp; inverts</t>
        </is>
      </c>
      <c r="E69" t="n">
        <v>25.901</v>
      </c>
      <c r="F69" t="n">
        <v>25.956</v>
      </c>
      <c r="G69" t="n">
        <v>26.031</v>
      </c>
      <c r="H69" t="n">
        <v>26.067</v>
      </c>
      <c r="I69" t="n">
        <v>26.086</v>
      </c>
      <c r="J69" t="n">
        <v>26.207</v>
      </c>
      <c r="K69" t="n">
        <v>26.295</v>
      </c>
      <c r="L69" t="n">
        <v>26.364</v>
      </c>
      <c r="M69" t="n">
        <v>26.422</v>
      </c>
      <c r="N69" t="n">
        <v>26.542</v>
      </c>
      <c r="O69" t="n">
        <v>26.689</v>
      </c>
      <c r="P69" t="n">
        <v>26.924</v>
      </c>
      <c r="Q69" t="n">
        <v>26.996</v>
      </c>
      <c r="R69" t="n">
        <v>27.009</v>
      </c>
      <c r="S69" t="n">
        <v>27.133</v>
      </c>
      <c r="T69" t="n">
        <v>27.428</v>
      </c>
      <c r="U69" t="n">
        <v>27.696</v>
      </c>
      <c r="V69" t="n">
        <v>27.737</v>
      </c>
      <c r="W69" t="n">
        <v>27.854</v>
      </c>
      <c r="X69" t="n">
        <v>27.979</v>
      </c>
      <c r="Y69" t="n">
        <v>28.181</v>
      </c>
      <c r="Z69" t="n">
        <v>29.117</v>
      </c>
      <c r="AA69" t="n">
        <v>30.124</v>
      </c>
      <c r="AB69" t="n">
        <v>30.005</v>
      </c>
      <c r="AC69" t="n">
        <v>40.2</v>
      </c>
      <c r="AD69" t="n">
        <v>45.317</v>
      </c>
      <c r="AE69" t="n">
        <v>55.442</v>
      </c>
      <c r="AF69" t="n">
        <v>238.265</v>
      </c>
      <c r="AG69" t="n">
        <v>1535.101</v>
      </c>
      <c r="AH69" t="n">
        <v>1908.01</v>
      </c>
      <c r="AI69" t="n">
        <v>1286.75</v>
      </c>
      <c r="AJ69" t="n">
        <v>2792.077</v>
      </c>
      <c r="AK69" t="n">
        <v>3943.784</v>
      </c>
      <c r="AL69" t="n">
        <v>4511.629</v>
      </c>
      <c r="AM69" t="n">
        <v>3323.006</v>
      </c>
      <c r="AN69" t="n">
        <v>4883.354</v>
      </c>
      <c r="AO69" t="n">
        <v>3415.314</v>
      </c>
      <c r="AP69" t="n">
        <v>3524.208</v>
      </c>
      <c r="AQ69" t="n">
        <v>1712.441</v>
      </c>
      <c r="AR69" t="n">
        <v>1939.657</v>
      </c>
      <c r="AS69" t="n">
        <v>3711.738</v>
      </c>
      <c r="AT69" t="n">
        <v>195.943</v>
      </c>
      <c r="AU69" t="n">
        <v>31.29</v>
      </c>
      <c r="AV69" t="n">
        <v>30.76</v>
      </c>
      <c r="AW69" t="n">
        <v>30.76</v>
      </c>
      <c r="AX69" t="n">
        <v>30.76</v>
      </c>
      <c r="AY69" t="n">
        <v>30.76</v>
      </c>
      <c r="AZ69" t="n">
        <v>30.76</v>
      </c>
      <c r="BA69" t="n">
        <v>30.76</v>
      </c>
      <c r="BB69" t="n">
        <v>35.887</v>
      </c>
      <c r="BC69" t="n">
        <v>35.887</v>
      </c>
      <c r="BD69" t="n">
        <v>35.887</v>
      </c>
      <c r="BE69" t="n">
        <v>311.292</v>
      </c>
      <c r="BF69" t="n">
        <v>601.391</v>
      </c>
      <c r="BG69" t="n">
        <v>406.036</v>
      </c>
      <c r="BH69" t="n">
        <v>366.448</v>
      </c>
      <c r="BI69" t="n">
        <v>231.227</v>
      </c>
      <c r="BJ69" t="n">
        <v>241.485</v>
      </c>
      <c r="BK69" t="n">
        <v>377.201</v>
      </c>
      <c r="BL69" t="n">
        <v>446.794</v>
      </c>
      <c r="BM69" t="n">
        <v>226.293</v>
      </c>
      <c r="BN69" t="n">
        <v>0</v>
      </c>
      <c r="BO69" t="n">
        <v>0</v>
      </c>
      <c r="BP69" t="n">
        <v>2.502</v>
      </c>
      <c r="BQ69" t="n">
        <v>2.419</v>
      </c>
      <c r="BR69" t="n">
        <v>1.849</v>
      </c>
      <c r="BS69" t="n">
        <v>5.118</v>
      </c>
      <c r="BT69" t="n">
        <v>0.916</v>
      </c>
      <c r="BU69" t="n">
        <v>1.156</v>
      </c>
      <c r="BV69" t="n">
        <v>1.092</v>
      </c>
    </row>
    <row r="70">
      <c r="A70" t="inlineStr">
        <is>
          <t>Hippoglossoides elassodon</t>
        </is>
      </c>
      <c r="B70" t="inlineStr">
        <is>
          <t>Flathead sole</t>
        </is>
      </c>
      <c r="C70" t="inlineStr">
        <is>
          <t>Small to medium flatfishes (&lt;90 cm)</t>
        </is>
      </c>
      <c r="D70" t="inlineStr">
        <is>
          <t>Flatfishes</t>
        </is>
      </c>
      <c r="E70" t="n">
        <v>0</v>
      </c>
      <c r="F70" t="n">
        <v>0</v>
      </c>
      <c r="G70" t="n">
        <v>0</v>
      </c>
      <c r="H70" t="n">
        <v>0</v>
      </c>
      <c r="I70" t="n">
        <v>19.087</v>
      </c>
      <c r="J70" t="n">
        <v>17.748</v>
      </c>
      <c r="K70" t="n">
        <v>45.054</v>
      </c>
      <c r="L70" t="n">
        <v>148.553</v>
      </c>
      <c r="M70" t="n">
        <v>234.66</v>
      </c>
      <c r="N70" t="n">
        <v>460.948</v>
      </c>
      <c r="O70" t="n">
        <v>1072.44</v>
      </c>
      <c r="P70" t="n">
        <v>1627.411</v>
      </c>
      <c r="Q70" t="n">
        <v>668.542</v>
      </c>
      <c r="R70" t="n">
        <v>1103.891</v>
      </c>
      <c r="S70" t="n">
        <v>892.4059999999999</v>
      </c>
      <c r="T70" t="n">
        <v>631.508</v>
      </c>
      <c r="U70" t="n">
        <v>1392.668</v>
      </c>
      <c r="V70" t="n">
        <v>1259.538</v>
      </c>
      <c r="W70" t="n">
        <v>1307.982</v>
      </c>
      <c r="X70" t="n">
        <v>1305.692</v>
      </c>
      <c r="Y70" t="n">
        <v>1303.403</v>
      </c>
      <c r="Z70" t="n">
        <v>1301.113</v>
      </c>
      <c r="AA70" t="n">
        <v>1298.824</v>
      </c>
      <c r="AB70" t="n">
        <v>1296.534</v>
      </c>
      <c r="AC70" t="n">
        <v>1294.245</v>
      </c>
      <c r="AD70" t="n">
        <v>1259.037</v>
      </c>
      <c r="AE70" t="n">
        <v>1223.829</v>
      </c>
      <c r="AF70" t="n">
        <v>1220.031</v>
      </c>
      <c r="AG70" t="n">
        <v>1216.234</v>
      </c>
      <c r="AH70" t="n">
        <v>1212.436</v>
      </c>
      <c r="AI70" t="n">
        <v>1208.638</v>
      </c>
      <c r="AJ70" t="n">
        <v>1204.841</v>
      </c>
      <c r="AK70" t="n">
        <v>1201.043</v>
      </c>
      <c r="AL70" t="n">
        <v>1197.246</v>
      </c>
      <c r="AM70" t="n">
        <v>1193.448</v>
      </c>
      <c r="AN70" t="n">
        <v>1189.651</v>
      </c>
      <c r="AO70" t="n">
        <v>1295.996</v>
      </c>
      <c r="AP70" t="n">
        <v>1111.712</v>
      </c>
      <c r="AQ70" t="n">
        <v>1194.916</v>
      </c>
      <c r="AR70" t="n">
        <v>1161.403</v>
      </c>
      <c r="AS70" t="n">
        <v>1167.627</v>
      </c>
      <c r="AT70" t="n">
        <v>270.623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Gadidae</t>
        </is>
      </c>
      <c r="B71" t="inlineStr">
        <is>
          <t>Cods, haddocks</t>
        </is>
      </c>
      <c r="C71" t="inlineStr">
        <is>
          <t>Medium demersals (30 - 89 cm)</t>
        </is>
      </c>
      <c r="D71" t="inlineStr">
        <is>
          <t>Cod-likes</t>
        </is>
      </c>
      <c r="E71" t="n">
        <v>417.16</v>
      </c>
      <c r="F71" t="n">
        <v>417.16</v>
      </c>
      <c r="G71" t="n">
        <v>417.16</v>
      </c>
      <c r="H71" t="n">
        <v>417.16</v>
      </c>
      <c r="I71" t="n">
        <v>417.16</v>
      </c>
      <c r="J71" t="n">
        <v>417.16</v>
      </c>
      <c r="K71" t="n">
        <v>417.16</v>
      </c>
      <c r="L71" t="n">
        <v>417.16</v>
      </c>
      <c r="M71" t="n">
        <v>417.16</v>
      </c>
      <c r="N71" t="n">
        <v>417.16</v>
      </c>
      <c r="O71" t="n">
        <v>417.16</v>
      </c>
      <c r="P71" t="n">
        <v>417.16</v>
      </c>
      <c r="Q71" t="n">
        <v>417.16</v>
      </c>
      <c r="R71" t="n">
        <v>417.16</v>
      </c>
      <c r="S71" t="n">
        <v>417.16</v>
      </c>
      <c r="T71" t="n">
        <v>417.16</v>
      </c>
      <c r="U71" t="n">
        <v>417.16</v>
      </c>
      <c r="V71" t="n">
        <v>417.16</v>
      </c>
      <c r="W71" t="n">
        <v>417.16</v>
      </c>
      <c r="X71" t="n">
        <v>417.16</v>
      </c>
      <c r="Y71" t="n">
        <v>417.16</v>
      </c>
      <c r="Z71" t="n">
        <v>417.16</v>
      </c>
      <c r="AA71" t="n">
        <v>417.16</v>
      </c>
      <c r="AB71" t="n">
        <v>417.16</v>
      </c>
      <c r="AC71" t="n">
        <v>539.854</v>
      </c>
      <c r="AD71" t="n">
        <v>670.728</v>
      </c>
      <c r="AE71" t="n">
        <v>793.422</v>
      </c>
      <c r="AF71" t="n">
        <v>916.116</v>
      </c>
      <c r="AG71" t="n">
        <v>1038.81</v>
      </c>
      <c r="AH71" t="n">
        <v>1112.427</v>
      </c>
      <c r="AI71" t="n">
        <v>1194.223</v>
      </c>
      <c r="AJ71" t="n">
        <v>1267.839</v>
      </c>
      <c r="AK71" t="n">
        <v>1341.456</v>
      </c>
      <c r="AL71" t="n">
        <v>1415.072</v>
      </c>
      <c r="AM71" t="n">
        <v>1243.3</v>
      </c>
      <c r="AN71" t="n">
        <v>1071.529</v>
      </c>
      <c r="AO71" t="n">
        <v>891.577</v>
      </c>
      <c r="AP71" t="n">
        <v>719.8049999999999</v>
      </c>
      <c r="AQ71" t="n">
        <v>548.034</v>
      </c>
      <c r="AR71" t="n">
        <v>539.854</v>
      </c>
      <c r="AS71" t="n">
        <v>531.674</v>
      </c>
      <c r="AT71" t="n">
        <v>523.495</v>
      </c>
      <c r="AU71" t="n">
        <v>515.3150000000001</v>
      </c>
      <c r="AV71" t="n">
        <v>515.3150000000001</v>
      </c>
      <c r="AW71" t="n">
        <v>515.3150000000001</v>
      </c>
      <c r="AX71" t="n">
        <v>515.3150000000001</v>
      </c>
      <c r="AY71" t="n">
        <v>523.495</v>
      </c>
      <c r="AZ71" t="n">
        <v>523.495</v>
      </c>
      <c r="BA71" t="n">
        <v>523.495</v>
      </c>
      <c r="BB71" t="n">
        <v>531.674</v>
      </c>
      <c r="BC71" t="n">
        <v>531.674</v>
      </c>
      <c r="BD71" t="n">
        <v>539.854</v>
      </c>
      <c r="BE71" t="n">
        <v>548.034</v>
      </c>
      <c r="BF71" t="n">
        <v>548.034</v>
      </c>
      <c r="BG71" t="n">
        <v>474.417</v>
      </c>
      <c r="BH71" t="n">
        <v>335.364</v>
      </c>
      <c r="BI71" t="n">
        <v>408.98</v>
      </c>
      <c r="BJ71" t="n">
        <v>359.903</v>
      </c>
      <c r="BK71" t="n">
        <v>351.723</v>
      </c>
      <c r="BL71" t="n">
        <v>335.364</v>
      </c>
      <c r="BM71" t="n">
        <v>294.466</v>
      </c>
      <c r="BN71" t="n">
        <v>294.466</v>
      </c>
      <c r="BO71" t="n">
        <v>294.466</v>
      </c>
      <c r="BP71" t="n">
        <v>294.466</v>
      </c>
      <c r="BQ71" t="n">
        <v>294.466</v>
      </c>
      <c r="BR71" t="n">
        <v>294.466</v>
      </c>
      <c r="BS71" t="n">
        <v>294.466</v>
      </c>
      <c r="BT71" t="n">
        <v>305.322</v>
      </c>
      <c r="BU71" t="n">
        <v>305.322</v>
      </c>
      <c r="BV71" t="n">
        <v>305.322</v>
      </c>
    </row>
    <row r="72">
      <c r="A72" t="inlineStr">
        <is>
          <t>Gastropoda</t>
        </is>
      </c>
      <c r="B72" t="inlineStr">
        <is>
          <t>Sea snails</t>
        </is>
      </c>
      <c r="C72" t="inlineStr">
        <is>
          <t>Other demersal invertebrates</t>
        </is>
      </c>
      <c r="D72" t="inlineStr">
        <is>
          <t>Molluscs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86.508</v>
      </c>
      <c r="AU72" t="n">
        <v>25.386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481.462</v>
      </c>
      <c r="BL72" t="n">
        <v>474.903</v>
      </c>
      <c r="BM72" t="n">
        <v>621.895</v>
      </c>
      <c r="BN72" t="n">
        <v>3450.654</v>
      </c>
      <c r="BO72" t="n">
        <v>3128.512</v>
      </c>
      <c r="BP72" t="n">
        <v>3172.43</v>
      </c>
      <c r="BQ72" t="n">
        <v>4086.743</v>
      </c>
      <c r="BR72" t="n">
        <v>3482.056</v>
      </c>
      <c r="BS72" t="n">
        <v>3931.457</v>
      </c>
      <c r="BT72" t="n">
        <v>4046.649</v>
      </c>
      <c r="BU72" t="n">
        <v>4154.359</v>
      </c>
      <c r="BV72" t="n">
        <v>4919.358</v>
      </c>
    </row>
    <row r="73">
      <c r="A73" t="inlineStr">
        <is>
          <t>Berryteuthis magister</t>
        </is>
      </c>
      <c r="B73" t="inlineStr">
        <is>
          <t>Schoolmaster gonate squid</t>
        </is>
      </c>
      <c r="C73" t="inlineStr">
        <is>
          <t>Cephalopods</t>
        </is>
      </c>
      <c r="D73" t="inlineStr">
        <is>
          <t>Other fishes &amp; inverts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6556.721</v>
      </c>
      <c r="BO73" t="n">
        <v>7220.163</v>
      </c>
      <c r="BP73" t="n">
        <v>7960.528</v>
      </c>
      <c r="BQ73" t="n">
        <v>10973.238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Lutjanidae</t>
        </is>
      </c>
      <c r="B74" t="inlineStr">
        <is>
          <t>Snappers</t>
        </is>
      </c>
      <c r="C74" t="inlineStr">
        <is>
          <t>Medium reef assoc. fish (30 - 89 cm)</t>
        </is>
      </c>
      <c r="D74" t="inlineStr">
        <is>
          <t>Perch-likes</t>
        </is>
      </c>
      <c r="E74" t="n">
        <v>113.455</v>
      </c>
      <c r="F74" t="n">
        <v>122.538</v>
      </c>
      <c r="G74" t="n">
        <v>123.522</v>
      </c>
      <c r="H74" t="n">
        <v>143.79</v>
      </c>
      <c r="I74" t="n">
        <v>220.595</v>
      </c>
      <c r="J74" t="n">
        <v>343.178</v>
      </c>
      <c r="K74" t="n">
        <v>412.945</v>
      </c>
      <c r="L74" t="n">
        <v>398.113</v>
      </c>
      <c r="M74" t="n">
        <v>504.907</v>
      </c>
      <c r="N74" t="n">
        <v>468.757</v>
      </c>
      <c r="O74" t="n">
        <v>297.993</v>
      </c>
      <c r="P74" t="n">
        <v>315.512</v>
      </c>
      <c r="Q74" t="n">
        <v>236.871</v>
      </c>
      <c r="R74" t="n">
        <v>233.574</v>
      </c>
      <c r="S74" t="n">
        <v>235.07</v>
      </c>
      <c r="T74" t="n">
        <v>275.852</v>
      </c>
      <c r="U74" t="n">
        <v>218.919</v>
      </c>
      <c r="V74" t="n">
        <v>168.698</v>
      </c>
      <c r="W74" t="n">
        <v>238.46</v>
      </c>
      <c r="X74" t="n">
        <v>258.822</v>
      </c>
      <c r="Y74" t="n">
        <v>140.492</v>
      </c>
      <c r="Z74" t="n">
        <v>262.904</v>
      </c>
      <c r="AA74" t="n">
        <v>246.489</v>
      </c>
      <c r="AB74" t="n">
        <v>308.056</v>
      </c>
      <c r="AC74" t="n">
        <v>178.181</v>
      </c>
      <c r="AD74" t="n">
        <v>208.71</v>
      </c>
      <c r="AE74" t="n">
        <v>164.075</v>
      </c>
      <c r="AF74" t="n">
        <v>282.432</v>
      </c>
      <c r="AG74" t="n">
        <v>333.018</v>
      </c>
      <c r="AH74" t="n">
        <v>255.696</v>
      </c>
      <c r="AI74" t="n">
        <v>301.473</v>
      </c>
      <c r="AJ74" t="n">
        <v>361.235</v>
      </c>
      <c r="AK74" t="n">
        <v>444.201</v>
      </c>
      <c r="AL74" t="n">
        <v>478.894</v>
      </c>
      <c r="AM74" t="n">
        <v>639.2910000000001</v>
      </c>
      <c r="AN74" t="n">
        <v>832.9930000000001</v>
      </c>
      <c r="AO74" t="n">
        <v>818.6319999999999</v>
      </c>
      <c r="AP74" t="n">
        <v>819.313</v>
      </c>
      <c r="AQ74" t="n">
        <v>762.6609999999999</v>
      </c>
      <c r="AR74" t="n">
        <v>735.676</v>
      </c>
      <c r="AS74" t="n">
        <v>680.4690000000001</v>
      </c>
      <c r="AT74" t="n">
        <v>636.944</v>
      </c>
      <c r="AU74" t="n">
        <v>766.352</v>
      </c>
      <c r="AV74" t="n">
        <v>533.533</v>
      </c>
      <c r="AW74" t="n">
        <v>379.02</v>
      </c>
      <c r="AX74" t="n">
        <v>487.652</v>
      </c>
      <c r="AY74" t="n">
        <v>488.635</v>
      </c>
      <c r="AZ74" t="n">
        <v>479.736</v>
      </c>
      <c r="BA74" t="n">
        <v>590.016</v>
      </c>
      <c r="BB74" t="n">
        <v>675.327</v>
      </c>
      <c r="BC74" t="n">
        <v>611.622</v>
      </c>
      <c r="BD74" t="n">
        <v>550.072</v>
      </c>
      <c r="BE74" t="n">
        <v>504.743</v>
      </c>
      <c r="BF74" t="n">
        <v>471.424</v>
      </c>
      <c r="BG74" t="n">
        <v>450.153</v>
      </c>
      <c r="BH74" t="n">
        <v>472.747</v>
      </c>
      <c r="BI74" t="n">
        <v>413.464</v>
      </c>
      <c r="BJ74" t="n">
        <v>436.596</v>
      </c>
      <c r="BK74" t="n">
        <v>437.715</v>
      </c>
      <c r="BL74" t="n">
        <v>490.796</v>
      </c>
      <c r="BM74" t="n">
        <v>524.966</v>
      </c>
      <c r="BN74" t="n">
        <v>452.93</v>
      </c>
      <c r="BO74" t="n">
        <v>481.964</v>
      </c>
      <c r="BP74" t="n">
        <v>458.538</v>
      </c>
      <c r="BQ74" t="n">
        <v>485.966</v>
      </c>
      <c r="BR74" t="n">
        <v>527.157</v>
      </c>
      <c r="BS74" t="n">
        <v>545.054</v>
      </c>
      <c r="BT74" t="n">
        <v>578.715</v>
      </c>
      <c r="BU74" t="n">
        <v>655.403</v>
      </c>
      <c r="BV74" t="n">
        <v>657.7089999999999</v>
      </c>
    </row>
    <row r="75">
      <c r="A75" t="inlineStr">
        <is>
          <t>Clupeidae</t>
        </is>
      </c>
      <c r="B75" t="inlineStr">
        <is>
          <t>Herrings, sardines, menhadens</t>
        </is>
      </c>
      <c r="C75" t="inlineStr">
        <is>
          <t>Small pelagics (&lt;30 cm)</t>
        </is>
      </c>
      <c r="D75" t="inlineStr">
        <is>
          <t>Herring-likes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2765.241</v>
      </c>
      <c r="BO75" t="n">
        <v>3492.61</v>
      </c>
      <c r="BP75" t="n">
        <v>3184.753</v>
      </c>
      <c r="BQ75" t="n">
        <v>3218.062</v>
      </c>
      <c r="BR75" t="n">
        <v>3373.835</v>
      </c>
      <c r="BS75" t="n">
        <v>3282.61</v>
      </c>
      <c r="BT75" t="n">
        <v>2705.857</v>
      </c>
      <c r="BU75" t="n">
        <v>2691.393</v>
      </c>
      <c r="BV75" t="n">
        <v>3063.437</v>
      </c>
    </row>
    <row r="76">
      <c r="A76" t="inlineStr">
        <is>
          <t>Holothuroidea</t>
        </is>
      </c>
      <c r="B76" t="inlineStr">
        <is>
          <t>Sea cucumbers</t>
        </is>
      </c>
      <c r="C76" t="inlineStr">
        <is>
          <t>Other demersal invertebrates</t>
        </is>
      </c>
      <c r="D76" t="inlineStr">
        <is>
          <t>Other fishes &amp; inverts</t>
        </is>
      </c>
      <c r="E76" t="n">
        <v>196.79</v>
      </c>
      <c r="F76" t="n">
        <v>196.79</v>
      </c>
      <c r="G76" t="n">
        <v>196.79</v>
      </c>
      <c r="H76" t="n">
        <v>191.571</v>
      </c>
      <c r="I76" t="n">
        <v>194.252</v>
      </c>
      <c r="J76" t="n">
        <v>196.79</v>
      </c>
      <c r="K76" t="n">
        <v>190.302</v>
      </c>
      <c r="L76" t="n">
        <v>217.431</v>
      </c>
      <c r="M76" t="n">
        <v>231.723</v>
      </c>
      <c r="N76" t="n">
        <v>219.087</v>
      </c>
      <c r="O76" t="n">
        <v>216.727</v>
      </c>
      <c r="P76" t="n">
        <v>217.421</v>
      </c>
      <c r="Q76" t="n">
        <v>201.309</v>
      </c>
      <c r="R76" t="n">
        <v>197.148</v>
      </c>
      <c r="S76" t="n">
        <v>241.107</v>
      </c>
      <c r="T76" t="n">
        <v>243.281</v>
      </c>
      <c r="U76" t="n">
        <v>279.082</v>
      </c>
      <c r="V76" t="n">
        <v>316.215</v>
      </c>
      <c r="W76" t="n">
        <v>309.678</v>
      </c>
      <c r="X76" t="n">
        <v>292.606</v>
      </c>
      <c r="Y76" t="n">
        <v>272.668</v>
      </c>
      <c r="Z76" t="n">
        <v>284.039</v>
      </c>
      <c r="AA76" t="n">
        <v>270.194</v>
      </c>
      <c r="AB76" t="n">
        <v>250.825</v>
      </c>
      <c r="AC76" t="n">
        <v>257.825</v>
      </c>
      <c r="AD76" t="n">
        <v>225.89</v>
      </c>
      <c r="AE76" t="n">
        <v>252.223</v>
      </c>
      <c r="AF76" t="n">
        <v>236.81</v>
      </c>
      <c r="AG76" t="n">
        <v>246.066</v>
      </c>
      <c r="AH76" t="n">
        <v>229.536</v>
      </c>
      <c r="AI76" t="n">
        <v>221.172</v>
      </c>
      <c r="AJ76" t="n">
        <v>203.494</v>
      </c>
      <c r="AK76" t="n">
        <v>211.247</v>
      </c>
      <c r="AL76" t="n">
        <v>207.882</v>
      </c>
      <c r="AM76" t="n">
        <v>192.789</v>
      </c>
      <c r="AN76" t="n">
        <v>198.645</v>
      </c>
      <c r="AO76" t="n">
        <v>184.462</v>
      </c>
      <c r="AP76" t="n">
        <v>182.376</v>
      </c>
      <c r="AQ76" t="n">
        <v>177.376</v>
      </c>
      <c r="AR76" t="n">
        <v>170.949</v>
      </c>
      <c r="AS76" t="n">
        <v>170.103</v>
      </c>
      <c r="AT76" t="n">
        <v>170.883</v>
      </c>
      <c r="AU76" t="n">
        <v>160.698</v>
      </c>
      <c r="AV76" t="n">
        <v>161.036</v>
      </c>
      <c r="AW76" t="n">
        <v>168.668</v>
      </c>
      <c r="AX76" t="n">
        <v>180.445</v>
      </c>
      <c r="AY76" t="n">
        <v>194.44</v>
      </c>
      <c r="AZ76" t="n">
        <v>190.614</v>
      </c>
      <c r="BA76" t="n">
        <v>188.011</v>
      </c>
      <c r="BB76" t="n">
        <v>182.109</v>
      </c>
      <c r="BC76" t="n">
        <v>188.952</v>
      </c>
      <c r="BD76" t="n">
        <v>193.727</v>
      </c>
      <c r="BE76" t="n">
        <v>196.396</v>
      </c>
      <c r="BF76" t="n">
        <v>227.607</v>
      </c>
      <c r="BG76" t="n">
        <v>245.169</v>
      </c>
      <c r="BH76" t="n">
        <v>242.461</v>
      </c>
      <c r="BI76" t="n">
        <v>264.934</v>
      </c>
      <c r="BJ76" t="n">
        <v>28.758</v>
      </c>
      <c r="BK76" t="n">
        <v>31.296</v>
      </c>
      <c r="BL76" t="n">
        <v>31.296</v>
      </c>
      <c r="BM76" t="n">
        <v>31.296</v>
      </c>
      <c r="BN76" t="n">
        <v>1466.28</v>
      </c>
      <c r="BO76" t="n">
        <v>1343.387</v>
      </c>
      <c r="BP76" t="n">
        <v>1520.046</v>
      </c>
      <c r="BQ76" t="n">
        <v>31.296</v>
      </c>
      <c r="BR76" t="n">
        <v>1728.765</v>
      </c>
      <c r="BS76" t="n">
        <v>1979.896</v>
      </c>
      <c r="BT76" t="n">
        <v>2146.582</v>
      </c>
      <c r="BU76" t="n">
        <v>2321.264</v>
      </c>
      <c r="BV76" t="n">
        <v>2760.82</v>
      </c>
    </row>
    <row r="77">
      <c r="A77" t="inlineStr">
        <is>
          <t>Dendrobranchiata</t>
        </is>
      </c>
      <c r="B77" t="inlineStr">
        <is>
          <t>Shrimps and prawns</t>
        </is>
      </c>
      <c r="C77" t="inlineStr">
        <is>
          <t>Shrimps</t>
        </is>
      </c>
      <c r="D77" t="inlineStr">
        <is>
          <t>Crustaceans</t>
        </is>
      </c>
      <c r="E77" t="n">
        <v>67.5</v>
      </c>
      <c r="F77" t="n">
        <v>76.536</v>
      </c>
      <c r="G77" t="n">
        <v>104.068</v>
      </c>
      <c r="H77" t="n">
        <v>106.28</v>
      </c>
      <c r="I77" t="n">
        <v>83.22199999999999</v>
      </c>
      <c r="J77" t="n">
        <v>140.787</v>
      </c>
      <c r="K77" t="n">
        <v>149.759</v>
      </c>
      <c r="L77" t="n">
        <v>140.738</v>
      </c>
      <c r="M77" t="n">
        <v>145.125</v>
      </c>
      <c r="N77" t="n">
        <v>183.46</v>
      </c>
      <c r="O77" t="n">
        <v>192.25</v>
      </c>
      <c r="P77" t="n">
        <v>225.757</v>
      </c>
      <c r="Q77" t="n">
        <v>274.283</v>
      </c>
      <c r="R77" t="n">
        <v>365.847</v>
      </c>
      <c r="S77" t="n">
        <v>407.354</v>
      </c>
      <c r="T77" t="n">
        <v>617.545</v>
      </c>
      <c r="U77" t="n">
        <v>730.127</v>
      </c>
      <c r="V77" t="n">
        <v>850.2859999999999</v>
      </c>
      <c r="W77" t="n">
        <v>890.127</v>
      </c>
      <c r="X77" t="n">
        <v>1215.518</v>
      </c>
      <c r="Y77" t="n">
        <v>1064.84</v>
      </c>
      <c r="Z77" t="n">
        <v>1435.29</v>
      </c>
      <c r="AA77" t="n">
        <v>1988.494</v>
      </c>
      <c r="AB77" t="n">
        <v>2241.252</v>
      </c>
      <c r="AC77" t="n">
        <v>2203.154</v>
      </c>
      <c r="AD77" t="n">
        <v>2685.713</v>
      </c>
      <c r="AE77" t="n">
        <v>2423.201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2879.987</v>
      </c>
      <c r="AU77" t="n">
        <v>1782.565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10.266</v>
      </c>
      <c r="BC77" t="n">
        <v>55.976</v>
      </c>
      <c r="BD77" t="n">
        <v>49.209</v>
      </c>
      <c r="BE77" t="n">
        <v>128.136</v>
      </c>
      <c r="BF77" t="n">
        <v>0.552</v>
      </c>
      <c r="BG77" t="n">
        <v>78.428</v>
      </c>
      <c r="BH77" t="n">
        <v>41.975</v>
      </c>
      <c r="BI77" t="n">
        <v>0</v>
      </c>
      <c r="BJ77" t="n">
        <v>0</v>
      </c>
      <c r="BK77" t="n">
        <v>11.046</v>
      </c>
      <c r="BL77" t="n">
        <v>3.866</v>
      </c>
      <c r="BM77" t="n">
        <v>9.388999999999999</v>
      </c>
      <c r="BN77" t="n">
        <v>0</v>
      </c>
      <c r="BO77" t="n">
        <v>0</v>
      </c>
      <c r="BP77" t="n">
        <v>216.629</v>
      </c>
      <c r="BQ77" t="n">
        <v>259.103</v>
      </c>
      <c r="BR77" t="n">
        <v>147.037</v>
      </c>
      <c r="BS77" t="n">
        <v>113.653</v>
      </c>
      <c r="BT77" t="n">
        <v>76.032</v>
      </c>
      <c r="BU77" t="n">
        <v>14.842</v>
      </c>
      <c r="BV77" t="n">
        <v>43.517</v>
      </c>
    </row>
    <row r="78">
      <c r="A78" t="inlineStr">
        <is>
          <t>Pandalus</t>
        </is>
      </c>
      <c r="B78" t="inlineStr">
        <is>
          <t>Seabed shrimps</t>
        </is>
      </c>
      <c r="C78" t="inlineStr">
        <is>
          <t>Shrimps</t>
        </is>
      </c>
      <c r="D78" t="inlineStr">
        <is>
          <t>Crustaceans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0.148</v>
      </c>
      <c r="R78" t="n">
        <v>59.078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42.536</v>
      </c>
      <c r="AG78" t="n">
        <v>5817.107</v>
      </c>
      <c r="AH78" t="n">
        <v>287.721</v>
      </c>
      <c r="AI78" t="n">
        <v>203.413</v>
      </c>
      <c r="AJ78" t="n">
        <v>338.789</v>
      </c>
      <c r="AK78" t="n">
        <v>115.486</v>
      </c>
      <c r="AL78" t="n">
        <v>152.579</v>
      </c>
      <c r="AM78" t="n">
        <v>500.204</v>
      </c>
      <c r="AN78" t="n">
        <v>709.027</v>
      </c>
      <c r="AO78" t="n">
        <v>605.2190000000001</v>
      </c>
      <c r="AP78" t="n">
        <v>2541.024</v>
      </c>
      <c r="AQ78" t="n">
        <v>296.596</v>
      </c>
      <c r="AR78" t="n">
        <v>874.436</v>
      </c>
      <c r="AS78" t="n">
        <v>794.83</v>
      </c>
      <c r="AT78" t="n">
        <v>976.991</v>
      </c>
      <c r="AU78" t="n">
        <v>1231.41</v>
      </c>
      <c r="AV78" t="n">
        <v>1494.936</v>
      </c>
      <c r="AW78" t="n">
        <v>1207.729</v>
      </c>
      <c r="AX78" t="n">
        <v>1456.075</v>
      </c>
      <c r="AY78" t="n">
        <v>1821.612</v>
      </c>
      <c r="AZ78" t="n">
        <v>74.68600000000001</v>
      </c>
      <c r="BA78" t="n">
        <v>33.396</v>
      </c>
      <c r="BB78" t="n">
        <v>58.899</v>
      </c>
      <c r="BC78" t="n">
        <v>45.54</v>
      </c>
      <c r="BD78" t="n">
        <v>57.077</v>
      </c>
      <c r="BE78" t="n">
        <v>49.184</v>
      </c>
      <c r="BF78" t="n">
        <v>22.467</v>
      </c>
      <c r="BG78" t="n">
        <v>14.573</v>
      </c>
      <c r="BH78" t="n">
        <v>19.431</v>
      </c>
      <c r="BI78" t="n">
        <v>14.573</v>
      </c>
      <c r="BJ78" t="n">
        <v>21.859</v>
      </c>
      <c r="BK78" t="n">
        <v>16.395</v>
      </c>
      <c r="BL78" t="n">
        <v>15.787</v>
      </c>
      <c r="BM78" t="n">
        <v>15.787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Tetraodontidae</t>
        </is>
      </c>
      <c r="B79" t="inlineStr">
        <is>
          <t>Puffers, tobies</t>
        </is>
      </c>
      <c r="C79" t="inlineStr">
        <is>
          <t>Large reef assoc. fish (&gt;=90 cm)</t>
        </is>
      </c>
      <c r="D79" t="inlineStr">
        <is>
          <t>Other fishes &amp; inverts</t>
        </is>
      </c>
      <c r="E79" t="n">
        <v>215.424</v>
      </c>
      <c r="F79" t="n">
        <v>215.424</v>
      </c>
      <c r="G79" t="n">
        <v>215.424</v>
      </c>
      <c r="H79" t="n">
        <v>204.415</v>
      </c>
      <c r="I79" t="n">
        <v>204.415</v>
      </c>
      <c r="J79" t="n">
        <v>204.415</v>
      </c>
      <c r="K79" t="n">
        <v>210.44</v>
      </c>
      <c r="L79" t="n">
        <v>222.317</v>
      </c>
      <c r="M79" t="n">
        <v>237.806</v>
      </c>
      <c r="N79" t="n">
        <v>237.302</v>
      </c>
      <c r="O79" t="n">
        <v>286.181</v>
      </c>
      <c r="P79" t="n">
        <v>292.314</v>
      </c>
      <c r="Q79" t="n">
        <v>289.525</v>
      </c>
      <c r="R79" t="n">
        <v>317.175</v>
      </c>
      <c r="S79" t="n">
        <v>327.418</v>
      </c>
      <c r="T79" t="n">
        <v>353.163</v>
      </c>
      <c r="U79" t="n">
        <v>391.516</v>
      </c>
      <c r="V79" t="n">
        <v>464.392</v>
      </c>
      <c r="W79" t="n">
        <v>534.746</v>
      </c>
      <c r="X79" t="n">
        <v>487.844</v>
      </c>
      <c r="Y79" t="n">
        <v>472.766</v>
      </c>
      <c r="Z79" t="n">
        <v>504.132</v>
      </c>
      <c r="AA79" t="n">
        <v>515.5549999999999</v>
      </c>
      <c r="AB79" t="n">
        <v>518.769</v>
      </c>
      <c r="AC79" t="n">
        <v>507.98</v>
      </c>
      <c r="AD79" t="n">
        <v>502.73</v>
      </c>
      <c r="AE79" t="n">
        <v>507.805</v>
      </c>
      <c r="AF79" t="n">
        <v>513.338</v>
      </c>
      <c r="AG79" t="n">
        <v>505.015</v>
      </c>
      <c r="AH79" t="n">
        <v>474.186</v>
      </c>
      <c r="AI79" t="n">
        <v>494.574</v>
      </c>
      <c r="AJ79" t="n">
        <v>491.507</v>
      </c>
      <c r="AK79" t="n">
        <v>471.271</v>
      </c>
      <c r="AL79" t="n">
        <v>459.072</v>
      </c>
      <c r="AM79" t="n">
        <v>457.826</v>
      </c>
      <c r="AN79" t="n">
        <v>450.021</v>
      </c>
      <c r="AO79" t="n">
        <v>474.805</v>
      </c>
      <c r="AP79" t="n">
        <v>471.47</v>
      </c>
      <c r="AQ79" t="n">
        <v>488.17</v>
      </c>
      <c r="AR79" t="n">
        <v>418.008</v>
      </c>
      <c r="AS79" t="n">
        <v>419.241</v>
      </c>
      <c r="AT79" t="n">
        <v>407.734</v>
      </c>
      <c r="AU79" t="n">
        <v>407.735</v>
      </c>
      <c r="AV79" t="n">
        <v>313.733</v>
      </c>
      <c r="AW79" t="n">
        <v>267.026</v>
      </c>
      <c r="AX79" t="n">
        <v>248.591</v>
      </c>
      <c r="AY79" t="n">
        <v>230.553</v>
      </c>
      <c r="AZ79" t="n">
        <v>202.502</v>
      </c>
      <c r="BA79" t="n">
        <v>229.492</v>
      </c>
      <c r="BB79" t="n">
        <v>262.204</v>
      </c>
      <c r="BC79" t="n">
        <v>295.555</v>
      </c>
      <c r="BD79" t="n">
        <v>216.175</v>
      </c>
      <c r="BE79" t="n">
        <v>214.895</v>
      </c>
      <c r="BF79" t="n">
        <v>184.762</v>
      </c>
      <c r="BG79" t="n">
        <v>191.534</v>
      </c>
      <c r="BH79" t="n">
        <v>175.764</v>
      </c>
      <c r="BI79" t="n">
        <v>165.237</v>
      </c>
      <c r="BJ79" t="n">
        <v>131.96</v>
      </c>
      <c r="BK79" t="n">
        <v>137.991</v>
      </c>
      <c r="BL79" t="n">
        <v>122.14</v>
      </c>
      <c r="BM79" t="n">
        <v>142.454</v>
      </c>
      <c r="BN79" t="n">
        <v>119.477</v>
      </c>
      <c r="BO79" t="n">
        <v>118.668</v>
      </c>
      <c r="BP79" t="n">
        <v>110.579</v>
      </c>
      <c r="BQ79" t="n">
        <v>139.114</v>
      </c>
      <c r="BR79" t="n">
        <v>140.545</v>
      </c>
      <c r="BS79" t="n">
        <v>142.971</v>
      </c>
      <c r="BT79" t="n">
        <v>128.608</v>
      </c>
      <c r="BU79" t="n">
        <v>142.335</v>
      </c>
      <c r="BV79" t="n">
        <v>143.844</v>
      </c>
    </row>
    <row r="80">
      <c r="A80" t="inlineStr">
        <is>
          <t>Muraenesox cinereus</t>
        </is>
      </c>
      <c r="B80" t="inlineStr">
        <is>
          <t>Daggertooth pike conger</t>
        </is>
      </c>
      <c r="C80" t="inlineStr">
        <is>
          <t>Large demersals (&gt;=90 cm)</t>
        </is>
      </c>
      <c r="D80" t="inlineStr">
        <is>
          <t>Other fishes &amp; inverts</t>
        </is>
      </c>
      <c r="E80" t="n">
        <v>359.909</v>
      </c>
      <c r="F80" t="n">
        <v>359.952</v>
      </c>
      <c r="G80" t="n">
        <v>360.197</v>
      </c>
      <c r="H80" t="n">
        <v>357.767</v>
      </c>
      <c r="I80" t="n">
        <v>358.212</v>
      </c>
      <c r="J80" t="n">
        <v>358.32</v>
      </c>
      <c r="K80" t="n">
        <v>336.644</v>
      </c>
      <c r="L80" t="n">
        <v>360.19</v>
      </c>
      <c r="M80" t="n">
        <v>354.998</v>
      </c>
      <c r="N80" t="n">
        <v>348.048</v>
      </c>
      <c r="O80" t="n">
        <v>343.534</v>
      </c>
      <c r="P80" t="n">
        <v>355.656</v>
      </c>
      <c r="Q80" t="n">
        <v>327.563</v>
      </c>
      <c r="R80" t="n">
        <v>346.601</v>
      </c>
      <c r="S80" t="n">
        <v>301.949</v>
      </c>
      <c r="T80" t="n">
        <v>310.665</v>
      </c>
      <c r="U80" t="n">
        <v>347.462</v>
      </c>
      <c r="V80" t="n">
        <v>290.769</v>
      </c>
      <c r="W80" t="n">
        <v>259.701</v>
      </c>
      <c r="X80" t="n">
        <v>276.179</v>
      </c>
      <c r="Y80" t="n">
        <v>223.619</v>
      </c>
      <c r="Z80" t="n">
        <v>215.624</v>
      </c>
      <c r="AA80" t="n">
        <v>198.093</v>
      </c>
      <c r="AB80" t="n">
        <v>199.837</v>
      </c>
      <c r="AC80" t="n">
        <v>187.047</v>
      </c>
      <c r="AD80" t="n">
        <v>205.76</v>
      </c>
      <c r="AE80" t="n">
        <v>180.307</v>
      </c>
      <c r="AF80" t="n">
        <v>191.703</v>
      </c>
      <c r="AG80" t="n">
        <v>175.489</v>
      </c>
      <c r="AH80" t="n">
        <v>156.486</v>
      </c>
      <c r="AI80" t="n">
        <v>167.912</v>
      </c>
      <c r="AJ80" t="n">
        <v>162.519</v>
      </c>
      <c r="AK80" t="n">
        <v>142.917</v>
      </c>
      <c r="AL80" t="n">
        <v>118.441</v>
      </c>
      <c r="AM80" t="n">
        <v>111.972</v>
      </c>
      <c r="AN80" t="n">
        <v>99.117</v>
      </c>
      <c r="AO80" t="n">
        <v>85.655</v>
      </c>
      <c r="AP80" t="n">
        <v>93.959</v>
      </c>
      <c r="AQ80" t="n">
        <v>60.812</v>
      </c>
      <c r="AR80" t="n">
        <v>62.6</v>
      </c>
      <c r="AS80" t="n">
        <v>57.024</v>
      </c>
      <c r="AT80" t="n">
        <v>59.311</v>
      </c>
      <c r="AU80" t="n">
        <v>60.853</v>
      </c>
      <c r="AV80" t="n">
        <v>57.167</v>
      </c>
      <c r="AW80" t="n">
        <v>91.045</v>
      </c>
      <c r="AX80" t="n">
        <v>87.947</v>
      </c>
      <c r="AY80" t="n">
        <v>1724.999</v>
      </c>
      <c r="AZ80" t="n">
        <v>290.158</v>
      </c>
      <c r="BA80" t="n">
        <v>275.937</v>
      </c>
      <c r="BB80" t="n">
        <v>381.15</v>
      </c>
      <c r="BC80" t="n">
        <v>366.522</v>
      </c>
      <c r="BD80" t="n">
        <v>315.127</v>
      </c>
      <c r="BE80" t="n">
        <v>338.315</v>
      </c>
      <c r="BF80" t="n">
        <v>307.228</v>
      </c>
      <c r="BG80" t="n">
        <v>422.09</v>
      </c>
      <c r="BH80" t="n">
        <v>396.676</v>
      </c>
      <c r="BI80" t="n">
        <v>545.023</v>
      </c>
      <c r="BJ80" t="n">
        <v>481.921</v>
      </c>
      <c r="BK80" t="n">
        <v>521.091</v>
      </c>
      <c r="BL80" t="n">
        <v>442.713</v>
      </c>
      <c r="BM80" t="n">
        <v>449.925</v>
      </c>
      <c r="BN80" t="n">
        <v>608.117</v>
      </c>
      <c r="BO80" t="n">
        <v>485.392</v>
      </c>
      <c r="BP80" t="n">
        <v>418.136</v>
      </c>
      <c r="BQ80" t="n">
        <v>515.783</v>
      </c>
      <c r="BR80" t="n">
        <v>432.07</v>
      </c>
      <c r="BS80" t="n">
        <v>419.272</v>
      </c>
      <c r="BT80" t="n">
        <v>381.117</v>
      </c>
      <c r="BU80" t="n">
        <v>368.87</v>
      </c>
      <c r="BV80" t="n">
        <v>347.923</v>
      </c>
    </row>
    <row r="81">
      <c r="A81" t="inlineStr">
        <is>
          <t>Paralichthys olivaceus</t>
        </is>
      </c>
      <c r="B81" t="inlineStr">
        <is>
          <t>Bastard halibut</t>
        </is>
      </c>
      <c r="C81" t="inlineStr">
        <is>
          <t>Large flatfishes (&gt;=90 cm)</t>
        </is>
      </c>
      <c r="D81" t="inlineStr">
        <is>
          <t>Flatfishes</t>
        </is>
      </c>
      <c r="E81" t="n">
        <v>204.225</v>
      </c>
      <c r="F81" t="n">
        <v>204.225</v>
      </c>
      <c r="G81" t="n">
        <v>204.225</v>
      </c>
      <c r="H81" t="n">
        <v>220.893</v>
      </c>
      <c r="I81" t="n">
        <v>218.665</v>
      </c>
      <c r="J81" t="n">
        <v>208.309</v>
      </c>
      <c r="K81" t="n">
        <v>404.32</v>
      </c>
      <c r="L81" t="n">
        <v>417.238</v>
      </c>
      <c r="M81" t="n">
        <v>322.159</v>
      </c>
      <c r="N81" t="n">
        <v>303.673</v>
      </c>
      <c r="O81" t="n">
        <v>250.494</v>
      </c>
      <c r="P81" t="n">
        <v>284.368</v>
      </c>
      <c r="Q81" t="n">
        <v>271.474</v>
      </c>
      <c r="R81" t="n">
        <v>356.71</v>
      </c>
      <c r="S81" t="n">
        <v>359.26</v>
      </c>
      <c r="T81" t="n">
        <v>281.683</v>
      </c>
      <c r="U81" t="n">
        <v>285.946</v>
      </c>
      <c r="V81" t="n">
        <v>331.504</v>
      </c>
      <c r="W81" t="n">
        <v>346.463</v>
      </c>
      <c r="X81" t="n">
        <v>283.147</v>
      </c>
      <c r="Y81" t="n">
        <v>297.677</v>
      </c>
      <c r="Z81" t="n">
        <v>309.485</v>
      </c>
      <c r="AA81" t="n">
        <v>327.084</v>
      </c>
      <c r="AB81" t="n">
        <v>351.215</v>
      </c>
      <c r="AC81" t="n">
        <v>328.336</v>
      </c>
      <c r="AD81" t="n">
        <v>308.263</v>
      </c>
      <c r="AE81" t="n">
        <v>314.885</v>
      </c>
      <c r="AF81" t="n">
        <v>303.825</v>
      </c>
      <c r="AG81" t="n">
        <v>337.986</v>
      </c>
      <c r="AH81" t="n">
        <v>329.874</v>
      </c>
      <c r="AI81" t="n">
        <v>347.401</v>
      </c>
      <c r="AJ81" t="n">
        <v>332.781</v>
      </c>
      <c r="AK81" t="n">
        <v>349.72</v>
      </c>
      <c r="AL81" t="n">
        <v>357.449</v>
      </c>
      <c r="AM81" t="n">
        <v>359.572</v>
      </c>
      <c r="AN81" t="n">
        <v>387.405</v>
      </c>
      <c r="AO81" t="n">
        <v>376.866</v>
      </c>
      <c r="AP81" t="n">
        <v>311.675</v>
      </c>
      <c r="AQ81" t="n">
        <v>306.813</v>
      </c>
      <c r="AR81" t="n">
        <v>272.12</v>
      </c>
      <c r="AS81" t="n">
        <v>262.053</v>
      </c>
      <c r="AT81" t="n">
        <v>275.58</v>
      </c>
      <c r="AU81" t="n">
        <v>291.259</v>
      </c>
      <c r="AV81" t="n">
        <v>265.467</v>
      </c>
      <c r="AW81" t="n">
        <v>272.632</v>
      </c>
      <c r="AX81" t="n">
        <v>302.957</v>
      </c>
      <c r="AY81" t="n">
        <v>328.258</v>
      </c>
      <c r="AZ81" t="n">
        <v>328.226</v>
      </c>
      <c r="BA81" t="n">
        <v>304.472</v>
      </c>
      <c r="BB81" t="n">
        <v>296.103</v>
      </c>
      <c r="BC81" t="n">
        <v>304.663</v>
      </c>
      <c r="BD81" t="n">
        <v>277.968</v>
      </c>
      <c r="BE81" t="n">
        <v>272.893</v>
      </c>
      <c r="BF81" t="n">
        <v>282.299</v>
      </c>
      <c r="BG81" t="n">
        <v>259.52</v>
      </c>
      <c r="BH81" t="n">
        <v>254.876</v>
      </c>
      <c r="BI81" t="n">
        <v>305.798</v>
      </c>
      <c r="BJ81" t="n">
        <v>327.021</v>
      </c>
      <c r="BK81" t="n">
        <v>305.602</v>
      </c>
      <c r="BL81" t="n">
        <v>291.445</v>
      </c>
      <c r="BM81" t="n">
        <v>309.768</v>
      </c>
      <c r="BN81" t="n">
        <v>304.291</v>
      </c>
      <c r="BO81" t="n">
        <v>292.068</v>
      </c>
      <c r="BP81" t="n">
        <v>294.286</v>
      </c>
      <c r="BQ81" t="n">
        <v>317.449</v>
      </c>
      <c r="BR81" t="n">
        <v>317.277</v>
      </c>
      <c r="BS81" t="n">
        <v>287.082</v>
      </c>
      <c r="BT81" t="n">
        <v>288.176</v>
      </c>
      <c r="BU81" t="n">
        <v>270.641</v>
      </c>
      <c r="BV81" t="n">
        <v>282.954</v>
      </c>
    </row>
    <row r="82">
      <c r="A82" t="inlineStr">
        <is>
          <t>Salvelinus malma</t>
        </is>
      </c>
      <c r="B82" t="inlineStr">
        <is>
          <t>Dolly varden</t>
        </is>
      </c>
      <c r="C82" t="inlineStr">
        <is>
          <t>Large benthopelagics (&gt;=90 cm)</t>
        </is>
      </c>
      <c r="D82" t="inlineStr">
        <is>
          <t>Salmon, smelts, etc</t>
        </is>
      </c>
      <c r="E82" t="n">
        <v>114.727</v>
      </c>
      <c r="F82" t="n">
        <v>117.48</v>
      </c>
      <c r="G82" t="n">
        <v>120.234</v>
      </c>
      <c r="H82" t="n">
        <v>122.988</v>
      </c>
      <c r="I82" t="n">
        <v>125.742</v>
      </c>
      <c r="J82" t="n">
        <v>128.495</v>
      </c>
      <c r="K82" t="n">
        <v>131.249</v>
      </c>
      <c r="L82" t="n">
        <v>134.003</v>
      </c>
      <c r="M82" t="n">
        <v>136.756</v>
      </c>
      <c r="N82" t="n">
        <v>139.51</v>
      </c>
      <c r="O82" t="n">
        <v>142.264</v>
      </c>
      <c r="P82" t="n">
        <v>145.017</v>
      </c>
      <c r="Q82" t="n">
        <v>147.771</v>
      </c>
      <c r="R82" t="n">
        <v>150.525</v>
      </c>
      <c r="S82" t="n">
        <v>153.278</v>
      </c>
      <c r="T82" t="n">
        <v>156.032</v>
      </c>
      <c r="U82" t="n">
        <v>158.786</v>
      </c>
      <c r="V82" t="n">
        <v>161.54</v>
      </c>
      <c r="W82" t="n">
        <v>164.293</v>
      </c>
      <c r="X82" t="n">
        <v>167.047</v>
      </c>
      <c r="Y82" t="n">
        <v>169.801</v>
      </c>
      <c r="Z82" t="n">
        <v>172.554</v>
      </c>
      <c r="AA82" t="n">
        <v>175.308</v>
      </c>
      <c r="AB82" t="n">
        <v>178.062</v>
      </c>
      <c r="AC82" t="n">
        <v>180.815</v>
      </c>
      <c r="AD82" t="n">
        <v>183.569</v>
      </c>
      <c r="AE82" t="n">
        <v>186.323</v>
      </c>
      <c r="AF82" t="n">
        <v>189.076</v>
      </c>
      <c r="AG82" t="n">
        <v>191.83</v>
      </c>
      <c r="AH82" t="n">
        <v>194.584</v>
      </c>
      <c r="AI82" t="n">
        <v>197.338</v>
      </c>
      <c r="AJ82" t="n">
        <v>200.091</v>
      </c>
      <c r="AK82" t="n">
        <v>202.845</v>
      </c>
      <c r="AL82" t="n">
        <v>205.853</v>
      </c>
      <c r="AM82" t="n">
        <v>208.861</v>
      </c>
      <c r="AN82" t="n">
        <v>211.869</v>
      </c>
      <c r="AO82" t="n">
        <v>228.068</v>
      </c>
      <c r="AP82" t="n">
        <v>244.764</v>
      </c>
      <c r="AQ82" t="n">
        <v>261.958</v>
      </c>
      <c r="AR82" t="n">
        <v>279.649</v>
      </c>
      <c r="AS82" t="n">
        <v>303.168</v>
      </c>
      <c r="AT82" t="n">
        <v>325.483</v>
      </c>
      <c r="AU82" t="n">
        <v>340.49</v>
      </c>
      <c r="AV82" t="n">
        <v>354.96</v>
      </c>
      <c r="AW82" t="n">
        <v>368.899</v>
      </c>
      <c r="AX82" t="n">
        <v>382.313</v>
      </c>
      <c r="AY82" t="n">
        <v>425.073</v>
      </c>
      <c r="AZ82" t="n">
        <v>446.38</v>
      </c>
      <c r="BA82" t="n">
        <v>444.671</v>
      </c>
      <c r="BB82" t="n">
        <v>463.483</v>
      </c>
      <c r="BC82" t="n">
        <v>528.952</v>
      </c>
      <c r="BD82" t="n">
        <v>529.8869999999999</v>
      </c>
      <c r="BE82" t="n">
        <v>600.433</v>
      </c>
      <c r="BF82" t="n">
        <v>606.199</v>
      </c>
      <c r="BG82" t="n">
        <v>552.083</v>
      </c>
      <c r="BH82" t="n">
        <v>610.2430000000001</v>
      </c>
      <c r="BI82" t="n">
        <v>528.984</v>
      </c>
      <c r="BJ82" t="n">
        <v>447.514</v>
      </c>
      <c r="BK82" t="n">
        <v>443.2</v>
      </c>
      <c r="BL82" t="n">
        <v>438.756</v>
      </c>
      <c r="BM82" t="n">
        <v>434.352</v>
      </c>
      <c r="BN82" t="n">
        <v>483.102</v>
      </c>
      <c r="BO82" t="n">
        <v>481.75</v>
      </c>
      <c r="BP82" t="n">
        <v>480.397</v>
      </c>
      <c r="BQ82" t="n">
        <v>479.045</v>
      </c>
      <c r="BR82" t="n">
        <v>477.692</v>
      </c>
      <c r="BS82" t="n">
        <v>477.307</v>
      </c>
      <c r="BT82" t="n">
        <v>477.125</v>
      </c>
      <c r="BU82" t="n">
        <v>476.988</v>
      </c>
      <c r="BV82" t="n">
        <v>476.852</v>
      </c>
    </row>
    <row r="83">
      <c r="A83" t="inlineStr">
        <is>
          <t>Mactridae</t>
        </is>
      </c>
      <c r="B83" t="inlineStr">
        <is>
          <t>Mactra surf clams</t>
        </is>
      </c>
      <c r="C83" t="inlineStr">
        <is>
          <t>Other demersal invertebrates</t>
        </is>
      </c>
      <c r="D83" t="inlineStr">
        <is>
          <t>Molluscs</t>
        </is>
      </c>
      <c r="E83" t="n">
        <v>335.522</v>
      </c>
      <c r="F83" t="n">
        <v>335.522</v>
      </c>
      <c r="G83" t="n">
        <v>335.522</v>
      </c>
      <c r="H83" t="n">
        <v>337.801</v>
      </c>
      <c r="I83" t="n">
        <v>311.845</v>
      </c>
      <c r="J83" t="n">
        <v>330.816</v>
      </c>
      <c r="K83" t="n">
        <v>330.669</v>
      </c>
      <c r="L83" t="n">
        <v>363.317</v>
      </c>
      <c r="M83" t="n">
        <v>447.145</v>
      </c>
      <c r="N83" t="n">
        <v>293.849</v>
      </c>
      <c r="O83" t="n">
        <v>282.362</v>
      </c>
      <c r="P83" t="n">
        <v>299.724</v>
      </c>
      <c r="Q83" t="n">
        <v>274.823</v>
      </c>
      <c r="R83" t="n">
        <v>270.542</v>
      </c>
      <c r="S83" t="n">
        <v>451.253</v>
      </c>
      <c r="T83" t="n">
        <v>311.305</v>
      </c>
      <c r="U83" t="n">
        <v>282.94</v>
      </c>
      <c r="V83" t="n">
        <v>281.712</v>
      </c>
      <c r="W83" t="n">
        <v>228.866</v>
      </c>
      <c r="X83" t="n">
        <v>231.303</v>
      </c>
      <c r="Y83" t="n">
        <v>230.105</v>
      </c>
      <c r="Z83" t="n">
        <v>208.442</v>
      </c>
      <c r="AA83" t="n">
        <v>268.22</v>
      </c>
      <c r="AB83" t="n">
        <v>197.917</v>
      </c>
      <c r="AC83" t="n">
        <v>195.293</v>
      </c>
      <c r="AD83" t="n">
        <v>203.603</v>
      </c>
      <c r="AE83" t="n">
        <v>196.313</v>
      </c>
      <c r="AF83" t="n">
        <v>251.83</v>
      </c>
      <c r="AG83" t="n">
        <v>298.434</v>
      </c>
      <c r="AH83" t="n">
        <v>290.12</v>
      </c>
      <c r="AI83" t="n">
        <v>285.655</v>
      </c>
      <c r="AJ83" t="n">
        <v>255.682</v>
      </c>
      <c r="AK83" t="n">
        <v>262.164</v>
      </c>
      <c r="AL83" t="n">
        <v>283.849</v>
      </c>
      <c r="AM83" t="n">
        <v>274.534</v>
      </c>
      <c r="AN83" t="n">
        <v>302.077</v>
      </c>
      <c r="AO83" t="n">
        <v>372.402</v>
      </c>
      <c r="AP83" t="n">
        <v>361.654</v>
      </c>
      <c r="AQ83" t="n">
        <v>373.622</v>
      </c>
      <c r="AR83" t="n">
        <v>388.799</v>
      </c>
      <c r="AS83" t="n">
        <v>434.679</v>
      </c>
      <c r="AT83" t="n">
        <v>453.025</v>
      </c>
      <c r="AU83" t="n">
        <v>428.237</v>
      </c>
      <c r="AV83" t="n">
        <v>412.829</v>
      </c>
      <c r="AW83" t="n">
        <v>436.161</v>
      </c>
      <c r="AX83" t="n">
        <v>443.31</v>
      </c>
      <c r="AY83" t="n">
        <v>477.365</v>
      </c>
      <c r="AZ83" t="n">
        <v>415.247</v>
      </c>
      <c r="BA83" t="n">
        <v>450.757</v>
      </c>
      <c r="BB83" t="n">
        <v>481.611</v>
      </c>
      <c r="BC83" t="n">
        <v>487.538</v>
      </c>
      <c r="BD83" t="n">
        <v>486.334</v>
      </c>
      <c r="BE83" t="n">
        <v>488.938</v>
      </c>
      <c r="BF83" t="n">
        <v>445.668</v>
      </c>
      <c r="BG83" t="n">
        <v>443.567</v>
      </c>
      <c r="BH83" t="n">
        <v>428.258</v>
      </c>
      <c r="BI83" t="n">
        <v>433.292</v>
      </c>
      <c r="BJ83" t="n">
        <v>59.542</v>
      </c>
      <c r="BK83" t="n">
        <v>65.60899999999999</v>
      </c>
      <c r="BL83" t="n">
        <v>65.60899999999999</v>
      </c>
      <c r="BM83" t="n">
        <v>65.60899999999999</v>
      </c>
      <c r="BN83" t="n">
        <v>65.60899999999999</v>
      </c>
      <c r="BO83" t="n">
        <v>65.60899999999999</v>
      </c>
      <c r="BP83" t="n">
        <v>65.60899999999999</v>
      </c>
      <c r="BQ83" t="n">
        <v>65.60899999999999</v>
      </c>
      <c r="BR83" t="n">
        <v>65.60899999999999</v>
      </c>
      <c r="BS83" t="n">
        <v>65.60899999999999</v>
      </c>
      <c r="BT83" t="n">
        <v>64.057</v>
      </c>
      <c r="BU83" t="n">
        <v>66.714</v>
      </c>
      <c r="BV83" t="n">
        <v>67.03100000000001</v>
      </c>
    </row>
    <row r="84">
      <c r="A84" t="inlineStr">
        <is>
          <t>Cyprinidae</t>
        </is>
      </c>
      <c r="B84" t="inlineStr">
        <is>
          <t>Carps, barbels, other cyprinids</t>
        </is>
      </c>
      <c r="C84" t="inlineStr">
        <is>
          <t>Medium demersals (30 - 89 cm)</t>
        </is>
      </c>
      <c r="D84" t="inlineStr">
        <is>
          <t>Other fishes &amp; inverts</t>
        </is>
      </c>
      <c r="E84" t="n">
        <v>2046.026</v>
      </c>
      <c r="F84" t="n">
        <v>1315.302</v>
      </c>
      <c r="G84" t="n">
        <v>730.724</v>
      </c>
      <c r="H84" t="n">
        <v>876.8680000000001</v>
      </c>
      <c r="I84" t="n">
        <v>6649.584</v>
      </c>
      <c r="J84" t="n">
        <v>5115.065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40.19</v>
      </c>
      <c r="AX84" t="n">
        <v>44.574</v>
      </c>
      <c r="AY84" t="n">
        <v>80.38</v>
      </c>
      <c r="AZ84" t="n">
        <v>73.803</v>
      </c>
      <c r="BA84" t="n">
        <v>73.072</v>
      </c>
      <c r="BB84" t="n">
        <v>40.921</v>
      </c>
      <c r="BC84" t="n">
        <v>5.846</v>
      </c>
      <c r="BD84" t="n">
        <v>37.998</v>
      </c>
      <c r="BE84" t="n">
        <v>27.767</v>
      </c>
      <c r="BF84" t="n">
        <v>2.192</v>
      </c>
      <c r="BG84" t="n">
        <v>92.80200000000001</v>
      </c>
      <c r="BH84" t="n">
        <v>233.101</v>
      </c>
      <c r="BI84" t="n">
        <v>162.221</v>
      </c>
      <c r="BJ84" t="n">
        <v>145.414</v>
      </c>
      <c r="BK84" t="n">
        <v>90.61</v>
      </c>
      <c r="BL84" t="n">
        <v>89.148</v>
      </c>
      <c r="BM84" t="n">
        <v>81.84099999999999</v>
      </c>
      <c r="BN84" t="n">
        <v>115.893</v>
      </c>
      <c r="BO84" t="n">
        <v>62.696</v>
      </c>
      <c r="BP84" t="n">
        <v>80.014</v>
      </c>
      <c r="BQ84" t="n">
        <v>84.545</v>
      </c>
      <c r="BR84" t="n">
        <v>94.994</v>
      </c>
      <c r="BS84" t="n">
        <v>209.937</v>
      </c>
      <c r="BT84" t="n">
        <v>253.05</v>
      </c>
      <c r="BU84" t="n">
        <v>155.863</v>
      </c>
      <c r="BV84" t="n">
        <v>177.054</v>
      </c>
    </row>
    <row r="85">
      <c r="A85" t="inlineStr">
        <is>
          <t>Paralithodes</t>
        </is>
      </c>
      <c r="B85" t="inlineStr">
        <is>
          <t>North Pacific king crabs</t>
        </is>
      </c>
      <c r="C85" t="inlineStr">
        <is>
          <t>Lobsters, crabs</t>
        </is>
      </c>
      <c r="D85" t="inlineStr">
        <is>
          <t>Crustaceans</t>
        </is>
      </c>
      <c r="E85" t="n">
        <v>294.437</v>
      </c>
      <c r="F85" t="n">
        <v>294.437</v>
      </c>
      <c r="G85" t="n">
        <v>412.212</v>
      </c>
      <c r="H85" t="n">
        <v>353.324</v>
      </c>
      <c r="I85" t="n">
        <v>588.874</v>
      </c>
      <c r="J85" t="n">
        <v>1001.086</v>
      </c>
      <c r="K85" t="n">
        <v>471.099</v>
      </c>
      <c r="L85" t="n">
        <v>706.649</v>
      </c>
      <c r="M85" t="n">
        <v>883.311</v>
      </c>
      <c r="N85" t="n">
        <v>824.424</v>
      </c>
      <c r="O85" t="n">
        <v>883.311</v>
      </c>
      <c r="P85" t="n">
        <v>1001.086</v>
      </c>
      <c r="Q85" t="n">
        <v>2061.059</v>
      </c>
      <c r="R85" t="n">
        <v>1354.41</v>
      </c>
      <c r="S85" t="n">
        <v>1295.523</v>
      </c>
      <c r="T85" t="n">
        <v>176.662</v>
      </c>
      <c r="U85" t="n">
        <v>235.55</v>
      </c>
      <c r="V85" t="n">
        <v>883.311</v>
      </c>
      <c r="W85" t="n">
        <v>1472.185</v>
      </c>
      <c r="X85" t="n">
        <v>765.5359999999999</v>
      </c>
      <c r="Y85" t="n">
        <v>117.775</v>
      </c>
      <c r="Z85" t="n">
        <v>294.437</v>
      </c>
      <c r="AA85" t="n">
        <v>58.887</v>
      </c>
      <c r="AB85" t="n">
        <v>235.55</v>
      </c>
      <c r="AC85" t="n">
        <v>200.217</v>
      </c>
      <c r="AD85" t="n">
        <v>58.887</v>
      </c>
      <c r="AE85" t="n">
        <v>5.3</v>
      </c>
      <c r="AF85" t="n">
        <v>94.21299999999999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2.029</v>
      </c>
      <c r="AS85" t="n">
        <v>2.029</v>
      </c>
      <c r="AT85" t="n">
        <v>1.353</v>
      </c>
      <c r="AU85" t="n">
        <v>7.44</v>
      </c>
      <c r="AV85" t="n">
        <v>5.484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Scorpaeniformes</t>
        </is>
      </c>
      <c r="B86" t="inlineStr">
        <is>
          <t>Scorpionfishes, flatheads</t>
        </is>
      </c>
      <c r="C86" t="inlineStr">
        <is>
          <t>Medium demersals (30 - 89 cm)</t>
        </is>
      </c>
      <c r="D86" t="inlineStr">
        <is>
          <t>Scorpionfishes</t>
        </is>
      </c>
      <c r="E86" t="n">
        <v>173.761</v>
      </c>
      <c r="F86" t="n">
        <v>173.761</v>
      </c>
      <c r="G86" t="n">
        <v>173.761</v>
      </c>
      <c r="H86" t="n">
        <v>173.761</v>
      </c>
      <c r="I86" t="n">
        <v>173.761</v>
      </c>
      <c r="J86" t="n">
        <v>173.761</v>
      </c>
      <c r="K86" t="n">
        <v>173.761</v>
      </c>
      <c r="L86" t="n">
        <v>173.761</v>
      </c>
      <c r="M86" t="n">
        <v>173.761</v>
      </c>
      <c r="N86" t="n">
        <v>173.761</v>
      </c>
      <c r="O86" t="n">
        <v>173.761</v>
      </c>
      <c r="P86" t="n">
        <v>173.761</v>
      </c>
      <c r="Q86" t="n">
        <v>173.761</v>
      </c>
      <c r="R86" t="n">
        <v>173.761</v>
      </c>
      <c r="S86" t="n">
        <v>173.761</v>
      </c>
      <c r="T86" t="n">
        <v>173.761</v>
      </c>
      <c r="U86" t="n">
        <v>173.761</v>
      </c>
      <c r="V86" t="n">
        <v>173.761</v>
      </c>
      <c r="W86" t="n">
        <v>173.761</v>
      </c>
      <c r="X86" t="n">
        <v>173.761</v>
      </c>
      <c r="Y86" t="n">
        <v>173.761</v>
      </c>
      <c r="Z86" t="n">
        <v>173.761</v>
      </c>
      <c r="AA86" t="n">
        <v>173.761</v>
      </c>
      <c r="AB86" t="n">
        <v>173.761</v>
      </c>
      <c r="AC86" t="n">
        <v>219.487</v>
      </c>
      <c r="AD86" t="n">
        <v>265.214</v>
      </c>
      <c r="AE86" t="n">
        <v>320.085</v>
      </c>
      <c r="AF86" t="n">
        <v>365.812</v>
      </c>
      <c r="AG86" t="n">
        <v>420.684</v>
      </c>
      <c r="AH86" t="n">
        <v>448.119</v>
      </c>
      <c r="AI86" t="n">
        <v>484.701</v>
      </c>
      <c r="AJ86" t="n">
        <v>512.1369999999999</v>
      </c>
      <c r="AK86" t="n">
        <v>539.572</v>
      </c>
      <c r="AL86" t="n">
        <v>576.154</v>
      </c>
      <c r="AM86" t="n">
        <v>502.991</v>
      </c>
      <c r="AN86" t="n">
        <v>429.829</v>
      </c>
      <c r="AO86" t="n">
        <v>365.812</v>
      </c>
      <c r="AP86" t="n">
        <v>292.649</v>
      </c>
      <c r="AQ86" t="n">
        <v>219.487</v>
      </c>
      <c r="AR86" t="n">
        <v>219.487</v>
      </c>
      <c r="AS86" t="n">
        <v>219.487</v>
      </c>
      <c r="AT86" t="n">
        <v>210.342</v>
      </c>
      <c r="AU86" t="n">
        <v>210.342</v>
      </c>
      <c r="AV86" t="n">
        <v>210.342</v>
      </c>
      <c r="AW86" t="n">
        <v>210.342</v>
      </c>
      <c r="AX86" t="n">
        <v>210.342</v>
      </c>
      <c r="AY86" t="n">
        <v>210.342</v>
      </c>
      <c r="AZ86" t="n">
        <v>210.342</v>
      </c>
      <c r="BA86" t="n">
        <v>210.342</v>
      </c>
      <c r="BB86" t="n">
        <v>210.342</v>
      </c>
      <c r="BC86" t="n">
        <v>219.487</v>
      </c>
      <c r="BD86" t="n">
        <v>219.487</v>
      </c>
      <c r="BE86" t="n">
        <v>219.487</v>
      </c>
      <c r="BF86" t="n">
        <v>219.487</v>
      </c>
      <c r="BG86" t="n">
        <v>192.051</v>
      </c>
      <c r="BH86" t="n">
        <v>137.179</v>
      </c>
      <c r="BI86" t="n">
        <v>164.615</v>
      </c>
      <c r="BJ86" t="n">
        <v>146.325</v>
      </c>
      <c r="BK86" t="n">
        <v>146.325</v>
      </c>
      <c r="BL86" t="n">
        <v>154.042</v>
      </c>
      <c r="BM86" t="n">
        <v>118.889</v>
      </c>
      <c r="BN86" t="n">
        <v>118.889</v>
      </c>
      <c r="BO86" t="n">
        <v>118.889</v>
      </c>
      <c r="BP86" t="n">
        <v>118.889</v>
      </c>
      <c r="BQ86" t="n">
        <v>118.889</v>
      </c>
      <c r="BR86" t="n">
        <v>118.889</v>
      </c>
      <c r="BS86" t="n">
        <v>118.889</v>
      </c>
      <c r="BT86" t="n">
        <v>123.272</v>
      </c>
      <c r="BU86" t="n">
        <v>123.272</v>
      </c>
      <c r="BV86" t="n">
        <v>123.272</v>
      </c>
    </row>
    <row r="87">
      <c r="A87" t="inlineStr">
        <is>
          <t>Pandalus goniurus</t>
        </is>
      </c>
      <c r="B87" t="inlineStr">
        <is>
          <t>Humpy shrimp</t>
        </is>
      </c>
      <c r="C87" t="inlineStr">
        <is>
          <t>Shrimps</t>
        </is>
      </c>
      <c r="D87" t="inlineStr">
        <is>
          <t>Crustaceans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1013.865</v>
      </c>
      <c r="BB87" t="n">
        <v>279.045</v>
      </c>
      <c r="BC87" t="n">
        <v>1014.711</v>
      </c>
      <c r="BD87" t="n">
        <v>208.861</v>
      </c>
      <c r="BE87" t="n">
        <v>27.059</v>
      </c>
      <c r="BF87" t="n">
        <v>297.648</v>
      </c>
      <c r="BG87" t="n">
        <v>336.546</v>
      </c>
      <c r="BH87" t="n">
        <v>100.625</v>
      </c>
      <c r="BI87" t="n">
        <v>34.669</v>
      </c>
      <c r="BJ87" t="n">
        <v>84.559</v>
      </c>
      <c r="BK87" t="n">
        <v>0</v>
      </c>
      <c r="BL87" t="n">
        <v>158.126</v>
      </c>
      <c r="BM87" t="n">
        <v>21.985</v>
      </c>
      <c r="BN87" t="n">
        <v>14.375</v>
      </c>
      <c r="BO87" t="n">
        <v>1.691</v>
      </c>
      <c r="BP87" t="n">
        <v>470.149</v>
      </c>
      <c r="BQ87" t="n">
        <v>173.346</v>
      </c>
      <c r="BR87" t="n">
        <v>1029.931</v>
      </c>
      <c r="BS87" t="n">
        <v>2086.921</v>
      </c>
      <c r="BT87" t="n">
        <v>4546.475</v>
      </c>
      <c r="BU87" t="n">
        <v>2226.858</v>
      </c>
      <c r="BV87" t="n">
        <v>1247.817</v>
      </c>
    </row>
    <row r="88">
      <c r="A88" t="inlineStr">
        <is>
          <t>Clupeiformes</t>
        </is>
      </c>
      <c r="B88" t="inlineStr">
        <is>
          <t>Herrings, shads, anchovies</t>
        </is>
      </c>
      <c r="C88" t="inlineStr">
        <is>
          <t>Small pelagics (&lt;30 cm)</t>
        </is>
      </c>
      <c r="D88" t="inlineStr">
        <is>
          <t>Other fishes &amp; inverts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291.424</v>
      </c>
      <c r="K88" t="n">
        <v>364.171</v>
      </c>
      <c r="L88" t="n">
        <v>328.422</v>
      </c>
      <c r="M88" t="n">
        <v>387.303</v>
      </c>
      <c r="N88" t="n">
        <v>471.458</v>
      </c>
      <c r="O88" t="n">
        <v>319.484</v>
      </c>
      <c r="P88" t="n">
        <v>492.741</v>
      </c>
      <c r="Q88" t="n">
        <v>558.3049999999999</v>
      </c>
      <c r="R88" t="n">
        <v>817.74</v>
      </c>
      <c r="S88" t="n">
        <v>907.83</v>
      </c>
      <c r="T88" t="n">
        <v>790.783</v>
      </c>
      <c r="U88" t="n">
        <v>589.6849999999999</v>
      </c>
      <c r="V88" t="n">
        <v>457.835</v>
      </c>
      <c r="W88" t="n">
        <v>740.325</v>
      </c>
      <c r="X88" t="n">
        <v>762.09</v>
      </c>
      <c r="Y88" t="n">
        <v>995.485</v>
      </c>
      <c r="Z88" t="n">
        <v>939.511</v>
      </c>
      <c r="AA88" t="n">
        <v>1235.132</v>
      </c>
      <c r="AB88" t="n">
        <v>652.194</v>
      </c>
      <c r="AC88" t="n">
        <v>601.814</v>
      </c>
      <c r="AD88" t="n">
        <v>482.888</v>
      </c>
      <c r="AE88" t="n">
        <v>499.948</v>
      </c>
      <c r="AF88" t="n">
        <v>0</v>
      </c>
      <c r="AG88" t="n">
        <v>0</v>
      </c>
      <c r="AH88" t="n">
        <v>93.059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862.558</v>
      </c>
      <c r="AU88" t="n">
        <v>555.239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18.585</v>
      </c>
      <c r="BQ88" t="n">
        <v>23.623</v>
      </c>
      <c r="BR88" t="n">
        <v>29.612</v>
      </c>
      <c r="BS88" t="n">
        <v>23.273</v>
      </c>
      <c r="BT88" t="n">
        <v>14.717</v>
      </c>
      <c r="BU88" t="n">
        <v>10.745</v>
      </c>
      <c r="BV88" t="n">
        <v>11.072</v>
      </c>
    </row>
    <row r="89">
      <c r="A89" t="inlineStr">
        <is>
          <t>Thunnus orientalis</t>
        </is>
      </c>
      <c r="B89" t="inlineStr">
        <is>
          <t>Pacific bluefin tuna</t>
        </is>
      </c>
      <c r="C89" t="inlineStr">
        <is>
          <t>Large pelagics (&gt;=90 cm)</t>
        </is>
      </c>
      <c r="D89" t="inlineStr">
        <is>
          <t>Tuna &amp; billfishes</t>
        </is>
      </c>
      <c r="E89" t="n">
        <v>37.133</v>
      </c>
      <c r="F89" t="n">
        <v>37.133</v>
      </c>
      <c r="G89" t="n">
        <v>37.331</v>
      </c>
      <c r="H89" t="n">
        <v>33.203</v>
      </c>
      <c r="I89" t="n">
        <v>33.222</v>
      </c>
      <c r="J89" t="n">
        <v>133.495</v>
      </c>
      <c r="K89" t="n">
        <v>325.356</v>
      </c>
      <c r="L89" t="n">
        <v>244.028</v>
      </c>
      <c r="M89" t="n">
        <v>16.8</v>
      </c>
      <c r="N89" t="n">
        <v>413.705</v>
      </c>
      <c r="O89" t="n">
        <v>624.42</v>
      </c>
      <c r="P89" t="n">
        <v>630.299</v>
      </c>
      <c r="Q89" t="n">
        <v>236.89</v>
      </c>
      <c r="R89" t="n">
        <v>503.147</v>
      </c>
      <c r="S89" t="n">
        <v>297.542</v>
      </c>
      <c r="T89" t="n">
        <v>191.862</v>
      </c>
      <c r="U89" t="n">
        <v>94.318</v>
      </c>
      <c r="V89" t="n">
        <v>331.953</v>
      </c>
      <c r="W89" t="n">
        <v>356.92</v>
      </c>
      <c r="X89" t="n">
        <v>336.645</v>
      </c>
      <c r="Y89" t="n">
        <v>241.253</v>
      </c>
      <c r="Z89" t="n">
        <v>317.317</v>
      </c>
      <c r="AA89" t="n">
        <v>293.975</v>
      </c>
      <c r="AB89" t="n">
        <v>340.068</v>
      </c>
      <c r="AC89" t="n">
        <v>354.995</v>
      </c>
      <c r="AD89" t="n">
        <v>244.979</v>
      </c>
      <c r="AE89" t="n">
        <v>264.768</v>
      </c>
      <c r="AF89" t="n">
        <v>366.962</v>
      </c>
      <c r="AG89" t="n">
        <v>289.427</v>
      </c>
      <c r="AH89" t="n">
        <v>270.796</v>
      </c>
      <c r="AI89" t="n">
        <v>330.167</v>
      </c>
      <c r="AJ89" t="n">
        <v>411.044</v>
      </c>
      <c r="AK89" t="n">
        <v>259.801</v>
      </c>
      <c r="AL89" t="n">
        <v>165.599</v>
      </c>
      <c r="AM89" t="n">
        <v>152.296</v>
      </c>
      <c r="AN89" t="n">
        <v>86.816</v>
      </c>
      <c r="AO89" t="n">
        <v>21.867</v>
      </c>
      <c r="AP89" t="n">
        <v>70.408</v>
      </c>
      <c r="AQ89" t="n">
        <v>18.905</v>
      </c>
      <c r="AR89" t="n">
        <v>48.494</v>
      </c>
      <c r="AS89" t="n">
        <v>17.47</v>
      </c>
      <c r="AT89" t="n">
        <v>16.711</v>
      </c>
      <c r="AU89" t="n">
        <v>21.397</v>
      </c>
      <c r="AV89" t="n">
        <v>17.374</v>
      </c>
      <c r="AW89" t="n">
        <v>17.552</v>
      </c>
      <c r="AX89" t="n">
        <v>18.347</v>
      </c>
      <c r="AY89" t="n">
        <v>32.292</v>
      </c>
      <c r="AZ89" t="n">
        <v>32.185</v>
      </c>
      <c r="BA89" t="n">
        <v>16.779</v>
      </c>
      <c r="BB89" t="n">
        <v>119.105</v>
      </c>
      <c r="BC89" t="n">
        <v>129.459</v>
      </c>
      <c r="BD89" t="n">
        <v>36.501</v>
      </c>
      <c r="BE89" t="n">
        <v>43.507</v>
      </c>
      <c r="BF89" t="n">
        <v>59.803</v>
      </c>
      <c r="BG89" t="n">
        <v>82.57899999999999</v>
      </c>
      <c r="BH89" t="n">
        <v>146.259</v>
      </c>
      <c r="BI89" t="n">
        <v>94.804</v>
      </c>
      <c r="BJ89" t="n">
        <v>200.42</v>
      </c>
      <c r="BK89" t="n">
        <v>261.717</v>
      </c>
      <c r="BL89" t="n">
        <v>252.612</v>
      </c>
      <c r="BM89" t="n">
        <v>169.787</v>
      </c>
      <c r="BN89" t="n">
        <v>515.4829999999999</v>
      </c>
      <c r="BO89" t="n">
        <v>289.361</v>
      </c>
      <c r="BP89" t="n">
        <v>287.035</v>
      </c>
      <c r="BQ89" t="n">
        <v>376.161</v>
      </c>
      <c r="BR89" t="n">
        <v>255.897</v>
      </c>
      <c r="BS89" t="n">
        <v>326.111</v>
      </c>
      <c r="BT89" t="n">
        <v>329.969</v>
      </c>
      <c r="BU89" t="n">
        <v>250.062</v>
      </c>
      <c r="BV89" t="n">
        <v>281.188</v>
      </c>
    </row>
    <row r="90">
      <c r="A90" t="inlineStr">
        <is>
          <t>Chionoecetes japonicus</t>
        </is>
      </c>
      <c r="B90" t="inlineStr">
        <is>
          <t>Red snow crab</t>
        </is>
      </c>
      <c r="C90" t="inlineStr">
        <is>
          <t>Lobsters, crabs</t>
        </is>
      </c>
      <c r="D90" t="inlineStr">
        <is>
          <t>Crustaceans</t>
        </is>
      </c>
      <c r="E90" t="n">
        <v>66.142</v>
      </c>
      <c r="F90" t="n">
        <v>66.142</v>
      </c>
      <c r="G90" t="n">
        <v>66.142</v>
      </c>
      <c r="H90" t="n">
        <v>66.142</v>
      </c>
      <c r="I90" t="n">
        <v>66.142</v>
      </c>
      <c r="J90" t="n">
        <v>66.142</v>
      </c>
      <c r="K90" t="n">
        <v>84.453</v>
      </c>
      <c r="L90" t="n">
        <v>71.532</v>
      </c>
      <c r="M90" t="n">
        <v>59.019</v>
      </c>
      <c r="N90" t="n">
        <v>58.306</v>
      </c>
      <c r="O90" t="n">
        <v>76.539</v>
      </c>
      <c r="P90" t="n">
        <v>67.34699999999999</v>
      </c>
      <c r="Q90" t="n">
        <v>60.067</v>
      </c>
      <c r="R90" t="n">
        <v>74.727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8.736000000000001</v>
      </c>
      <c r="AD90" t="n">
        <v>26.004</v>
      </c>
      <c r="AE90" t="n">
        <v>12.619</v>
      </c>
      <c r="AF90" t="n">
        <v>41.944</v>
      </c>
      <c r="AG90" t="n">
        <v>43.325</v>
      </c>
      <c r="AH90" t="n">
        <v>39.85</v>
      </c>
      <c r="AI90" t="n">
        <v>115.409</v>
      </c>
      <c r="AJ90" t="n">
        <v>202.444</v>
      </c>
      <c r="AK90" t="n">
        <v>259.408</v>
      </c>
      <c r="AL90" t="n">
        <v>230.485</v>
      </c>
      <c r="AM90" t="n">
        <v>231.439</v>
      </c>
      <c r="AN90" t="n">
        <v>229.978</v>
      </c>
      <c r="AO90" t="n">
        <v>202.592</v>
      </c>
      <c r="AP90" t="n">
        <v>171.971</v>
      </c>
      <c r="AQ90" t="n">
        <v>156.293</v>
      </c>
      <c r="AR90" t="n">
        <v>145.411</v>
      </c>
      <c r="AS90" t="n">
        <v>139.224</v>
      </c>
      <c r="AT90" t="n">
        <v>142.419</v>
      </c>
      <c r="AU90" t="n">
        <v>131.726</v>
      </c>
      <c r="AV90" t="n">
        <v>130.914</v>
      </c>
      <c r="AW90" t="n">
        <v>128.724</v>
      </c>
      <c r="AX90" t="n">
        <v>397.392</v>
      </c>
      <c r="AY90" t="n">
        <v>395.4</v>
      </c>
      <c r="AZ90" t="n">
        <v>376.168</v>
      </c>
      <c r="BA90" t="n">
        <v>371.285</v>
      </c>
      <c r="BB90" t="n">
        <v>345.406</v>
      </c>
      <c r="BC90" t="n">
        <v>339.293</v>
      </c>
      <c r="BD90" t="n">
        <v>291.403</v>
      </c>
      <c r="BE90" t="n">
        <v>265.957</v>
      </c>
      <c r="BF90" t="n">
        <v>310.985</v>
      </c>
      <c r="BG90" t="n">
        <v>305.623</v>
      </c>
      <c r="BH90" t="n">
        <v>336.799</v>
      </c>
      <c r="BI90" t="n">
        <v>367.178</v>
      </c>
      <c r="BJ90" t="n">
        <v>1.161</v>
      </c>
      <c r="BK90" t="n">
        <v>5.987</v>
      </c>
      <c r="BL90" t="n">
        <v>299.116</v>
      </c>
      <c r="BM90" t="n">
        <v>283.43</v>
      </c>
      <c r="BN90" t="n">
        <v>284.993</v>
      </c>
      <c r="BO90" t="n">
        <v>281.455</v>
      </c>
      <c r="BP90" t="n">
        <v>278.956</v>
      </c>
      <c r="BQ90" t="n">
        <v>274.472</v>
      </c>
      <c r="BR90" t="n">
        <v>263.457</v>
      </c>
      <c r="BS90" t="n">
        <v>250.89</v>
      </c>
      <c r="BT90" t="n">
        <v>236.173</v>
      </c>
      <c r="BU90" t="n">
        <v>219.71</v>
      </c>
      <c r="BV90" t="n">
        <v>205.788</v>
      </c>
    </row>
    <row r="91">
      <c r="A91" t="inlineStr">
        <is>
          <t>Ommastrephidae</t>
        </is>
      </c>
      <c r="B91" t="inlineStr">
        <is>
          <t>Arrow squids</t>
        </is>
      </c>
      <c r="C91" t="inlineStr">
        <is>
          <t>Cephalopods</t>
        </is>
      </c>
      <c r="D91" t="inlineStr">
        <is>
          <t>Other fishes &amp; inverts</t>
        </is>
      </c>
      <c r="E91" t="n">
        <v>34.847</v>
      </c>
      <c r="F91" t="n">
        <v>42.032</v>
      </c>
      <c r="G91" t="n">
        <v>51.82</v>
      </c>
      <c r="H91" t="n">
        <v>56.46</v>
      </c>
      <c r="I91" t="n">
        <v>59.008</v>
      </c>
      <c r="J91" t="n">
        <v>74.78400000000001</v>
      </c>
      <c r="K91" t="n">
        <v>86.22799999999999</v>
      </c>
      <c r="L91" t="n">
        <v>95.21299999999999</v>
      </c>
      <c r="M91" t="n">
        <v>102.728</v>
      </c>
      <c r="N91" t="n">
        <v>118.447</v>
      </c>
      <c r="O91" t="n">
        <v>137.634</v>
      </c>
      <c r="P91" t="n">
        <v>168.208</v>
      </c>
      <c r="Q91" t="n">
        <v>177.538</v>
      </c>
      <c r="R91" t="n">
        <v>179.296</v>
      </c>
      <c r="S91" t="n">
        <v>195.418</v>
      </c>
      <c r="T91" t="n">
        <v>233.824</v>
      </c>
      <c r="U91" t="n">
        <v>268.787</v>
      </c>
      <c r="V91" t="n">
        <v>274.146</v>
      </c>
      <c r="W91" t="n">
        <v>289.356</v>
      </c>
      <c r="X91" t="n">
        <v>305.689</v>
      </c>
      <c r="Y91" t="n">
        <v>332.029</v>
      </c>
      <c r="Z91" t="n">
        <v>454.007</v>
      </c>
      <c r="AA91" t="n">
        <v>585.253</v>
      </c>
      <c r="AB91" t="n">
        <v>569.721</v>
      </c>
      <c r="AC91" t="n">
        <v>562.169</v>
      </c>
      <c r="AD91" t="n">
        <v>560.8339999999999</v>
      </c>
      <c r="AE91" t="n">
        <v>544.073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1482.14</v>
      </c>
      <c r="AU91" t="n">
        <v>1033.152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270.533</v>
      </c>
      <c r="BQ91" t="n">
        <v>306.219</v>
      </c>
      <c r="BR91" t="n">
        <v>199.878</v>
      </c>
      <c r="BS91" t="n">
        <v>553.427</v>
      </c>
      <c r="BT91" t="n">
        <v>99.035</v>
      </c>
      <c r="BU91" t="n">
        <v>53.821</v>
      </c>
      <c r="BV91" t="n">
        <v>50.87</v>
      </c>
    </row>
    <row r="92">
      <c r="A92" t="inlineStr">
        <is>
          <t>Sebastolobus alascanus</t>
        </is>
      </c>
      <c r="B92" t="inlineStr">
        <is>
          <t>Shortspine thornyhead</t>
        </is>
      </c>
      <c r="C92" t="inlineStr">
        <is>
          <t>Medium bathydemersals (30 - 89 cm)</t>
        </is>
      </c>
      <c r="D92" t="inlineStr">
        <is>
          <t>Scorpionfishes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25.009</v>
      </c>
      <c r="L92" t="n">
        <v>743.751</v>
      </c>
      <c r="M92" t="n">
        <v>345.101</v>
      </c>
      <c r="N92" t="n">
        <v>273.7</v>
      </c>
      <c r="O92" t="n">
        <v>107.1</v>
      </c>
      <c r="P92" t="n">
        <v>35.7</v>
      </c>
      <c r="Q92" t="n">
        <v>59.5</v>
      </c>
      <c r="R92" t="n">
        <v>243.95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0.015</v>
      </c>
      <c r="AB92" t="n">
        <v>279.65</v>
      </c>
      <c r="AC92" t="n">
        <v>589.051</v>
      </c>
      <c r="AD92" t="n">
        <v>471.3</v>
      </c>
      <c r="AE92" t="n">
        <v>368.365</v>
      </c>
      <c r="AF92" t="n">
        <v>215.044</v>
      </c>
      <c r="AG92" t="n">
        <v>75.819</v>
      </c>
      <c r="AH92" t="n">
        <v>41.063</v>
      </c>
      <c r="AI92" t="n">
        <v>69.47499999999999</v>
      </c>
      <c r="AJ92" t="n">
        <v>72.233</v>
      </c>
      <c r="AK92" t="n">
        <v>21.063</v>
      </c>
      <c r="AL92" t="n">
        <v>17.493</v>
      </c>
      <c r="AM92" t="n">
        <v>8.648999999999999</v>
      </c>
      <c r="AN92" t="n">
        <v>24.507</v>
      </c>
      <c r="AO92" t="n">
        <v>14.28</v>
      </c>
      <c r="AP92" t="n">
        <v>37.307</v>
      </c>
      <c r="AQ92" t="n">
        <v>55.335</v>
      </c>
      <c r="AR92" t="n">
        <v>32.011</v>
      </c>
      <c r="AS92" t="n">
        <v>19.873</v>
      </c>
      <c r="AT92" t="n">
        <v>12.436</v>
      </c>
      <c r="AU92" t="n">
        <v>33.32</v>
      </c>
      <c r="AV92" t="n">
        <v>68.604</v>
      </c>
      <c r="AW92" t="n">
        <v>205.097</v>
      </c>
      <c r="AX92" t="n">
        <v>210.571</v>
      </c>
      <c r="AY92" t="n">
        <v>155.593</v>
      </c>
      <c r="AZ92" t="n">
        <v>124.653</v>
      </c>
      <c r="BA92" t="n">
        <v>91.86799999999999</v>
      </c>
      <c r="BB92" t="n">
        <v>51.408</v>
      </c>
      <c r="BC92" t="n">
        <v>60.512</v>
      </c>
      <c r="BD92" t="n">
        <v>47.184</v>
      </c>
      <c r="BE92" t="n">
        <v>71.04300000000001</v>
      </c>
      <c r="BF92" t="n">
        <v>57.299</v>
      </c>
      <c r="BG92" t="n">
        <v>52.241</v>
      </c>
      <c r="BH92" t="n">
        <v>114.076</v>
      </c>
      <c r="BI92" t="n">
        <v>253.578</v>
      </c>
      <c r="BJ92" t="n">
        <v>137.331</v>
      </c>
      <c r="BK92" t="n">
        <v>155.342</v>
      </c>
      <c r="BL92" t="n">
        <v>80.95099999999999</v>
      </c>
      <c r="BM92" t="n">
        <v>401.613</v>
      </c>
      <c r="BN92" t="n">
        <v>461.981</v>
      </c>
      <c r="BO92" t="n">
        <v>309.41</v>
      </c>
      <c r="BP92" t="n">
        <v>402.21</v>
      </c>
      <c r="BQ92" t="n">
        <v>235.318</v>
      </c>
      <c r="BR92" t="n">
        <v>553.773</v>
      </c>
      <c r="BS92" t="n">
        <v>405.585</v>
      </c>
      <c r="BT92" t="n">
        <v>298.446</v>
      </c>
      <c r="BU92" t="n">
        <v>466.519</v>
      </c>
      <c r="BV92" t="n">
        <v>531.603</v>
      </c>
    </row>
    <row r="93">
      <c r="A93" t="inlineStr">
        <is>
          <t>Octopus</t>
        </is>
      </c>
      <c r="B93" t="inlineStr">
        <is>
          <t>Octopuses, pikas</t>
        </is>
      </c>
      <c r="C93" t="inlineStr">
        <is>
          <t>Cephalopods</t>
        </is>
      </c>
      <c r="D93" t="inlineStr">
        <is>
          <t>Other fishes &amp; inverts</t>
        </is>
      </c>
      <c r="E93" t="n">
        <v>12.955</v>
      </c>
      <c r="F93" t="n">
        <v>12.955</v>
      </c>
      <c r="G93" t="n">
        <v>12.955</v>
      </c>
      <c r="H93" t="n">
        <v>12.955</v>
      </c>
      <c r="I93" t="n">
        <v>12.955</v>
      </c>
      <c r="J93" t="n">
        <v>12.955</v>
      </c>
      <c r="K93" t="n">
        <v>12.955</v>
      </c>
      <c r="L93" t="n">
        <v>12.955</v>
      </c>
      <c r="M93" t="n">
        <v>12.955</v>
      </c>
      <c r="N93" t="n">
        <v>12.955</v>
      </c>
      <c r="O93" t="n">
        <v>12.955</v>
      </c>
      <c r="P93" t="n">
        <v>12.955</v>
      </c>
      <c r="Q93" t="n">
        <v>12.955</v>
      </c>
      <c r="R93" t="n">
        <v>12.955</v>
      </c>
      <c r="S93" t="n">
        <v>12.955</v>
      </c>
      <c r="T93" t="n">
        <v>12.955</v>
      </c>
      <c r="U93" t="n">
        <v>12.955</v>
      </c>
      <c r="V93" t="n">
        <v>12.955</v>
      </c>
      <c r="W93" t="n">
        <v>12.955</v>
      </c>
      <c r="X93" t="n">
        <v>12.955</v>
      </c>
      <c r="Y93" t="n">
        <v>12.955</v>
      </c>
      <c r="Z93" t="n">
        <v>12.955</v>
      </c>
      <c r="AA93" t="n">
        <v>12.955</v>
      </c>
      <c r="AB93" t="n">
        <v>12.955</v>
      </c>
      <c r="AC93" t="n">
        <v>16.193</v>
      </c>
      <c r="AD93" t="n">
        <v>22.671</v>
      </c>
      <c r="AE93" t="n">
        <v>25.909</v>
      </c>
      <c r="AF93" t="n">
        <v>29.148</v>
      </c>
      <c r="AG93" t="n">
        <v>32.387</v>
      </c>
      <c r="AH93" t="n">
        <v>35.625</v>
      </c>
      <c r="AI93" t="n">
        <v>38.864</v>
      </c>
      <c r="AJ93" t="n">
        <v>42.103</v>
      </c>
      <c r="AK93" t="n">
        <v>42.103</v>
      </c>
      <c r="AL93" t="n">
        <v>45.341</v>
      </c>
      <c r="AM93" t="n">
        <v>38.864</v>
      </c>
      <c r="AN93" t="n">
        <v>35.625</v>
      </c>
      <c r="AO93" t="n">
        <v>29.148</v>
      </c>
      <c r="AP93" t="n">
        <v>22.671</v>
      </c>
      <c r="AQ93" t="n">
        <v>16.193</v>
      </c>
      <c r="AR93" t="n">
        <v>16.193</v>
      </c>
      <c r="AS93" t="n">
        <v>16.193</v>
      </c>
      <c r="AT93" t="n">
        <v>16.193</v>
      </c>
      <c r="AU93" t="n">
        <v>16.193</v>
      </c>
      <c r="AV93" t="n">
        <v>16.193</v>
      </c>
      <c r="AW93" t="n">
        <v>16.193</v>
      </c>
      <c r="AX93" t="n">
        <v>16.193</v>
      </c>
      <c r="AY93" t="n">
        <v>16.193</v>
      </c>
      <c r="AZ93" t="n">
        <v>16.193</v>
      </c>
      <c r="BA93" t="n">
        <v>16.193</v>
      </c>
      <c r="BB93" t="n">
        <v>16.193</v>
      </c>
      <c r="BC93" t="n">
        <v>16.193</v>
      </c>
      <c r="BD93" t="n">
        <v>16.193</v>
      </c>
      <c r="BE93" t="n">
        <v>16.193</v>
      </c>
      <c r="BF93" t="n">
        <v>16.193</v>
      </c>
      <c r="BG93" t="n">
        <v>16.193</v>
      </c>
      <c r="BH93" t="n">
        <v>9.715999999999999</v>
      </c>
      <c r="BI93" t="n">
        <v>12.955</v>
      </c>
      <c r="BJ93" t="n">
        <v>12.955</v>
      </c>
      <c r="BK93" t="n">
        <v>12.955</v>
      </c>
      <c r="BL93" t="n">
        <v>9.715999999999999</v>
      </c>
      <c r="BM93" t="n">
        <v>9.715999999999999</v>
      </c>
      <c r="BN93" t="n">
        <v>949.386</v>
      </c>
      <c r="BO93" t="n">
        <v>907.703</v>
      </c>
      <c r="BP93" t="n">
        <v>909.319</v>
      </c>
      <c r="BQ93" t="n">
        <v>932.806</v>
      </c>
      <c r="BR93" t="n">
        <v>878.712</v>
      </c>
      <c r="BS93" t="n">
        <v>986.202</v>
      </c>
      <c r="BT93" t="n">
        <v>944.837</v>
      </c>
      <c r="BU93" t="n">
        <v>963.162</v>
      </c>
      <c r="BV93" t="n">
        <v>934.902</v>
      </c>
    </row>
    <row r="94">
      <c r="A94" t="inlineStr">
        <is>
          <t>Pandalus hypsinotus</t>
        </is>
      </c>
      <c r="B94" t="inlineStr">
        <is>
          <t>Coonstriped shrimp</t>
        </is>
      </c>
      <c r="C94" t="inlineStr">
        <is>
          <t>Shrimps</t>
        </is>
      </c>
      <c r="D94" t="inlineStr">
        <is>
          <t>Crustaceans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255.371</v>
      </c>
      <c r="BA94" t="n">
        <v>212.171</v>
      </c>
      <c r="BB94" t="n">
        <v>157.488</v>
      </c>
      <c r="BC94" t="n">
        <v>150.379</v>
      </c>
      <c r="BD94" t="n">
        <v>196.313</v>
      </c>
      <c r="BE94" t="n">
        <v>126.318</v>
      </c>
      <c r="BF94" t="n">
        <v>53.59</v>
      </c>
      <c r="BG94" t="n">
        <v>127.959</v>
      </c>
      <c r="BH94" t="n">
        <v>116.475</v>
      </c>
      <c r="BI94" t="n">
        <v>205.609</v>
      </c>
      <c r="BJ94" t="n">
        <v>185.376</v>
      </c>
      <c r="BK94" t="n">
        <v>249.903</v>
      </c>
      <c r="BL94" t="n">
        <v>320.444</v>
      </c>
      <c r="BM94" t="n">
        <v>354.895</v>
      </c>
      <c r="BN94" t="n">
        <v>267.401</v>
      </c>
      <c r="BO94" t="n">
        <v>248.262</v>
      </c>
      <c r="BP94" t="n">
        <v>281.072</v>
      </c>
      <c r="BQ94" t="n">
        <v>462.074</v>
      </c>
      <c r="BR94" t="n">
        <v>708.149</v>
      </c>
      <c r="BS94" t="n">
        <v>759.551</v>
      </c>
      <c r="BT94" t="n">
        <v>1393.444</v>
      </c>
      <c r="BU94" t="n">
        <v>1095.455</v>
      </c>
      <c r="BV94" t="n">
        <v>1178.945</v>
      </c>
    </row>
    <row r="95">
      <c r="A95" t="inlineStr">
        <is>
          <t>Squillidae</t>
        </is>
      </c>
      <c r="B95" t="inlineStr">
        <is>
          <t>Squilla mantis shrimps</t>
        </is>
      </c>
      <c r="C95" t="inlineStr">
        <is>
          <t>Shrimps</t>
        </is>
      </c>
      <c r="D95" t="inlineStr">
        <is>
          <t>Crustaceans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347.521</v>
      </c>
      <c r="BG95" t="n">
        <v>496.818</v>
      </c>
      <c r="BH95" t="n">
        <v>490.999</v>
      </c>
      <c r="BI95" t="n">
        <v>541.167</v>
      </c>
      <c r="BJ95" t="n">
        <v>599.298</v>
      </c>
      <c r="BK95" t="n">
        <v>557.1559999999999</v>
      </c>
      <c r="BL95" t="n">
        <v>468.801</v>
      </c>
      <c r="BM95" t="n">
        <v>497.164</v>
      </c>
      <c r="BN95" t="n">
        <v>620.7670000000001</v>
      </c>
      <c r="BO95" t="n">
        <v>488.508</v>
      </c>
      <c r="BP95" t="n">
        <v>402.034</v>
      </c>
      <c r="BQ95" t="n">
        <v>497.153</v>
      </c>
      <c r="BR95" t="n">
        <v>402.09</v>
      </c>
      <c r="BS95" t="n">
        <v>323.595</v>
      </c>
      <c r="BT95" t="n">
        <v>299.439</v>
      </c>
      <c r="BU95" t="n">
        <v>301.462</v>
      </c>
      <c r="BV95" t="n">
        <v>302.539</v>
      </c>
    </row>
    <row r="96">
      <c r="A96" t="inlineStr">
        <is>
          <t>Elasmobranchii</t>
        </is>
      </c>
      <c r="B96" t="inlineStr">
        <is>
          <t>Sharks, rays, skates</t>
        </is>
      </c>
      <c r="C96" t="inlineStr">
        <is>
          <t>Large sharks (&gt;=90 cm)</t>
        </is>
      </c>
      <c r="D96" t="inlineStr">
        <is>
          <t>Sharks &amp; rays</t>
        </is>
      </c>
      <c r="E96" t="n">
        <v>41.523</v>
      </c>
      <c r="F96" t="n">
        <v>54.288</v>
      </c>
      <c r="G96" t="n">
        <v>65.70999999999999</v>
      </c>
      <c r="H96" t="n">
        <v>72.14</v>
      </c>
      <c r="I96" t="n">
        <v>73.542</v>
      </c>
      <c r="J96" t="n">
        <v>86.46899999999999</v>
      </c>
      <c r="K96" t="n">
        <v>101.993</v>
      </c>
      <c r="L96" t="n">
        <v>106.346</v>
      </c>
      <c r="M96" t="n">
        <v>111.326</v>
      </c>
      <c r="N96" t="n">
        <v>104.273</v>
      </c>
      <c r="O96" t="n">
        <v>106.591</v>
      </c>
      <c r="P96" t="n">
        <v>113.307</v>
      </c>
      <c r="Q96" t="n">
        <v>123.672</v>
      </c>
      <c r="R96" t="n">
        <v>142.488</v>
      </c>
      <c r="S96" t="n">
        <v>102.364</v>
      </c>
      <c r="T96" t="n">
        <v>175.651</v>
      </c>
      <c r="U96" t="n">
        <v>155.799</v>
      </c>
      <c r="V96" t="n">
        <v>366.89</v>
      </c>
      <c r="W96" t="n">
        <v>412.563</v>
      </c>
      <c r="X96" t="n">
        <v>445.155</v>
      </c>
      <c r="Y96" t="n">
        <v>480.643</v>
      </c>
      <c r="Z96" t="n">
        <v>531.268</v>
      </c>
      <c r="AA96" t="n">
        <v>545.697</v>
      </c>
      <c r="AB96" t="n">
        <v>464.432</v>
      </c>
      <c r="AC96" t="n">
        <v>575.09</v>
      </c>
      <c r="AD96" t="n">
        <v>454.262</v>
      </c>
      <c r="AE96" t="n">
        <v>276.584</v>
      </c>
      <c r="AF96" t="n">
        <v>0.057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344.359</v>
      </c>
      <c r="AU96" t="n">
        <v>227.35</v>
      </c>
      <c r="AV96" t="n">
        <v>0</v>
      </c>
      <c r="AW96" t="n">
        <v>0</v>
      </c>
      <c r="AX96" t="n">
        <v>0</v>
      </c>
      <c r="AY96" t="n">
        <v>0.001</v>
      </c>
      <c r="AZ96" t="n">
        <v>0</v>
      </c>
      <c r="BA96" t="n">
        <v>0.004</v>
      </c>
      <c r="BB96" t="n">
        <v>1.034</v>
      </c>
      <c r="BC96" t="n">
        <v>0</v>
      </c>
      <c r="BD96" t="n">
        <v>10.17</v>
      </c>
      <c r="BE96" t="n">
        <v>0.001</v>
      </c>
      <c r="BF96" t="n">
        <v>0.61</v>
      </c>
      <c r="BG96" t="n">
        <v>0.105</v>
      </c>
      <c r="BH96" t="n">
        <v>0.007</v>
      </c>
      <c r="BI96" t="n">
        <v>0.204</v>
      </c>
      <c r="BJ96" t="n">
        <v>2.44</v>
      </c>
      <c r="BK96" t="n">
        <v>0.001</v>
      </c>
      <c r="BL96" t="n">
        <v>0.001</v>
      </c>
      <c r="BM96" t="n">
        <v>1.22</v>
      </c>
      <c r="BN96" t="n">
        <v>0</v>
      </c>
      <c r="BO96" t="n">
        <v>207.432</v>
      </c>
      <c r="BP96" t="n">
        <v>92.261</v>
      </c>
      <c r="BQ96" t="n">
        <v>112.904</v>
      </c>
      <c r="BR96" t="n">
        <v>70.949</v>
      </c>
      <c r="BS96" t="n">
        <v>81.629</v>
      </c>
      <c r="BT96" t="n">
        <v>53.717</v>
      </c>
      <c r="BU96" t="n">
        <v>15.082</v>
      </c>
      <c r="BV96" t="n">
        <v>69.648</v>
      </c>
    </row>
    <row r="97">
      <c r="A97" t="inlineStr">
        <is>
          <t>Trachurus</t>
        </is>
      </c>
      <c r="B97" t="inlineStr">
        <is>
          <t>Jacks, horse mackerels</t>
        </is>
      </c>
      <c r="C97" t="inlineStr">
        <is>
          <t>Medium pelagics (30 - 89 cm)</t>
        </is>
      </c>
      <c r="D97" t="inlineStr">
        <is>
          <t>Perch-likes</t>
        </is>
      </c>
      <c r="E97" t="n">
        <v>17.685</v>
      </c>
      <c r="F97" t="n">
        <v>21.223</v>
      </c>
      <c r="G97" t="n">
        <v>21.223</v>
      </c>
      <c r="H97" t="n">
        <v>17.685</v>
      </c>
      <c r="I97" t="n">
        <v>21.223</v>
      </c>
      <c r="J97" t="n">
        <v>21.223</v>
      </c>
      <c r="K97" t="n">
        <v>28.297</v>
      </c>
      <c r="L97" t="n">
        <v>35.371</v>
      </c>
      <c r="M97" t="n">
        <v>35.371</v>
      </c>
      <c r="N97" t="n">
        <v>38.908</v>
      </c>
      <c r="O97" t="n">
        <v>35.371</v>
      </c>
      <c r="P97" t="n">
        <v>42.445</v>
      </c>
      <c r="Q97" t="n">
        <v>42.445</v>
      </c>
      <c r="R97" t="n">
        <v>42.445</v>
      </c>
      <c r="S97" t="n">
        <v>42.445</v>
      </c>
      <c r="T97" t="n">
        <v>49.519</v>
      </c>
      <c r="U97" t="n">
        <v>49.519</v>
      </c>
      <c r="V97" t="n">
        <v>45.982</v>
      </c>
      <c r="W97" t="n">
        <v>45.982</v>
      </c>
      <c r="X97" t="n">
        <v>60.131</v>
      </c>
      <c r="Y97" t="n">
        <v>56.594</v>
      </c>
      <c r="Z97" t="n">
        <v>63.668</v>
      </c>
      <c r="AA97" t="n">
        <v>81.35299999999999</v>
      </c>
      <c r="AB97" t="n">
        <v>81.35299999999999</v>
      </c>
      <c r="AC97" t="n">
        <v>102.576</v>
      </c>
      <c r="AD97" t="n">
        <v>95.502</v>
      </c>
      <c r="AE97" t="n">
        <v>91.965</v>
      </c>
      <c r="AF97" t="n">
        <v>91.965</v>
      </c>
      <c r="AG97" t="n">
        <v>99.039</v>
      </c>
      <c r="AH97" t="n">
        <v>106.113</v>
      </c>
      <c r="AI97" t="n">
        <v>99.039</v>
      </c>
      <c r="AJ97" t="n">
        <v>123.798</v>
      </c>
      <c r="AK97" t="n">
        <v>116.724</v>
      </c>
      <c r="AL97" t="n">
        <v>130.873</v>
      </c>
      <c r="AM97" t="n">
        <v>137.947</v>
      </c>
      <c r="AN97" t="n">
        <v>120.261</v>
      </c>
      <c r="AO97" t="n">
        <v>141.484</v>
      </c>
      <c r="AP97" t="n">
        <v>148.558</v>
      </c>
      <c r="AQ97" t="n">
        <v>145.021</v>
      </c>
      <c r="AR97" t="n">
        <v>159.169</v>
      </c>
      <c r="AS97" t="n">
        <v>145.021</v>
      </c>
      <c r="AT97" t="n">
        <v>127.336</v>
      </c>
      <c r="AU97" t="n">
        <v>134.41</v>
      </c>
      <c r="AV97" t="n">
        <v>166.244</v>
      </c>
      <c r="AW97" t="n">
        <v>166.244</v>
      </c>
      <c r="AX97" t="n">
        <v>162.707</v>
      </c>
      <c r="AY97" t="n">
        <v>208.689</v>
      </c>
      <c r="AZ97" t="n">
        <v>159.169</v>
      </c>
      <c r="BA97" t="n">
        <v>148.558</v>
      </c>
      <c r="BB97" t="n">
        <v>166.244</v>
      </c>
      <c r="BC97" t="n">
        <v>145.021</v>
      </c>
      <c r="BD97" t="n">
        <v>191.003</v>
      </c>
      <c r="BE97" t="n">
        <v>180.392</v>
      </c>
      <c r="BF97" t="n">
        <v>162.707</v>
      </c>
      <c r="BG97" t="n">
        <v>141.484</v>
      </c>
      <c r="BH97" t="n">
        <v>137.947</v>
      </c>
      <c r="BI97" t="n">
        <v>123.798</v>
      </c>
      <c r="BJ97" t="n">
        <v>123.798</v>
      </c>
      <c r="BK97" t="n">
        <v>123.798</v>
      </c>
      <c r="BL97" t="n">
        <v>123.798</v>
      </c>
      <c r="BM97" t="n">
        <v>123.798</v>
      </c>
      <c r="BN97" t="n">
        <v>123.94</v>
      </c>
      <c r="BO97" t="n">
        <v>123.905</v>
      </c>
      <c r="BP97" t="n">
        <v>123.834</v>
      </c>
      <c r="BQ97" t="n">
        <v>123.798</v>
      </c>
      <c r="BR97" t="n">
        <v>132.252</v>
      </c>
      <c r="BS97" t="n">
        <v>140.741</v>
      </c>
      <c r="BT97" t="n">
        <v>140.741</v>
      </c>
      <c r="BU97" t="n">
        <v>140.741</v>
      </c>
      <c r="BV97" t="n">
        <v>140.741</v>
      </c>
    </row>
    <row r="98">
      <c r="A98" t="inlineStr">
        <is>
          <t>Haliotidae</t>
        </is>
      </c>
      <c r="B98" t="inlineStr">
        <is>
          <t>Abalones, ear shells</t>
        </is>
      </c>
      <c r="C98" t="inlineStr">
        <is>
          <t>Other demersal invertebrates</t>
        </is>
      </c>
      <c r="D98" t="inlineStr">
        <is>
          <t>Molluscs</t>
        </is>
      </c>
      <c r="E98" t="n">
        <v>124.133</v>
      </c>
      <c r="F98" t="n">
        <v>124.133</v>
      </c>
      <c r="G98" t="n">
        <v>124.133</v>
      </c>
      <c r="H98" t="n">
        <v>142.067</v>
      </c>
      <c r="I98" t="n">
        <v>136.546</v>
      </c>
      <c r="J98" t="n">
        <v>123.626</v>
      </c>
      <c r="K98" t="n">
        <v>111.899</v>
      </c>
      <c r="L98" t="n">
        <v>120.583</v>
      </c>
      <c r="M98" t="n">
        <v>141.502</v>
      </c>
      <c r="N98" t="n">
        <v>138.673</v>
      </c>
      <c r="O98" t="n">
        <v>126.599</v>
      </c>
      <c r="P98" t="n">
        <v>108.577</v>
      </c>
      <c r="Q98" t="n">
        <v>140.126</v>
      </c>
      <c r="R98" t="n">
        <v>140.238</v>
      </c>
      <c r="S98" t="n">
        <v>131.214</v>
      </c>
      <c r="T98" t="n">
        <v>121.399</v>
      </c>
      <c r="U98" t="n">
        <v>159.961</v>
      </c>
      <c r="V98" t="n">
        <v>174.296</v>
      </c>
      <c r="W98" t="n">
        <v>168.297</v>
      </c>
      <c r="X98" t="n">
        <v>171.316</v>
      </c>
      <c r="Y98" t="n">
        <v>164.242</v>
      </c>
      <c r="Z98" t="n">
        <v>139.29</v>
      </c>
      <c r="AA98" t="n">
        <v>140.523</v>
      </c>
      <c r="AB98" t="n">
        <v>140.545</v>
      </c>
      <c r="AC98" t="n">
        <v>116.917</v>
      </c>
      <c r="AD98" t="n">
        <v>126.746</v>
      </c>
      <c r="AE98" t="n">
        <v>130.911</v>
      </c>
      <c r="AF98" t="n">
        <v>121.346</v>
      </c>
      <c r="AG98" t="n">
        <v>120.969</v>
      </c>
      <c r="AH98" t="n">
        <v>110.215</v>
      </c>
      <c r="AI98" t="n">
        <v>112.354</v>
      </c>
      <c r="AJ98" t="n">
        <v>106.358</v>
      </c>
      <c r="AK98" t="n">
        <v>104.793</v>
      </c>
      <c r="AL98" t="n">
        <v>102.897</v>
      </c>
      <c r="AM98" t="n">
        <v>86.41200000000001</v>
      </c>
      <c r="AN98" t="n">
        <v>104.397</v>
      </c>
      <c r="AO98" t="n">
        <v>99.723</v>
      </c>
      <c r="AP98" t="n">
        <v>93.86199999999999</v>
      </c>
      <c r="AQ98" t="n">
        <v>85.794</v>
      </c>
      <c r="AR98" t="n">
        <v>81.3</v>
      </c>
      <c r="AS98" t="n">
        <v>76.65000000000001</v>
      </c>
      <c r="AT98" t="n">
        <v>69.68600000000001</v>
      </c>
      <c r="AU98" t="n">
        <v>61.16</v>
      </c>
      <c r="AV98" t="n">
        <v>57.06</v>
      </c>
      <c r="AW98" t="n">
        <v>54.174</v>
      </c>
      <c r="AX98" t="n">
        <v>51.663</v>
      </c>
      <c r="AY98" t="n">
        <v>51.266</v>
      </c>
      <c r="AZ98" t="n">
        <v>57.084</v>
      </c>
      <c r="BA98" t="n">
        <v>58.495</v>
      </c>
      <c r="BB98" t="n">
        <v>56.005</v>
      </c>
      <c r="BC98" t="n">
        <v>57.526</v>
      </c>
      <c r="BD98" t="n">
        <v>53.912</v>
      </c>
      <c r="BE98" t="n">
        <v>60.833</v>
      </c>
      <c r="BF98" t="n">
        <v>87.06100000000001</v>
      </c>
      <c r="BG98" t="n">
        <v>79.307</v>
      </c>
      <c r="BH98" t="n">
        <v>68.937</v>
      </c>
      <c r="BI98" t="n">
        <v>77.863</v>
      </c>
      <c r="BJ98" t="n">
        <v>48.048</v>
      </c>
      <c r="BK98" t="n">
        <v>42.45</v>
      </c>
      <c r="BL98" t="n">
        <v>56.895</v>
      </c>
      <c r="BM98" t="n">
        <v>44.84</v>
      </c>
      <c r="BN98" t="n">
        <v>46.561</v>
      </c>
      <c r="BO98" t="n">
        <v>44.04</v>
      </c>
      <c r="BP98" t="n">
        <v>43.348</v>
      </c>
      <c r="BQ98" t="n">
        <v>41.146</v>
      </c>
      <c r="BR98" t="n">
        <v>39.29</v>
      </c>
      <c r="BS98" t="n">
        <v>34.284</v>
      </c>
      <c r="BT98" t="n">
        <v>29.093</v>
      </c>
      <c r="BU98" t="n">
        <v>27.433</v>
      </c>
      <c r="BV98" t="n">
        <v>24.144</v>
      </c>
    </row>
    <row r="99">
      <c r="A99" t="inlineStr">
        <is>
          <t>Corbicula japonica</t>
        </is>
      </c>
      <c r="B99" t="inlineStr">
        <is>
          <t>Japanese corbicula</t>
        </is>
      </c>
      <c r="C99" t="inlineStr">
        <is>
          <t>Other demersal invertebrates</t>
        </is>
      </c>
      <c r="D99" t="inlineStr">
        <is>
          <t>Molluscs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49.022</v>
      </c>
      <c r="BE99" t="n">
        <v>138.453</v>
      </c>
      <c r="BF99" t="n">
        <v>33.123</v>
      </c>
      <c r="BG99" t="n">
        <v>112.617</v>
      </c>
      <c r="BH99" t="n">
        <v>96.056</v>
      </c>
      <c r="BI99" t="n">
        <v>207.348</v>
      </c>
      <c r="BJ99" t="n">
        <v>354.581</v>
      </c>
      <c r="BK99" t="n">
        <v>183.135</v>
      </c>
      <c r="BL99" t="n">
        <v>321.461</v>
      </c>
      <c r="BM99" t="n">
        <v>288.99</v>
      </c>
      <c r="BN99" t="n">
        <v>414.977</v>
      </c>
      <c r="BO99" t="n">
        <v>414.327</v>
      </c>
      <c r="BP99" t="n">
        <v>324.708</v>
      </c>
      <c r="BQ99" t="n">
        <v>318.863</v>
      </c>
      <c r="BR99" t="n">
        <v>511.89</v>
      </c>
      <c r="BS99" t="n">
        <v>645.302</v>
      </c>
      <c r="BT99" t="n">
        <v>641.824</v>
      </c>
      <c r="BU99" t="n">
        <v>430.649</v>
      </c>
      <c r="BV99" t="n">
        <v>149.91</v>
      </c>
    </row>
    <row r="100">
      <c r="A100" t="inlineStr">
        <is>
          <t>Gadiformes</t>
        </is>
      </c>
      <c r="B100" t="inlineStr">
        <is>
          <t>Cods</t>
        </is>
      </c>
      <c r="C100" t="inlineStr">
        <is>
          <t>Medium benthopelagics (30 - 89 cm)</t>
        </is>
      </c>
      <c r="D100" t="inlineStr">
        <is>
          <t>Cod-likes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233.379</v>
      </c>
      <c r="AH100" t="n">
        <v>25.672</v>
      </c>
      <c r="AI100" t="n">
        <v>0</v>
      </c>
      <c r="AJ100" t="n">
        <v>0</v>
      </c>
      <c r="AK100" t="n">
        <v>0</v>
      </c>
      <c r="AL100" t="n">
        <v>0</v>
      </c>
      <c r="AM100" t="n">
        <v>344.967</v>
      </c>
      <c r="AN100" t="n">
        <v>32.193</v>
      </c>
      <c r="AO100" t="n">
        <v>176.254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4.65</v>
      </c>
      <c r="AX100" t="n">
        <v>1.744</v>
      </c>
      <c r="AY100" t="n">
        <v>5.813</v>
      </c>
      <c r="AZ100" t="n">
        <v>0</v>
      </c>
      <c r="BA100" t="n">
        <v>1.163</v>
      </c>
      <c r="BB100" t="n">
        <v>6.015</v>
      </c>
      <c r="BC100" t="n">
        <v>3.488</v>
      </c>
      <c r="BD100" t="n">
        <v>0.625</v>
      </c>
      <c r="BE100" t="n">
        <v>7.6</v>
      </c>
      <c r="BF100" t="n">
        <v>1119.96</v>
      </c>
      <c r="BG100" t="n">
        <v>1062.344</v>
      </c>
      <c r="BH100" t="n">
        <v>522.441</v>
      </c>
      <c r="BI100" t="n">
        <v>877.149</v>
      </c>
      <c r="BJ100" t="n">
        <v>1148.638</v>
      </c>
      <c r="BK100" t="n">
        <v>0</v>
      </c>
      <c r="BL100" t="n">
        <v>0</v>
      </c>
      <c r="BM100" t="n">
        <v>2.325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58.692</v>
      </c>
      <c r="BU100" t="n">
        <v>0</v>
      </c>
      <c r="BV100" t="n">
        <v>0</v>
      </c>
    </row>
    <row r="101">
      <c r="A101" t="inlineStr">
        <is>
          <t>Lycodes</t>
        </is>
      </c>
      <c r="B101" t="inlineStr">
        <is>
          <t>Eelpouts</t>
        </is>
      </c>
      <c r="C101" t="inlineStr">
        <is>
          <t>Medium bathydemersals (30 - 89 cm)</t>
        </is>
      </c>
      <c r="D101" t="inlineStr">
        <is>
          <t>Perch-likes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290.883</v>
      </c>
      <c r="AW101" t="n">
        <v>3.827</v>
      </c>
      <c r="AX101" t="n">
        <v>34.447</v>
      </c>
      <c r="AY101" t="n">
        <v>13.779</v>
      </c>
      <c r="AZ101" t="n">
        <v>0</v>
      </c>
      <c r="BA101" t="n">
        <v>1.531</v>
      </c>
      <c r="BB101" t="n">
        <v>0.765</v>
      </c>
      <c r="BC101" t="n">
        <v>21.433</v>
      </c>
      <c r="BD101" t="n">
        <v>35.978</v>
      </c>
      <c r="BE101" t="n">
        <v>45.929</v>
      </c>
      <c r="BF101" t="n">
        <v>424.054</v>
      </c>
      <c r="BG101" t="n">
        <v>511.155</v>
      </c>
      <c r="BH101" t="n">
        <v>328.289</v>
      </c>
      <c r="BI101" t="n">
        <v>63.568</v>
      </c>
      <c r="BJ101" t="n">
        <v>44.41</v>
      </c>
      <c r="BK101" t="n">
        <v>74.88800000000001</v>
      </c>
      <c r="BL101" t="n">
        <v>18.287</v>
      </c>
      <c r="BM101" t="n">
        <v>323.064</v>
      </c>
      <c r="BN101" t="n">
        <v>281.266</v>
      </c>
      <c r="BO101" t="n">
        <v>3.483</v>
      </c>
      <c r="BP101" t="n">
        <v>2.612</v>
      </c>
      <c r="BQ101" t="n">
        <v>0.871</v>
      </c>
      <c r="BR101" t="n">
        <v>8.708</v>
      </c>
      <c r="BS101" t="n">
        <v>224.665</v>
      </c>
      <c r="BT101" t="n">
        <v>132.227</v>
      </c>
      <c r="BU101" t="n">
        <v>168.398</v>
      </c>
      <c r="BV101" t="n">
        <v>77.3</v>
      </c>
    </row>
    <row r="102">
      <c r="A102" t="inlineStr">
        <is>
          <t>Actinopterygii</t>
        </is>
      </c>
      <c r="B102" t="inlineStr">
        <is>
          <t>Ray-finned fishes</t>
        </is>
      </c>
      <c r="C102" t="inlineStr">
        <is>
          <t>Medium demersals (30 - 89 cm)</t>
        </is>
      </c>
      <c r="D102" t="inlineStr">
        <is>
          <t>Other fishes &amp; inverts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333.321</v>
      </c>
      <c r="BO102" t="n">
        <v>332.375</v>
      </c>
      <c r="BP102" t="n">
        <v>331.43</v>
      </c>
      <c r="BQ102" t="n">
        <v>330.485</v>
      </c>
      <c r="BR102" t="n">
        <v>329.539</v>
      </c>
      <c r="BS102" t="n">
        <v>329.271</v>
      </c>
      <c r="BT102" t="n">
        <v>329.125</v>
      </c>
      <c r="BU102" t="n">
        <v>329.017</v>
      </c>
      <c r="BV102" t="n">
        <v>328.908</v>
      </c>
    </row>
    <row r="103">
      <c r="A103" t="inlineStr">
        <is>
          <t>Miscellaneous aquatic invertebrates</t>
        </is>
      </c>
      <c r="B103" t="inlineStr">
        <is>
          <t>Aquatic invertebrates</t>
        </is>
      </c>
      <c r="C103" t="inlineStr">
        <is>
          <t>Other demersal invertebrates</t>
        </is>
      </c>
      <c r="D103" t="inlineStr">
        <is>
          <t>Other fishes &amp; inverts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2.194</v>
      </c>
      <c r="BL103" t="n">
        <v>0.549</v>
      </c>
      <c r="BM103" t="n">
        <v>0</v>
      </c>
      <c r="BN103" t="n">
        <v>0</v>
      </c>
      <c r="BO103" t="n">
        <v>0</v>
      </c>
      <c r="BP103" t="n">
        <v>0</v>
      </c>
      <c r="BQ103" t="n">
        <v>0.03</v>
      </c>
      <c r="BR103" t="n">
        <v>0.004</v>
      </c>
      <c r="BS103" t="n">
        <v>0.044</v>
      </c>
      <c r="BT103" t="n">
        <v>0.003</v>
      </c>
      <c r="BU103" t="n">
        <v>0.01</v>
      </c>
      <c r="BV103" t="n">
        <v>2835.516</v>
      </c>
    </row>
    <row r="104">
      <c r="A104" t="inlineStr">
        <is>
          <t>Erimacrus isenbeckii</t>
        </is>
      </c>
      <c r="B104" t="inlineStr">
        <is>
          <t>Hair Crab</t>
        </is>
      </c>
      <c r="C104" t="inlineStr">
        <is>
          <t>Lobsters, crabs</t>
        </is>
      </c>
      <c r="D104" t="inlineStr">
        <is>
          <t>Crustaceans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424.115</v>
      </c>
      <c r="AZ104" t="n">
        <v>328.972</v>
      </c>
      <c r="BA104" t="n">
        <v>219.852</v>
      </c>
      <c r="BB104" t="n">
        <v>236.516</v>
      </c>
      <c r="BC104" t="n">
        <v>106.432</v>
      </c>
      <c r="BD104" t="n">
        <v>87.081</v>
      </c>
      <c r="BE104" t="n">
        <v>62.892</v>
      </c>
      <c r="BF104" t="n">
        <v>72.03</v>
      </c>
      <c r="BG104" t="n">
        <v>2.688</v>
      </c>
      <c r="BH104" t="n">
        <v>8.601000000000001</v>
      </c>
      <c r="BI104" t="n">
        <v>24.189</v>
      </c>
      <c r="BJ104" t="n">
        <v>51.603</v>
      </c>
      <c r="BK104" t="n">
        <v>73.105</v>
      </c>
      <c r="BL104" t="n">
        <v>3.225</v>
      </c>
      <c r="BM104" t="n">
        <v>0.538</v>
      </c>
      <c r="BN104" t="n">
        <v>15.647</v>
      </c>
      <c r="BO104" t="n">
        <v>32.543</v>
      </c>
      <c r="BP104" t="n">
        <v>25.264</v>
      </c>
      <c r="BQ104" t="n">
        <v>35.477</v>
      </c>
      <c r="BR104" t="n">
        <v>15.589</v>
      </c>
      <c r="BS104" t="n">
        <v>24.727</v>
      </c>
      <c r="BT104" t="n">
        <v>180.612</v>
      </c>
      <c r="BU104" t="n">
        <v>221.961</v>
      </c>
      <c r="BV104" t="n">
        <v>224.442</v>
      </c>
    </row>
    <row r="105">
      <c r="A105" t="inlineStr">
        <is>
          <t>Mytilidae</t>
        </is>
      </c>
      <c r="B105" t="inlineStr">
        <is>
          <t>Sea mussels</t>
        </is>
      </c>
      <c r="C105" t="inlineStr">
        <is>
          <t>Other demersal invertebrates</t>
        </is>
      </c>
      <c r="D105" t="inlineStr">
        <is>
          <t>Molluscs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55.201</v>
      </c>
      <c r="L105" t="n">
        <v>55.201</v>
      </c>
      <c r="M105" t="n">
        <v>55.201</v>
      </c>
      <c r="N105" t="n">
        <v>55.201</v>
      </c>
      <c r="O105" t="n">
        <v>209.687</v>
      </c>
      <c r="P105" t="n">
        <v>157.266</v>
      </c>
      <c r="Q105" t="n">
        <v>209.687</v>
      </c>
      <c r="R105" t="n">
        <v>254.909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42.176</v>
      </c>
      <c r="AM105" t="n">
        <v>61.974</v>
      </c>
      <c r="AN105" t="n">
        <v>75.63800000000001</v>
      </c>
      <c r="AO105" t="n">
        <v>156.197</v>
      </c>
      <c r="AP105" t="n">
        <v>172.056</v>
      </c>
      <c r="AQ105" t="n">
        <v>52.72</v>
      </c>
      <c r="AR105" t="n">
        <v>32.876</v>
      </c>
      <c r="AS105" t="n">
        <v>39.256</v>
      </c>
      <c r="AT105" t="n">
        <v>0</v>
      </c>
      <c r="AU105" t="n">
        <v>0</v>
      </c>
      <c r="AV105" t="n">
        <v>64.46899999999999</v>
      </c>
      <c r="AW105" t="n">
        <v>0</v>
      </c>
      <c r="AX105" t="n">
        <v>16.87</v>
      </c>
      <c r="AY105" t="n">
        <v>0</v>
      </c>
      <c r="AZ105" t="n">
        <v>0</v>
      </c>
      <c r="BA105" t="n">
        <v>5.423</v>
      </c>
      <c r="BB105" t="n">
        <v>48.201</v>
      </c>
      <c r="BC105" t="n">
        <v>14.46</v>
      </c>
      <c r="BD105" t="n">
        <v>25.306</v>
      </c>
      <c r="BE105" t="n">
        <v>19.883</v>
      </c>
      <c r="BF105" t="n">
        <v>9.038</v>
      </c>
      <c r="BG105" t="n">
        <v>10.243</v>
      </c>
      <c r="BH105" t="n">
        <v>8.435</v>
      </c>
      <c r="BI105" t="n">
        <v>22.293</v>
      </c>
      <c r="BJ105" t="n">
        <v>22.895</v>
      </c>
      <c r="BK105" t="n">
        <v>30.126</v>
      </c>
      <c r="BL105" t="n">
        <v>24.703</v>
      </c>
      <c r="BM105" t="n">
        <v>36.151</v>
      </c>
      <c r="BN105" t="n">
        <v>56.034</v>
      </c>
      <c r="BO105" t="n">
        <v>35.548</v>
      </c>
      <c r="BP105" t="n">
        <v>30.126</v>
      </c>
      <c r="BQ105" t="n">
        <v>30.126</v>
      </c>
      <c r="BR105" t="n">
        <v>10.845</v>
      </c>
      <c r="BS105" t="n">
        <v>15.063</v>
      </c>
      <c r="BT105" t="n">
        <v>44.261</v>
      </c>
      <c r="BU105" t="n">
        <v>37.773</v>
      </c>
      <c r="BV105" t="n">
        <v>53.067</v>
      </c>
    </row>
    <row r="106">
      <c r="A106" t="inlineStr">
        <is>
          <t>Penaeus chinensis</t>
        </is>
      </c>
      <c r="B106" t="inlineStr">
        <is>
          <t>Fleshy prawn</t>
        </is>
      </c>
      <c r="C106" t="inlineStr">
        <is>
          <t>Shrimps</t>
        </is>
      </c>
      <c r="D106" t="inlineStr">
        <is>
          <t>Crustaceans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1.717</v>
      </c>
      <c r="Z106" t="n">
        <v>1.557</v>
      </c>
      <c r="AA106" t="n">
        <v>2.46</v>
      </c>
      <c r="AB106" t="n">
        <v>7.086</v>
      </c>
      <c r="AC106" t="n">
        <v>9.574999999999999</v>
      </c>
      <c r="AD106" t="n">
        <v>5.689</v>
      </c>
      <c r="AE106" t="n">
        <v>2.211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1.243</v>
      </c>
      <c r="AO106" t="n">
        <v>2.657</v>
      </c>
      <c r="AP106" t="n">
        <v>3.724</v>
      </c>
      <c r="AQ106" t="n">
        <v>5.4</v>
      </c>
      <c r="AR106" t="n">
        <v>4.494</v>
      </c>
      <c r="AS106" t="n">
        <v>5.717</v>
      </c>
      <c r="AT106" t="n">
        <v>5.998</v>
      </c>
      <c r="AU106" t="n">
        <v>5.931</v>
      </c>
      <c r="AV106" t="n">
        <v>3.347</v>
      </c>
      <c r="AW106" t="n">
        <v>8.237</v>
      </c>
      <c r="AX106" t="n">
        <v>7.708</v>
      </c>
      <c r="AY106" t="n">
        <v>766.148</v>
      </c>
      <c r="AZ106" t="n">
        <v>26.035</v>
      </c>
      <c r="BA106" t="n">
        <v>27.154</v>
      </c>
      <c r="BB106" t="n">
        <v>34.948</v>
      </c>
      <c r="BC106" t="n">
        <v>42.98</v>
      </c>
      <c r="BD106" t="n">
        <v>37.463</v>
      </c>
      <c r="BE106" t="n">
        <v>39.164</v>
      </c>
      <c r="BF106" t="n">
        <v>38.257</v>
      </c>
      <c r="BG106" t="n">
        <v>40.194</v>
      </c>
      <c r="BH106" t="n">
        <v>43.752</v>
      </c>
      <c r="BI106" t="n">
        <v>52.149</v>
      </c>
      <c r="BJ106" t="n">
        <v>56.7</v>
      </c>
      <c r="BK106" t="n">
        <v>46.585</v>
      </c>
      <c r="BL106" t="n">
        <v>56.984</v>
      </c>
      <c r="BM106" t="n">
        <v>58.011</v>
      </c>
      <c r="BN106" t="n">
        <v>69.05</v>
      </c>
      <c r="BO106" t="n">
        <v>63.728</v>
      </c>
      <c r="BP106" t="n">
        <v>64.35899999999999</v>
      </c>
      <c r="BQ106" t="n">
        <v>69.274</v>
      </c>
      <c r="BR106" t="n">
        <v>78.215</v>
      </c>
      <c r="BS106" t="n">
        <v>80.416</v>
      </c>
      <c r="BT106" t="n">
        <v>89.229</v>
      </c>
      <c r="BU106" t="n">
        <v>110.159</v>
      </c>
      <c r="BV106" t="n">
        <v>106.383</v>
      </c>
    </row>
    <row r="107">
      <c r="A107" t="inlineStr">
        <is>
          <t>Congridae</t>
        </is>
      </c>
      <c r="B107" t="inlineStr">
        <is>
          <t>Conger, garden eels</t>
        </is>
      </c>
      <c r="C107" t="inlineStr">
        <is>
          <t>Large demersals (&gt;=90 cm)</t>
        </is>
      </c>
      <c r="D107" t="inlineStr">
        <is>
          <t>Other fishes &amp; inverts</t>
        </is>
      </c>
      <c r="E107" t="n">
        <v>21.432</v>
      </c>
      <c r="F107" t="n">
        <v>21.432</v>
      </c>
      <c r="G107" t="n">
        <v>21.432</v>
      </c>
      <c r="H107" t="n">
        <v>20.574</v>
      </c>
      <c r="I107" t="n">
        <v>20.821</v>
      </c>
      <c r="J107" t="n">
        <v>21.003</v>
      </c>
      <c r="K107" t="n">
        <v>20.075</v>
      </c>
      <c r="L107" t="n">
        <v>21.112</v>
      </c>
      <c r="M107" t="n">
        <v>22.97</v>
      </c>
      <c r="N107" t="n">
        <v>23.069</v>
      </c>
      <c r="O107" t="n">
        <v>27.669</v>
      </c>
      <c r="P107" t="n">
        <v>28.783</v>
      </c>
      <c r="Q107" t="n">
        <v>28.454</v>
      </c>
      <c r="R107" t="n">
        <v>30.766</v>
      </c>
      <c r="S107" t="n">
        <v>32.854</v>
      </c>
      <c r="T107" t="n">
        <v>35.048</v>
      </c>
      <c r="U107" t="n">
        <v>38.811</v>
      </c>
      <c r="V107" t="n">
        <v>46.252</v>
      </c>
      <c r="W107" t="n">
        <v>50.361</v>
      </c>
      <c r="X107" t="n">
        <v>46.327</v>
      </c>
      <c r="Y107" t="n">
        <v>45.098</v>
      </c>
      <c r="Z107" t="n">
        <v>48.3</v>
      </c>
      <c r="AA107" t="n">
        <v>48.02</v>
      </c>
      <c r="AB107" t="n">
        <v>48.266</v>
      </c>
      <c r="AC107" t="n">
        <v>47.672</v>
      </c>
      <c r="AD107" t="n">
        <v>46.515</v>
      </c>
      <c r="AE107" t="n">
        <v>48.401</v>
      </c>
      <c r="AF107" t="n">
        <v>48.42</v>
      </c>
      <c r="AG107" t="n">
        <v>46.944</v>
      </c>
      <c r="AH107" t="n">
        <v>43.882</v>
      </c>
      <c r="AI107" t="n">
        <v>45.45</v>
      </c>
      <c r="AJ107" t="n">
        <v>44.976</v>
      </c>
      <c r="AK107" t="n">
        <v>43.044</v>
      </c>
      <c r="AL107" t="n">
        <v>41.805</v>
      </c>
      <c r="AM107" t="n">
        <v>42.297</v>
      </c>
      <c r="AN107" t="n">
        <v>41.732</v>
      </c>
      <c r="AO107" t="n">
        <v>44.611</v>
      </c>
      <c r="AP107" t="n">
        <v>44.957</v>
      </c>
      <c r="AQ107" t="n">
        <v>47.368</v>
      </c>
      <c r="AR107" t="n">
        <v>40.445</v>
      </c>
      <c r="AS107" t="n">
        <v>40.737</v>
      </c>
      <c r="AT107" t="n">
        <v>39.461</v>
      </c>
      <c r="AU107" t="n">
        <v>38.351</v>
      </c>
      <c r="AV107" t="n">
        <v>30.608</v>
      </c>
      <c r="AW107" t="n">
        <v>26.236</v>
      </c>
      <c r="AX107" t="n">
        <v>27.111</v>
      </c>
      <c r="AY107" t="n">
        <v>25.344</v>
      </c>
      <c r="AZ107" t="n">
        <v>24.615</v>
      </c>
      <c r="BA107" t="n">
        <v>20.679</v>
      </c>
      <c r="BB107" t="n">
        <v>18.165</v>
      </c>
      <c r="BC107" t="n">
        <v>18.347</v>
      </c>
      <c r="BD107" t="n">
        <v>17.673</v>
      </c>
      <c r="BE107" t="n">
        <v>19.35</v>
      </c>
      <c r="BF107" t="n">
        <v>18.966</v>
      </c>
      <c r="BG107" t="n">
        <v>17.255</v>
      </c>
      <c r="BH107" t="n">
        <v>15.318</v>
      </c>
      <c r="BI107" t="n">
        <v>16.87</v>
      </c>
      <c r="BJ107" t="n">
        <v>10.29</v>
      </c>
      <c r="BK107" t="n">
        <v>9.465</v>
      </c>
      <c r="BL107" t="n">
        <v>13.719</v>
      </c>
      <c r="BM107" t="n">
        <v>12.673</v>
      </c>
      <c r="BN107" t="n">
        <v>10.902</v>
      </c>
      <c r="BO107" t="n">
        <v>10.837</v>
      </c>
      <c r="BP107" t="n">
        <v>10.219</v>
      </c>
      <c r="BQ107" t="n">
        <v>10.223</v>
      </c>
      <c r="BR107" t="n">
        <v>9.936999999999999</v>
      </c>
      <c r="BS107" t="n">
        <v>9.484999999999999</v>
      </c>
      <c r="BT107" t="n">
        <v>9.109</v>
      </c>
      <c r="BU107" t="n">
        <v>9.351000000000001</v>
      </c>
      <c r="BV107" t="n">
        <v>9.003</v>
      </c>
    </row>
    <row r="108">
      <c r="A108" t="inlineStr">
        <is>
          <t>Serranidae</t>
        </is>
      </c>
      <c r="B108" t="inlineStr">
        <is>
          <t>Basses, groupers, hinds</t>
        </is>
      </c>
      <c r="C108" t="inlineStr">
        <is>
          <t>Medium reef assoc. fish (30 - 89 cm)</t>
        </is>
      </c>
      <c r="D108" t="inlineStr">
        <is>
          <t>Perch-likes</t>
        </is>
      </c>
      <c r="E108" t="n">
        <v>20.307</v>
      </c>
      <c r="F108" t="n">
        <v>20.307</v>
      </c>
      <c r="G108" t="n">
        <v>20.307</v>
      </c>
      <c r="H108" t="n">
        <v>20.307</v>
      </c>
      <c r="I108" t="n">
        <v>20.307</v>
      </c>
      <c r="J108" t="n">
        <v>20.307</v>
      </c>
      <c r="K108" t="n">
        <v>20.307</v>
      </c>
      <c r="L108" t="n">
        <v>20.307</v>
      </c>
      <c r="M108" t="n">
        <v>20.307</v>
      </c>
      <c r="N108" t="n">
        <v>20.307</v>
      </c>
      <c r="O108" t="n">
        <v>20.307</v>
      </c>
      <c r="P108" t="n">
        <v>20.307</v>
      </c>
      <c r="Q108" t="n">
        <v>20.307</v>
      </c>
      <c r="R108" t="n">
        <v>20.307</v>
      </c>
      <c r="S108" t="n">
        <v>20.307</v>
      </c>
      <c r="T108" t="n">
        <v>20.307</v>
      </c>
      <c r="U108" t="n">
        <v>20.307</v>
      </c>
      <c r="V108" t="n">
        <v>20.307</v>
      </c>
      <c r="W108" t="n">
        <v>20.307</v>
      </c>
      <c r="X108" t="n">
        <v>20.307</v>
      </c>
      <c r="Y108" t="n">
        <v>20.307</v>
      </c>
      <c r="Z108" t="n">
        <v>20.307</v>
      </c>
      <c r="AA108" t="n">
        <v>20.307</v>
      </c>
      <c r="AB108" t="n">
        <v>20.307</v>
      </c>
      <c r="AC108" t="n">
        <v>30.461</v>
      </c>
      <c r="AD108" t="n">
        <v>35.538</v>
      </c>
      <c r="AE108" t="n">
        <v>40.615</v>
      </c>
      <c r="AF108" t="n">
        <v>50.768</v>
      </c>
      <c r="AG108" t="n">
        <v>55.845</v>
      </c>
      <c r="AH108" t="n">
        <v>60.922</v>
      </c>
      <c r="AI108" t="n">
        <v>65.999</v>
      </c>
      <c r="AJ108" t="n">
        <v>71.07599999999999</v>
      </c>
      <c r="AK108" t="n">
        <v>71.07599999999999</v>
      </c>
      <c r="AL108" t="n">
        <v>76.15300000000001</v>
      </c>
      <c r="AM108" t="n">
        <v>65.999</v>
      </c>
      <c r="AN108" t="n">
        <v>55.845</v>
      </c>
      <c r="AO108" t="n">
        <v>50.768</v>
      </c>
      <c r="AP108" t="n">
        <v>40.615</v>
      </c>
      <c r="AQ108" t="n">
        <v>30.461</v>
      </c>
      <c r="AR108" t="n">
        <v>30.461</v>
      </c>
      <c r="AS108" t="n">
        <v>30.461</v>
      </c>
      <c r="AT108" t="n">
        <v>30.461</v>
      </c>
      <c r="AU108" t="n">
        <v>30.461</v>
      </c>
      <c r="AV108" t="n">
        <v>25.384</v>
      </c>
      <c r="AW108" t="n">
        <v>25.384</v>
      </c>
      <c r="AX108" t="n">
        <v>30.461</v>
      </c>
      <c r="AY108" t="n">
        <v>30.461</v>
      </c>
      <c r="AZ108" t="n">
        <v>30.461</v>
      </c>
      <c r="BA108" t="n">
        <v>30.461</v>
      </c>
      <c r="BB108" t="n">
        <v>30.461</v>
      </c>
      <c r="BC108" t="n">
        <v>30.461</v>
      </c>
      <c r="BD108" t="n">
        <v>30.461</v>
      </c>
      <c r="BE108" t="n">
        <v>30.461</v>
      </c>
      <c r="BF108" t="n">
        <v>30.461</v>
      </c>
      <c r="BG108" t="n">
        <v>25.384</v>
      </c>
      <c r="BH108" t="n">
        <v>20.307</v>
      </c>
      <c r="BI108" t="n">
        <v>20.307</v>
      </c>
      <c r="BJ108" t="n">
        <v>20.307</v>
      </c>
      <c r="BK108" t="n">
        <v>20.307</v>
      </c>
      <c r="BL108" t="n">
        <v>20.307</v>
      </c>
      <c r="BM108" t="n">
        <v>15.231</v>
      </c>
      <c r="BN108" t="n">
        <v>15.231</v>
      </c>
      <c r="BO108" t="n">
        <v>15.231</v>
      </c>
      <c r="BP108" t="n">
        <v>15.231</v>
      </c>
      <c r="BQ108" t="n">
        <v>15.231</v>
      </c>
      <c r="BR108" t="n">
        <v>15.231</v>
      </c>
      <c r="BS108" t="n">
        <v>15.231</v>
      </c>
      <c r="BT108" t="n">
        <v>15.792</v>
      </c>
      <c r="BU108" t="n">
        <v>15.792</v>
      </c>
      <c r="BV108" t="n">
        <v>15.792</v>
      </c>
    </row>
    <row r="109">
      <c r="A109" t="inlineStr">
        <is>
          <t>Synodontidae</t>
        </is>
      </c>
      <c r="B109" t="inlineStr">
        <is>
          <t>Lizardfishes, sauries</t>
        </is>
      </c>
      <c r="C109" t="inlineStr">
        <is>
          <t>Medium demersals (30 - 89 cm)</t>
        </is>
      </c>
      <c r="D109" t="inlineStr">
        <is>
          <t>Other fishes &amp; inverts</t>
        </is>
      </c>
      <c r="E109" t="n">
        <v>53.864</v>
      </c>
      <c r="F109" t="n">
        <v>53.864</v>
      </c>
      <c r="G109" t="n">
        <v>53.864</v>
      </c>
      <c r="H109" t="n">
        <v>53.864</v>
      </c>
      <c r="I109" t="n">
        <v>53.864</v>
      </c>
      <c r="J109" t="n">
        <v>53.864</v>
      </c>
      <c r="K109" t="n">
        <v>54.36</v>
      </c>
      <c r="L109" t="n">
        <v>53.198</v>
      </c>
      <c r="M109" t="n">
        <v>53.684</v>
      </c>
      <c r="N109" t="n">
        <v>45.186</v>
      </c>
      <c r="O109" t="n">
        <v>45.029</v>
      </c>
      <c r="P109" t="n">
        <v>39.068</v>
      </c>
      <c r="Q109" t="n">
        <v>41.114</v>
      </c>
      <c r="R109" t="n">
        <v>34.951</v>
      </c>
      <c r="S109" t="n">
        <v>32.876</v>
      </c>
      <c r="T109" t="n">
        <v>44.376</v>
      </c>
      <c r="U109" t="n">
        <v>44.847</v>
      </c>
      <c r="V109" t="n">
        <v>48.314</v>
      </c>
      <c r="W109" t="n">
        <v>46.341</v>
      </c>
      <c r="X109" t="n">
        <v>35.017</v>
      </c>
      <c r="Y109" t="n">
        <v>34.906</v>
      </c>
      <c r="Z109" t="n">
        <v>43.739</v>
      </c>
      <c r="AA109" t="n">
        <v>37.821</v>
      </c>
      <c r="AB109" t="n">
        <v>45.349</v>
      </c>
      <c r="AC109" t="n">
        <v>41.216</v>
      </c>
      <c r="AD109" t="n">
        <v>39.495</v>
      </c>
      <c r="AE109" t="n">
        <v>36.504</v>
      </c>
      <c r="AF109" t="n">
        <v>41.921</v>
      </c>
      <c r="AG109" t="n">
        <v>38.956</v>
      </c>
      <c r="AH109" t="n">
        <v>40.173</v>
      </c>
      <c r="AI109" t="n">
        <v>44.942</v>
      </c>
      <c r="AJ109" t="n">
        <v>41.312</v>
      </c>
      <c r="AK109" t="n">
        <v>32.359</v>
      </c>
      <c r="AL109" t="n">
        <v>26.629</v>
      </c>
      <c r="AM109" t="n">
        <v>25.074</v>
      </c>
      <c r="AN109" t="n">
        <v>24.43</v>
      </c>
      <c r="AO109" t="n">
        <v>28.896</v>
      </c>
      <c r="AP109" t="n">
        <v>26.8</v>
      </c>
      <c r="AQ109" t="n">
        <v>21.899</v>
      </c>
      <c r="AR109" t="n">
        <v>22.448</v>
      </c>
      <c r="AS109" t="n">
        <v>18.544</v>
      </c>
      <c r="AT109" t="n">
        <v>19.675</v>
      </c>
      <c r="AU109" t="n">
        <v>18.616</v>
      </c>
      <c r="AV109" t="n">
        <v>16.775</v>
      </c>
      <c r="AW109" t="n">
        <v>16.783</v>
      </c>
      <c r="AX109" t="n">
        <v>16.684</v>
      </c>
      <c r="AY109" t="n">
        <v>14.883</v>
      </c>
      <c r="AZ109" t="n">
        <v>13.857</v>
      </c>
      <c r="BA109" t="n">
        <v>14.277</v>
      </c>
      <c r="BB109" t="n">
        <v>14.103</v>
      </c>
      <c r="BC109" t="n">
        <v>13.941</v>
      </c>
      <c r="BD109" t="n">
        <v>11.247</v>
      </c>
      <c r="BE109" t="n">
        <v>10.46</v>
      </c>
      <c r="BF109" t="n">
        <v>10.539</v>
      </c>
      <c r="BG109" t="n">
        <v>9.202999999999999</v>
      </c>
      <c r="BH109" t="n">
        <v>8.337</v>
      </c>
      <c r="BI109" t="n">
        <v>8.015000000000001</v>
      </c>
      <c r="BJ109" t="n">
        <v>6.635</v>
      </c>
      <c r="BK109" t="n">
        <v>6.138</v>
      </c>
      <c r="BL109" t="n">
        <v>5.82</v>
      </c>
      <c r="BM109" t="n">
        <v>5.775</v>
      </c>
      <c r="BN109" t="n">
        <v>5.146</v>
      </c>
      <c r="BO109" t="n">
        <v>5.083</v>
      </c>
      <c r="BP109" t="n">
        <v>4.589</v>
      </c>
      <c r="BQ109" t="n">
        <v>4.265</v>
      </c>
      <c r="BR109" t="n">
        <v>4.051</v>
      </c>
      <c r="BS109" t="n">
        <v>4.093</v>
      </c>
      <c r="BT109" t="n">
        <v>4.063</v>
      </c>
      <c r="BU109" t="n">
        <v>4.063</v>
      </c>
      <c r="BV109" t="n">
        <v>4.063</v>
      </c>
    </row>
    <row r="110">
      <c r="A110" t="inlineStr">
        <is>
          <t>Perciformes</t>
        </is>
      </c>
      <c r="B110" t="inlineStr">
        <is>
          <t>Perch-likes</t>
        </is>
      </c>
      <c r="C110" t="inlineStr">
        <is>
          <t>Medium demersals (30 - 89 cm)</t>
        </is>
      </c>
      <c r="D110" t="inlineStr">
        <is>
          <t>Perch-likes</t>
        </is>
      </c>
      <c r="E110" t="n">
        <v>18.166</v>
      </c>
      <c r="F110" t="n">
        <v>18.166</v>
      </c>
      <c r="G110" t="n">
        <v>18.166</v>
      </c>
      <c r="H110" t="n">
        <v>18.166</v>
      </c>
      <c r="I110" t="n">
        <v>18.166</v>
      </c>
      <c r="J110" t="n">
        <v>18.166</v>
      </c>
      <c r="K110" t="n">
        <v>18.166</v>
      </c>
      <c r="L110" t="n">
        <v>18.166</v>
      </c>
      <c r="M110" t="n">
        <v>18.166</v>
      </c>
      <c r="N110" t="n">
        <v>18.166</v>
      </c>
      <c r="O110" t="n">
        <v>18.166</v>
      </c>
      <c r="P110" t="n">
        <v>18.166</v>
      </c>
      <c r="Q110" t="n">
        <v>18.166</v>
      </c>
      <c r="R110" t="n">
        <v>18.166</v>
      </c>
      <c r="S110" t="n">
        <v>18.166</v>
      </c>
      <c r="T110" t="n">
        <v>18.166</v>
      </c>
      <c r="U110" t="n">
        <v>18.166</v>
      </c>
      <c r="V110" t="n">
        <v>18.166</v>
      </c>
      <c r="W110" t="n">
        <v>18.166</v>
      </c>
      <c r="X110" t="n">
        <v>18.166</v>
      </c>
      <c r="Y110" t="n">
        <v>18.166</v>
      </c>
      <c r="Z110" t="n">
        <v>18.166</v>
      </c>
      <c r="AA110" t="n">
        <v>18.166</v>
      </c>
      <c r="AB110" t="n">
        <v>18.166</v>
      </c>
      <c r="AC110" t="n">
        <v>27.249</v>
      </c>
      <c r="AD110" t="n">
        <v>27.249</v>
      </c>
      <c r="AE110" t="n">
        <v>27.249</v>
      </c>
      <c r="AF110" t="n">
        <v>45.414</v>
      </c>
      <c r="AG110" t="n">
        <v>45.414</v>
      </c>
      <c r="AH110" t="n">
        <v>45.414</v>
      </c>
      <c r="AI110" t="n">
        <v>45.414</v>
      </c>
      <c r="AJ110" t="n">
        <v>54.497</v>
      </c>
      <c r="AK110" t="n">
        <v>57.479</v>
      </c>
      <c r="AL110" t="n">
        <v>54.497</v>
      </c>
      <c r="AM110" t="n">
        <v>45.414</v>
      </c>
      <c r="AN110" t="n">
        <v>45.414</v>
      </c>
      <c r="AO110" t="n">
        <v>36.331</v>
      </c>
      <c r="AP110" t="n">
        <v>27.249</v>
      </c>
      <c r="AQ110" t="n">
        <v>27.249</v>
      </c>
      <c r="AR110" t="n">
        <v>27.249</v>
      </c>
      <c r="AS110" t="n">
        <v>18.166</v>
      </c>
      <c r="AT110" t="n">
        <v>18.166</v>
      </c>
      <c r="AU110" t="n">
        <v>18.166</v>
      </c>
      <c r="AV110" t="n">
        <v>18.166</v>
      </c>
      <c r="AW110" t="n">
        <v>18.166</v>
      </c>
      <c r="AX110" t="n">
        <v>18.166</v>
      </c>
      <c r="AY110" t="n">
        <v>18.166</v>
      </c>
      <c r="AZ110" t="n">
        <v>18.166</v>
      </c>
      <c r="BA110" t="n">
        <v>18.166</v>
      </c>
      <c r="BB110" t="n">
        <v>18.166</v>
      </c>
      <c r="BC110" t="n">
        <v>27.249</v>
      </c>
      <c r="BD110" t="n">
        <v>27.249</v>
      </c>
      <c r="BE110" t="n">
        <v>27.249</v>
      </c>
      <c r="BF110" t="n">
        <v>27.546</v>
      </c>
      <c r="BG110" t="n">
        <v>18.166</v>
      </c>
      <c r="BH110" t="n">
        <v>18.166</v>
      </c>
      <c r="BI110" t="n">
        <v>18.166</v>
      </c>
      <c r="BJ110" t="n">
        <v>18.166</v>
      </c>
      <c r="BK110" t="n">
        <v>18.166</v>
      </c>
      <c r="BL110" t="n">
        <v>18.166</v>
      </c>
      <c r="BM110" t="n">
        <v>9.083</v>
      </c>
      <c r="BN110" t="n">
        <v>9.083</v>
      </c>
      <c r="BO110" t="n">
        <v>9.083</v>
      </c>
      <c r="BP110" t="n">
        <v>9.083</v>
      </c>
      <c r="BQ110" t="n">
        <v>9.083</v>
      </c>
      <c r="BR110" t="n">
        <v>9.083</v>
      </c>
      <c r="BS110" t="n">
        <v>9.083</v>
      </c>
      <c r="BT110" t="n">
        <v>39.791</v>
      </c>
      <c r="BU110" t="n">
        <v>9.417999999999999</v>
      </c>
      <c r="BV110" t="n">
        <v>9.417999999999999</v>
      </c>
    </row>
    <row r="111">
      <c r="A111" t="inlineStr">
        <is>
          <t>Ommastrephes bartramii</t>
        </is>
      </c>
      <c r="B111" t="inlineStr">
        <is>
          <t>Neon flying squid</t>
        </is>
      </c>
      <c r="C111" t="inlineStr">
        <is>
          <t>Cephalopods</t>
        </is>
      </c>
      <c r="D111" t="inlineStr">
        <is>
          <t>Other fishes &amp; inverts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114.147</v>
      </c>
      <c r="BD111" t="n">
        <v>28.185</v>
      </c>
      <c r="BE111" t="n">
        <v>136.131</v>
      </c>
      <c r="BF111" t="n">
        <v>149.66</v>
      </c>
      <c r="BG111" t="n">
        <v>346.233</v>
      </c>
      <c r="BH111" t="n">
        <v>323.557</v>
      </c>
      <c r="BI111" t="n">
        <v>11.216</v>
      </c>
      <c r="BJ111" t="n">
        <v>62.419</v>
      </c>
      <c r="BK111" t="n">
        <v>0</v>
      </c>
      <c r="BL111" t="n">
        <v>0</v>
      </c>
      <c r="BM111" t="n">
        <v>0</v>
      </c>
      <c r="BN111" t="n">
        <v>96.023</v>
      </c>
      <c r="BO111" t="n">
        <v>25.488</v>
      </c>
      <c r="BP111" t="n">
        <v>25.716</v>
      </c>
      <c r="BQ111" t="n">
        <v>25.406</v>
      </c>
      <c r="BR111" t="n">
        <v>24.63</v>
      </c>
      <c r="BS111" t="n">
        <v>23.593</v>
      </c>
      <c r="BT111" t="n">
        <v>24.545</v>
      </c>
      <c r="BU111" t="n">
        <v>25.222</v>
      </c>
      <c r="BV111" t="n">
        <v>26.081</v>
      </c>
    </row>
    <row r="112">
      <c r="A112" t="inlineStr">
        <is>
          <t>Sclerocrangon</t>
        </is>
      </c>
      <c r="B112" t="inlineStr">
        <is>
          <t>Sculptured shrimps</t>
        </is>
      </c>
      <c r="C112" t="inlineStr">
        <is>
          <t>Shrimps</t>
        </is>
      </c>
      <c r="D112" t="inlineStr">
        <is>
          <t>Crustaceans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33.411</v>
      </c>
      <c r="BA112" t="n">
        <v>51.875</v>
      </c>
      <c r="BB112" t="n">
        <v>72.098</v>
      </c>
      <c r="BC112" t="n">
        <v>17.585</v>
      </c>
      <c r="BD112" t="n">
        <v>39.566</v>
      </c>
      <c r="BE112" t="n">
        <v>36.049</v>
      </c>
      <c r="BF112" t="n">
        <v>22.86</v>
      </c>
      <c r="BG112" t="n">
        <v>43.083</v>
      </c>
      <c r="BH112" t="n">
        <v>28.136</v>
      </c>
      <c r="BI112" t="n">
        <v>26.377</v>
      </c>
      <c r="BJ112" t="n">
        <v>25.498</v>
      </c>
      <c r="BK112" t="n">
        <v>25.498</v>
      </c>
      <c r="BL112" t="n">
        <v>0.879</v>
      </c>
      <c r="BM112" t="n">
        <v>1.758</v>
      </c>
      <c r="BN112" t="n">
        <v>1.758</v>
      </c>
      <c r="BO112" t="n">
        <v>0</v>
      </c>
      <c r="BP112" t="n">
        <v>1.758</v>
      </c>
      <c r="BQ112" t="n">
        <v>72.098</v>
      </c>
      <c r="BR112" t="n">
        <v>84.407</v>
      </c>
      <c r="BS112" t="n">
        <v>96.717</v>
      </c>
      <c r="BT112" t="n">
        <v>160.292</v>
      </c>
      <c r="BU112" t="n">
        <v>241.652</v>
      </c>
      <c r="BV112" t="n">
        <v>286.735</v>
      </c>
    </row>
    <row r="113">
      <c r="A113" t="inlineStr">
        <is>
          <t>Mugilidae</t>
        </is>
      </c>
      <c r="B113" t="inlineStr">
        <is>
          <t>Mullets, grey mullets</t>
        </is>
      </c>
      <c r="C113" t="inlineStr">
        <is>
          <t>Medium reef assoc. fish (30 - 89 cm)</t>
        </is>
      </c>
      <c r="D113" t="inlineStr">
        <is>
          <t>Perch-likes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1.373</v>
      </c>
      <c r="AX113" t="n">
        <v>11.672</v>
      </c>
      <c r="AY113" t="n">
        <v>0</v>
      </c>
      <c r="AZ113" t="n">
        <v>0</v>
      </c>
      <c r="BA113" t="n">
        <v>0.6870000000000001</v>
      </c>
      <c r="BB113" t="n">
        <v>4.806</v>
      </c>
      <c r="BC113" t="n">
        <v>22.658</v>
      </c>
      <c r="BD113" t="n">
        <v>64.54000000000001</v>
      </c>
      <c r="BE113" t="n">
        <v>33.643</v>
      </c>
      <c r="BF113" t="n">
        <v>12.359</v>
      </c>
      <c r="BG113" t="n">
        <v>6.866</v>
      </c>
      <c r="BH113" t="n">
        <v>6.866</v>
      </c>
      <c r="BI113" t="n">
        <v>74.152</v>
      </c>
      <c r="BJ113" t="n">
        <v>100.439</v>
      </c>
      <c r="BK113" t="n">
        <v>43.697</v>
      </c>
      <c r="BL113" t="n">
        <v>91.30800000000001</v>
      </c>
      <c r="BM113" t="n">
        <v>60.002</v>
      </c>
      <c r="BN113" t="n">
        <v>281.697</v>
      </c>
      <c r="BO113" t="n">
        <v>33.039</v>
      </c>
      <c r="BP113" t="n">
        <v>3.478</v>
      </c>
      <c r="BQ113" t="n">
        <v>75.351</v>
      </c>
      <c r="BR113" t="n">
        <v>35.357</v>
      </c>
      <c r="BS113" t="n">
        <v>75.351</v>
      </c>
      <c r="BT113" t="n">
        <v>68.663</v>
      </c>
      <c r="BU113" t="n">
        <v>54.396</v>
      </c>
      <c r="BV113" t="n">
        <v>23.185</v>
      </c>
    </row>
    <row r="114">
      <c r="A114" t="inlineStr">
        <is>
          <t>Hexagrammos otakii</t>
        </is>
      </c>
      <c r="B114" t="inlineStr">
        <is>
          <t>Fat grrenling</t>
        </is>
      </c>
      <c r="C114" t="inlineStr">
        <is>
          <t>Small pelagics (&lt;30 cm)</t>
        </is>
      </c>
      <c r="D114" t="inlineStr">
        <is>
          <t>Scorpionfishes</t>
        </is>
      </c>
      <c r="E114" t="n">
        <v>13.611</v>
      </c>
      <c r="F114" t="n">
        <v>13.611</v>
      </c>
      <c r="G114" t="n">
        <v>13.611</v>
      </c>
      <c r="H114" t="n">
        <v>13.611</v>
      </c>
      <c r="I114" t="n">
        <v>13.611</v>
      </c>
      <c r="J114" t="n">
        <v>13.611</v>
      </c>
      <c r="K114" t="n">
        <v>13.611</v>
      </c>
      <c r="L114" t="n">
        <v>13.611</v>
      </c>
      <c r="M114" t="n">
        <v>13.611</v>
      </c>
      <c r="N114" t="n">
        <v>13.611</v>
      </c>
      <c r="O114" t="n">
        <v>13.611</v>
      </c>
      <c r="P114" t="n">
        <v>13.611</v>
      </c>
      <c r="Q114" t="n">
        <v>13.611</v>
      </c>
      <c r="R114" t="n">
        <v>13.611</v>
      </c>
      <c r="S114" t="n">
        <v>13.611</v>
      </c>
      <c r="T114" t="n">
        <v>13.611</v>
      </c>
      <c r="U114" t="n">
        <v>13.611</v>
      </c>
      <c r="V114" t="n">
        <v>13.611</v>
      </c>
      <c r="W114" t="n">
        <v>13.611</v>
      </c>
      <c r="X114" t="n">
        <v>13.611</v>
      </c>
      <c r="Y114" t="n">
        <v>13.611</v>
      </c>
      <c r="Z114" t="n">
        <v>13.611</v>
      </c>
      <c r="AA114" t="n">
        <v>13.611</v>
      </c>
      <c r="AB114" t="n">
        <v>13.611</v>
      </c>
      <c r="AC114" t="n">
        <v>17.241</v>
      </c>
      <c r="AD114" t="n">
        <v>21.778</v>
      </c>
      <c r="AE114" t="n">
        <v>25.408</v>
      </c>
      <c r="AF114" t="n">
        <v>29.945</v>
      </c>
      <c r="AG114" t="n">
        <v>33.575</v>
      </c>
      <c r="AH114" t="n">
        <v>36.297</v>
      </c>
      <c r="AI114" t="n">
        <v>38.112</v>
      </c>
      <c r="AJ114" t="n">
        <v>40.834</v>
      </c>
      <c r="AK114" t="n">
        <v>43.557</v>
      </c>
      <c r="AL114" t="n">
        <v>45.372</v>
      </c>
      <c r="AM114" t="n">
        <v>39.927</v>
      </c>
      <c r="AN114" t="n">
        <v>34.482</v>
      </c>
      <c r="AO114" t="n">
        <v>29.038</v>
      </c>
      <c r="AP114" t="n">
        <v>23.593</v>
      </c>
      <c r="AQ114" t="n">
        <v>17.241</v>
      </c>
      <c r="AR114" t="n">
        <v>17.241</v>
      </c>
      <c r="AS114" t="n">
        <v>17.241</v>
      </c>
      <c r="AT114" t="n">
        <v>17.241</v>
      </c>
      <c r="AU114" t="n">
        <v>16.334</v>
      </c>
      <c r="AV114" t="n">
        <v>16.334</v>
      </c>
      <c r="AW114" t="n">
        <v>16.334</v>
      </c>
      <c r="AX114" t="n">
        <v>16.334</v>
      </c>
      <c r="AY114" t="n">
        <v>16.334</v>
      </c>
      <c r="AZ114" t="n">
        <v>17.241</v>
      </c>
      <c r="BA114" t="n">
        <v>17.241</v>
      </c>
      <c r="BB114" t="n">
        <v>17.241</v>
      </c>
      <c r="BC114" t="n">
        <v>17.241</v>
      </c>
      <c r="BD114" t="n">
        <v>17.241</v>
      </c>
      <c r="BE114" t="n">
        <v>17.241</v>
      </c>
      <c r="BF114" t="n">
        <v>17.241</v>
      </c>
      <c r="BG114" t="n">
        <v>15.426</v>
      </c>
      <c r="BH114" t="n">
        <v>10.889</v>
      </c>
      <c r="BI114" t="n">
        <v>13.611</v>
      </c>
      <c r="BJ114" t="n">
        <v>11.797</v>
      </c>
      <c r="BK114" t="n">
        <v>11.797</v>
      </c>
      <c r="BL114" t="n">
        <v>10.889</v>
      </c>
      <c r="BM114" t="n">
        <v>9.981999999999999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Hexagrammidae</t>
        </is>
      </c>
      <c r="B115" t="inlineStr">
        <is>
          <t>Greenlings</t>
        </is>
      </c>
      <c r="C115" t="inlineStr">
        <is>
          <t>Medium demersals (30 - 89 cm)</t>
        </is>
      </c>
      <c r="D115" t="inlineStr">
        <is>
          <t>Scorpionfishes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105.816</v>
      </c>
      <c r="BO115" t="n">
        <v>105.816</v>
      </c>
      <c r="BP115" t="n">
        <v>105.816</v>
      </c>
      <c r="BQ115" t="n">
        <v>105.816</v>
      </c>
      <c r="BR115" t="n">
        <v>105.816</v>
      </c>
      <c r="BS115" t="n">
        <v>105.816</v>
      </c>
      <c r="BT115" t="n">
        <v>109.717</v>
      </c>
      <c r="BU115" t="n">
        <v>109.717</v>
      </c>
      <c r="BV115" t="n">
        <v>109.717</v>
      </c>
    </row>
    <row r="116">
      <c r="A116" t="inlineStr">
        <is>
          <t>Marine pelagic fishes not identified</t>
        </is>
      </c>
      <c r="B116" t="inlineStr">
        <is>
          <t>Pelagic fishes</t>
        </is>
      </c>
      <c r="C116" t="inlineStr">
        <is>
          <t>Medium pelagics (30 - 89 cm)</t>
        </is>
      </c>
      <c r="D116" t="inlineStr">
        <is>
          <t>Other fishes &amp; inverts</t>
        </is>
      </c>
      <c r="E116" t="n">
        <v>2.392</v>
      </c>
      <c r="F116" t="n">
        <v>2.528</v>
      </c>
      <c r="G116" t="n">
        <v>7.219</v>
      </c>
      <c r="H116" t="n">
        <v>8.025</v>
      </c>
      <c r="I116" t="n">
        <v>7.426</v>
      </c>
      <c r="J116" t="n">
        <v>13.58</v>
      </c>
      <c r="K116" t="n">
        <v>14.482</v>
      </c>
      <c r="L116" t="n">
        <v>17.619</v>
      </c>
      <c r="M116" t="n">
        <v>13.914</v>
      </c>
      <c r="N116" t="n">
        <v>5.687</v>
      </c>
      <c r="O116" t="n">
        <v>16.73</v>
      </c>
      <c r="P116" t="n">
        <v>21.87</v>
      </c>
      <c r="Q116" t="n">
        <v>10.303</v>
      </c>
      <c r="R116" t="n">
        <v>22.45</v>
      </c>
      <c r="S116" t="n">
        <v>16.277</v>
      </c>
      <c r="T116" t="n">
        <v>17.725</v>
      </c>
      <c r="U116" t="n">
        <v>19.053</v>
      </c>
      <c r="V116" t="n">
        <v>35.302</v>
      </c>
      <c r="W116" t="n">
        <v>26.941</v>
      </c>
      <c r="X116" t="n">
        <v>20.183</v>
      </c>
      <c r="Y116" t="n">
        <v>18.654</v>
      </c>
      <c r="Z116" t="n">
        <v>9.795</v>
      </c>
      <c r="AA116" t="n">
        <v>2.639</v>
      </c>
      <c r="AB116" t="n">
        <v>5.32</v>
      </c>
      <c r="AC116" t="n">
        <v>3.48</v>
      </c>
      <c r="AD116" t="n">
        <v>1.393</v>
      </c>
      <c r="AE116" t="n">
        <v>10.519</v>
      </c>
      <c r="AF116" t="n">
        <v>5.775</v>
      </c>
      <c r="AG116" t="n">
        <v>7.246</v>
      </c>
      <c r="AH116" t="n">
        <v>5.939</v>
      </c>
      <c r="AI116" t="n">
        <v>10.343</v>
      </c>
      <c r="AJ116" t="n">
        <v>6.542</v>
      </c>
      <c r="AK116" t="n">
        <v>20.819</v>
      </c>
      <c r="AL116" t="n">
        <v>9.887</v>
      </c>
      <c r="AM116" t="n">
        <v>21.011</v>
      </c>
      <c r="AN116" t="n">
        <v>0.008999999999999999</v>
      </c>
      <c r="AO116" t="n">
        <v>0</v>
      </c>
      <c r="AP116" t="n">
        <v>4.184</v>
      </c>
      <c r="AQ116" t="n">
        <v>14.099</v>
      </c>
      <c r="AR116" t="n">
        <v>1.676</v>
      </c>
      <c r="AS116" t="n">
        <v>8.384</v>
      </c>
      <c r="AT116" t="n">
        <v>1.07</v>
      </c>
      <c r="AU116" t="n">
        <v>4.861</v>
      </c>
      <c r="AV116" t="n">
        <v>13.772</v>
      </c>
      <c r="AW116" t="n">
        <v>16.895</v>
      </c>
      <c r="AX116" t="n">
        <v>21.387</v>
      </c>
      <c r="AY116" t="n">
        <v>3.27</v>
      </c>
      <c r="AZ116" t="n">
        <v>0.376</v>
      </c>
      <c r="BA116" t="n">
        <v>5.4</v>
      </c>
      <c r="BB116" t="n">
        <v>7.843</v>
      </c>
      <c r="BC116" t="n">
        <v>39.565</v>
      </c>
      <c r="BD116" t="n">
        <v>20.507</v>
      </c>
      <c r="BE116" t="n">
        <v>4.738</v>
      </c>
      <c r="BF116" t="n">
        <v>0.554</v>
      </c>
      <c r="BG116" t="n">
        <v>28.298</v>
      </c>
      <c r="BH116" t="n">
        <v>17.363</v>
      </c>
      <c r="BI116" t="n">
        <v>12.135</v>
      </c>
      <c r="BJ116" t="n">
        <v>18.334</v>
      </c>
      <c r="BK116" t="n">
        <v>9.414</v>
      </c>
      <c r="BL116" t="n">
        <v>9.451000000000001</v>
      </c>
      <c r="BM116" t="n">
        <v>12.872</v>
      </c>
      <c r="BN116" t="n">
        <v>0</v>
      </c>
      <c r="BO116" t="n">
        <v>5.567</v>
      </c>
      <c r="BP116" t="n">
        <v>0</v>
      </c>
      <c r="BQ116" t="n">
        <v>6.086</v>
      </c>
      <c r="BR116" t="n">
        <v>1.18</v>
      </c>
      <c r="BS116" t="n">
        <v>5.225</v>
      </c>
      <c r="BT116" t="n">
        <v>0</v>
      </c>
      <c r="BU116" t="n">
        <v>2.777</v>
      </c>
      <c r="BV116" t="n">
        <v>6.957</v>
      </c>
    </row>
    <row r="117">
      <c r="A117" t="inlineStr">
        <is>
          <t>Beryx</t>
        </is>
      </c>
      <c r="B117" t="inlineStr">
        <is>
          <t>Alfonsinos</t>
        </is>
      </c>
      <c r="C117" t="inlineStr">
        <is>
          <t>Medium benthopelagics (30 - 89 cm)</t>
        </is>
      </c>
      <c r="D117" t="inlineStr">
        <is>
          <t>Other fishes &amp; inverts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109.363</v>
      </c>
      <c r="AL117" t="n">
        <v>65.474</v>
      </c>
      <c r="AM117" t="n">
        <v>2.562</v>
      </c>
      <c r="AN117" t="n">
        <v>0</v>
      </c>
      <c r="AO117" t="n">
        <v>1.976</v>
      </c>
      <c r="AP117" t="n">
        <v>58.31</v>
      </c>
      <c r="AQ117" t="n">
        <v>16.466</v>
      </c>
      <c r="AR117" t="n">
        <v>43.429</v>
      </c>
      <c r="AS117" t="n">
        <v>15.516</v>
      </c>
      <c r="AT117" t="n">
        <v>6.568</v>
      </c>
      <c r="AU117" t="n">
        <v>0</v>
      </c>
      <c r="AV117" t="n">
        <v>0</v>
      </c>
      <c r="AW117" t="n">
        <v>3.988</v>
      </c>
      <c r="AX117" t="n">
        <v>0</v>
      </c>
      <c r="AY117" t="n">
        <v>1.408</v>
      </c>
      <c r="AZ117" t="n">
        <v>0</v>
      </c>
      <c r="BA117" t="n">
        <v>0.9379999999999999</v>
      </c>
      <c r="BB117" t="n">
        <v>8.914</v>
      </c>
      <c r="BC117" t="n">
        <v>4.223</v>
      </c>
      <c r="BD117" t="n">
        <v>3.284</v>
      </c>
      <c r="BE117" t="n">
        <v>2.815</v>
      </c>
      <c r="BF117" t="n">
        <v>10.322</v>
      </c>
      <c r="BG117" t="n">
        <v>0.235</v>
      </c>
      <c r="BH117" t="n">
        <v>69.438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89.92100000000001</v>
      </c>
      <c r="BU117" t="n">
        <v>9.577999999999999</v>
      </c>
      <c r="BV117" t="n">
        <v>41.171</v>
      </c>
    </row>
    <row r="118">
      <c r="A118" t="inlineStr">
        <is>
          <t>Apostichopus japonicus</t>
        </is>
      </c>
      <c r="B118" t="inlineStr">
        <is>
          <t>Japanese sea cucumber</t>
        </is>
      </c>
      <c r="C118" t="inlineStr">
        <is>
          <t>Other demersal invertebrates</t>
        </is>
      </c>
      <c r="D118" t="inlineStr">
        <is>
          <t>Other fishes &amp; inverts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2.708</v>
      </c>
      <c r="BO118" t="n">
        <v>2.407</v>
      </c>
      <c r="BP118" t="n">
        <v>32.199</v>
      </c>
      <c r="BQ118" t="n">
        <v>0</v>
      </c>
      <c r="BR118" t="n">
        <v>24.074</v>
      </c>
      <c r="BS118" t="n">
        <v>23.472</v>
      </c>
      <c r="BT118" t="n">
        <v>248.409</v>
      </c>
      <c r="BU118" t="n">
        <v>21.62</v>
      </c>
      <c r="BV118" t="n">
        <v>176.194</v>
      </c>
    </row>
    <row r="119">
      <c r="A119" t="inlineStr">
        <is>
          <t>Crassostrea</t>
        </is>
      </c>
      <c r="B119" t="inlineStr">
        <is>
          <t>Cupped oysters</t>
        </is>
      </c>
      <c r="C119" t="inlineStr">
        <is>
          <t>Other demersal invertebrates</t>
        </is>
      </c>
      <c r="D119" t="inlineStr">
        <is>
          <t>Molluscs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0.5649999999999999</v>
      </c>
      <c r="BC119" t="n">
        <v>2.259</v>
      </c>
      <c r="BD119" t="n">
        <v>1.694</v>
      </c>
      <c r="BE119" t="n">
        <v>0.5649999999999999</v>
      </c>
      <c r="BF119" t="n">
        <v>0</v>
      </c>
      <c r="BG119" t="n">
        <v>0</v>
      </c>
      <c r="BH119" t="n">
        <v>0</v>
      </c>
      <c r="BI119" t="n">
        <v>4.517</v>
      </c>
      <c r="BJ119" t="n">
        <v>0</v>
      </c>
      <c r="BK119" t="n">
        <v>0</v>
      </c>
      <c r="BL119" t="n">
        <v>1.129</v>
      </c>
      <c r="BM119" t="n">
        <v>22.022</v>
      </c>
      <c r="BN119" t="n">
        <v>16.234</v>
      </c>
      <c r="BO119" t="n">
        <v>44.566</v>
      </c>
      <c r="BP119" t="n">
        <v>28.487</v>
      </c>
      <c r="BQ119" t="n">
        <v>19.199</v>
      </c>
      <c r="BR119" t="n">
        <v>21.457</v>
      </c>
      <c r="BS119" t="n">
        <v>25.41</v>
      </c>
      <c r="BT119" t="n">
        <v>84.048</v>
      </c>
      <c r="BU119" t="n">
        <v>123.575</v>
      </c>
      <c r="BV119" t="n">
        <v>122.272</v>
      </c>
    </row>
    <row r="120">
      <c r="A120" t="inlineStr">
        <is>
          <t>Stromateidae</t>
        </is>
      </c>
      <c r="B120" t="inlineStr">
        <is>
          <t>Butterfishes</t>
        </is>
      </c>
      <c r="C120" t="inlineStr">
        <is>
          <t>Small benthopelagics (&lt;30 cm)</t>
        </is>
      </c>
      <c r="D120" t="inlineStr">
        <is>
          <t>Perch-likes</t>
        </is>
      </c>
      <c r="E120" t="n">
        <v>1.867</v>
      </c>
      <c r="F120" t="n">
        <v>2.136</v>
      </c>
      <c r="G120" t="n">
        <v>1.838</v>
      </c>
      <c r="H120" t="n">
        <v>1.912</v>
      </c>
      <c r="I120" t="n">
        <v>3.307</v>
      </c>
      <c r="J120" t="n">
        <v>1.944</v>
      </c>
      <c r="K120" t="n">
        <v>2.414</v>
      </c>
      <c r="L120" t="n">
        <v>3.881</v>
      </c>
      <c r="M120" t="n">
        <v>3.814</v>
      </c>
      <c r="N120" t="n">
        <v>4.826</v>
      </c>
      <c r="O120" t="n">
        <v>7.742</v>
      </c>
      <c r="P120" t="n">
        <v>10.725</v>
      </c>
      <c r="Q120" t="n">
        <v>7.944</v>
      </c>
      <c r="R120" t="n">
        <v>10.948</v>
      </c>
      <c r="S120" t="n">
        <v>17.278</v>
      </c>
      <c r="T120" t="n">
        <v>39.3</v>
      </c>
      <c r="U120" t="n">
        <v>67.408</v>
      </c>
      <c r="V120" t="n">
        <v>61.426</v>
      </c>
      <c r="W120" t="n">
        <v>53.054</v>
      </c>
      <c r="X120" t="n">
        <v>20.835</v>
      </c>
      <c r="Y120" t="n">
        <v>16.857</v>
      </c>
      <c r="Z120" t="n">
        <v>18.261</v>
      </c>
      <c r="AA120" t="n">
        <v>25.088</v>
      </c>
      <c r="AB120" t="n">
        <v>18.779</v>
      </c>
      <c r="AC120" t="n">
        <v>20.813</v>
      </c>
      <c r="AD120" t="n">
        <v>14.01</v>
      </c>
      <c r="AE120" t="n">
        <v>17.818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8.859</v>
      </c>
      <c r="AU120" t="n">
        <v>5.345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1.946</v>
      </c>
      <c r="BP120" t="n">
        <v>2.227</v>
      </c>
      <c r="BQ120" t="n">
        <v>6.705</v>
      </c>
      <c r="BR120" t="n">
        <v>2.84</v>
      </c>
      <c r="BS120" t="n">
        <v>1.489</v>
      </c>
      <c r="BT120" t="n">
        <v>0.968</v>
      </c>
      <c r="BU120" t="n">
        <v>0.869</v>
      </c>
      <c r="BV120" t="n">
        <v>0.956</v>
      </c>
    </row>
    <row r="121">
      <c r="A121" t="inlineStr">
        <is>
          <t>Bramidae</t>
        </is>
      </c>
      <c r="B121" t="inlineStr">
        <is>
          <t>Pomfrets</t>
        </is>
      </c>
      <c r="C121" t="inlineStr">
        <is>
          <t>Medium pelagics (30 - 89 cm)</t>
        </is>
      </c>
      <c r="D121" t="inlineStr">
        <is>
          <t>Perch-likes</t>
        </is>
      </c>
      <c r="E121" t="n">
        <v>0.08</v>
      </c>
      <c r="F121" t="n">
        <v>0.097</v>
      </c>
      <c r="G121" t="n">
        <v>0.119</v>
      </c>
      <c r="H121" t="n">
        <v>0.13</v>
      </c>
      <c r="I121" t="n">
        <v>0.136</v>
      </c>
      <c r="J121" t="n">
        <v>0.172</v>
      </c>
      <c r="K121" t="n">
        <v>0.198</v>
      </c>
      <c r="L121" t="n">
        <v>0.219</v>
      </c>
      <c r="M121" t="n">
        <v>0.236</v>
      </c>
      <c r="N121" t="n">
        <v>0.272</v>
      </c>
      <c r="O121" t="n">
        <v>0.316</v>
      </c>
      <c r="P121" t="n">
        <v>0.386</v>
      </c>
      <c r="Q121" t="n">
        <v>0.408</v>
      </c>
      <c r="R121" t="n">
        <v>0.412</v>
      </c>
      <c r="S121" t="n">
        <v>0.449</v>
      </c>
      <c r="T121" t="n">
        <v>0.537</v>
      </c>
      <c r="U121" t="n">
        <v>0.617</v>
      </c>
      <c r="V121" t="n">
        <v>0.63</v>
      </c>
      <c r="W121" t="n">
        <v>0.665</v>
      </c>
      <c r="X121" t="n">
        <v>0.702</v>
      </c>
      <c r="Y121" t="n">
        <v>0.763</v>
      </c>
      <c r="Z121" t="n">
        <v>1.043</v>
      </c>
      <c r="AA121" t="n">
        <v>1.344</v>
      </c>
      <c r="AB121" t="n">
        <v>1.308</v>
      </c>
      <c r="AC121" t="n">
        <v>1.291</v>
      </c>
      <c r="AD121" t="n">
        <v>1.288</v>
      </c>
      <c r="AE121" t="n">
        <v>1.25</v>
      </c>
      <c r="AF121" t="n">
        <v>10.785</v>
      </c>
      <c r="AG121" t="n">
        <v>10.785</v>
      </c>
      <c r="AH121" t="n">
        <v>10.785</v>
      </c>
      <c r="AI121" t="n">
        <v>10.785</v>
      </c>
      <c r="AJ121" t="n">
        <v>10.785</v>
      </c>
      <c r="AK121" t="n">
        <v>10.785</v>
      </c>
      <c r="AL121" t="n">
        <v>10.785</v>
      </c>
      <c r="AM121" t="n">
        <v>10.785</v>
      </c>
      <c r="AN121" t="n">
        <v>10.785</v>
      </c>
      <c r="AO121" t="n">
        <v>10.785</v>
      </c>
      <c r="AP121" t="n">
        <v>10.785</v>
      </c>
      <c r="AQ121" t="n">
        <v>10.785</v>
      </c>
      <c r="AR121" t="n">
        <v>10.785</v>
      </c>
      <c r="AS121" t="n">
        <v>10.785</v>
      </c>
      <c r="AT121" t="n">
        <v>11.797</v>
      </c>
      <c r="AU121" t="n">
        <v>11.49</v>
      </c>
      <c r="AV121" t="n">
        <v>10.785</v>
      </c>
      <c r="AW121" t="n">
        <v>10.785</v>
      </c>
      <c r="AX121" t="n">
        <v>10.785</v>
      </c>
      <c r="AY121" t="n">
        <v>10.785</v>
      </c>
      <c r="AZ121" t="n">
        <v>10.785</v>
      </c>
      <c r="BA121" t="n">
        <v>10.785</v>
      </c>
      <c r="BB121" t="n">
        <v>10.785</v>
      </c>
      <c r="BC121" t="n">
        <v>9.244</v>
      </c>
      <c r="BD121" t="n">
        <v>9.244</v>
      </c>
      <c r="BE121" t="n">
        <v>16.948</v>
      </c>
      <c r="BF121" t="n">
        <v>19.959</v>
      </c>
      <c r="BG121" t="n">
        <v>13.866</v>
      </c>
      <c r="BH121" t="n">
        <v>7.704</v>
      </c>
      <c r="BI121" t="n">
        <v>4.622</v>
      </c>
      <c r="BJ121" t="n">
        <v>6.163</v>
      </c>
      <c r="BK121" t="n">
        <v>9.244</v>
      </c>
      <c r="BL121" t="n">
        <v>7.704</v>
      </c>
      <c r="BM121" t="n">
        <v>10.785</v>
      </c>
      <c r="BN121" t="n">
        <v>9.198</v>
      </c>
      <c r="BO121" t="n">
        <v>9.198</v>
      </c>
      <c r="BP121" t="n">
        <v>9.256</v>
      </c>
      <c r="BQ121" t="n">
        <v>9.263999999999999</v>
      </c>
      <c r="BR121" t="n">
        <v>9.241</v>
      </c>
      <c r="BS121" t="n">
        <v>9.316000000000001</v>
      </c>
      <c r="BT121" t="n">
        <v>9.218999999999999</v>
      </c>
      <c r="BU121" t="n">
        <v>9.231</v>
      </c>
      <c r="BV121" t="n">
        <v>9.23</v>
      </c>
    </row>
    <row r="122">
      <c r="A122" t="inlineStr">
        <is>
          <t>Cephea</t>
        </is>
      </c>
      <c r="B122" t="inlineStr">
        <is>
          <t>Cepheid jellyfishes</t>
        </is>
      </c>
      <c r="C122" t="inlineStr">
        <is>
          <t>Jellyfish</t>
        </is>
      </c>
      <c r="D122" t="inlineStr">
        <is>
          <t>Other fishes &amp; inverts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20.046</v>
      </c>
      <c r="BE122" t="n">
        <v>0</v>
      </c>
      <c r="BF122" t="n">
        <v>16.564</v>
      </c>
      <c r="BG122" t="n">
        <v>19.952</v>
      </c>
      <c r="BH122" t="n">
        <v>25.222</v>
      </c>
      <c r="BI122" t="n">
        <v>29.74</v>
      </c>
      <c r="BJ122" t="n">
        <v>39.527</v>
      </c>
      <c r="BK122" t="n">
        <v>30.492</v>
      </c>
      <c r="BL122" t="n">
        <v>88.173</v>
      </c>
      <c r="BM122" t="n">
        <v>113.899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Scorpaenidae</t>
        </is>
      </c>
      <c r="B123" t="inlineStr">
        <is>
          <t>Scorpionfishes, rockfishes</t>
        </is>
      </c>
      <c r="C123" t="inlineStr">
        <is>
          <t>Large reef assoc. fish (&gt;=90 cm)</t>
        </is>
      </c>
      <c r="D123" t="inlineStr">
        <is>
          <t>Scorpionfishes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24.529</v>
      </c>
      <c r="BD123" t="n">
        <v>29.434</v>
      </c>
      <c r="BE123" t="n">
        <v>31.07</v>
      </c>
      <c r="BF123" t="n">
        <v>148.016</v>
      </c>
      <c r="BG123" t="n">
        <v>16.386</v>
      </c>
      <c r="BH123" t="n">
        <v>16.932</v>
      </c>
      <c r="BI123" t="n">
        <v>4.369</v>
      </c>
      <c r="BJ123" t="n">
        <v>1.639</v>
      </c>
      <c r="BK123" t="n">
        <v>4.916</v>
      </c>
      <c r="BL123" t="n">
        <v>4.369</v>
      </c>
      <c r="BM123" t="n">
        <v>0.546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Scyphozoa</t>
        </is>
      </c>
      <c r="B124" t="inlineStr">
        <is>
          <t>True jellyfishes</t>
        </is>
      </c>
      <c r="C124" t="inlineStr">
        <is>
          <t>Jellyfish</t>
        </is>
      </c>
      <c r="D124" t="inlineStr">
        <is>
          <t>Other fishes &amp; inverts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48.25</v>
      </c>
      <c r="BO124" t="n">
        <v>49.561</v>
      </c>
      <c r="BP124" t="n">
        <v>44.165</v>
      </c>
      <c r="BQ124" t="n">
        <v>2.343</v>
      </c>
      <c r="BR124" t="n">
        <v>11.261</v>
      </c>
      <c r="BS124" t="n">
        <v>8.861000000000001</v>
      </c>
      <c r="BT124" t="n">
        <v>19.867</v>
      </c>
      <c r="BU124" t="n">
        <v>37.973</v>
      </c>
      <c r="BV124" t="n">
        <v>31.796</v>
      </c>
    </row>
    <row r="125">
      <c r="A125" t="inlineStr">
        <is>
          <t>Pandalopsis japonica</t>
        </is>
      </c>
      <c r="B125" t="inlineStr">
        <is>
          <t>Sidestripe shrimp</t>
        </is>
      </c>
      <c r="C125" t="inlineStr">
        <is>
          <t>Shrimps</t>
        </is>
      </c>
      <c r="D125" t="inlineStr">
        <is>
          <t>Crustaceans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7.147</v>
      </c>
      <c r="BA125" t="n">
        <v>60.022</v>
      </c>
      <c r="BB125" t="n">
        <v>24.428</v>
      </c>
      <c r="BC125" t="n">
        <v>7.677</v>
      </c>
      <c r="BD125" t="n">
        <v>25.126</v>
      </c>
      <c r="BE125" t="n">
        <v>15.354</v>
      </c>
      <c r="BF125" t="n">
        <v>3.49</v>
      </c>
      <c r="BG125" t="n">
        <v>5.583</v>
      </c>
      <c r="BH125" t="n">
        <v>9.073</v>
      </c>
      <c r="BI125" t="n">
        <v>1.396</v>
      </c>
      <c r="BJ125" t="n">
        <v>55.834</v>
      </c>
      <c r="BK125" t="n">
        <v>2.094</v>
      </c>
      <c r="BL125" t="n">
        <v>0.698</v>
      </c>
      <c r="BM125" t="n">
        <v>2.792</v>
      </c>
      <c r="BN125" t="n">
        <v>0</v>
      </c>
      <c r="BO125" t="n">
        <v>1.396</v>
      </c>
      <c r="BP125" t="n">
        <v>0</v>
      </c>
      <c r="BQ125" t="n">
        <v>0</v>
      </c>
      <c r="BR125" t="n">
        <v>16.75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Pandalus kessleri</t>
        </is>
      </c>
      <c r="B126" t="inlineStr">
        <is>
          <t>Grass shrimp</t>
        </is>
      </c>
      <c r="C126" t="inlineStr">
        <is>
          <t>Shrimps</t>
        </is>
      </c>
      <c r="D126" t="inlineStr">
        <is>
          <t>Crustaceans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10.823</v>
      </c>
      <c r="BO126" t="n">
        <v>13.83</v>
      </c>
      <c r="BP126" t="n">
        <v>12.026</v>
      </c>
      <c r="BQ126" t="n">
        <v>8.417999999999999</v>
      </c>
      <c r="BR126" t="n">
        <v>13.83</v>
      </c>
      <c r="BS126" t="n">
        <v>39.753</v>
      </c>
      <c r="BT126" t="n">
        <v>34.656</v>
      </c>
      <c r="BU126" t="n">
        <v>35.12</v>
      </c>
      <c r="BV126" t="n">
        <v>35.12</v>
      </c>
    </row>
    <row r="127">
      <c r="A127" t="inlineStr">
        <is>
          <t>Oncorhynchus masou</t>
        </is>
      </c>
      <c r="B127" t="inlineStr">
        <is>
          <t>Masu salmon</t>
        </is>
      </c>
      <c r="C127" t="inlineStr">
        <is>
          <t>Medium benthopelagics (30 - 89 cm)</t>
        </is>
      </c>
      <c r="D127" t="inlineStr">
        <is>
          <t>Salmon, smelts, etc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2.336</v>
      </c>
      <c r="AX127" t="n">
        <v>9.795</v>
      </c>
      <c r="AY127" t="n">
        <v>3.269</v>
      </c>
      <c r="AZ127" t="n">
        <v>3.269</v>
      </c>
      <c r="BA127" t="n">
        <v>5.133</v>
      </c>
      <c r="BB127" t="n">
        <v>1.752</v>
      </c>
      <c r="BC127" t="n">
        <v>1.865</v>
      </c>
      <c r="BD127" t="n">
        <v>2.449</v>
      </c>
      <c r="BE127" t="n">
        <v>1.516</v>
      </c>
      <c r="BF127" t="n">
        <v>5.841</v>
      </c>
      <c r="BG127" t="n">
        <v>6.413</v>
      </c>
      <c r="BH127" t="n">
        <v>9.929</v>
      </c>
      <c r="BI127" t="n">
        <v>5.257</v>
      </c>
      <c r="BJ127" t="n">
        <v>6.425</v>
      </c>
      <c r="BK127" t="n">
        <v>11.681</v>
      </c>
      <c r="BL127" t="n">
        <v>11.097</v>
      </c>
      <c r="BM127" t="n">
        <v>7.009</v>
      </c>
      <c r="BN127" t="n">
        <v>5.7</v>
      </c>
      <c r="BO127" t="n">
        <v>5.841</v>
      </c>
      <c r="BP127" t="n">
        <v>5.747</v>
      </c>
      <c r="BQ127" t="n">
        <v>7.291</v>
      </c>
      <c r="BR127" t="n">
        <v>6.927</v>
      </c>
      <c r="BS127" t="n">
        <v>7.771</v>
      </c>
      <c r="BT127" t="n">
        <v>3.048</v>
      </c>
      <c r="BU127" t="n">
        <v>7.494</v>
      </c>
      <c r="BV127" t="n">
        <v>5.708</v>
      </c>
    </row>
    <row r="128">
      <c r="A128" t="inlineStr">
        <is>
          <t>Isurus</t>
        </is>
      </c>
      <c r="B128" t="inlineStr">
        <is>
          <t>Mako sharks</t>
        </is>
      </c>
      <c r="C128" t="inlineStr">
        <is>
          <t>Large sharks (&gt;=90 cm)</t>
        </is>
      </c>
      <c r="D128" t="inlineStr">
        <is>
          <t>Sharks &amp; rays</t>
        </is>
      </c>
      <c r="E128" t="n">
        <v>0.312</v>
      </c>
      <c r="F128" t="n">
        <v>0.376</v>
      </c>
      <c r="G128" t="n">
        <v>0.464</v>
      </c>
      <c r="H128" t="n">
        <v>0.509</v>
      </c>
      <c r="I128" t="n">
        <v>0.528</v>
      </c>
      <c r="J128" t="n">
        <v>0.67</v>
      </c>
      <c r="K128" t="n">
        <v>0.772</v>
      </c>
      <c r="L128" t="n">
        <v>0.852</v>
      </c>
      <c r="M128" t="n">
        <v>0.919</v>
      </c>
      <c r="N128" t="n">
        <v>1.06</v>
      </c>
      <c r="O128" t="n">
        <v>1.232</v>
      </c>
      <c r="P128" t="n">
        <v>1.507</v>
      </c>
      <c r="Q128" t="n">
        <v>1.632</v>
      </c>
      <c r="R128" t="n">
        <v>1.604</v>
      </c>
      <c r="S128" t="n">
        <v>1.836</v>
      </c>
      <c r="T128" t="n">
        <v>2.204</v>
      </c>
      <c r="U128" t="n">
        <v>2.702</v>
      </c>
      <c r="V128" t="n">
        <v>2.521</v>
      </c>
      <c r="W128" t="n">
        <v>2.591</v>
      </c>
      <c r="X128" t="n">
        <v>2.754</v>
      </c>
      <c r="Y128" t="n">
        <v>2.971</v>
      </c>
      <c r="Z128" t="n">
        <v>4.062</v>
      </c>
      <c r="AA128" t="n">
        <v>5.237</v>
      </c>
      <c r="AB128" t="n">
        <v>5.101</v>
      </c>
      <c r="AC128" t="n">
        <v>5.03</v>
      </c>
      <c r="AD128" t="n">
        <v>5.021</v>
      </c>
      <c r="AE128" t="n">
        <v>4.984</v>
      </c>
      <c r="AF128" t="n">
        <v>0.07099999999999999</v>
      </c>
      <c r="AG128" t="n">
        <v>0.037</v>
      </c>
      <c r="AH128" t="n">
        <v>0.033</v>
      </c>
      <c r="AI128" t="n">
        <v>0.023</v>
      </c>
      <c r="AJ128" t="n">
        <v>0.002</v>
      </c>
      <c r="AK128" t="n">
        <v>0.023</v>
      </c>
      <c r="AL128" t="n">
        <v>0.003</v>
      </c>
      <c r="AM128" t="n">
        <v>0.003</v>
      </c>
      <c r="AN128" t="n">
        <v>0</v>
      </c>
      <c r="AO128" t="n">
        <v>0</v>
      </c>
      <c r="AP128" t="n">
        <v>0.019</v>
      </c>
      <c r="AQ128" t="n">
        <v>0</v>
      </c>
      <c r="AR128" t="n">
        <v>0</v>
      </c>
      <c r="AS128" t="n">
        <v>0</v>
      </c>
      <c r="AT128" t="n">
        <v>31.119</v>
      </c>
      <c r="AU128" t="n">
        <v>21.692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0.479</v>
      </c>
      <c r="BQ128" t="n">
        <v>0.718</v>
      </c>
      <c r="BR128" t="n">
        <v>0.354</v>
      </c>
      <c r="BS128" t="n">
        <v>0.981</v>
      </c>
      <c r="BT128" t="n">
        <v>0.145</v>
      </c>
      <c r="BU128" t="n">
        <v>0.267</v>
      </c>
      <c r="BV128" t="n">
        <v>0.253</v>
      </c>
    </row>
    <row r="129">
      <c r="A129" t="inlineStr">
        <is>
          <t>Paralithodes brevipes</t>
        </is>
      </c>
      <c r="B129" t="inlineStr">
        <is>
          <t>Spiny king crab</t>
        </is>
      </c>
      <c r="C129" t="inlineStr">
        <is>
          <t>Lobsters, crabs</t>
        </is>
      </c>
      <c r="D129" t="inlineStr">
        <is>
          <t>Crustaceans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0.829</v>
      </c>
      <c r="AZ129" t="n">
        <v>1.756</v>
      </c>
      <c r="BA129" t="n">
        <v>0.842</v>
      </c>
      <c r="BB129" t="n">
        <v>1.146</v>
      </c>
      <c r="BC129" t="n">
        <v>1.818</v>
      </c>
      <c r="BD129" t="n">
        <v>1.525</v>
      </c>
      <c r="BE129" t="n">
        <v>2.497</v>
      </c>
      <c r="BF129" t="n">
        <v>2.777</v>
      </c>
      <c r="BG129" t="n">
        <v>3.698</v>
      </c>
      <c r="BH129" t="n">
        <v>3.725</v>
      </c>
      <c r="BI129" t="n">
        <v>4.83</v>
      </c>
      <c r="BJ129" t="n">
        <v>3.635</v>
      </c>
      <c r="BK129" t="n">
        <v>2.759</v>
      </c>
      <c r="BL129" t="n">
        <v>3.51</v>
      </c>
      <c r="BM129" t="n">
        <v>6.036</v>
      </c>
      <c r="BN129" t="n">
        <v>8.038</v>
      </c>
      <c r="BO129" t="n">
        <v>12.962</v>
      </c>
      <c r="BP129" t="n">
        <v>12.292</v>
      </c>
      <c r="BQ129" t="n">
        <v>5.777</v>
      </c>
      <c r="BR129" t="n">
        <v>5.089</v>
      </c>
      <c r="BS129" t="n">
        <v>6.746</v>
      </c>
      <c r="BT129" t="n">
        <v>6.727</v>
      </c>
      <c r="BU129" t="n">
        <v>7.279</v>
      </c>
      <c r="BV129" t="n">
        <v>5.699</v>
      </c>
    </row>
    <row r="130">
      <c r="A130" t="inlineStr">
        <is>
          <t>Metapenaeus</t>
        </is>
      </c>
      <c r="B130" t="inlineStr">
        <is>
          <t>Indo-Pacific prawns</t>
        </is>
      </c>
      <c r="C130" t="inlineStr">
        <is>
          <t>Shrimps</t>
        </is>
      </c>
      <c r="D130" t="inlineStr">
        <is>
          <t>Crustaceans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0.499</v>
      </c>
      <c r="L130" t="n">
        <v>0.739</v>
      </c>
      <c r="M130" t="n">
        <v>1.011</v>
      </c>
      <c r="N130" t="n">
        <v>1.549</v>
      </c>
      <c r="O130" t="n">
        <v>0.842</v>
      </c>
      <c r="P130" t="n">
        <v>1.435</v>
      </c>
      <c r="Q130" t="n">
        <v>1.21</v>
      </c>
      <c r="R130" t="n">
        <v>1.221</v>
      </c>
      <c r="S130" t="n">
        <v>1.463</v>
      </c>
      <c r="T130" t="n">
        <v>1.293</v>
      </c>
      <c r="U130" t="n">
        <v>2.908</v>
      </c>
      <c r="V130" t="n">
        <v>2.148</v>
      </c>
      <c r="W130" t="n">
        <v>2.523</v>
      </c>
      <c r="X130" t="n">
        <v>2.83</v>
      </c>
      <c r="Y130" t="n">
        <v>3.809</v>
      </c>
      <c r="Z130" t="n">
        <v>3.733</v>
      </c>
      <c r="AA130" t="n">
        <v>5.972</v>
      </c>
      <c r="AB130" t="n">
        <v>5.793</v>
      </c>
      <c r="AC130" t="n">
        <v>18.187</v>
      </c>
      <c r="AD130" t="n">
        <v>5.618</v>
      </c>
      <c r="AE130" t="n">
        <v>7.539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2.788</v>
      </c>
      <c r="AU130" t="n">
        <v>1.33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0.059</v>
      </c>
      <c r="BQ130" t="n">
        <v>0.061</v>
      </c>
      <c r="BR130" t="n">
        <v>0.12</v>
      </c>
      <c r="BS130" t="n">
        <v>0.595</v>
      </c>
      <c r="BT130" t="n">
        <v>0.782</v>
      </c>
      <c r="BU130" t="n">
        <v>0.223</v>
      </c>
      <c r="BV130" t="n">
        <v>0.322</v>
      </c>
    </row>
    <row r="131">
      <c r="A131" t="inlineStr">
        <is>
          <t>Mola mola</t>
        </is>
      </c>
      <c r="B131" t="inlineStr">
        <is>
          <t>Ocean sunfish</t>
        </is>
      </c>
      <c r="C131" t="inlineStr">
        <is>
          <t>Large pelagics (&gt;=90 cm)</t>
        </is>
      </c>
      <c r="D131" t="inlineStr">
        <is>
          <t>Other fishes &amp; inverts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11.04</v>
      </c>
      <c r="BR131" t="n">
        <v>11.246</v>
      </c>
      <c r="BS131" t="n">
        <v>4.296</v>
      </c>
      <c r="BT131" t="n">
        <v>3.356</v>
      </c>
      <c r="BU131" t="n">
        <v>1.905</v>
      </c>
      <c r="BV131" t="n">
        <v>2.085</v>
      </c>
    </row>
    <row r="132">
      <c r="A132" t="inlineStr">
        <is>
          <t>Magallana gigas</t>
        </is>
      </c>
      <c r="B132" t="inlineStr">
        <is>
          <t>Pacific cupped oyster</t>
        </is>
      </c>
      <c r="C132" t="inlineStr">
        <is>
          <t>Other demersal invertebrates</t>
        </is>
      </c>
      <c r="D132" t="inlineStr">
        <is>
          <t>Molluscs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0.413</v>
      </c>
      <c r="Q132" t="n">
        <v>1.53</v>
      </c>
      <c r="R132" t="n">
        <v>2.327</v>
      </c>
      <c r="S132" t="n">
        <v>1.466</v>
      </c>
      <c r="T132" t="n">
        <v>1.773</v>
      </c>
      <c r="U132" t="n">
        <v>0</v>
      </c>
      <c r="V132" t="n">
        <v>0.985</v>
      </c>
      <c r="W132" t="n">
        <v>2.078</v>
      </c>
      <c r="X132" t="n">
        <v>2.387</v>
      </c>
      <c r="Y132" t="n">
        <v>1.225</v>
      </c>
      <c r="Z132" t="n">
        <v>2.105</v>
      </c>
      <c r="AA132" t="n">
        <v>2.997</v>
      </c>
      <c r="AB132" t="n">
        <v>1.406</v>
      </c>
      <c r="AC132" t="n">
        <v>0.759</v>
      </c>
      <c r="AD132" t="n">
        <v>0.331</v>
      </c>
      <c r="AE132" t="n">
        <v>0.845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1.141</v>
      </c>
      <c r="AU132" t="n">
        <v>0.749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0.003</v>
      </c>
      <c r="BR132" t="n">
        <v>0</v>
      </c>
      <c r="BS132" t="n">
        <v>0</v>
      </c>
      <c r="BT132" t="n">
        <v>0.229</v>
      </c>
      <c r="BU132" t="n">
        <v>0.588</v>
      </c>
      <c r="BV132" t="n">
        <v>0.313</v>
      </c>
    </row>
    <row r="133">
      <c r="A133" t="inlineStr">
        <is>
          <t>Xiphias gladius</t>
        </is>
      </c>
      <c r="B133" t="inlineStr">
        <is>
          <t>Swordfish</t>
        </is>
      </c>
      <c r="C133" t="inlineStr">
        <is>
          <t>Large pelagics (&gt;=90 cm)</t>
        </is>
      </c>
      <c r="D133" t="inlineStr">
        <is>
          <t>Tuna &amp; billfishes</t>
        </is>
      </c>
      <c r="E133" t="n">
        <v>0.068</v>
      </c>
      <c r="F133" t="n">
        <v>0.068</v>
      </c>
      <c r="G133" t="n">
        <v>0.068</v>
      </c>
      <c r="H133" t="n">
        <v>0.044</v>
      </c>
      <c r="I133" t="n">
        <v>0.07000000000000001</v>
      </c>
      <c r="J133" t="n">
        <v>0.127</v>
      </c>
      <c r="K133" t="n">
        <v>0.118</v>
      </c>
      <c r="L133" t="n">
        <v>0.039</v>
      </c>
      <c r="M133" t="n">
        <v>0.091</v>
      </c>
      <c r="N133" t="n">
        <v>0.064</v>
      </c>
      <c r="O133" t="n">
        <v>0.067</v>
      </c>
      <c r="P133" t="n">
        <v>0.066</v>
      </c>
      <c r="Q133" t="n">
        <v>0.101</v>
      </c>
      <c r="R133" t="n">
        <v>0.097</v>
      </c>
      <c r="S133" t="n">
        <v>0.018</v>
      </c>
      <c r="T133" t="n">
        <v>0.012</v>
      </c>
      <c r="U133" t="n">
        <v>0.053</v>
      </c>
      <c r="V133" t="n">
        <v>0.036</v>
      </c>
      <c r="W133" t="n">
        <v>0.065</v>
      </c>
      <c r="X133" t="n">
        <v>0.127</v>
      </c>
      <c r="Y133" t="n">
        <v>0.152</v>
      </c>
      <c r="Z133" t="n">
        <v>0.012</v>
      </c>
      <c r="AA133" t="n">
        <v>0.057</v>
      </c>
      <c r="AB133" t="n">
        <v>0.068</v>
      </c>
      <c r="AC133" t="n">
        <v>0.07099999999999999</v>
      </c>
      <c r="AD133" t="n">
        <v>0.119</v>
      </c>
      <c r="AE133" t="n">
        <v>0.141</v>
      </c>
      <c r="AF133" t="n">
        <v>0.101</v>
      </c>
      <c r="AG133" t="n">
        <v>0.112</v>
      </c>
      <c r="AH133" t="n">
        <v>0.1</v>
      </c>
      <c r="AI133" t="n">
        <v>0.079</v>
      </c>
      <c r="AJ133" t="n">
        <v>0.122</v>
      </c>
      <c r="AK133" t="n">
        <v>0.08599999999999999</v>
      </c>
      <c r="AL133" t="n">
        <v>0.12</v>
      </c>
      <c r="AM133" t="n">
        <v>0.117</v>
      </c>
      <c r="AN133" t="n">
        <v>0.162</v>
      </c>
      <c r="AO133" t="n">
        <v>0.12</v>
      </c>
      <c r="AP133" t="n">
        <v>0.125</v>
      </c>
      <c r="AQ133" t="n">
        <v>0.148</v>
      </c>
      <c r="AR133" t="n">
        <v>0.129</v>
      </c>
      <c r="AS133" t="n">
        <v>0.128</v>
      </c>
      <c r="AT133" t="n">
        <v>0.093</v>
      </c>
      <c r="AU133" t="n">
        <v>0.132</v>
      </c>
      <c r="AV133" t="n">
        <v>0.124</v>
      </c>
      <c r="AW133" t="n">
        <v>0.114</v>
      </c>
      <c r="AX133" t="n">
        <v>0.097</v>
      </c>
      <c r="AY133" t="n">
        <v>0.145</v>
      </c>
      <c r="AZ133" t="n">
        <v>0.119</v>
      </c>
      <c r="BA133" t="n">
        <v>0.116</v>
      </c>
      <c r="BB133" t="n">
        <v>0.103</v>
      </c>
      <c r="BC133" t="n">
        <v>0.095</v>
      </c>
      <c r="BD133" t="n">
        <v>0.073</v>
      </c>
      <c r="BE133" t="n">
        <v>0.077</v>
      </c>
      <c r="BF133" t="n">
        <v>0.026</v>
      </c>
      <c r="BG133" t="n">
        <v>0.027</v>
      </c>
      <c r="BH133" t="n">
        <v>0.034</v>
      </c>
      <c r="BI133" t="n">
        <v>0.037</v>
      </c>
      <c r="BJ133" t="n">
        <v>0.02</v>
      </c>
      <c r="BK133" t="n">
        <v>0.02</v>
      </c>
      <c r="BL133" t="n">
        <v>0.022</v>
      </c>
      <c r="BM133" t="n">
        <v>0.017</v>
      </c>
      <c r="BN133" t="n">
        <v>0.117</v>
      </c>
      <c r="BO133" t="n">
        <v>0.12</v>
      </c>
      <c r="BP133" t="n">
        <v>0.111</v>
      </c>
      <c r="BQ133" t="n">
        <v>0.256</v>
      </c>
      <c r="BR133" t="n">
        <v>0.265</v>
      </c>
      <c r="BS133" t="n">
        <v>0.255</v>
      </c>
      <c r="BT133" t="n">
        <v>0.264</v>
      </c>
      <c r="BU133" t="n">
        <v>0.277</v>
      </c>
      <c r="BV133" t="n">
        <v>0.243</v>
      </c>
    </row>
    <row r="134">
      <c r="A134" t="inlineStr">
        <is>
          <t>Decapterus</t>
        </is>
      </c>
      <c r="B134" t="inlineStr">
        <is>
          <t>Scads</t>
        </is>
      </c>
      <c r="C134" t="inlineStr">
        <is>
          <t>Medium pelagics (30 - 89 cm)</t>
        </is>
      </c>
      <c r="D134" t="inlineStr">
        <is>
          <t>Perch-likes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2.845</v>
      </c>
      <c r="AU134" t="n">
        <v>2.197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1.321</v>
      </c>
      <c r="BQ134" t="n">
        <v>0</v>
      </c>
      <c r="BR134" t="n">
        <v>0</v>
      </c>
      <c r="BS134" t="n">
        <v>0</v>
      </c>
      <c r="BT134" t="n">
        <v>0</v>
      </c>
      <c r="BU134" t="n">
        <v>0.203</v>
      </c>
      <c r="BV134" t="n">
        <v>0.246</v>
      </c>
    </row>
    <row r="135">
      <c r="A135" t="inlineStr">
        <is>
          <t>Scomberomorus niphonius</t>
        </is>
      </c>
      <c r="B135" t="inlineStr">
        <is>
          <t>Japanese Spanish mackerel</t>
        </is>
      </c>
      <c r="C135" t="inlineStr">
        <is>
          <t>Large pelagics (&gt;=90 cm)</t>
        </is>
      </c>
      <c r="D135" t="inlineStr">
        <is>
          <t>Perch-likes</t>
        </is>
      </c>
      <c r="E135" t="n">
        <v>0.028</v>
      </c>
      <c r="F135" t="n">
        <v>0.032</v>
      </c>
      <c r="G135" t="n">
        <v>0.034</v>
      </c>
      <c r="H135" t="n">
        <v>0.036</v>
      </c>
      <c r="I135" t="n">
        <v>0.049</v>
      </c>
      <c r="J135" t="n">
        <v>0.058</v>
      </c>
      <c r="K135" t="n">
        <v>0.061</v>
      </c>
      <c r="L135" t="n">
        <v>0.119</v>
      </c>
      <c r="M135" t="n">
        <v>0.096</v>
      </c>
      <c r="N135" t="n">
        <v>0.09</v>
      </c>
      <c r="O135" t="n">
        <v>0.131</v>
      </c>
      <c r="P135" t="n">
        <v>0.124</v>
      </c>
      <c r="Q135" t="n">
        <v>0.166</v>
      </c>
      <c r="R135" t="n">
        <v>0.214</v>
      </c>
      <c r="S135" t="n">
        <v>0.295</v>
      </c>
      <c r="T135" t="n">
        <v>0.299</v>
      </c>
      <c r="U135" t="n">
        <v>0.219</v>
      </c>
      <c r="V135" t="n">
        <v>0.261</v>
      </c>
      <c r="W135" t="n">
        <v>0.157</v>
      </c>
      <c r="X135" t="n">
        <v>0.115</v>
      </c>
      <c r="Y135" t="n">
        <v>0.097</v>
      </c>
      <c r="Z135" t="n">
        <v>0.163</v>
      </c>
      <c r="AA135" t="n">
        <v>0.256</v>
      </c>
      <c r="AB135" t="n">
        <v>0.001</v>
      </c>
      <c r="AC135" t="n">
        <v>0.386</v>
      </c>
      <c r="AD135" t="n">
        <v>0.411</v>
      </c>
      <c r="AE135" t="n">
        <v>0.5639999999999999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0.309</v>
      </c>
      <c r="BQ135" t="n">
        <v>0.375</v>
      </c>
      <c r="BR135" t="n">
        <v>0.055</v>
      </c>
      <c r="BS135" t="n">
        <v>0.035</v>
      </c>
      <c r="BT135" t="n">
        <v>0.019</v>
      </c>
      <c r="BU135" t="n">
        <v>0.008</v>
      </c>
      <c r="BV135" t="n">
        <v>0.008999999999999999</v>
      </c>
    </row>
    <row r="136">
      <c r="A136" t="inlineStr">
        <is>
          <t>Panulirus</t>
        </is>
      </c>
      <c r="B136" t="inlineStr">
        <is>
          <t>Spiny lobsters</t>
        </is>
      </c>
      <c r="C136" t="inlineStr">
        <is>
          <t>Lobsters, crabs</t>
        </is>
      </c>
      <c r="D136" t="inlineStr">
        <is>
          <t>Crustaceans</t>
        </is>
      </c>
      <c r="E136" t="n">
        <v>0.055</v>
      </c>
      <c r="F136" t="n">
        <v>0.055</v>
      </c>
      <c r="G136" t="n">
        <v>0.055</v>
      </c>
      <c r="H136" t="n">
        <v>0.055</v>
      </c>
      <c r="I136" t="n">
        <v>0.05</v>
      </c>
      <c r="J136" t="n">
        <v>0.046</v>
      </c>
      <c r="K136" t="n">
        <v>0.055</v>
      </c>
      <c r="L136" t="n">
        <v>0.065</v>
      </c>
      <c r="M136" t="n">
        <v>0.066</v>
      </c>
      <c r="N136" t="n">
        <v>0.064</v>
      </c>
      <c r="O136" t="n">
        <v>0.065</v>
      </c>
      <c r="P136" t="n">
        <v>0.064</v>
      </c>
      <c r="Q136" t="n">
        <v>0.079</v>
      </c>
      <c r="R136" t="n">
        <v>0.07000000000000001</v>
      </c>
      <c r="S136" t="n">
        <v>0.092</v>
      </c>
      <c r="T136" t="n">
        <v>0.077</v>
      </c>
      <c r="U136" t="n">
        <v>0.082</v>
      </c>
      <c r="V136" t="n">
        <v>0.09</v>
      </c>
      <c r="W136" t="n">
        <v>0.093</v>
      </c>
      <c r="X136" t="n">
        <v>0.09</v>
      </c>
      <c r="Y136" t="n">
        <v>0.09</v>
      </c>
      <c r="Z136" t="n">
        <v>0.08500000000000001</v>
      </c>
      <c r="AA136" t="n">
        <v>0.082</v>
      </c>
      <c r="AB136" t="n">
        <v>0.08400000000000001</v>
      </c>
      <c r="AC136" t="n">
        <v>0.083</v>
      </c>
      <c r="AD136" t="n">
        <v>0.07199999999999999</v>
      </c>
      <c r="AE136" t="n">
        <v>0.07000000000000001</v>
      </c>
      <c r="AF136" t="n">
        <v>0.07199999999999999</v>
      </c>
      <c r="AG136" t="n">
        <v>0.073</v>
      </c>
      <c r="AH136" t="n">
        <v>0.075</v>
      </c>
      <c r="AI136" t="n">
        <v>0.08</v>
      </c>
      <c r="AJ136" t="n">
        <v>0.08400000000000001</v>
      </c>
      <c r="AK136" t="n">
        <v>0.099</v>
      </c>
      <c r="AL136" t="n">
        <v>0.09</v>
      </c>
      <c r="AM136" t="n">
        <v>0.093</v>
      </c>
      <c r="AN136" t="n">
        <v>0.098</v>
      </c>
      <c r="AO136" t="n">
        <v>0.094</v>
      </c>
      <c r="AP136" t="n">
        <v>0.101</v>
      </c>
      <c r="AQ136" t="n">
        <v>0.08799999999999999</v>
      </c>
      <c r="AR136" t="n">
        <v>0.102</v>
      </c>
      <c r="AS136" t="n">
        <v>0.094</v>
      </c>
      <c r="AT136" t="n">
        <v>0.083</v>
      </c>
      <c r="AU136" t="n">
        <v>0.08</v>
      </c>
      <c r="AV136" t="n">
        <v>0.065</v>
      </c>
      <c r="AW136" t="n">
        <v>0.061</v>
      </c>
      <c r="AX136" t="n">
        <v>0.063</v>
      </c>
      <c r="AY136" t="n">
        <v>0.062</v>
      </c>
      <c r="AZ136" t="n">
        <v>0.06</v>
      </c>
      <c r="BA136" t="n">
        <v>0.061</v>
      </c>
      <c r="BB136" t="n">
        <v>0.068</v>
      </c>
      <c r="BC136" t="n">
        <v>0.067</v>
      </c>
      <c r="BD136" t="n">
        <v>0.075</v>
      </c>
      <c r="BE136" t="n">
        <v>0.067</v>
      </c>
      <c r="BF136" t="n">
        <v>0.08599999999999999</v>
      </c>
      <c r="BG136" t="n">
        <v>0.076</v>
      </c>
      <c r="BH136" t="n">
        <v>0.077</v>
      </c>
      <c r="BI136" t="n">
        <v>0.075</v>
      </c>
      <c r="BJ136" t="n">
        <v>0.074</v>
      </c>
      <c r="BK136" t="n">
        <v>0.079</v>
      </c>
      <c r="BL136" t="n">
        <v>0.078</v>
      </c>
      <c r="BM136" t="n">
        <v>0.07199999999999999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Rachycentron canadum</t>
        </is>
      </c>
      <c r="B137" t="inlineStr">
        <is>
          <t>Cobia</t>
        </is>
      </c>
      <c r="C137" t="inlineStr">
        <is>
          <t>Large pelagics (&gt;=90 cm)</t>
        </is>
      </c>
      <c r="D137" t="inlineStr">
        <is>
          <t>Perch-likes</t>
        </is>
      </c>
      <c r="E137" t="n">
        <v>0.007</v>
      </c>
      <c r="F137" t="n">
        <v>0.008</v>
      </c>
      <c r="G137" t="n">
        <v>0.01</v>
      </c>
      <c r="H137" t="n">
        <v>0.011</v>
      </c>
      <c r="I137" t="n">
        <v>0.011</v>
      </c>
      <c r="J137" t="n">
        <v>0.014</v>
      </c>
      <c r="K137" t="n">
        <v>0.017</v>
      </c>
      <c r="L137" t="n">
        <v>0.018</v>
      </c>
      <c r="M137" t="n">
        <v>0.02</v>
      </c>
      <c r="N137" t="n">
        <v>0.023</v>
      </c>
      <c r="O137" t="n">
        <v>0.026</v>
      </c>
      <c r="P137" t="n">
        <v>0.032</v>
      </c>
      <c r="Q137" t="n">
        <v>0.034</v>
      </c>
      <c r="R137" t="n">
        <v>0.034</v>
      </c>
      <c r="S137" t="n">
        <v>0.038</v>
      </c>
      <c r="T137" t="n">
        <v>0.045</v>
      </c>
      <c r="U137" t="n">
        <v>0.052</v>
      </c>
      <c r="V137" t="n">
        <v>0.053</v>
      </c>
      <c r="W137" t="n">
        <v>0.056</v>
      </c>
      <c r="X137" t="n">
        <v>0.059</v>
      </c>
      <c r="Y137" t="n">
        <v>0.064</v>
      </c>
      <c r="Z137" t="n">
        <v>0.08699999999999999</v>
      </c>
      <c r="AA137" t="n">
        <v>0.112</v>
      </c>
      <c r="AB137" t="n">
        <v>0.109</v>
      </c>
      <c r="AC137" t="n">
        <v>0.108</v>
      </c>
      <c r="AD137" t="n">
        <v>0.108</v>
      </c>
      <c r="AE137" t="n">
        <v>0.105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0.015</v>
      </c>
      <c r="AU137" t="n">
        <v>0.01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0.403</v>
      </c>
      <c r="BQ137" t="n">
        <v>0.305</v>
      </c>
      <c r="BR137" t="n">
        <v>0.117</v>
      </c>
      <c r="BS137" t="n">
        <v>0.102</v>
      </c>
      <c r="BT137" t="n">
        <v>0.034</v>
      </c>
      <c r="BU137" t="n">
        <v>0.046</v>
      </c>
      <c r="BV137" t="n">
        <v>0.048</v>
      </c>
    </row>
    <row r="138">
      <c r="A138" t="inlineStr">
        <is>
          <t>Coregonus</t>
        </is>
      </c>
      <c r="B138" t="inlineStr">
        <is>
          <t>Whitefishes</t>
        </is>
      </c>
      <c r="C138" t="inlineStr">
        <is>
          <t>Medium pelagics (30 - 89 cm)</t>
        </is>
      </c>
      <c r="D138" t="inlineStr">
        <is>
          <t>Salmon, smelts, etc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0.482</v>
      </c>
      <c r="T138" t="n">
        <v>0.241</v>
      </c>
      <c r="U138" t="n">
        <v>0.241</v>
      </c>
      <c r="V138" t="n">
        <v>0.241</v>
      </c>
      <c r="W138" t="n">
        <v>0.241</v>
      </c>
      <c r="X138" t="n">
        <v>0.001</v>
      </c>
      <c r="Y138" t="n">
        <v>0.241</v>
      </c>
      <c r="Z138" t="n">
        <v>0.241</v>
      </c>
      <c r="AA138" t="n">
        <v>0.001</v>
      </c>
      <c r="AB138" t="n">
        <v>0.001</v>
      </c>
      <c r="AC138" t="n">
        <v>0.001</v>
      </c>
      <c r="AD138" t="n">
        <v>0.026</v>
      </c>
      <c r="AE138" t="n">
        <v>0.026</v>
      </c>
      <c r="AF138" t="n">
        <v>0</v>
      </c>
      <c r="AG138" t="n">
        <v>0</v>
      </c>
      <c r="AH138" t="n">
        <v>0</v>
      </c>
      <c r="AI138" t="n">
        <v>0.015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</row>
    <row r="139">
      <c r="A139" t="inlineStr">
        <is>
          <t>Haliotis</t>
        </is>
      </c>
      <c r="B139" t="inlineStr">
        <is>
          <t>Abalones</t>
        </is>
      </c>
      <c r="C139" t="inlineStr">
        <is>
          <t>Other demersal invertebrates</t>
        </is>
      </c>
      <c r="D139" t="inlineStr">
        <is>
          <t>Molluscs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0.178</v>
      </c>
      <c r="Z139" t="n">
        <v>0.307</v>
      </c>
      <c r="AA139" t="n">
        <v>0.08799999999999999</v>
      </c>
      <c r="AB139" t="n">
        <v>0.068</v>
      </c>
      <c r="AC139" t="n">
        <v>0.095</v>
      </c>
      <c r="AD139" t="n">
        <v>0.151</v>
      </c>
      <c r="AE139" t="n">
        <v>0.159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0.111</v>
      </c>
      <c r="AU139" t="n">
        <v>0.039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inlineStr">
        <is>
          <t>Seriola dumerili</t>
        </is>
      </c>
      <c r="B140" t="inlineStr">
        <is>
          <t>Greater amberjack</t>
        </is>
      </c>
      <c r="C140" t="inlineStr">
        <is>
          <t>Large reef assoc. fish (&gt;=90 cm)</t>
        </is>
      </c>
      <c r="D140" t="inlineStr">
        <is>
          <t>Perch-likes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0.06</v>
      </c>
      <c r="BP140" t="n">
        <v>0.08799999999999999</v>
      </c>
      <c r="BQ140" t="n">
        <v>0.179</v>
      </c>
      <c r="BR140" t="n">
        <v>0.171</v>
      </c>
      <c r="BS140" t="n">
        <v>0.227</v>
      </c>
      <c r="BT140" t="n">
        <v>0.1</v>
      </c>
      <c r="BU140" t="n">
        <v>0.121</v>
      </c>
      <c r="BV140" t="n">
        <v>0.113</v>
      </c>
    </row>
    <row r="141">
      <c r="A141" t="inlineStr">
        <is>
          <t>Saurida</t>
        </is>
      </c>
      <c r="B141" t="inlineStr">
        <is>
          <t>Lizardfishes</t>
        </is>
      </c>
      <c r="C141" t="inlineStr">
        <is>
          <t>Medium demersals (30 - 89 cm)</t>
        </is>
      </c>
      <c r="D141" t="inlineStr">
        <is>
          <t>Other fishes &amp; inverts</t>
        </is>
      </c>
      <c r="E141" t="n">
        <v>0.005</v>
      </c>
      <c r="F141" t="n">
        <v>0.006</v>
      </c>
      <c r="G141" t="n">
        <v>0.007</v>
      </c>
      <c r="H141" t="n">
        <v>0.008</v>
      </c>
      <c r="I141" t="n">
        <v>0.008</v>
      </c>
      <c r="J141" t="n">
        <v>0.01</v>
      </c>
      <c r="K141" t="n">
        <v>0.011</v>
      </c>
      <c r="L141" t="n">
        <v>0.013</v>
      </c>
      <c r="M141" t="n">
        <v>0.014</v>
      </c>
      <c r="N141" t="n">
        <v>0.016</v>
      </c>
      <c r="O141" t="n">
        <v>0.018</v>
      </c>
      <c r="P141" t="n">
        <v>0.022</v>
      </c>
      <c r="Q141" t="n">
        <v>0.024</v>
      </c>
      <c r="R141" t="n">
        <v>0.024</v>
      </c>
      <c r="S141" t="n">
        <v>0.026</v>
      </c>
      <c r="T141" t="n">
        <v>0.031</v>
      </c>
      <c r="U141" t="n">
        <v>0.036</v>
      </c>
      <c r="V141" t="n">
        <v>0.036</v>
      </c>
      <c r="W141" t="n">
        <v>0.039</v>
      </c>
      <c r="X141" t="n">
        <v>0.041</v>
      </c>
      <c r="Y141" t="n">
        <v>0.044</v>
      </c>
      <c r="Z141" t="n">
        <v>0.06</v>
      </c>
      <c r="AA141" t="n">
        <v>0.078</v>
      </c>
      <c r="AB141" t="n">
        <v>0.076</v>
      </c>
      <c r="AC141" t="n">
        <v>0.075</v>
      </c>
      <c r="AD141" t="n">
        <v>0.075</v>
      </c>
      <c r="AE141" t="n">
        <v>0.07199999999999999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0.01</v>
      </c>
      <c r="AU141" t="n">
        <v>0.007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0.024</v>
      </c>
      <c r="BQ141" t="n">
        <v>0.028</v>
      </c>
      <c r="BR141" t="n">
        <v>0.018</v>
      </c>
      <c r="BS141" t="n">
        <v>0.05</v>
      </c>
      <c r="BT141" t="n">
        <v>0.008999999999999999</v>
      </c>
      <c r="BU141" t="n">
        <v>0.014</v>
      </c>
      <c r="BV141" t="n">
        <v>0.013</v>
      </c>
    </row>
    <row r="142">
      <c r="A142" t="inlineStr">
        <is>
          <t>Prionace glauca</t>
        </is>
      </c>
      <c r="B142" t="inlineStr">
        <is>
          <t>Blue shark</t>
        </is>
      </c>
      <c r="C142" t="inlineStr">
        <is>
          <t>Large sharks (&gt;=90 cm)</t>
        </is>
      </c>
      <c r="D142" t="inlineStr">
        <is>
          <t>Sharks &amp; rays</t>
        </is>
      </c>
      <c r="E142" t="n">
        <v>0</v>
      </c>
      <c r="F142" t="n">
        <v>0</v>
      </c>
      <c r="G142" t="n">
        <v>0.012</v>
      </c>
      <c r="H142" t="n">
        <v>0.005</v>
      </c>
      <c r="I142" t="n">
        <v>0.08500000000000001</v>
      </c>
      <c r="J142" t="n">
        <v>0.023</v>
      </c>
      <c r="K142" t="n">
        <v>0</v>
      </c>
      <c r="L142" t="n">
        <v>0</v>
      </c>
      <c r="M142" t="n">
        <v>0</v>
      </c>
      <c r="N142" t="n">
        <v>0.004</v>
      </c>
      <c r="O142" t="n">
        <v>0.001</v>
      </c>
      <c r="P142" t="n">
        <v>0.001</v>
      </c>
      <c r="Q142" t="n">
        <v>0.006</v>
      </c>
      <c r="R142" t="n">
        <v>0.004</v>
      </c>
      <c r="S142" t="n">
        <v>0.013</v>
      </c>
      <c r="T142" t="n">
        <v>0.114</v>
      </c>
      <c r="U142" t="n">
        <v>0.136</v>
      </c>
      <c r="V142" t="n">
        <v>0.089</v>
      </c>
      <c r="W142" t="n">
        <v>0</v>
      </c>
      <c r="X142" t="n">
        <v>0.003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0.029</v>
      </c>
      <c r="AF142" t="n">
        <v>0.059</v>
      </c>
      <c r="AG142" t="n">
        <v>0.008</v>
      </c>
      <c r="AH142" t="n">
        <v>0.169</v>
      </c>
      <c r="AI142" t="n">
        <v>0.038</v>
      </c>
      <c r="AJ142" t="n">
        <v>0.004</v>
      </c>
      <c r="AK142" t="n">
        <v>0.145</v>
      </c>
      <c r="AL142" t="n">
        <v>0.001</v>
      </c>
      <c r="AM142" t="n">
        <v>0.004</v>
      </c>
      <c r="AN142" t="n">
        <v>0.002</v>
      </c>
      <c r="AO142" t="n">
        <v>0</v>
      </c>
      <c r="AP142" t="n">
        <v>0.004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</row>
    <row r="143">
      <c r="A143" t="inlineStr">
        <is>
          <t>Echinozoa</t>
        </is>
      </c>
      <c r="B143" t="inlineStr">
        <is>
          <t>Sea urchins and sea cucumbers</t>
        </is>
      </c>
      <c r="C143" t="inlineStr">
        <is>
          <t>Other demersal invertebrates</t>
        </is>
      </c>
      <c r="D143" t="inlineStr">
        <is>
          <t>Other fishes &amp; inverts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0.061</v>
      </c>
      <c r="BQ143" t="n">
        <v>0.025</v>
      </c>
      <c r="BR143" t="n">
        <v>0.003</v>
      </c>
      <c r="BS143" t="n">
        <v>0.003</v>
      </c>
      <c r="BT143" t="n">
        <v>0</v>
      </c>
      <c r="BU143" t="n">
        <v>0</v>
      </c>
      <c r="BV143" t="n">
        <v>0</v>
      </c>
    </row>
    <row r="144">
      <c r="A144" t="inlineStr">
        <is>
          <t>Lates calcarifer</t>
        </is>
      </c>
      <c r="B144" t="inlineStr">
        <is>
          <t>Barramundi</t>
        </is>
      </c>
      <c r="C144" t="inlineStr">
        <is>
          <t>Large demersals (&gt;=90 cm)</t>
        </is>
      </c>
      <c r="D144" t="inlineStr">
        <is>
          <t>Perch-likes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0.03</v>
      </c>
      <c r="AU144" t="n">
        <v>0.004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0.002</v>
      </c>
      <c r="BP144" t="n">
        <v>0.002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</row>
    <row r="145">
      <c r="A145" t="inlineStr">
        <is>
          <t>Rhopilema hispidum</t>
        </is>
      </c>
      <c r="B145" t="inlineStr">
        <is>
          <t>Sand jellyfish</t>
        </is>
      </c>
      <c r="C145" t="inlineStr">
        <is>
          <t>Jellyfish</t>
        </is>
      </c>
      <c r="D145" t="inlineStr">
        <is>
          <t>Other fishes &amp; inverts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0.002</v>
      </c>
      <c r="BQ145" t="n">
        <v>0.002</v>
      </c>
      <c r="BR145" t="n">
        <v>0.002</v>
      </c>
      <c r="BS145" t="n">
        <v>0.002</v>
      </c>
      <c r="BT145" t="n">
        <v>0.002</v>
      </c>
      <c r="BU145" t="n">
        <v>0.002</v>
      </c>
      <c r="BV145" t="n">
        <v>0.002</v>
      </c>
    </row>
    <row r="146">
      <c r="A146" t="inlineStr">
        <is>
          <t>Scaridae</t>
        </is>
      </c>
      <c r="B146" t="inlineStr">
        <is>
          <t>Parrotfishes</t>
        </is>
      </c>
      <c r="C146" t="inlineStr">
        <is>
          <t>Medium reef assoc. fish (30 - 89 cm)</t>
        </is>
      </c>
      <c r="D146" t="inlineStr">
        <is>
          <t>Perch-likes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0.001</v>
      </c>
      <c r="BP146" t="n">
        <v>0.001</v>
      </c>
      <c r="BQ146" t="n">
        <v>0.001</v>
      </c>
      <c r="BR146" t="n">
        <v>0.002</v>
      </c>
      <c r="BS146" t="n">
        <v>0.002</v>
      </c>
      <c r="BT146" t="n">
        <v>0.001</v>
      </c>
      <c r="BU146" t="n">
        <v>0.001</v>
      </c>
      <c r="BV146" t="n">
        <v>0.001</v>
      </c>
    </row>
    <row r="147">
      <c r="A147" t="inlineStr">
        <is>
          <t>Rachycentridae</t>
        </is>
      </c>
      <c r="B147" t="inlineStr">
        <is>
          <t>Cobias</t>
        </is>
      </c>
      <c r="C147" t="inlineStr">
        <is>
          <t>Large pelagics (&gt;=90 cm)</t>
        </is>
      </c>
      <c r="D147" t="inlineStr">
        <is>
          <t>Perch-likes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0.004</v>
      </c>
      <c r="AU147" t="n">
        <v>0.003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</row>
    <row r="148">
      <c r="A148" t="inlineStr">
        <is>
          <t>Chanos chanos</t>
        </is>
      </c>
      <c r="B148" t="inlineStr">
        <is>
          <t>Milkfish</t>
        </is>
      </c>
      <c r="C148" t="inlineStr">
        <is>
          <t>Large benthopelagics (&gt;=90 cm)</t>
        </is>
      </c>
      <c r="D148" t="inlineStr">
        <is>
          <t>Other fishes &amp; inverts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0.001</v>
      </c>
      <c r="BR148" t="n">
        <v>0.001</v>
      </c>
      <c r="BS148" t="n">
        <v>0.001</v>
      </c>
      <c r="BT148" t="n">
        <v>0</v>
      </c>
      <c r="BU148" t="n">
        <v>0.001</v>
      </c>
      <c r="BV148" t="n">
        <v>0.001</v>
      </c>
    </row>
    <row r="149">
      <c r="A149" t="inlineStr">
        <is>
          <t>Pinctada</t>
        </is>
      </c>
      <c r="B149" t="inlineStr">
        <is>
          <t>Mother of pearl oysters</t>
        </is>
      </c>
      <c r="C149" t="inlineStr">
        <is>
          <t>Other demersal invertebrates</t>
        </is>
      </c>
      <c r="D149" t="inlineStr">
        <is>
          <t>Molluscs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0.001</v>
      </c>
      <c r="BV149" t="n">
        <v>0</v>
      </c>
    </row>
    <row r="150">
      <c r="A150" t="inlineStr">
        <is>
          <t>Scombroidei</t>
        </is>
      </c>
      <c r="B150" t="inlineStr">
        <is>
          <t>Tunas, bonitos, billfishes</t>
        </is>
      </c>
      <c r="C150" t="inlineStr">
        <is>
          <t>Large pelagics (&gt;=90 cm)</t>
        </is>
      </c>
      <c r="D150" t="inlineStr">
        <is>
          <t>Tuna &amp; billfishes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0.001</v>
      </c>
      <c r="BV150" t="n">
        <v>0</v>
      </c>
    </row>
    <row r="151">
      <c r="A151" t="inlineStr">
        <is>
          <t>Sphyraena barracuda</t>
        </is>
      </c>
      <c r="B151" t="inlineStr">
        <is>
          <t>Great barracuda</t>
        </is>
      </c>
      <c r="C151" t="inlineStr">
        <is>
          <t>Large pelagics (&gt;=90 cm)</t>
        </is>
      </c>
      <c r="D151" t="inlineStr">
        <is>
          <t>Perch-likes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>
        <is>
          <t>Isurus oxyrinchus</t>
        </is>
      </c>
      <c r="B152" t="inlineStr">
        <is>
          <t>Shortfin mako</t>
        </is>
      </c>
      <c r="C152" t="inlineStr">
        <is>
          <t>Large sharks (&gt;=90 cm)</t>
        </is>
      </c>
      <c r="D152" t="inlineStr">
        <is>
          <t>Sharks &amp; rays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8" customWidth="1" min="3" max="3"/>
    <col width="20" customWidth="1" min="4" max="4"/>
    <col width="40" customWidth="1" min="5" max="5"/>
    <col width="18" customWidth="1" min="6" max="6"/>
    <col width="18" customWidth="1" min="7" max="7"/>
    <col width="12" customWidth="1" min="8" max="8"/>
    <col width="20" customWidth="1" min="9" max="9"/>
    <col width="14" customWidth="1" min="10" max="10"/>
    <col width="10" customWidth="1" min="11" max="11"/>
    <col width="110" customWidth="1" min="12" max="12"/>
  </cols>
  <sheetData>
    <row r="1">
      <c r="A1" s="1" t="inlineStr">
        <is>
          <t>Which Ecopath group each catch taxon belongs to, and on what evidence.</t>
        </is>
      </c>
    </row>
    <row r="2">
      <c r="A2" t="inlineStr">
        <is>
          <t>Several groups separated by | means the taxon spans them and its catch is apportioned; the weights used are in the next two columns.</t>
        </is>
      </c>
    </row>
    <row r="4">
      <c r="A4" s="4" t="inlineStr">
        <is>
          <t>taxon</t>
        </is>
      </c>
      <c r="B4" s="4" t="inlineStr">
        <is>
          <t>common_name</t>
        </is>
      </c>
      <c r="C4" s="4" t="inlineStr">
        <is>
          <t>SAU functional group</t>
        </is>
      </c>
      <c r="D4" s="4" t="inlineStr">
        <is>
          <t>SAU commercial group</t>
        </is>
      </c>
      <c r="E4" s="4" t="inlineStr">
        <is>
          <t>Ecopath group</t>
        </is>
      </c>
      <c r="F4" s="4" t="inlineStr">
        <is>
          <t>weights</t>
        </is>
      </c>
      <c r="G4" s="4" t="inlineStr">
        <is>
          <t>weight basis</t>
        </is>
      </c>
      <c r="H4" s="4" t="inlineStr">
        <is>
          <t>confidence</t>
        </is>
      </c>
      <c r="I4" s="4" t="inlineStr">
        <is>
          <t>evidence</t>
        </is>
      </c>
      <c r="J4" s="4" t="inlineStr">
        <is>
          <t>catch tonnes</t>
        </is>
      </c>
      <c r="K4" s="4" t="inlineStr">
        <is>
          <t>% of catch</t>
        </is>
      </c>
      <c r="L4" s="4" t="inlineStr">
        <is>
          <t>explanation</t>
        </is>
      </c>
    </row>
    <row r="5">
      <c r="A5" t="inlineStr">
        <is>
          <t>Gadus chalcogrammus</t>
        </is>
      </c>
      <c r="B5" t="inlineStr">
        <is>
          <t>Alaska pollock</t>
        </is>
      </c>
      <c r="C5" t="inlineStr">
        <is>
          <t>Medium benthopelagics (30 - 89 cm)</t>
        </is>
      </c>
      <c r="D5" t="inlineStr">
        <is>
          <t>Cod-likes</t>
        </is>
      </c>
      <c r="E5" s="5" t="inlineStr">
        <is>
          <t>Walleye pollock | Juv. pollock</t>
        </is>
      </c>
      <c r="F5" t="inlineStr">
        <is>
          <t>0.539 | 0.461</t>
        </is>
      </c>
      <c r="G5" t="inlineStr">
        <is>
          <t>model_biomass</t>
        </is>
      </c>
      <c r="H5" t="inlineStr">
        <is>
          <t>medium</t>
        </is>
      </c>
      <c r="I5" t="inlineStr">
        <is>
          <t>composite_split</t>
        </is>
      </c>
      <c r="J5" t="n">
        <v>146132008.462</v>
      </c>
      <c r="K5" t="n">
        <v>60.3008</v>
      </c>
      <c r="L5" s="6" t="inlineStr">
        <is>
          <t>Walleye pollock and juvenile pollock are the same taxon at different life stages in Table 1. Catch has no age split and model catch is zero throughout; use model biomass.</t>
        </is>
      </c>
    </row>
    <row r="6">
      <c r="A6" t="inlineStr">
        <is>
          <t>Clupea pallasii</t>
        </is>
      </c>
      <c r="B6" t="inlineStr">
        <is>
          <t>Pacific herring</t>
        </is>
      </c>
      <c r="C6" t="inlineStr">
        <is>
          <t>Medium pelagics (30 - 89 cm)</t>
        </is>
      </c>
      <c r="D6" t="inlineStr">
        <is>
          <t>Herring-likes</t>
        </is>
      </c>
      <c r="E6" s="7" t="inlineStr">
        <is>
          <t>Pacific herring</t>
        </is>
      </c>
      <c r="F6" t="inlineStr"/>
      <c r="G6" t="inlineStr"/>
      <c r="H6" t="inlineStr">
        <is>
          <t>high</t>
        </is>
      </c>
      <c r="I6" t="inlineStr">
        <is>
          <t>taxonomic_containment</t>
        </is>
      </c>
      <c r="J6" t="n">
        <v>18753775.683</v>
      </c>
      <c r="K6" t="n">
        <v>7.7387</v>
      </c>
      <c r="L6" s="6" t="inlineStr">
        <is>
          <t>Chaikina 2020 Table 1 names Pacific herring; the catch taxon Clupea pallasii is within that taxonomic compartment (WoRMS taxonomy checked).</t>
        </is>
      </c>
    </row>
    <row r="7">
      <c r="A7" t="inlineStr">
        <is>
          <t>Marine fishes not identified</t>
        </is>
      </c>
      <c r="B7" t="inlineStr">
        <is>
          <t>Marine fishes nei</t>
        </is>
      </c>
      <c r="C7" t="inlineStr">
        <is>
          <t>Medium demersals (30 - 89 cm)</t>
        </is>
      </c>
      <c r="D7" t="inlineStr">
        <is>
          <t>Other fishes &amp; inverts</t>
        </is>
      </c>
      <c r="E7" s="5" t="inlineStr">
        <is>
          <t>Other bottom fishes | Other Gadidae | Cottidae | Pleuronectidae</t>
        </is>
      </c>
      <c r="F7" t="inlineStr">
        <is>
          <t>0.380 | 0.474 | 0.000 | 0.146</t>
        </is>
      </c>
      <c r="G7" t="inlineStr">
        <is>
          <t>catch_composition</t>
        </is>
      </c>
      <c r="H7" t="inlineStr">
        <is>
          <t>medium</t>
        </is>
      </c>
      <c r="I7" t="inlineStr">
        <is>
          <t>composite_split</t>
        </is>
      </c>
      <c r="J7" t="n">
        <v>14223073.136</v>
      </c>
      <c r="K7" t="n">
        <v>5.8691</v>
      </c>
      <c r="L7" s="6" t="inlineStr">
        <is>
          <t>SAU identifies medium demersal fish; these are the model's broad bottom-fish compartments. Named single-species pelagic stocks and mammal/invertebrate groups are excluded.</t>
        </is>
      </c>
    </row>
    <row r="8">
      <c r="A8" t="inlineStr">
        <is>
          <t>Oncorhynchus gorbuscha</t>
        </is>
      </c>
      <c r="B8" t="inlineStr">
        <is>
          <t>Pink salmon</t>
        </is>
      </c>
      <c r="C8" t="inlineStr">
        <is>
          <t>Medium demersals (30 - 89 cm)</t>
        </is>
      </c>
      <c r="D8" t="inlineStr">
        <is>
          <t>Salmon, smelts, etc</t>
        </is>
      </c>
      <c r="E8" s="7" t="inlineStr">
        <is>
          <t>Salmon</t>
        </is>
      </c>
      <c r="F8" t="inlineStr"/>
      <c r="G8" t="inlineStr"/>
      <c r="H8" t="inlineStr">
        <is>
          <t>high</t>
        </is>
      </c>
      <c r="I8" t="inlineStr">
        <is>
          <t>taxonomic_containment</t>
        </is>
      </c>
      <c r="J8" t="n">
        <v>11221364.935</v>
      </c>
      <c r="K8" t="n">
        <v>4.6304</v>
      </c>
      <c r="L8" s="6" t="inlineStr">
        <is>
          <t>Pacific salmon catch within the Salmon compartment in Chaikina 2020 Table 1; no size/stage split is supplied.</t>
        </is>
      </c>
    </row>
    <row r="9">
      <c r="A9" t="inlineStr">
        <is>
          <t>Sardinops sagax</t>
        </is>
      </c>
      <c r="B9" t="inlineStr">
        <is>
          <t>South American pilchard</t>
        </is>
      </c>
      <c r="C9" t="inlineStr">
        <is>
          <t>Medium pelagics (30 - 89 cm)</t>
        </is>
      </c>
      <c r="D9" t="inlineStr">
        <is>
          <t>Herring-likes</t>
        </is>
      </c>
      <c r="E9" s="5" t="inlineStr">
        <is>
          <t>Pacific Sardine</t>
        </is>
      </c>
      <c r="F9" t="inlineStr"/>
      <c r="G9" t="inlineStr"/>
      <c r="H9" t="inlineStr">
        <is>
          <t>medium</t>
        </is>
      </c>
      <c r="I9" t="inlineStr">
        <is>
          <t>analogue</t>
        </is>
      </c>
      <c r="J9" t="n">
        <v>6361027.532</v>
      </c>
      <c r="K9" t="n">
        <v>2.6249</v>
      </c>
      <c r="L9" s="6" t="inlineStr">
        <is>
          <t>Regional sardine-name crosswalk inferred: the paper labels Pacific Sardine without a binomial; catch uses Sardinops sagax (WoRMS accepted). Source identity cannot be proved as a species synonym from the common name alone.</t>
        </is>
      </c>
    </row>
    <row r="10">
      <c r="A10" t="inlineStr">
        <is>
          <t>Gadus macrocephalus</t>
        </is>
      </c>
      <c r="B10" t="inlineStr">
        <is>
          <t>Pacific cod</t>
        </is>
      </c>
      <c r="C10" t="inlineStr">
        <is>
          <t>Large demersals (&gt;=90 cm)</t>
        </is>
      </c>
      <c r="D10" t="inlineStr">
        <is>
          <t>Cod-likes</t>
        </is>
      </c>
      <c r="E10" s="7" t="inlineStr">
        <is>
          <t>Other Gadidae</t>
        </is>
      </c>
      <c r="F10" t="inlineStr"/>
      <c r="G10" t="inlineStr"/>
      <c r="H10" t="inlineStr">
        <is>
          <t>high</t>
        </is>
      </c>
      <c r="I10" t="inlineStr">
        <is>
          <t>taxonomic_containment</t>
        </is>
      </c>
      <c r="J10" t="n">
        <v>5161513.421</v>
      </c>
      <c r="K10" t="n">
        <v>2.1299</v>
      </c>
      <c r="L10" s="6" t="inlineStr">
        <is>
          <t>Chaikina 2020 Table 1 names Other Gadidae; the catch taxon Gadus macrocephalus is within that taxonomic compartment (WoRMS taxonomy checked).</t>
        </is>
      </c>
    </row>
    <row r="11">
      <c r="A11" t="inlineStr">
        <is>
          <t>Oncorhynchus</t>
        </is>
      </c>
      <c r="B11" t="inlineStr">
        <is>
          <t>Salmons, trouts</t>
        </is>
      </c>
      <c r="C11" t="inlineStr">
        <is>
          <t>Large benthopelagics (&gt;=90 cm)</t>
        </is>
      </c>
      <c r="D11" t="inlineStr">
        <is>
          <t>Salmon, smelts, etc</t>
        </is>
      </c>
      <c r="E11" s="7" t="inlineStr">
        <is>
          <t>Salmon</t>
        </is>
      </c>
      <c r="F11" t="inlineStr"/>
      <c r="G11" t="inlineStr"/>
      <c r="H11" t="inlineStr">
        <is>
          <t>high</t>
        </is>
      </c>
      <c r="I11" t="inlineStr">
        <is>
          <t>taxonomic_containment</t>
        </is>
      </c>
      <c r="J11" t="n">
        <v>3616523.455</v>
      </c>
      <c r="K11" t="n">
        <v>1.4923</v>
      </c>
      <c r="L11" s="6" t="inlineStr">
        <is>
          <t>Pacific salmon catch within the Salmon compartment in Chaikina 2020 Table 1; no size/stage split is supplied.</t>
        </is>
      </c>
    </row>
    <row r="12">
      <c r="A12" t="inlineStr">
        <is>
          <t>Oncorhynchus keta</t>
        </is>
      </c>
      <c r="B12" t="inlineStr">
        <is>
          <t>Chum salmon</t>
        </is>
      </c>
      <c r="C12" t="inlineStr">
        <is>
          <t>Large benthopelagics (&gt;=90 cm)</t>
        </is>
      </c>
      <c r="D12" t="inlineStr">
        <is>
          <t>Salmon, smelts, etc</t>
        </is>
      </c>
      <c r="E12" s="7" t="inlineStr">
        <is>
          <t>Salmon</t>
        </is>
      </c>
      <c r="F12" t="inlineStr"/>
      <c r="G12" t="inlineStr"/>
      <c r="H12" t="inlineStr">
        <is>
          <t>high</t>
        </is>
      </c>
      <c r="I12" t="inlineStr">
        <is>
          <t>taxonomic_containment</t>
        </is>
      </c>
      <c r="J12" t="n">
        <v>3266940.097</v>
      </c>
      <c r="K12" t="n">
        <v>1.3481</v>
      </c>
      <c r="L12" s="6" t="inlineStr">
        <is>
          <t>Pacific salmon catch within the Salmon compartment in Chaikina 2020 Table 1; no size/stage split is supplied.</t>
        </is>
      </c>
    </row>
    <row r="13">
      <c r="A13" t="inlineStr">
        <is>
          <t>Pleuronectiformes</t>
        </is>
      </c>
      <c r="B13" t="inlineStr">
        <is>
          <t>Flatfishes</t>
        </is>
      </c>
      <c r="C13" t="inlineStr">
        <is>
          <t>Small to medium flatfishes (&lt;90 cm)</t>
        </is>
      </c>
      <c r="D13" t="inlineStr">
        <is>
          <t>Flatfishes</t>
        </is>
      </c>
      <c r="E13" s="5" t="inlineStr">
        <is>
          <t>Pleuronectidae | Other bottom fishes</t>
        </is>
      </c>
      <c r="F13" t="inlineStr">
        <is>
          <t>0.278 | 0.722</t>
        </is>
      </c>
      <c r="G13" t="inlineStr">
        <is>
          <t>catch_composition</t>
        </is>
      </c>
      <c r="H13" t="inlineStr">
        <is>
          <t>medium</t>
        </is>
      </c>
      <c r="I13" t="inlineStr">
        <is>
          <t>composite_split</t>
        </is>
      </c>
      <c r="J13" t="n">
        <v>2647805.622</v>
      </c>
      <c r="K13" t="n">
        <v>1.0926</v>
      </c>
      <c r="L13" s="6" t="inlineStr">
        <is>
          <t>The order includes righteye flounders in the named family and other bottom-dwelling flatfishes in the residual bottom-fish pool; no evidence restricts all order-level catch to Pleuronectidae.</t>
        </is>
      </c>
    </row>
    <row r="14">
      <c r="A14" t="inlineStr">
        <is>
          <t>Paralithodes camtschaticus</t>
        </is>
      </c>
      <c r="B14" t="inlineStr">
        <is>
          <t>Red king crab</t>
        </is>
      </c>
      <c r="C14" t="inlineStr">
        <is>
          <t>Lobsters, crabs</t>
        </is>
      </c>
      <c r="D14" t="inlineStr">
        <is>
          <t>Crustaceans</t>
        </is>
      </c>
      <c r="E14" s="7" t="inlineStr">
        <is>
          <t>Crabs and shrimps</t>
        </is>
      </c>
      <c r="F14" t="inlineStr"/>
      <c r="G14" t="inlineStr"/>
      <c r="H14" t="inlineStr">
        <is>
          <t>high</t>
        </is>
      </c>
      <c r="I14" t="inlineStr">
        <is>
          <t>taxonomic_containment</t>
        </is>
      </c>
      <c r="J14" t="n">
        <v>2194189.219</v>
      </c>
      <c r="K14" t="n">
        <v>0.9054</v>
      </c>
      <c r="L14" s="6" t="inlineStr">
        <is>
          <t>Chaikina 2020 Table 1 names Crabs and shrimps; the catch taxon Paralithodes camtschaticus is within that taxonomic compartment (WoRMS taxonomy checked).</t>
        </is>
      </c>
    </row>
    <row r="15">
      <c r="A15" t="inlineStr">
        <is>
          <t>Pleurogrammus azonus</t>
        </is>
      </c>
      <c r="B15" t="inlineStr">
        <is>
          <t>Okhotsk atka mackerel</t>
        </is>
      </c>
      <c r="C15" t="inlineStr">
        <is>
          <t>Medium demersals (30 - 89 cm)</t>
        </is>
      </c>
      <c r="D15" t="inlineStr">
        <is>
          <t>Scorpionfishes</t>
        </is>
      </c>
      <c r="E15" s="5" t="inlineStr">
        <is>
          <t>Other bottom fishes</t>
        </is>
      </c>
      <c r="F15" t="inlineStr"/>
      <c r="G15" t="inlineStr"/>
      <c r="H15" t="inlineStr">
        <is>
          <t>medium</t>
        </is>
      </c>
      <c r="I15" t="inlineStr">
        <is>
          <t>habitat_size_guild</t>
        </is>
      </c>
      <c r="J15" t="n">
        <v>1970290.649</v>
      </c>
      <c r="K15" t="n">
        <v>0.8129999999999999</v>
      </c>
      <c r="L15" s="6" t="inlineStr">
        <is>
          <t>Hexagrammidae, a cold-water demersal shelf fish with no dedicated group; placed in the model's residual demersal 'Other bottom fishes' group on habitat and trophic-level grounds. Reviewed against Chaikina 2020 Table 1; species membership is not tabulated.</t>
        </is>
      </c>
    </row>
    <row r="16">
      <c r="A16" t="inlineStr">
        <is>
          <t>Scomber</t>
        </is>
      </c>
      <c r="B16" t="inlineStr">
        <is>
          <t>Chub mackerels</t>
        </is>
      </c>
      <c r="C16" t="inlineStr">
        <is>
          <t>Medium pelagics (30 - 89 cm)</t>
        </is>
      </c>
      <c r="D16" t="inlineStr">
        <is>
          <t>Perch-likes</t>
        </is>
      </c>
      <c r="E16" s="8" t="inlineStr">
        <is>
          <t>Unresolved</t>
        </is>
      </c>
      <c r="F16" t="inlineStr"/>
      <c r="G16" t="inlineStr"/>
      <c r="H16" t="inlineStr">
        <is>
          <t>unresolved</t>
        </is>
      </c>
      <c r="I16" t="inlineStr">
        <is>
          <t>none</t>
        </is>
      </c>
      <c r="J16" t="n">
        <v>1716358.066</v>
      </c>
      <c r="K16" t="n">
        <v>0.7082000000000001</v>
      </c>
      <c r="L16" s="6" t="inlineStr">
        <is>
          <t>Scombridae (mackerel genus), an epipelagic small pelagic; the Okhotsk model has no pelagic/mackerel group, only demersal/mesopelagic/benthic residual categories, so no defensible group exists. Reviewed: no documented compatible group for this catch label.</t>
        </is>
      </c>
    </row>
    <row r="17">
      <c r="A17" t="inlineStr">
        <is>
          <t>Teuthida</t>
        </is>
      </c>
      <c r="B17" t="inlineStr">
        <is>
          <t>Squids</t>
        </is>
      </c>
      <c r="C17" t="inlineStr">
        <is>
          <t>Cephalopods</t>
        </is>
      </c>
      <c r="D17" t="inlineStr">
        <is>
          <t>Other fishes &amp; inverts</t>
        </is>
      </c>
      <c r="E17" s="7" t="inlineStr">
        <is>
          <t>Squids</t>
        </is>
      </c>
      <c r="F17" t="inlineStr"/>
      <c r="G17" t="inlineStr"/>
      <c r="H17" t="inlineStr">
        <is>
          <t>high</t>
        </is>
      </c>
      <c r="I17" t="inlineStr">
        <is>
          <t>taxonomic_containment</t>
        </is>
      </c>
      <c r="J17" t="n">
        <v>1601595.175</v>
      </c>
      <c r="K17" t="n">
        <v>0.6609</v>
      </c>
      <c r="L17" s="6" t="inlineStr">
        <is>
          <t>Chaikina 2020 Table 1 names Squids; the catch taxon Teuthida is within that taxonomic compartment (WoRMS taxonomy checked).</t>
        </is>
      </c>
    </row>
    <row r="18">
      <c r="A18" t="inlineStr">
        <is>
          <t>Eleginus gracilis</t>
        </is>
      </c>
      <c r="B18" t="inlineStr">
        <is>
          <t>Saffron cod</t>
        </is>
      </c>
      <c r="C18" t="inlineStr">
        <is>
          <t>Medium demersals (30 - 89 cm)</t>
        </is>
      </c>
      <c r="D18" t="inlineStr">
        <is>
          <t>Cod-likes</t>
        </is>
      </c>
      <c r="E18" s="7" t="inlineStr">
        <is>
          <t>Other Gadidae</t>
        </is>
      </c>
      <c r="F18" t="inlineStr"/>
      <c r="G18" t="inlineStr"/>
      <c r="H18" t="inlineStr">
        <is>
          <t>high</t>
        </is>
      </c>
      <c r="I18" t="inlineStr">
        <is>
          <t>taxonomic_containment</t>
        </is>
      </c>
      <c r="J18" t="n">
        <v>1420067.304</v>
      </c>
      <c r="K18" t="n">
        <v>0.586</v>
      </c>
      <c r="L18" s="6" t="inlineStr">
        <is>
          <t>Chaikina 2020 Table 1 names Other Gadidae; the catch taxon Eleginus gracilis is within that taxonomic compartment (WoRMS taxonomy checked).</t>
        </is>
      </c>
    </row>
    <row r="19">
      <c r="A19" t="inlineStr">
        <is>
          <t>Ammodytes personatus</t>
        </is>
      </c>
      <c r="B19" t="inlineStr">
        <is>
          <t>Pacific sandlance</t>
        </is>
      </c>
      <c r="C19" t="inlineStr">
        <is>
          <t>Small demersals (&lt;30 cm)</t>
        </is>
      </c>
      <c r="D19" t="inlineStr">
        <is>
          <t>Perch-likes</t>
        </is>
      </c>
      <c r="E19" s="7" t="inlineStr">
        <is>
          <t>Ammodytidae</t>
        </is>
      </c>
      <c r="F19" t="inlineStr"/>
      <c r="G19" t="inlineStr"/>
      <c r="H19" t="inlineStr">
        <is>
          <t>high</t>
        </is>
      </c>
      <c r="I19" t="inlineStr">
        <is>
          <t>taxonomic_containment</t>
        </is>
      </c>
      <c r="J19" t="n">
        <v>1413151.605</v>
      </c>
      <c r="K19" t="n">
        <v>0.5831</v>
      </c>
      <c r="L19" s="6" t="inlineStr">
        <is>
          <t>Chaikina 2020 Table 1 names Ammodytidae; the catch taxon Ammodytes personatus is within that taxonomic compartment (WoRMS taxonomy checked).</t>
        </is>
      </c>
    </row>
    <row r="20">
      <c r="A20" t="inlineStr">
        <is>
          <t>Todarodes pacificus</t>
        </is>
      </c>
      <c r="B20" t="inlineStr">
        <is>
          <t>Japanese flying squid</t>
        </is>
      </c>
      <c r="C20" t="inlineStr">
        <is>
          <t>Cephalopods</t>
        </is>
      </c>
      <c r="D20" t="inlineStr">
        <is>
          <t>Other fishes &amp; inverts</t>
        </is>
      </c>
      <c r="E20" s="7" t="inlineStr">
        <is>
          <t>Squids</t>
        </is>
      </c>
      <c r="F20" t="inlineStr"/>
      <c r="G20" t="inlineStr"/>
      <c r="H20" t="inlineStr">
        <is>
          <t>high</t>
        </is>
      </c>
      <c r="I20" t="inlineStr">
        <is>
          <t>taxonomic_containment</t>
        </is>
      </c>
      <c r="J20" t="n">
        <v>1397772.673</v>
      </c>
      <c r="K20" t="n">
        <v>0.5768</v>
      </c>
      <c r="L20" s="6" t="inlineStr">
        <is>
          <t>Chaikina 2020 Table 1 names Squids; the catch taxon Todarodes pacificus is within that taxonomic compartment (WoRMS taxonomy checked).</t>
        </is>
      </c>
    </row>
    <row r="21">
      <c r="A21" t="inlineStr">
        <is>
          <t>Mollusca</t>
        </is>
      </c>
      <c r="B21" t="inlineStr">
        <is>
          <t>Clams, seasnails, squids, octopuses</t>
        </is>
      </c>
      <c r="C21" t="inlineStr">
        <is>
          <t>Other demersal invertebrates</t>
        </is>
      </c>
      <c r="D21" t="inlineStr">
        <is>
          <t>Molluscs</t>
        </is>
      </c>
      <c r="E21" s="9" t="inlineStr">
        <is>
          <t>2nd level benthos | Carnivorous invertebrates | Squids</t>
        </is>
      </c>
      <c r="F21" t="inlineStr">
        <is>
          <t>0.291 | 0.080 | 0.629</t>
        </is>
      </c>
      <c r="G21" t="inlineStr">
        <is>
          <t>catch_composition</t>
        </is>
      </c>
      <c r="H21" t="inlineStr">
        <is>
          <t>low</t>
        </is>
      </c>
      <c r="I21" t="inlineStr">
        <is>
          <t>composite_split</t>
        </is>
      </c>
      <c r="J21" t="n">
        <v>1330721.237</v>
      </c>
      <c r="K21" t="n">
        <v>0.5491</v>
      </c>
      <c r="L21" s="6" t="inlineStr">
        <is>
          <t>Molluscs span basal benthic bivalves/grazers, predatory benthic molluscs and the named squid group; model species lists are absent, so this coarse allocation remains provisional.</t>
        </is>
      </c>
    </row>
    <row r="22">
      <c r="A22" t="inlineStr">
        <is>
          <t>Cololabis saira</t>
        </is>
      </c>
      <c r="B22" t="inlineStr">
        <is>
          <t>Pacific saury</t>
        </is>
      </c>
      <c r="C22" t="inlineStr">
        <is>
          <t>Medium pelagics (30 - 89 cm)</t>
        </is>
      </c>
      <c r="D22" t="inlineStr">
        <is>
          <t>Other fishes &amp; inverts</t>
        </is>
      </c>
      <c r="E22" s="8" t="inlineStr">
        <is>
          <t>Unresolved</t>
        </is>
      </c>
      <c r="F22" t="inlineStr"/>
      <c r="G22" t="inlineStr"/>
      <c r="H22" t="inlineStr">
        <is>
          <t>unresolved</t>
        </is>
      </c>
      <c r="I22" t="inlineStr">
        <is>
          <t>none</t>
        </is>
      </c>
      <c r="J22" t="n">
        <v>1247073.954</v>
      </c>
      <c r="K22" t="n">
        <v>0.5145999999999999</v>
      </c>
      <c r="L22" s="6" t="inlineStr">
        <is>
          <t>Scomberesocidae (Pacific saury), a small epipelagic fish; the Okhotsk model has no pelagic-fish group to place it in. Reviewed: no documented compatible group for this catch label.</t>
        </is>
      </c>
    </row>
    <row r="23">
      <c r="A23" t="inlineStr">
        <is>
          <t>Pleurogrammus monopterygius</t>
        </is>
      </c>
      <c r="B23" t="inlineStr">
        <is>
          <t>Atka mackerel</t>
        </is>
      </c>
      <c r="C23" t="inlineStr">
        <is>
          <t>Medium demersals (30 - 89 cm)</t>
        </is>
      </c>
      <c r="D23" t="inlineStr">
        <is>
          <t>Scorpionfishes</t>
        </is>
      </c>
      <c r="E23" s="5" t="inlineStr">
        <is>
          <t>Other bottom fishes</t>
        </is>
      </c>
      <c r="F23" t="inlineStr"/>
      <c r="G23" t="inlineStr"/>
      <c r="H23" t="inlineStr">
        <is>
          <t>medium</t>
        </is>
      </c>
      <c r="I23" t="inlineStr">
        <is>
          <t>habitat_size_guild</t>
        </is>
      </c>
      <c r="J23" t="n">
        <v>1245166.946</v>
      </c>
      <c r="K23" t="n">
        <v>0.5138</v>
      </c>
      <c r="L23" s="6" t="inlineStr">
        <is>
          <t>Hexagrammidae, same family as Pleurogrammus azonus above; placed in the residual demersal 'Other bottom fishes' group on habitat/trophic grounds. Reviewed against Chaikina 2020 Table 1; species membership is not tabulated.</t>
        </is>
      </c>
    </row>
    <row r="24">
      <c r="A24" t="inlineStr">
        <is>
          <t>Oncorhynchus nerka</t>
        </is>
      </c>
      <c r="B24" t="inlineStr">
        <is>
          <t>Sockeye salmon</t>
        </is>
      </c>
      <c r="C24" t="inlineStr">
        <is>
          <t>Medium pelagics (30 - 89 cm)</t>
        </is>
      </c>
      <c r="D24" t="inlineStr">
        <is>
          <t>Salmon, smelts, etc</t>
        </is>
      </c>
      <c r="E24" s="7" t="inlineStr">
        <is>
          <t>Salmon</t>
        </is>
      </c>
      <c r="F24" t="inlineStr"/>
      <c r="G24" t="inlineStr"/>
      <c r="H24" t="inlineStr">
        <is>
          <t>high</t>
        </is>
      </c>
      <c r="I24" t="inlineStr">
        <is>
          <t>taxonomic_containment</t>
        </is>
      </c>
      <c r="J24" t="n">
        <v>1182462.308</v>
      </c>
      <c r="K24" t="n">
        <v>0.4879</v>
      </c>
      <c r="L24" s="6" t="inlineStr">
        <is>
          <t>Pacific salmon catch within the Salmon compartment in Chaikina 2020 Table 1; no size/stage split is supplied.</t>
        </is>
      </c>
    </row>
    <row r="25">
      <c r="A25" t="inlineStr">
        <is>
          <t>Pleuronectidae</t>
        </is>
      </c>
      <c r="B25" t="inlineStr">
        <is>
          <t>Righteye flounders</t>
        </is>
      </c>
      <c r="C25" t="inlineStr">
        <is>
          <t>Small to medium flatfishes (&lt;90 cm)</t>
        </is>
      </c>
      <c r="D25" t="inlineStr">
        <is>
          <t>Flatfishes</t>
        </is>
      </c>
      <c r="E25" s="7" t="inlineStr">
        <is>
          <t>Pleuronectidae</t>
        </is>
      </c>
      <c r="F25" t="inlineStr"/>
      <c r="G25" t="inlineStr"/>
      <c r="H25" t="inlineStr">
        <is>
          <t>high</t>
        </is>
      </c>
      <c r="I25" t="inlineStr">
        <is>
          <t>taxonomic_containment</t>
        </is>
      </c>
      <c r="J25" t="n">
        <v>1084818.657</v>
      </c>
      <c r="K25" t="n">
        <v>0.4476</v>
      </c>
      <c r="L25" s="6" t="inlineStr">
        <is>
          <t>Chaikina 2020 Table 1 names Pleuronectidae; the catch taxon Pleuronectidae is within that taxonomic compartment (WoRMS taxonomy checked).</t>
        </is>
      </c>
    </row>
    <row r="26">
      <c r="A26" t="inlineStr">
        <is>
          <t>Mallotus villosus</t>
        </is>
      </c>
      <c r="B26" t="inlineStr">
        <is>
          <t>Capelin</t>
        </is>
      </c>
      <c r="C26" t="inlineStr">
        <is>
          <t>Small pelagics (&lt;30 cm)</t>
        </is>
      </c>
      <c r="D26" t="inlineStr">
        <is>
          <t>Salmon, smelts, etc</t>
        </is>
      </c>
      <c r="E26" s="7" t="inlineStr">
        <is>
          <t>Capelin</t>
        </is>
      </c>
      <c r="F26" t="inlineStr"/>
      <c r="G26" t="inlineStr"/>
      <c r="H26" t="inlineStr">
        <is>
          <t>high</t>
        </is>
      </c>
      <c r="I26" t="inlineStr">
        <is>
          <t>taxonomic_containment</t>
        </is>
      </c>
      <c r="J26" t="n">
        <v>1077371.301</v>
      </c>
      <c r="K26" t="n">
        <v>0.4446</v>
      </c>
      <c r="L26" s="6" t="inlineStr">
        <is>
          <t>Chaikina 2020 Table 1 names Capelin; the catch taxon Mallotus villosus is within that taxonomic compartment (WoRMS taxonomy checked).</t>
        </is>
      </c>
    </row>
    <row r="27">
      <c r="A27" t="inlineStr">
        <is>
          <t>Miscellaneous marine crustaceans</t>
        </is>
      </c>
      <c r="B27" t="inlineStr">
        <is>
          <t>Marine crabs, shrimps, lobsters nei</t>
        </is>
      </c>
      <c r="C27" t="inlineStr">
        <is>
          <t>Shrimps</t>
        </is>
      </c>
      <c r="D27" t="inlineStr">
        <is>
          <t>Crustaceans</t>
        </is>
      </c>
      <c r="E27" s="7" t="inlineStr">
        <is>
          <t>Crabs and shrimps</t>
        </is>
      </c>
      <c r="F27" t="inlineStr"/>
      <c r="G27" t="inlineStr"/>
      <c r="H27" t="inlineStr">
        <is>
          <t>high</t>
        </is>
      </c>
      <c r="I27" t="inlineStr">
        <is>
          <t>taxonomic_containment</t>
        </is>
      </c>
      <c r="J27" t="n">
        <v>935887.171</v>
      </c>
      <c r="K27" t="n">
        <v>0.3862</v>
      </c>
      <c r="L27" s="6" t="inlineStr">
        <is>
          <t>Chaikina 2020 Table 1 names Crabs and shrimps; the catch taxon Miscellaneous marine crustaceans is within that taxonomic compartment (WoRMS taxonomy checked).</t>
        </is>
      </c>
    </row>
    <row r="28">
      <c r="A28" t="inlineStr">
        <is>
          <t>Scomber japonicus</t>
        </is>
      </c>
      <c r="B28" t="inlineStr">
        <is>
          <t>Pacific chub mackerel</t>
        </is>
      </c>
      <c r="C28" t="inlineStr">
        <is>
          <t>Medium pelagics (30 - 89 cm)</t>
        </is>
      </c>
      <c r="D28" t="inlineStr">
        <is>
          <t>Perch-likes</t>
        </is>
      </c>
      <c r="E28" s="8" t="inlineStr">
        <is>
          <t>Unresolved</t>
        </is>
      </c>
      <c r="F28" t="inlineStr"/>
      <c r="G28" t="inlineStr"/>
      <c r="H28" t="inlineStr">
        <is>
          <t>unresolved</t>
        </is>
      </c>
      <c r="I28" t="inlineStr">
        <is>
          <t>none</t>
        </is>
      </c>
      <c r="J28" t="n">
        <v>883031.144</v>
      </c>
      <c r="K28" t="n">
        <v>0.3644</v>
      </c>
      <c r="L28" s="6" t="inlineStr">
        <is>
          <t>Scombridae (chub mackerel), epipelagic; same limitation as genus Scomber -- no pelagic-fish group in the Okhotsk model. Reviewed: no documented compatible group for this catch label.</t>
        </is>
      </c>
    </row>
    <row r="29">
      <c r="A29" t="inlineStr">
        <is>
          <t>Pectinidae</t>
        </is>
      </c>
      <c r="B29" t="inlineStr">
        <is>
          <t>Scallops</t>
        </is>
      </c>
      <c r="C29" t="inlineStr">
        <is>
          <t>Other demersal invertebrates</t>
        </is>
      </c>
      <c r="D29" t="inlineStr">
        <is>
          <t>Molluscs</t>
        </is>
      </c>
      <c r="E29" s="5" t="inlineStr">
        <is>
          <t>2nd level benthos</t>
        </is>
      </c>
      <c r="F29" t="inlineStr"/>
      <c r="G29" t="inlineStr"/>
      <c r="H29" t="inlineStr">
        <is>
          <t>medium</t>
        </is>
      </c>
      <c r="I29" t="inlineStr">
        <is>
          <t>habitat_size_guild</t>
        </is>
      </c>
      <c r="J29" t="n">
        <v>730793.024</v>
      </c>
      <c r="K29" t="n">
        <v>0.3016</v>
      </c>
      <c r="L29" s="6" t="inlineStr">
        <is>
          <t>Analyst inference: Pectinidae is a benthic suspension/deposit feeder or grazer, consistent with Chaikina 2020 Table 1 second-level benthos and its basal diet in Table 3; no species member list is supplied.</t>
        </is>
      </c>
    </row>
    <row r="30">
      <c r="A30" t="inlineStr">
        <is>
          <t>Moridae</t>
        </is>
      </c>
      <c r="B30" t="inlineStr">
        <is>
          <t>Codlings, moras</t>
        </is>
      </c>
      <c r="C30" t="inlineStr">
        <is>
          <t>Medium benthopelagics (30 - 89 cm)</t>
        </is>
      </c>
      <c r="D30" t="inlineStr">
        <is>
          <t>Cod-likes</t>
        </is>
      </c>
      <c r="E30" s="5" t="inlineStr">
        <is>
          <t>Other bottom fishes</t>
        </is>
      </c>
      <c r="F30" t="inlineStr"/>
      <c r="G30" t="inlineStr"/>
      <c r="H30" t="inlineStr">
        <is>
          <t>medium</t>
        </is>
      </c>
      <c r="I30" t="inlineStr">
        <is>
          <t>habitat_size_guild</t>
        </is>
      </c>
      <c r="J30" t="n">
        <v>641456.819</v>
      </c>
      <c r="K30" t="n">
        <v>0.2647</v>
      </c>
      <c r="L30" s="6" t="inlineStr">
        <is>
          <t>Morids are demersal cod-like fishes outside Gadidae; use the residual bottom-fish group, not Other Gadidae.</t>
        </is>
      </c>
    </row>
    <row r="31">
      <c r="A31" t="inlineStr">
        <is>
          <t>Engraulis japonicus</t>
        </is>
      </c>
      <c r="B31" t="inlineStr">
        <is>
          <t>Japanese anchovy</t>
        </is>
      </c>
      <c r="C31" t="inlineStr">
        <is>
          <t>Small pelagics (&lt;30 cm)</t>
        </is>
      </c>
      <c r="D31" t="inlineStr">
        <is>
          <t>Anchovies</t>
        </is>
      </c>
      <c r="E31" s="8" t="inlineStr">
        <is>
          <t>Unresolved</t>
        </is>
      </c>
      <c r="F31" t="inlineStr"/>
      <c r="G31" t="inlineStr"/>
      <c r="H31" t="inlineStr">
        <is>
          <t>unresolved</t>
        </is>
      </c>
      <c r="I31" t="inlineStr">
        <is>
          <t>none</t>
        </is>
      </c>
      <c r="J31" t="n">
        <v>546075.036</v>
      </c>
      <c r="K31" t="n">
        <v>0.2253</v>
      </c>
      <c r="L31" s="6" t="inlineStr">
        <is>
          <t>Engraulidae (Japanese anchovy), small epipelagic; no anchovy or generic pelagic-fish group exists in the Okhotsk model. Reviewed: no documented compatible group for this catch label.</t>
        </is>
      </c>
    </row>
    <row r="32">
      <c r="A32" t="inlineStr">
        <is>
          <t>Laemonema longipes</t>
        </is>
      </c>
      <c r="B32" t="inlineStr">
        <is>
          <t>Longfin codling</t>
        </is>
      </c>
      <c r="C32" t="inlineStr">
        <is>
          <t>Medium benthopelagics (30 - 89 cm)</t>
        </is>
      </c>
      <c r="D32" t="inlineStr">
        <is>
          <t>Cod-likes</t>
        </is>
      </c>
      <c r="E32" s="5" t="inlineStr">
        <is>
          <t>Other bottom fishes</t>
        </is>
      </c>
      <c r="F32" t="inlineStr"/>
      <c r="G32" t="inlineStr"/>
      <c r="H32" t="inlineStr">
        <is>
          <t>medium</t>
        </is>
      </c>
      <c r="I32" t="inlineStr">
        <is>
          <t>habitat_size_guild</t>
        </is>
      </c>
      <c r="J32" t="n">
        <v>535524.236</v>
      </c>
      <c r="K32" t="n">
        <v>0.221</v>
      </c>
      <c r="L32" s="6" t="inlineStr">
        <is>
          <t>Laemonema longipes is a demersal morid; the model has a residual bottom-fish group and no separate Moridae.</t>
        </is>
      </c>
    </row>
    <row r="33">
      <c r="A33" t="inlineStr">
        <is>
          <t>Chionoecetes</t>
        </is>
      </c>
      <c r="B33" t="inlineStr">
        <is>
          <t>Tanner, snow crabs</t>
        </is>
      </c>
      <c r="C33" t="inlineStr">
        <is>
          <t>Lobsters, crabs</t>
        </is>
      </c>
      <c r="D33" t="inlineStr">
        <is>
          <t>Crustaceans</t>
        </is>
      </c>
      <c r="E33" s="7" t="inlineStr">
        <is>
          <t>Crabs and shrimps</t>
        </is>
      </c>
      <c r="F33" t="inlineStr"/>
      <c r="G33" t="inlineStr"/>
      <c r="H33" t="inlineStr">
        <is>
          <t>high</t>
        </is>
      </c>
      <c r="I33" t="inlineStr">
        <is>
          <t>taxonomic_containment</t>
        </is>
      </c>
      <c r="J33" t="n">
        <v>513134.296</v>
      </c>
      <c r="K33" t="n">
        <v>0.2117</v>
      </c>
      <c r="L33" s="6" t="inlineStr">
        <is>
          <t>Chaikina 2020 Table 1 names Crabs and shrimps; the catch taxon Chionoecetes is within that taxonomic compartment (WoRMS taxonomy checked).</t>
        </is>
      </c>
    </row>
    <row r="34">
      <c r="A34" t="inlineStr">
        <is>
          <t>Oncorhynchus kisutch</t>
        </is>
      </c>
      <c r="B34" t="inlineStr">
        <is>
          <t>Coho salmon</t>
        </is>
      </c>
      <c r="C34" t="inlineStr">
        <is>
          <t>Large demersals (&gt;=90 cm)</t>
        </is>
      </c>
      <c r="D34" t="inlineStr">
        <is>
          <t>Salmon, smelts, etc</t>
        </is>
      </c>
      <c r="E34" s="7" t="inlineStr">
        <is>
          <t>Salmon</t>
        </is>
      </c>
      <c r="F34" t="inlineStr"/>
      <c r="G34" t="inlineStr"/>
      <c r="H34" t="inlineStr">
        <is>
          <t>high</t>
        </is>
      </c>
      <c r="I34" t="inlineStr">
        <is>
          <t>taxonomic_containment</t>
        </is>
      </c>
      <c r="J34" t="n">
        <v>418738.451</v>
      </c>
      <c r="K34" t="n">
        <v>0.1728</v>
      </c>
      <c r="L34" s="6" t="inlineStr">
        <is>
          <t>Pacific salmon catch within the Salmon compartment in Chaikina 2020 Table 1; no size/stage split is supplied.</t>
        </is>
      </c>
    </row>
    <row r="35">
      <c r="A35" t="inlineStr">
        <is>
          <t>Chionoecetes opilio</t>
        </is>
      </c>
      <c r="B35" t="inlineStr">
        <is>
          <t>Snow crab</t>
        </is>
      </c>
      <c r="C35" t="inlineStr">
        <is>
          <t>Lobsters, crabs</t>
        </is>
      </c>
      <c r="D35" t="inlineStr">
        <is>
          <t>Crustaceans</t>
        </is>
      </c>
      <c r="E35" s="7" t="inlineStr">
        <is>
          <t>Crabs and shrimps</t>
        </is>
      </c>
      <c r="F35" t="inlineStr"/>
      <c r="G35" t="inlineStr"/>
      <c r="H35" t="inlineStr">
        <is>
          <t>high</t>
        </is>
      </c>
      <c r="I35" t="inlineStr">
        <is>
          <t>taxonomic_containment</t>
        </is>
      </c>
      <c r="J35" t="n">
        <v>409348.485</v>
      </c>
      <c r="K35" t="n">
        <v>0.1689</v>
      </c>
      <c r="L35" s="6" t="inlineStr">
        <is>
          <t>Chaikina 2020 Table 1 names Crabs and shrimps; the catch taxon Chionoecetes opilio is within that taxonomic compartment (WoRMS taxonomy checked).</t>
        </is>
      </c>
    </row>
    <row r="36">
      <c r="A36" t="inlineStr">
        <is>
          <t>Bivalvia</t>
        </is>
      </c>
      <c r="B36" t="inlineStr">
        <is>
          <t>Clams</t>
        </is>
      </c>
      <c r="C36" t="inlineStr">
        <is>
          <t>Other demersal invertebrates</t>
        </is>
      </c>
      <c r="D36" t="inlineStr">
        <is>
          <t>Molluscs</t>
        </is>
      </c>
      <c r="E36" s="5" t="inlineStr">
        <is>
          <t>2nd level benthos</t>
        </is>
      </c>
      <c r="F36" t="inlineStr"/>
      <c r="G36" t="inlineStr"/>
      <c r="H36" t="inlineStr">
        <is>
          <t>medium</t>
        </is>
      </c>
      <c r="I36" t="inlineStr">
        <is>
          <t>habitat_size_guild</t>
        </is>
      </c>
      <c r="J36" t="n">
        <v>391148.826</v>
      </c>
      <c r="K36" t="n">
        <v>0.1614</v>
      </c>
      <c r="L36" s="6" t="inlineStr">
        <is>
          <t>Analyst inference: Bivalvia is a benthic suspension/deposit feeder or grazer, consistent with Chaikina 2020 Table 1 second-level benthos and its basal diet in Table 3; no species member list is supplied.</t>
        </is>
      </c>
    </row>
    <row r="37">
      <c r="A37" t="inlineStr">
        <is>
          <t>Atheresthes evermanni</t>
        </is>
      </c>
      <c r="B37" t="inlineStr">
        <is>
          <t>Kamchatka flounder</t>
        </is>
      </c>
      <c r="C37" t="inlineStr">
        <is>
          <t>Large flatfishes (&gt;=90 cm)</t>
        </is>
      </c>
      <c r="D37" t="inlineStr">
        <is>
          <t>Flatfishes</t>
        </is>
      </c>
      <c r="E37" s="7" t="inlineStr">
        <is>
          <t>Pleuronectidae</t>
        </is>
      </c>
      <c r="F37" t="inlineStr"/>
      <c r="G37" t="inlineStr"/>
      <c r="H37" t="inlineStr">
        <is>
          <t>high</t>
        </is>
      </c>
      <c r="I37" t="inlineStr">
        <is>
          <t>taxonomic_containment</t>
        </is>
      </c>
      <c r="J37" t="n">
        <v>383636.504</v>
      </c>
      <c r="K37" t="n">
        <v>0.1583</v>
      </c>
      <c r="L37" s="6" t="inlineStr">
        <is>
          <t>Chaikina 2020 Table 1 names Pleuronectidae; the catch taxon Atheresthes evermanni is within that taxonomic compartment (WoRMS taxonomy checked).</t>
        </is>
      </c>
    </row>
    <row r="38">
      <c r="A38" t="inlineStr">
        <is>
          <t>Batoidea</t>
        </is>
      </c>
      <c r="B38" t="inlineStr">
        <is>
          <t>Batoids, skates, rays, sawfishes</t>
        </is>
      </c>
      <c r="C38" t="inlineStr">
        <is>
          <t>Large rays (&gt;=90 cm)</t>
        </is>
      </c>
      <c r="D38" t="inlineStr">
        <is>
          <t>Sharks &amp; rays</t>
        </is>
      </c>
      <c r="E38" s="8" t="inlineStr">
        <is>
          <t>Unresolved</t>
        </is>
      </c>
      <c r="F38" t="inlineStr"/>
      <c r="G38" t="inlineStr"/>
      <c r="H38" t="inlineStr">
        <is>
          <t>unresolved</t>
        </is>
      </c>
      <c r="I38" t="inlineStr">
        <is>
          <t>none</t>
        </is>
      </c>
      <c r="J38" t="n">
        <v>375866.584</v>
      </c>
      <c r="K38" t="n">
        <v>0.1551</v>
      </c>
      <c r="L38" s="6" t="inlineStr">
        <is>
          <t>Skates/rays; the Okhotsk model contains no elasmobranch (shark/ray) group at all, only marine mammals, seabirds, fish and invertebrates. Reviewed: no documented compatible group for this catch label.</t>
        </is>
      </c>
    </row>
    <row r="39">
      <c r="A39" t="inlineStr">
        <is>
          <t>Osmeridae</t>
        </is>
      </c>
      <c r="B39" t="inlineStr">
        <is>
          <t>Smelts</t>
        </is>
      </c>
      <c r="C39" t="inlineStr">
        <is>
          <t>Small pelagics (&lt;30 cm)</t>
        </is>
      </c>
      <c r="D39" t="inlineStr">
        <is>
          <t>Salmon, smelts, etc</t>
        </is>
      </c>
      <c r="E39" s="8" t="inlineStr">
        <is>
          <t>Unresolved</t>
        </is>
      </c>
      <c r="F39" t="inlineStr"/>
      <c r="G39" t="inlineStr"/>
      <c r="H39" t="inlineStr">
        <is>
          <t>unresolved</t>
        </is>
      </c>
      <c r="I39" t="inlineStr">
        <is>
          <t>none</t>
        </is>
      </c>
      <c r="J39" t="n">
        <v>340195.148</v>
      </c>
      <c r="K39" t="n">
        <v>0.1404</v>
      </c>
      <c r="L39" s="6" t="inlineStr">
        <is>
          <t>Family Osmeridae (true smelts) includes several genera besides capelin (e.g. Hypomesus, Osmerus); the model's only Osmeridae-linked group, 'Capelin', is species-specific, so an unidentified smelt cannot be safely assigned to it. Reviewed: no documented compatible group for this catch label.</t>
        </is>
      </c>
    </row>
    <row r="40">
      <c r="A40" t="inlineStr">
        <is>
          <t>Hippoglossus stenolepis</t>
        </is>
      </c>
      <c r="B40" t="inlineStr">
        <is>
          <t>Pacific halibut</t>
        </is>
      </c>
      <c r="C40" t="inlineStr">
        <is>
          <t>Large flatfishes (&gt;=90 cm)</t>
        </is>
      </c>
      <c r="D40" t="inlineStr">
        <is>
          <t>Flatfishes</t>
        </is>
      </c>
      <c r="E40" s="7" t="inlineStr">
        <is>
          <t>Pleuronectidae</t>
        </is>
      </c>
      <c r="F40" t="inlineStr"/>
      <c r="G40" t="inlineStr"/>
      <c r="H40" t="inlineStr">
        <is>
          <t>high</t>
        </is>
      </c>
      <c r="I40" t="inlineStr">
        <is>
          <t>taxonomic_containment</t>
        </is>
      </c>
      <c r="J40" t="n">
        <v>238734.624</v>
      </c>
      <c r="K40" t="n">
        <v>0.0985</v>
      </c>
      <c r="L40" s="6" t="inlineStr">
        <is>
          <t>Chaikina 2020 Table 1 names Pleuronectidae; the catch taxon Hippoglossus stenolepis is within that taxonomic compartment (WoRMS taxonomy checked).</t>
        </is>
      </c>
    </row>
    <row r="41">
      <c r="A41" t="inlineStr">
        <is>
          <t>Sebastidae</t>
        </is>
      </c>
      <c r="B41" t="inlineStr">
        <is>
          <t>Rockfishes, rockcods, thornyheads</t>
        </is>
      </c>
      <c r="C41" t="inlineStr">
        <is>
          <t>Medium demersals (30 - 89 cm)</t>
        </is>
      </c>
      <c r="D41" t="inlineStr">
        <is>
          <t>Scorpionfishes</t>
        </is>
      </c>
      <c r="E41" s="5" t="inlineStr">
        <is>
          <t>Other bottom fishes</t>
        </is>
      </c>
      <c r="F41" t="inlineStr"/>
      <c r="G41" t="inlineStr"/>
      <c r="H41" t="inlineStr">
        <is>
          <t>medium</t>
        </is>
      </c>
      <c r="I41" t="inlineStr">
        <is>
          <t>habitat_size_guild</t>
        </is>
      </c>
      <c r="J41" t="n">
        <v>237687.743</v>
      </c>
      <c r="K41" t="n">
        <v>0.09810000000000001</v>
      </c>
      <c r="L41" s="6" t="inlineStr">
        <is>
          <t>Rockfishes (Sebastidae) are benthopelagic/demersal predators with no dedicated group; placed in the residual 'Other bottom fishes' group on habitat and trophic-level grounds. Reviewed against Chaikina 2020 Table 1; species membership is not tabulated.</t>
        </is>
      </c>
    </row>
    <row r="42">
      <c r="A42" t="inlineStr">
        <is>
          <t>Decapoda</t>
        </is>
      </c>
      <c r="B42" t="inlineStr">
        <is>
          <t>Crabs, lobsters, shrimps</t>
        </is>
      </c>
      <c r="C42" t="inlineStr">
        <is>
          <t>Lobsters, crabs</t>
        </is>
      </c>
      <c r="D42" t="inlineStr">
        <is>
          <t>Crustaceans</t>
        </is>
      </c>
      <c r="E42" s="7" t="inlineStr">
        <is>
          <t>Crabs and shrimps</t>
        </is>
      </c>
      <c r="F42" t="inlineStr"/>
      <c r="G42" t="inlineStr"/>
      <c r="H42" t="inlineStr">
        <is>
          <t>high</t>
        </is>
      </c>
      <c r="I42" t="inlineStr">
        <is>
          <t>taxonomic_containment</t>
        </is>
      </c>
      <c r="J42" t="n">
        <v>232812.554</v>
      </c>
      <c r="K42" t="n">
        <v>0.0961</v>
      </c>
      <c r="L42" s="6" t="inlineStr">
        <is>
          <t>Chaikina 2020 Table 1 names Crabs and shrimps; the catch taxon Decapoda is within that taxonomic compartment (WoRMS taxonomy checked).</t>
        </is>
      </c>
    </row>
    <row r="43">
      <c r="A43" t="inlineStr">
        <is>
          <t>Octopoda</t>
        </is>
      </c>
      <c r="B43" t="inlineStr">
        <is>
          <t>Octopuses, argonauts</t>
        </is>
      </c>
      <c r="C43" t="inlineStr">
        <is>
          <t>Cephalopods</t>
        </is>
      </c>
      <c r="D43" t="inlineStr">
        <is>
          <t>Other fishes &amp; inverts</t>
        </is>
      </c>
      <c r="E43" s="9" t="inlineStr">
        <is>
          <t>Carnivorous invertebrates</t>
        </is>
      </c>
      <c r="F43" t="inlineStr"/>
      <c r="G43" t="inlineStr"/>
      <c r="H43" t="inlineStr">
        <is>
          <t>low</t>
        </is>
      </c>
      <c r="I43" t="inlineStr">
        <is>
          <t>analogue</t>
        </is>
      </c>
      <c r="J43" t="n">
        <v>231062.901</v>
      </c>
      <c r="K43" t="n">
        <v>0.0953</v>
      </c>
      <c r="L43" s="6" t="inlineStr">
        <is>
          <t>Octopods are benthic carnivorous invertebrates; placement is an ecological analogue because the source does not name their species.</t>
        </is>
      </c>
    </row>
    <row r="44">
      <c r="A44" t="inlineStr">
        <is>
          <t>Anoplopoma fimbria</t>
        </is>
      </c>
      <c r="B44" t="inlineStr">
        <is>
          <t>Sablefish</t>
        </is>
      </c>
      <c r="C44" t="inlineStr">
        <is>
          <t>Large bathydemersals (&gt;=90 cm)</t>
        </is>
      </c>
      <c r="D44" t="inlineStr">
        <is>
          <t>Scorpionfishes</t>
        </is>
      </c>
      <c r="E44" s="5" t="inlineStr">
        <is>
          <t>Other bottom fishes</t>
        </is>
      </c>
      <c r="F44" t="inlineStr"/>
      <c r="G44" t="inlineStr"/>
      <c r="H44" t="inlineStr">
        <is>
          <t>medium</t>
        </is>
      </c>
      <c r="I44" t="inlineStr">
        <is>
          <t>habitat_size_guild</t>
        </is>
      </c>
      <c r="J44" t="n">
        <v>222419.043</v>
      </c>
      <c r="K44" t="n">
        <v>0.09180000000000001</v>
      </c>
      <c r="L44" s="6" t="inlineStr">
        <is>
          <t>Sablefish is a bathydemersal predator with no dedicated group; placed in the residual 'Other bottom fishes' group (TL ~3.86) on habitat/trophic grounds. Reviewed against Chaikina 2020 Table 1; species membership is not tabulated.</t>
        </is>
      </c>
    </row>
    <row r="45">
      <c r="A45" t="inlineStr">
        <is>
          <t>Reinhardtius hippoglossoides</t>
        </is>
      </c>
      <c r="B45" t="inlineStr">
        <is>
          <t>Greenland halibut</t>
        </is>
      </c>
      <c r="C45" t="inlineStr">
        <is>
          <t>Small to medium flatfishes (&lt;90 cm)</t>
        </is>
      </c>
      <c r="D45" t="inlineStr">
        <is>
          <t>Flatfishes</t>
        </is>
      </c>
      <c r="E45" s="7" t="inlineStr">
        <is>
          <t>Pleuronectidae</t>
        </is>
      </c>
      <c r="F45" t="inlineStr"/>
      <c r="G45" t="inlineStr"/>
      <c r="H45" t="inlineStr">
        <is>
          <t>high</t>
        </is>
      </c>
      <c r="I45" t="inlineStr">
        <is>
          <t>taxonomic_containment</t>
        </is>
      </c>
      <c r="J45" t="n">
        <v>222110.863</v>
      </c>
      <c r="K45" t="n">
        <v>0.0917</v>
      </c>
      <c r="L45" s="6" t="inlineStr">
        <is>
          <t>Chaikina 2020 Table 1 names Pleuronectidae; the catch taxon Reinhardtius hippoglossoides is within that taxonomic compartment (WoRMS taxonomy checked).</t>
        </is>
      </c>
    </row>
    <row r="46">
      <c r="A46" t="inlineStr">
        <is>
          <t>Salmonidae</t>
        </is>
      </c>
      <c r="B46" t="inlineStr">
        <is>
          <t>Salmonids</t>
        </is>
      </c>
      <c r="C46" t="inlineStr">
        <is>
          <t>Large benthopelagics (&gt;=90 cm)</t>
        </is>
      </c>
      <c r="D46" t="inlineStr">
        <is>
          <t>Salmon, smelts, etc</t>
        </is>
      </c>
      <c r="E46" s="7" t="inlineStr">
        <is>
          <t>Salmon</t>
        </is>
      </c>
      <c r="F46" t="inlineStr"/>
      <c r="G46" t="inlineStr"/>
      <c r="H46" t="inlineStr">
        <is>
          <t>high</t>
        </is>
      </c>
      <c r="I46" t="inlineStr">
        <is>
          <t>taxonomic_containment</t>
        </is>
      </c>
      <c r="J46" t="n">
        <v>217485.93</v>
      </c>
      <c r="K46" t="n">
        <v>0.0897</v>
      </c>
      <c r="L46" s="6" t="inlineStr">
        <is>
          <t>Pacific salmon catch within the Salmon compartment in Chaikina 2020 Table 1; no size/stage split is supplied.</t>
        </is>
      </c>
    </row>
    <row r="47">
      <c r="A47" t="inlineStr">
        <is>
          <t>Arctoscopus japonicus</t>
        </is>
      </c>
      <c r="B47" t="inlineStr">
        <is>
          <t>Japanese sandfish</t>
        </is>
      </c>
      <c r="C47" t="inlineStr">
        <is>
          <t>Small bathydemersals (&lt;30 cm)</t>
        </is>
      </c>
      <c r="D47" t="inlineStr">
        <is>
          <t>Perch-likes</t>
        </is>
      </c>
      <c r="E47" s="5" t="inlineStr">
        <is>
          <t>Other bottom fishes</t>
        </is>
      </c>
      <c r="F47" t="inlineStr"/>
      <c r="G47" t="inlineStr"/>
      <c r="H47" t="inlineStr">
        <is>
          <t>medium</t>
        </is>
      </c>
      <c r="I47" t="inlineStr">
        <is>
          <t>habitat_size_guild</t>
        </is>
      </c>
      <c r="J47" t="n">
        <v>204057.395</v>
      </c>
      <c r="K47" t="n">
        <v>0.0842</v>
      </c>
      <c r="L47" s="6" t="inlineStr">
        <is>
          <t>Japanese sandfish (Trichodontidae) is a small bathydemersal, sand-dwelling fish with no dedicated group (it is not Ammodytidae); placed in the residual 'Other bottom fishes' group. Reviewed against Chaikina 2020 Table 1; species membership is not tabulated.</t>
        </is>
      </c>
    </row>
    <row r="48">
      <c r="A48" t="inlineStr">
        <is>
          <t>Trichiurus lepturus</t>
        </is>
      </c>
      <c r="B48" t="inlineStr">
        <is>
          <t>Largehead hairtail</t>
        </is>
      </c>
      <c r="C48" t="inlineStr">
        <is>
          <t>Large benthopelagics (&gt;=90 cm)</t>
        </is>
      </c>
      <c r="D48" t="inlineStr">
        <is>
          <t>Perch-likes</t>
        </is>
      </c>
      <c r="E48" s="8" t="inlineStr">
        <is>
          <t>Unresolved</t>
        </is>
      </c>
      <c r="F48" t="inlineStr"/>
      <c r="G48" t="inlineStr"/>
      <c r="H48" t="inlineStr">
        <is>
          <t>unresolved</t>
        </is>
      </c>
      <c r="I48" t="inlineStr">
        <is>
          <t>none</t>
        </is>
      </c>
      <c r="J48" t="n">
        <v>195817.051</v>
      </c>
      <c r="K48" t="n">
        <v>0.0808</v>
      </c>
      <c r="L48" s="6" t="inlineStr">
        <is>
          <t>Largehead hairtail (Trichiuridae) is a warm-temperate/tropical benthopelagic predator; no matching group in the Okhotsk model. Reviewed: no documented compatible group for this catch label.</t>
        </is>
      </c>
    </row>
    <row r="49">
      <c r="A49" t="inlineStr">
        <is>
          <t>Brachyura</t>
        </is>
      </c>
      <c r="B49" t="inlineStr">
        <is>
          <t>Marine crabs</t>
        </is>
      </c>
      <c r="C49" t="inlineStr">
        <is>
          <t>Lobsters, crabs</t>
        </is>
      </c>
      <c r="D49" t="inlineStr">
        <is>
          <t>Crustaceans</t>
        </is>
      </c>
      <c r="E49" s="7" t="inlineStr">
        <is>
          <t>Crabs and shrimps</t>
        </is>
      </c>
      <c r="F49" t="inlineStr"/>
      <c r="G49" t="inlineStr"/>
      <c r="H49" t="inlineStr">
        <is>
          <t>high</t>
        </is>
      </c>
      <c r="I49" t="inlineStr">
        <is>
          <t>taxonomic_containment</t>
        </is>
      </c>
      <c r="J49" t="n">
        <v>191958.178</v>
      </c>
      <c r="K49" t="n">
        <v>0.07920000000000001</v>
      </c>
      <c r="L49" s="6" t="inlineStr">
        <is>
          <t>Chaikina 2020 Table 1 names Crabs and shrimps; the catch taxon Brachyura is within that taxonomic compartment (WoRMS taxonomy checked).</t>
        </is>
      </c>
    </row>
    <row r="50">
      <c r="A50" t="inlineStr">
        <is>
          <t>Pandalus borealis</t>
        </is>
      </c>
      <c r="B50" t="inlineStr">
        <is>
          <t>Northern prawn</t>
        </is>
      </c>
      <c r="C50" t="inlineStr">
        <is>
          <t>Shrimps</t>
        </is>
      </c>
      <c r="D50" t="inlineStr">
        <is>
          <t>Crustaceans</t>
        </is>
      </c>
      <c r="E50" s="7" t="inlineStr">
        <is>
          <t>Crabs and shrimps</t>
        </is>
      </c>
      <c r="F50" t="inlineStr"/>
      <c r="G50" t="inlineStr"/>
      <c r="H50" t="inlineStr">
        <is>
          <t>high</t>
        </is>
      </c>
      <c r="I50" t="inlineStr">
        <is>
          <t>taxonomic_containment</t>
        </is>
      </c>
      <c r="J50" t="n">
        <v>178082.576</v>
      </c>
      <c r="K50" t="n">
        <v>0.0735</v>
      </c>
      <c r="L50" s="6" t="inlineStr">
        <is>
          <t>Chaikina 2020 Table 1 names Crabs and shrimps; the catch taxon Pandalus borealis is within that taxonomic compartment (WoRMS taxonomy checked).</t>
        </is>
      </c>
    </row>
    <row r="51">
      <c r="A51" t="inlineStr">
        <is>
          <t>Cephalopoda</t>
        </is>
      </c>
      <c r="B51" t="inlineStr">
        <is>
          <t>Squids, cuttlefishes, octopuses</t>
        </is>
      </c>
      <c r="C51" t="inlineStr">
        <is>
          <t>Cephalopods</t>
        </is>
      </c>
      <c r="D51" t="inlineStr">
        <is>
          <t>Other fishes &amp; inverts</t>
        </is>
      </c>
      <c r="E51" s="9" t="inlineStr">
        <is>
          <t>Squids | Carnivorous invertebrates</t>
        </is>
      </c>
      <c r="F51" t="inlineStr">
        <is>
          <t>0.887 | 0.113</t>
        </is>
      </c>
      <c r="G51" t="inlineStr">
        <is>
          <t>catch_composition</t>
        </is>
      </c>
      <c r="H51" t="inlineStr">
        <is>
          <t>low</t>
        </is>
      </c>
      <c r="I51" t="inlineStr">
        <is>
          <t>composite_split</t>
        </is>
      </c>
      <c r="J51" t="n">
        <v>165448.29</v>
      </c>
      <c r="K51" t="n">
        <v>0.0683</v>
      </c>
      <c r="L51" s="6" t="inlineStr">
        <is>
          <t>Cephalopods include the named squids and benthic octopods provisionally assigned to the carnivorous-invertebrate pool; source has no octopod list.</t>
        </is>
      </c>
    </row>
    <row r="52">
      <c r="A52" t="inlineStr">
        <is>
          <t>Trachurus japonicus</t>
        </is>
      </c>
      <c r="B52" t="inlineStr">
        <is>
          <t>Japanese jack mackerel</t>
        </is>
      </c>
      <c r="C52" t="inlineStr">
        <is>
          <t>Medium demersals (30 - 89 cm)</t>
        </is>
      </c>
      <c r="D52" t="inlineStr">
        <is>
          <t>Perch-likes</t>
        </is>
      </c>
      <c r="E52" s="8" t="inlineStr">
        <is>
          <t>Unresolved</t>
        </is>
      </c>
      <c r="F52" t="inlineStr"/>
      <c r="G52" t="inlineStr"/>
      <c r="H52" t="inlineStr">
        <is>
          <t>unresolved</t>
        </is>
      </c>
      <c r="I52" t="inlineStr">
        <is>
          <t>none</t>
        </is>
      </c>
      <c r="J52" t="n">
        <v>160436.364</v>
      </c>
      <c r="K52" t="n">
        <v>0.06619999999999999</v>
      </c>
      <c r="L52" s="6" t="inlineStr">
        <is>
          <t>Japanese jack mackerel, family Carangidae, epipelagic; no pelagic-fish group in the Okhotsk model. Reviewed: no documented compatible group for this catch label.</t>
        </is>
      </c>
    </row>
    <row r="53">
      <c r="A53" t="inlineStr">
        <is>
          <t>Mizuhopecten yessoensis</t>
        </is>
      </c>
      <c r="B53" t="inlineStr">
        <is>
          <t>Yesso scallop</t>
        </is>
      </c>
      <c r="C53" t="inlineStr">
        <is>
          <t>Other demersal invertebrates</t>
        </is>
      </c>
      <c r="D53" t="inlineStr">
        <is>
          <t>Molluscs</t>
        </is>
      </c>
      <c r="E53" s="5" t="inlineStr">
        <is>
          <t>2nd level benthos</t>
        </is>
      </c>
      <c r="F53" t="inlineStr"/>
      <c r="G53" t="inlineStr"/>
      <c r="H53" t="inlineStr">
        <is>
          <t>medium</t>
        </is>
      </c>
      <c r="I53" t="inlineStr">
        <is>
          <t>habitat_size_guild</t>
        </is>
      </c>
      <c r="J53" t="n">
        <v>146408.228</v>
      </c>
      <c r="K53" t="n">
        <v>0.0604</v>
      </c>
      <c r="L53" s="6" t="inlineStr">
        <is>
          <t>Analyst inference: Mizuhopecten yessoensis is a benthic suspension/deposit feeder or grazer, consistent with Chaikina 2020 Table 1 second-level benthos and its basal diet in Table 3; no species member list is supplied.</t>
        </is>
      </c>
    </row>
    <row r="54">
      <c r="A54" t="inlineStr">
        <is>
          <t>Octopodidae</t>
        </is>
      </c>
      <c r="B54" t="inlineStr">
        <is>
          <t>Octopuses</t>
        </is>
      </c>
      <c r="C54" t="inlineStr">
        <is>
          <t>Cephalopods</t>
        </is>
      </c>
      <c r="D54" t="inlineStr">
        <is>
          <t>Other fishes &amp; inverts</t>
        </is>
      </c>
      <c r="E54" s="9" t="inlineStr">
        <is>
          <t>Carnivorous invertebrates</t>
        </is>
      </c>
      <c r="F54" t="inlineStr"/>
      <c r="G54" t="inlineStr"/>
      <c r="H54" t="inlineStr">
        <is>
          <t>low</t>
        </is>
      </c>
      <c r="I54" t="inlineStr">
        <is>
          <t>analogue</t>
        </is>
      </c>
      <c r="J54" t="n">
        <v>145261.179</v>
      </c>
      <c r="K54" t="n">
        <v>0.0599</v>
      </c>
      <c r="L54" s="6" t="inlineStr">
        <is>
          <t>Octopods are benthic carnivorous invertebrates; placement is an ecological analogue because the source does not name their species.</t>
        </is>
      </c>
    </row>
    <row r="55">
      <c r="A55" t="inlineStr">
        <is>
          <t>Sciaenidae</t>
        </is>
      </c>
      <c r="B55" t="inlineStr">
        <is>
          <t>Drums, croakers</t>
        </is>
      </c>
      <c r="C55" t="inlineStr">
        <is>
          <t>Medium demersals (30 - 89 cm)</t>
        </is>
      </c>
      <c r="D55" t="inlineStr">
        <is>
          <t>Perch-likes</t>
        </is>
      </c>
      <c r="E55" s="8" t="inlineStr">
        <is>
          <t>Unresolved</t>
        </is>
      </c>
      <c r="F55" t="inlineStr"/>
      <c r="G55" t="inlineStr"/>
      <c r="H55" t="inlineStr">
        <is>
          <t>unresolved</t>
        </is>
      </c>
      <c r="I55" t="inlineStr">
        <is>
          <t>none</t>
        </is>
      </c>
      <c r="J55" t="n">
        <v>115312.669</v>
      </c>
      <c r="K55" t="n">
        <v>0.0476</v>
      </c>
      <c r="L55" s="6" t="inlineStr">
        <is>
          <t>Drums/croakers, a warm-temperate demersal family; no matching group in the Okhotsk model. Reviewed: no documented compatible group for this catch label.</t>
        </is>
      </c>
    </row>
    <row r="56">
      <c r="A56" t="inlineStr">
        <is>
          <t>Carangidae</t>
        </is>
      </c>
      <c r="B56" t="inlineStr">
        <is>
          <t>Jacks, pompanos</t>
        </is>
      </c>
      <c r="C56" t="inlineStr">
        <is>
          <t>Medium pelagics (30 - 89 cm)</t>
        </is>
      </c>
      <c r="D56" t="inlineStr">
        <is>
          <t>Perch-likes</t>
        </is>
      </c>
      <c r="E56" s="8" t="inlineStr">
        <is>
          <t>Unresolved</t>
        </is>
      </c>
      <c r="F56" t="inlineStr"/>
      <c r="G56" t="inlineStr"/>
      <c r="H56" t="inlineStr">
        <is>
          <t>unresolved</t>
        </is>
      </c>
      <c r="I56" t="inlineStr">
        <is>
          <t>none</t>
        </is>
      </c>
      <c r="J56" t="n">
        <v>113522.544</v>
      </c>
      <c r="K56" t="n">
        <v>0.0468</v>
      </c>
      <c r="L56" s="6" t="inlineStr">
        <is>
          <t>Jacks/pompanos, epipelagic; no pelagic-fish group in the Okhotsk model. Reviewed: no documented compatible group for this catch label.</t>
        </is>
      </c>
    </row>
    <row r="57">
      <c r="A57" t="inlineStr">
        <is>
          <t>Sebastes</t>
        </is>
      </c>
      <c r="B57" t="inlineStr">
        <is>
          <t>Redfishes</t>
        </is>
      </c>
      <c r="C57" t="inlineStr">
        <is>
          <t>Large reef assoc. fish (&gt;=90 cm)</t>
        </is>
      </c>
      <c r="D57" t="inlineStr">
        <is>
          <t>Scorpionfishes</t>
        </is>
      </c>
      <c r="E57" s="5" t="inlineStr">
        <is>
          <t>Other bottom fishes</t>
        </is>
      </c>
      <c r="F57" t="inlineStr"/>
      <c r="G57" t="inlineStr"/>
      <c r="H57" t="inlineStr">
        <is>
          <t>medium</t>
        </is>
      </c>
      <c r="I57" t="inlineStr">
        <is>
          <t>habitat_size_guild</t>
        </is>
      </c>
      <c r="J57" t="n">
        <v>97536.08900000001</v>
      </c>
      <c r="K57" t="n">
        <v>0.0402</v>
      </c>
      <c r="L57" s="6" t="inlineStr">
        <is>
          <t>Rockfish genus (Sebastidae); same reasoning as Sebastidae -- placed in residual 'Other bottom fishes'. Reviewed against Chaikina 2020 Table 1; species membership is not tabulated.</t>
        </is>
      </c>
    </row>
    <row r="58">
      <c r="A58" t="inlineStr">
        <is>
          <t>Echinoidea</t>
        </is>
      </c>
      <c r="B58" t="inlineStr">
        <is>
          <t>Sea urchins, sea hedgehogs</t>
        </is>
      </c>
      <c r="C58" t="inlineStr">
        <is>
          <t>Other demersal invertebrates</t>
        </is>
      </c>
      <c r="D58" t="inlineStr">
        <is>
          <t>Other fishes &amp; inverts</t>
        </is>
      </c>
      <c r="E58" s="5" t="inlineStr">
        <is>
          <t>2nd level benthos</t>
        </is>
      </c>
      <c r="F58" t="inlineStr"/>
      <c r="G58" t="inlineStr"/>
      <c r="H58" t="inlineStr">
        <is>
          <t>medium</t>
        </is>
      </c>
      <c r="I58" t="inlineStr">
        <is>
          <t>habitat_size_guild</t>
        </is>
      </c>
      <c r="J58" t="n">
        <v>94820.673</v>
      </c>
      <c r="K58" t="n">
        <v>0.0391</v>
      </c>
      <c r="L58" s="6" t="inlineStr">
        <is>
          <t>Analyst inference: Echinoidea is a benthic suspension/deposit feeder or grazer, consistent with Chaikina 2020 Table 1 second-level benthos and its basal diet in Table 3; no species member list is supplied.</t>
        </is>
      </c>
    </row>
    <row r="59">
      <c r="A59" t="inlineStr">
        <is>
          <t>Seriola lalandi</t>
        </is>
      </c>
      <c r="B59" t="inlineStr">
        <is>
          <t>Yellowtail amberjack</t>
        </is>
      </c>
      <c r="C59" t="inlineStr">
        <is>
          <t>Large benthopelagics (&gt;=90 cm)</t>
        </is>
      </c>
      <c r="D59" t="inlineStr">
        <is>
          <t>Perch-likes</t>
        </is>
      </c>
      <c r="E59" s="8" t="inlineStr">
        <is>
          <t>Unresolved</t>
        </is>
      </c>
      <c r="F59" t="inlineStr"/>
      <c r="G59" t="inlineStr"/>
      <c r="H59" t="inlineStr">
        <is>
          <t>unresolved</t>
        </is>
      </c>
      <c r="I59" t="inlineStr">
        <is>
          <t>none</t>
        </is>
      </c>
      <c r="J59" t="n">
        <v>87092.753</v>
      </c>
      <c r="K59" t="n">
        <v>0.0359</v>
      </c>
      <c r="L59" s="6" t="inlineStr">
        <is>
          <t>Yellowtail amberjack, Carangidae, warm-water epipelagic; no matching group. Reviewed: no documented compatible group for this catch label.</t>
        </is>
      </c>
    </row>
    <row r="60">
      <c r="A60" t="inlineStr">
        <is>
          <t>Mugil cephalus</t>
        </is>
      </c>
      <c r="B60" t="inlineStr">
        <is>
          <t>Flathead grey mullet</t>
        </is>
      </c>
      <c r="C60" t="inlineStr">
        <is>
          <t>Large benthopelagics (&gt;=90 cm)</t>
        </is>
      </c>
      <c r="D60" t="inlineStr">
        <is>
          <t>Perch-likes</t>
        </is>
      </c>
      <c r="E60" s="8" t="inlineStr">
        <is>
          <t>Unresolved</t>
        </is>
      </c>
      <c r="F60" t="inlineStr"/>
      <c r="G60" t="inlineStr"/>
      <c r="H60" t="inlineStr">
        <is>
          <t>unresolved</t>
        </is>
      </c>
      <c r="I60" t="inlineStr">
        <is>
          <t>none</t>
        </is>
      </c>
      <c r="J60" t="n">
        <v>85819.28200000001</v>
      </c>
      <c r="K60" t="n">
        <v>0.0354</v>
      </c>
      <c r="L60" s="6" t="inlineStr">
        <is>
          <t>Flathead grey mullet, Mugilidae, warm coastal species; no matching group in the Okhotsk model. Reviewed: no documented compatible group for this catch label.</t>
        </is>
      </c>
    </row>
    <row r="61">
      <c r="A61" t="inlineStr">
        <is>
          <t>Chondrichthyes</t>
        </is>
      </c>
      <c r="B61" t="inlineStr">
        <is>
          <t>Sharks, rays, chimaeras</t>
        </is>
      </c>
      <c r="C61" t="inlineStr">
        <is>
          <t>Large sharks (&gt;=90 cm)</t>
        </is>
      </c>
      <c r="D61" t="inlineStr">
        <is>
          <t>Sharks &amp; rays</t>
        </is>
      </c>
      <c r="E61" s="8" t="inlineStr">
        <is>
          <t>Unresolved</t>
        </is>
      </c>
      <c r="F61" t="inlineStr"/>
      <c r="G61" t="inlineStr"/>
      <c r="H61" t="inlineStr">
        <is>
          <t>unresolved</t>
        </is>
      </c>
      <c r="I61" t="inlineStr">
        <is>
          <t>none</t>
        </is>
      </c>
      <c r="J61" t="n">
        <v>84064.859</v>
      </c>
      <c r="K61" t="n">
        <v>0.0347</v>
      </c>
      <c r="L61" s="6" t="inlineStr">
        <is>
          <t>Sharks/rays/chimaeras class-wide; the Okhotsk model has no elasmobranch group. Reviewed: no documented compatible group for this catch label.</t>
        </is>
      </c>
    </row>
    <row r="62">
      <c r="A62" t="inlineStr">
        <is>
          <t>Scombridae</t>
        </is>
      </c>
      <c r="B62" t="inlineStr">
        <is>
          <t>Mackerels, tunas, bonitos</t>
        </is>
      </c>
      <c r="C62" t="inlineStr">
        <is>
          <t>Medium pelagics (30 - 89 cm)</t>
        </is>
      </c>
      <c r="D62" t="inlineStr">
        <is>
          <t>Perch-likes</t>
        </is>
      </c>
      <c r="E62" s="8" t="inlineStr">
        <is>
          <t>Unresolved</t>
        </is>
      </c>
      <c r="F62" t="inlineStr"/>
      <c r="G62" t="inlineStr"/>
      <c r="H62" t="inlineStr">
        <is>
          <t>unresolved</t>
        </is>
      </c>
      <c r="I62" t="inlineStr">
        <is>
          <t>none</t>
        </is>
      </c>
      <c r="J62" t="n">
        <v>81111.298</v>
      </c>
      <c r="K62" t="n">
        <v>0.0335</v>
      </c>
      <c r="L62" s="6" t="inlineStr">
        <is>
          <t>Mackerels/tunas/bonitos family, epipelagic; no pelagic-fish group in the Okhotsk model. Reviewed: no documented compatible group for this catch label.</t>
        </is>
      </c>
    </row>
    <row r="63">
      <c r="A63" t="inlineStr">
        <is>
          <t>Sebastes alutus</t>
        </is>
      </c>
      <c r="B63" t="inlineStr">
        <is>
          <t>Pacific ocean perch</t>
        </is>
      </c>
      <c r="C63" t="inlineStr">
        <is>
          <t>Medium demersals (30 - 89 cm)</t>
        </is>
      </c>
      <c r="D63" t="inlineStr">
        <is>
          <t>Scorpionfishes</t>
        </is>
      </c>
      <c r="E63" s="5" t="inlineStr">
        <is>
          <t>Other bottom fishes</t>
        </is>
      </c>
      <c r="F63" t="inlineStr"/>
      <c r="G63" t="inlineStr"/>
      <c r="H63" t="inlineStr">
        <is>
          <t>medium</t>
        </is>
      </c>
      <c r="I63" t="inlineStr">
        <is>
          <t>habitat_size_guild</t>
        </is>
      </c>
      <c r="J63" t="n">
        <v>78933.788</v>
      </c>
      <c r="K63" t="n">
        <v>0.0326</v>
      </c>
      <c r="L63" s="6" t="inlineStr">
        <is>
          <t>Pacific ocean perch, Sebastidae, a North Pacific benthopelagic rockfish; placed in residual 'Other bottom fishes'. Reviewed against Chaikina 2020 Table 1; species membership is not tabulated.</t>
        </is>
      </c>
    </row>
    <row r="64">
      <c r="A64" t="inlineStr">
        <is>
          <t>Oncorhynchus tshawytscha</t>
        </is>
      </c>
      <c r="B64" t="inlineStr">
        <is>
          <t>Chinook salmon</t>
        </is>
      </c>
      <c r="C64" t="inlineStr">
        <is>
          <t>Large benthopelagics (&gt;=90 cm)</t>
        </is>
      </c>
      <c r="D64" t="inlineStr">
        <is>
          <t>Salmon, smelts, etc</t>
        </is>
      </c>
      <c r="E64" s="7" t="inlineStr">
        <is>
          <t>Salmon</t>
        </is>
      </c>
      <c r="F64" t="inlineStr"/>
      <c r="G64" t="inlineStr"/>
      <c r="H64" t="inlineStr">
        <is>
          <t>high</t>
        </is>
      </c>
      <c r="I64" t="inlineStr">
        <is>
          <t>taxonomic_containment</t>
        </is>
      </c>
      <c r="J64" t="n">
        <v>73299.914</v>
      </c>
      <c r="K64" t="n">
        <v>0.0302</v>
      </c>
      <c r="L64" s="6" t="inlineStr">
        <is>
          <t>Pacific salmon catch within the Salmon compartment in Chaikina 2020 Table 1; no size/stage split is supplied.</t>
        </is>
      </c>
    </row>
    <row r="65">
      <c r="A65" t="inlineStr">
        <is>
          <t>Salvelinus</t>
        </is>
      </c>
      <c r="B65" t="inlineStr">
        <is>
          <t>Chars</t>
        </is>
      </c>
      <c r="C65" t="inlineStr">
        <is>
          <t>Large benthopelagics (&gt;=90 cm)</t>
        </is>
      </c>
      <c r="D65" t="inlineStr">
        <is>
          <t>Salmon, smelts, etc</t>
        </is>
      </c>
      <c r="E65" s="8" t="inlineStr">
        <is>
          <t>Unresolved</t>
        </is>
      </c>
      <c r="F65" t="inlineStr"/>
      <c r="G65" t="inlineStr"/>
      <c r="H65" t="inlineStr">
        <is>
          <t>unresolved</t>
        </is>
      </c>
      <c r="I65" t="inlineStr">
        <is>
          <t>none</t>
        </is>
      </c>
      <c r="J65" t="n">
        <v>70112.436</v>
      </c>
      <c r="K65" t="n">
        <v>0.0289</v>
      </c>
      <c r="L65" s="6" t="inlineStr">
        <is>
          <t>The source names Salmon but does not document char or whitefish membership; their potentially anadromous/freshwater component cannot be assigned to Pacific salmon without evidence. Reviewed: no documented compatible group for this catch label.</t>
        </is>
      </c>
    </row>
    <row r="66">
      <c r="A66" t="inlineStr">
        <is>
          <t>Paralithodes platypus</t>
        </is>
      </c>
      <c r="B66" t="inlineStr">
        <is>
          <t>Blue king crab</t>
        </is>
      </c>
      <c r="C66" t="inlineStr">
        <is>
          <t>Lobsters, crabs</t>
        </is>
      </c>
      <c r="D66" t="inlineStr">
        <is>
          <t>Crustaceans</t>
        </is>
      </c>
      <c r="E66" s="7" t="inlineStr">
        <is>
          <t>Crabs and shrimps</t>
        </is>
      </c>
      <c r="F66" t="inlineStr"/>
      <c r="G66" t="inlineStr"/>
      <c r="H66" t="inlineStr">
        <is>
          <t>high</t>
        </is>
      </c>
      <c r="I66" t="inlineStr">
        <is>
          <t>taxonomic_containment</t>
        </is>
      </c>
      <c r="J66" t="n">
        <v>68504.94899999999</v>
      </c>
      <c r="K66" t="n">
        <v>0.0283</v>
      </c>
      <c r="L66" s="6" t="inlineStr">
        <is>
          <t>Chaikina 2020 Table 1 names Crabs and shrimps; the catch taxon Paralithodes platypus is within that taxonomic compartment (WoRMS taxonomy checked).</t>
        </is>
      </c>
    </row>
    <row r="67">
      <c r="A67" t="inlineStr">
        <is>
          <t>Pentaceros wheeleri</t>
        </is>
      </c>
      <c r="B67" t="inlineStr">
        <is>
          <t>Slender armorhead</t>
        </is>
      </c>
      <c r="C67" t="inlineStr">
        <is>
          <t>Medium pelagics (30 - 89 cm)</t>
        </is>
      </c>
      <c r="D67" t="inlineStr">
        <is>
          <t>Perch-likes</t>
        </is>
      </c>
      <c r="E67" s="8" t="inlineStr">
        <is>
          <t>Unresolved</t>
        </is>
      </c>
      <c r="F67" t="inlineStr"/>
      <c r="G67" t="inlineStr"/>
      <c r="H67" t="inlineStr">
        <is>
          <t>unresolved</t>
        </is>
      </c>
      <c r="I67" t="inlineStr">
        <is>
          <t>none</t>
        </is>
      </c>
      <c r="J67" t="n">
        <v>67590.72199999999</v>
      </c>
      <c r="K67" t="n">
        <v>0.0279</v>
      </c>
      <c r="L67" s="6" t="inlineStr">
        <is>
          <t>Slender armorhead (Pentacerotidae) is a seamount/offshore pelagic species; no matching group in the Okhotsk model. Reviewed: no documented compatible group for this catch label.</t>
        </is>
      </c>
    </row>
    <row r="68">
      <c r="A68" t="inlineStr">
        <is>
          <t>Limanda aspera</t>
        </is>
      </c>
      <c r="B68" t="inlineStr">
        <is>
          <t>Yellowfin sole</t>
        </is>
      </c>
      <c r="C68" t="inlineStr">
        <is>
          <t>Small to medium flatfishes (&lt;90 cm)</t>
        </is>
      </c>
      <c r="D68" t="inlineStr">
        <is>
          <t>Flatfishes</t>
        </is>
      </c>
      <c r="E68" s="7" t="inlineStr">
        <is>
          <t>Pleuronectidae</t>
        </is>
      </c>
      <c r="F68" t="inlineStr"/>
      <c r="G68" t="inlineStr"/>
      <c r="H68" t="inlineStr">
        <is>
          <t>high</t>
        </is>
      </c>
      <c r="I68" t="inlineStr">
        <is>
          <t>taxonomic_containment</t>
        </is>
      </c>
      <c r="J68" t="n">
        <v>61014.086</v>
      </c>
      <c r="K68" t="n">
        <v>0.0252</v>
      </c>
      <c r="L68" s="6" t="inlineStr">
        <is>
          <t>Chaikina 2020 Table 1 names Pleuronectidae; the catch taxon Limanda aspera is within that taxonomic compartment (WoRMS taxonomy checked).</t>
        </is>
      </c>
    </row>
    <row r="69">
      <c r="A69" t="inlineStr">
        <is>
          <t>Bathylagidae</t>
        </is>
      </c>
      <c r="B69" t="inlineStr">
        <is>
          <t>Deepsea smelts</t>
        </is>
      </c>
      <c r="C69" t="inlineStr">
        <is>
          <t>Small bathypelagics (&lt;30 cm)</t>
        </is>
      </c>
      <c r="D69" t="inlineStr">
        <is>
          <t>Salmon, smelts, etc</t>
        </is>
      </c>
      <c r="E69" s="7" t="inlineStr">
        <is>
          <t>Bathylagidae</t>
        </is>
      </c>
      <c r="F69" t="inlineStr"/>
      <c r="G69" t="inlineStr"/>
      <c r="H69" t="inlineStr">
        <is>
          <t>high</t>
        </is>
      </c>
      <c r="I69" t="inlineStr">
        <is>
          <t>taxonomic_containment</t>
        </is>
      </c>
      <c r="J69" t="n">
        <v>54063.278</v>
      </c>
      <c r="K69" t="n">
        <v>0.0223</v>
      </c>
      <c r="L69" s="6" t="inlineStr">
        <is>
          <t>Chaikina 2020 Table 1 names Bathylagidae; the catch taxon Bathylagidae is within that taxonomic compartment (WoRMS taxonomy checked).</t>
        </is>
      </c>
    </row>
    <row r="70">
      <c r="A70" t="inlineStr">
        <is>
          <t>Seriola</t>
        </is>
      </c>
      <c r="B70" t="inlineStr">
        <is>
          <t>Amberjacks</t>
        </is>
      </c>
      <c r="C70" t="inlineStr">
        <is>
          <t>Large benthopelagics (&gt;=90 cm)</t>
        </is>
      </c>
      <c r="D70" t="inlineStr">
        <is>
          <t>Perch-likes</t>
        </is>
      </c>
      <c r="E70" s="8" t="inlineStr">
        <is>
          <t>Unresolved</t>
        </is>
      </c>
      <c r="F70" t="inlineStr"/>
      <c r="G70" t="inlineStr"/>
      <c r="H70" t="inlineStr">
        <is>
          <t>unresolved</t>
        </is>
      </c>
      <c r="I70" t="inlineStr">
        <is>
          <t>none</t>
        </is>
      </c>
      <c r="J70" t="n">
        <v>51867.348</v>
      </c>
      <c r="K70" t="n">
        <v>0.0214</v>
      </c>
      <c r="L70" s="6" t="inlineStr">
        <is>
          <t>Amberjack genus, Carangidae, warm-water epipelagic; no matching group. Reviewed: no documented compatible group for this catch label.</t>
        </is>
      </c>
    </row>
    <row r="71">
      <c r="A71" t="inlineStr">
        <is>
          <t>Thunnus alalunga</t>
        </is>
      </c>
      <c r="B71" t="inlineStr">
        <is>
          <t>Albacore</t>
        </is>
      </c>
      <c r="C71" t="inlineStr">
        <is>
          <t>Large pelagics (&gt;=90 cm)</t>
        </is>
      </c>
      <c r="D71" t="inlineStr">
        <is>
          <t>Tuna &amp; billfishes</t>
        </is>
      </c>
      <c r="E71" s="8" t="inlineStr">
        <is>
          <t>Unresolved</t>
        </is>
      </c>
      <c r="F71" t="inlineStr"/>
      <c r="G71" t="inlineStr"/>
      <c r="H71" t="inlineStr">
        <is>
          <t>unresolved</t>
        </is>
      </c>
      <c r="I71" t="inlineStr">
        <is>
          <t>none</t>
        </is>
      </c>
      <c r="J71" t="n">
        <v>44138.992</v>
      </c>
      <c r="K71" t="n">
        <v>0.0182</v>
      </c>
      <c r="L71" s="6" t="inlineStr">
        <is>
          <t>Albacore, an oceanic tuna; no tuna/pelagic group in the Okhotsk model. Reviewed: no documented compatible group for this catch label.</t>
        </is>
      </c>
    </row>
    <row r="72">
      <c r="A72" t="inlineStr">
        <is>
          <t>Loliginidae</t>
        </is>
      </c>
      <c r="B72" t="inlineStr">
        <is>
          <t>Common pencil squids</t>
        </is>
      </c>
      <c r="C72" t="inlineStr">
        <is>
          <t>Cephalopods</t>
        </is>
      </c>
      <c r="D72" t="inlineStr">
        <is>
          <t>Other fishes &amp; inverts</t>
        </is>
      </c>
      <c r="E72" s="7" t="inlineStr">
        <is>
          <t>Squids</t>
        </is>
      </c>
      <c r="F72" t="inlineStr"/>
      <c r="G72" t="inlineStr"/>
      <c r="H72" t="inlineStr">
        <is>
          <t>high</t>
        </is>
      </c>
      <c r="I72" t="inlineStr">
        <is>
          <t>taxonomic_containment</t>
        </is>
      </c>
      <c r="J72" t="n">
        <v>43261.709</v>
      </c>
      <c r="K72" t="n">
        <v>0.0179</v>
      </c>
      <c r="L72" s="6" t="inlineStr">
        <is>
          <t>Chaikina 2020 Table 1 names Squids; the catch taxon Loliginidae is within that taxonomic compartment (WoRMS taxonomy checked).</t>
        </is>
      </c>
    </row>
    <row r="73">
      <c r="A73" t="inlineStr">
        <is>
          <t>Hippoglossoides elassodon</t>
        </is>
      </c>
      <c r="B73" t="inlineStr">
        <is>
          <t>Flathead sole</t>
        </is>
      </c>
      <c r="C73" t="inlineStr">
        <is>
          <t>Small to medium flatfishes (&lt;90 cm)</t>
        </is>
      </c>
      <c r="D73" t="inlineStr">
        <is>
          <t>Flatfishes</t>
        </is>
      </c>
      <c r="E73" s="7" t="inlineStr">
        <is>
          <t>Pleuronectidae</t>
        </is>
      </c>
      <c r="F73" t="inlineStr"/>
      <c r="G73" t="inlineStr"/>
      <c r="H73" t="inlineStr">
        <is>
          <t>high</t>
        </is>
      </c>
      <c r="I73" t="inlineStr">
        <is>
          <t>taxonomic_containment</t>
        </is>
      </c>
      <c r="J73" t="n">
        <v>38210.958</v>
      </c>
      <c r="K73" t="n">
        <v>0.0158</v>
      </c>
      <c r="L73" s="6" t="inlineStr">
        <is>
          <t>Chaikina 2020 Table 1 names Pleuronectidae; the catch taxon Hippoglossoides elassodon is within that taxonomic compartment (WoRMS taxonomy checked).</t>
        </is>
      </c>
    </row>
    <row r="74">
      <c r="A74" t="inlineStr">
        <is>
          <t>Gadidae</t>
        </is>
      </c>
      <c r="B74" t="inlineStr">
        <is>
          <t>Cods, haddocks</t>
        </is>
      </c>
      <c r="C74" t="inlineStr">
        <is>
          <t>Medium demersals (30 - 89 cm)</t>
        </is>
      </c>
      <c r="D74" t="inlineStr">
        <is>
          <t>Cod-likes</t>
        </is>
      </c>
      <c r="E74" s="5" t="inlineStr">
        <is>
          <t>Walleye pollock | Juv. pollock | Other Gadidae</t>
        </is>
      </c>
      <c r="F74" t="inlineStr">
        <is>
          <t>0.505 | 0.433 | 0.062</t>
        </is>
      </c>
      <c r="G74" t="inlineStr">
        <is>
          <t>model_biomass</t>
        </is>
      </c>
      <c r="H74" t="inlineStr">
        <is>
          <t>medium</t>
        </is>
      </c>
      <c r="I74" t="inlineStr">
        <is>
          <t>composite_split</t>
        </is>
      </c>
      <c r="J74" t="n">
        <v>37945.049</v>
      </c>
      <c r="K74" t="n">
        <v>0.0157</v>
      </c>
      <c r="L74" s="6" t="inlineStr">
        <is>
          <t>Gadidae includes pollock and the residual gadids. The source splits pollock by stage; model biomass supplies the stage-inclusive allocation because all recorded model catches are zero.</t>
        </is>
      </c>
    </row>
    <row r="75">
      <c r="A75" t="inlineStr">
        <is>
          <t>Gastropoda</t>
        </is>
      </c>
      <c r="B75" t="inlineStr">
        <is>
          <t>Sea snails</t>
        </is>
      </c>
      <c r="C75" t="inlineStr">
        <is>
          <t>Other demersal invertebrates</t>
        </is>
      </c>
      <c r="D75" t="inlineStr">
        <is>
          <t>Molluscs</t>
        </is>
      </c>
      <c r="E75" s="9" t="inlineStr">
        <is>
          <t>2nd level benthos | Carnivorous invertebrates</t>
        </is>
      </c>
      <c r="F75" t="inlineStr">
        <is>
          <t>0.784 | 0.216</t>
        </is>
      </c>
      <c r="G75" t="inlineStr">
        <is>
          <t>catch_composition</t>
        </is>
      </c>
      <c r="H75" t="inlineStr">
        <is>
          <t>low</t>
        </is>
      </c>
      <c r="I75" t="inlineStr">
        <is>
          <t>composite_split</t>
        </is>
      </c>
      <c r="J75" t="n">
        <v>36062.372</v>
      </c>
      <c r="K75" t="n">
        <v>0.0149</v>
      </c>
      <c r="L75" s="6" t="inlineStr">
        <is>
          <t>Gastropods include benthic grazers and carnivores; the two benthos guilds span those diets, without a species composition in the catch.</t>
        </is>
      </c>
    </row>
    <row r="76">
      <c r="A76" t="inlineStr">
        <is>
          <t>Berryteuthis magister</t>
        </is>
      </c>
      <c r="B76" t="inlineStr">
        <is>
          <t>Schoolmaster gonate squid</t>
        </is>
      </c>
      <c r="C76" t="inlineStr">
        <is>
          <t>Cephalopods</t>
        </is>
      </c>
      <c r="D76" t="inlineStr">
        <is>
          <t>Other fishes &amp; inverts</t>
        </is>
      </c>
      <c r="E76" s="7" t="inlineStr">
        <is>
          <t>Squids</t>
        </is>
      </c>
      <c r="F76" t="inlineStr"/>
      <c r="G76" t="inlineStr"/>
      <c r="H76" t="inlineStr">
        <is>
          <t>high</t>
        </is>
      </c>
      <c r="I76" t="inlineStr">
        <is>
          <t>taxonomic_containment</t>
        </is>
      </c>
      <c r="J76" t="n">
        <v>32710.65</v>
      </c>
      <c r="K76" t="n">
        <v>0.0135</v>
      </c>
      <c r="L76" s="6" t="inlineStr">
        <is>
          <t>Chaikina 2020 Table 1 names Squids; the catch taxon Berryteuthis magister is within that taxonomic compartment (WoRMS taxonomy checked).</t>
        </is>
      </c>
    </row>
    <row r="77">
      <c r="A77" t="inlineStr">
        <is>
          <t>Lutjanidae</t>
        </is>
      </c>
      <c r="B77" t="inlineStr">
        <is>
          <t>Snappers</t>
        </is>
      </c>
      <c r="C77" t="inlineStr">
        <is>
          <t>Medium reef assoc. fish (30 - 89 cm)</t>
        </is>
      </c>
      <c r="D77" t="inlineStr">
        <is>
          <t>Perch-likes</t>
        </is>
      </c>
      <c r="E77" s="8" t="inlineStr">
        <is>
          <t>Unresolved</t>
        </is>
      </c>
      <c r="F77" t="inlineStr"/>
      <c r="G77" t="inlineStr"/>
      <c r="H77" t="inlineStr">
        <is>
          <t>unresolved</t>
        </is>
      </c>
      <c r="I77" t="inlineStr">
        <is>
          <t>none</t>
        </is>
      </c>
      <c r="J77" t="n">
        <v>29831.411</v>
      </c>
      <c r="K77" t="n">
        <v>0.0123</v>
      </c>
      <c r="L77" s="6" t="inlineStr">
        <is>
          <t>Snappers, a tropical reef-associated family; no matching group in the Okhotsk model. Reviewed: no documented compatible group for this catch label.</t>
        </is>
      </c>
    </row>
    <row r="78">
      <c r="A78" t="inlineStr">
        <is>
          <t>Clupeidae</t>
        </is>
      </c>
      <c r="B78" t="inlineStr">
        <is>
          <t>Herrings, sardines, menhadens</t>
        </is>
      </c>
      <c r="C78" t="inlineStr">
        <is>
          <t>Small pelagics (&lt;30 cm)</t>
        </is>
      </c>
      <c r="D78" t="inlineStr">
        <is>
          <t>Herring-likes</t>
        </is>
      </c>
      <c r="E78" s="8" t="inlineStr">
        <is>
          <t>Unresolved</t>
        </is>
      </c>
      <c r="F78" t="inlineStr"/>
      <c r="G78" t="inlineStr"/>
      <c r="H78" t="inlineStr">
        <is>
          <t>unresolved</t>
        </is>
      </c>
      <c r="I78" t="inlineStr">
        <is>
          <t>none</t>
        </is>
      </c>
      <c r="J78" t="n">
        <v>27777.798</v>
      </c>
      <c r="K78" t="n">
        <v>0.0115</v>
      </c>
      <c r="L78" s="6" t="inlineStr">
        <is>
          <t>Family spans both the model's 'Pacific herring' and 'Pacific Sardine' species-specific groups; an unidentified clupeid cannot be assigned to one without guessing. Reviewed: no documented compatible group for this catch label.</t>
        </is>
      </c>
    </row>
    <row r="79">
      <c r="A79" t="inlineStr">
        <is>
          <t>Holothuroidea</t>
        </is>
      </c>
      <c r="B79" t="inlineStr">
        <is>
          <t>Sea cucumbers</t>
        </is>
      </c>
      <c r="C79" t="inlineStr">
        <is>
          <t>Other demersal invertebrates</t>
        </is>
      </c>
      <c r="D79" t="inlineStr">
        <is>
          <t>Other fishes &amp; inverts</t>
        </is>
      </c>
      <c r="E79" s="5" t="inlineStr">
        <is>
          <t>2nd level benthos</t>
        </is>
      </c>
      <c r="F79" t="inlineStr"/>
      <c r="G79" t="inlineStr"/>
      <c r="H79" t="inlineStr">
        <is>
          <t>medium</t>
        </is>
      </c>
      <c r="I79" t="inlineStr">
        <is>
          <t>habitat_size_guild</t>
        </is>
      </c>
      <c r="J79" t="n">
        <v>27769.803</v>
      </c>
      <c r="K79" t="n">
        <v>0.0115</v>
      </c>
      <c r="L79" s="6" t="inlineStr">
        <is>
          <t>Analyst inference: Holothuroidea is a benthic suspension/deposit feeder or grazer, consistent with Chaikina 2020 Table 1 second-level benthos and its basal diet in Table 3; no species member list is supplied.</t>
        </is>
      </c>
    </row>
    <row r="80">
      <c r="A80" t="inlineStr">
        <is>
          <t>Dendrobranchiata</t>
        </is>
      </c>
      <c r="B80" t="inlineStr">
        <is>
          <t>Shrimps and prawns</t>
        </is>
      </c>
      <c r="C80" t="inlineStr">
        <is>
          <t>Shrimps</t>
        </is>
      </c>
      <c r="D80" t="inlineStr">
        <is>
          <t>Crustaceans</t>
        </is>
      </c>
      <c r="E80" s="7" t="inlineStr">
        <is>
          <t>Crabs and shrimps</t>
        </is>
      </c>
      <c r="F80" t="inlineStr"/>
      <c r="G80" t="inlineStr"/>
      <c r="H80" t="inlineStr">
        <is>
          <t>high</t>
        </is>
      </c>
      <c r="I80" t="inlineStr">
        <is>
          <t>taxonomic_containment</t>
        </is>
      </c>
      <c r="J80" t="n">
        <v>26930.721</v>
      </c>
      <c r="K80" t="n">
        <v>0.0111</v>
      </c>
      <c r="L80" s="6" t="inlineStr">
        <is>
          <t>Chaikina 2020 Table 1 names Crabs and shrimps; the catch taxon Dendrobranchiata is within that taxonomic compartment (WoRMS taxonomy checked).</t>
        </is>
      </c>
    </row>
    <row r="81">
      <c r="A81" t="inlineStr">
        <is>
          <t>Pandalus</t>
        </is>
      </c>
      <c r="B81" t="inlineStr">
        <is>
          <t>Seabed shrimps</t>
        </is>
      </c>
      <c r="C81" t="inlineStr">
        <is>
          <t>Shrimps</t>
        </is>
      </c>
      <c r="D81" t="inlineStr">
        <is>
          <t>Crustaceans</t>
        </is>
      </c>
      <c r="E81" s="7" t="inlineStr">
        <is>
          <t>Crabs and shrimps</t>
        </is>
      </c>
      <c r="F81" t="inlineStr"/>
      <c r="G81" t="inlineStr"/>
      <c r="H81" t="inlineStr">
        <is>
          <t>high</t>
        </is>
      </c>
      <c r="I81" t="inlineStr">
        <is>
          <t>taxonomic_containment</t>
        </is>
      </c>
      <c r="J81" t="n">
        <v>21986.6</v>
      </c>
      <c r="K81" t="n">
        <v>0.0091</v>
      </c>
      <c r="L81" s="6" t="inlineStr">
        <is>
          <t>Chaikina 2020 Table 1 names Crabs and shrimps; the catch taxon Pandalus is within that taxonomic compartment (WoRMS taxonomy checked).</t>
        </is>
      </c>
    </row>
    <row r="82">
      <c r="A82" t="inlineStr">
        <is>
          <t>Tetraodontidae</t>
        </is>
      </c>
      <c r="B82" t="inlineStr">
        <is>
          <t>Puffers, tobies</t>
        </is>
      </c>
      <c r="C82" t="inlineStr">
        <is>
          <t>Large reef assoc. fish (&gt;=90 cm)</t>
        </is>
      </c>
      <c r="D82" t="inlineStr">
        <is>
          <t>Other fishes &amp; inverts</t>
        </is>
      </c>
      <c r="E82" s="8" t="inlineStr">
        <is>
          <t>Unresolved</t>
        </is>
      </c>
      <c r="F82" t="inlineStr"/>
      <c r="G82" t="inlineStr"/>
      <c r="H82" t="inlineStr">
        <is>
          <t>unresolved</t>
        </is>
      </c>
      <c r="I82" t="inlineStr">
        <is>
          <t>none</t>
        </is>
      </c>
      <c r="J82" t="n">
        <v>21764.075</v>
      </c>
      <c r="K82" t="n">
        <v>0.008999999999999999</v>
      </c>
      <c r="L82" s="6" t="inlineStr">
        <is>
          <t>Puffers, a warm-water reef-associated family; no matching group. Reviewed: no documented compatible group for this catch label.</t>
        </is>
      </c>
    </row>
    <row r="83">
      <c r="A83" t="inlineStr">
        <is>
          <t>Muraenesox cinereus</t>
        </is>
      </c>
      <c r="B83" t="inlineStr">
        <is>
          <t>Daggertooth pike conger</t>
        </is>
      </c>
      <c r="C83" t="inlineStr">
        <is>
          <t>Large demersals (&gt;=90 cm)</t>
        </is>
      </c>
      <c r="D83" t="inlineStr">
        <is>
          <t>Other fishes &amp; inverts</t>
        </is>
      </c>
      <c r="E83" s="8" t="inlineStr">
        <is>
          <t>Unresolved</t>
        </is>
      </c>
      <c r="F83" t="inlineStr"/>
      <c r="G83" t="inlineStr"/>
      <c r="H83" t="inlineStr">
        <is>
          <t>unresolved</t>
        </is>
      </c>
      <c r="I83" t="inlineStr">
        <is>
          <t>none</t>
        </is>
      </c>
      <c r="J83" t="n">
        <v>21403.087</v>
      </c>
      <c r="K83" t="n">
        <v>0.008800000000000001</v>
      </c>
      <c r="L83" s="6" t="inlineStr">
        <is>
          <t>Daggertooth pike conger, Muraenesocidae, warm-temperate/tropical; no matching group. Reviewed: no documented compatible group for this catch label.</t>
        </is>
      </c>
    </row>
    <row r="84">
      <c r="A84" t="inlineStr">
        <is>
          <t>Paralichthys olivaceus</t>
        </is>
      </c>
      <c r="B84" t="inlineStr">
        <is>
          <t>Bastard halibut</t>
        </is>
      </c>
      <c r="C84" t="inlineStr">
        <is>
          <t>Large flatfishes (&gt;=90 cm)</t>
        </is>
      </c>
      <c r="D84" t="inlineStr">
        <is>
          <t>Flatfishes</t>
        </is>
      </c>
      <c r="E84" s="5" t="inlineStr">
        <is>
          <t>Other bottom fishes</t>
        </is>
      </c>
      <c r="F84" t="inlineStr"/>
      <c r="G84" t="inlineStr"/>
      <c r="H84" t="inlineStr">
        <is>
          <t>medium</t>
        </is>
      </c>
      <c r="I84" t="inlineStr">
        <is>
          <t>habitat_size_guild</t>
        </is>
      </c>
      <c r="J84" t="n">
        <v>21142.497</v>
      </c>
      <c r="K84" t="n">
        <v>0.008699999999999999</v>
      </c>
      <c r="L84" s="6" t="inlineStr">
        <is>
          <t>Paralichthys is a bottom-dwelling paralichthyid, outside the named Pleuronectidae; residual bottom-fish placement follows taxonomy and habitat.</t>
        </is>
      </c>
    </row>
    <row r="85">
      <c r="A85" t="inlineStr">
        <is>
          <t>Salvelinus malma</t>
        </is>
      </c>
      <c r="B85" t="inlineStr">
        <is>
          <t>Dolly varden</t>
        </is>
      </c>
      <c r="C85" t="inlineStr">
        <is>
          <t>Large benthopelagics (&gt;=90 cm)</t>
        </is>
      </c>
      <c r="D85" t="inlineStr">
        <is>
          <t>Salmon, smelts, etc</t>
        </is>
      </c>
      <c r="E85" s="8" t="inlineStr">
        <is>
          <t>Unresolved</t>
        </is>
      </c>
      <c r="F85" t="inlineStr"/>
      <c r="G85" t="inlineStr"/>
      <c r="H85" t="inlineStr">
        <is>
          <t>unresolved</t>
        </is>
      </c>
      <c r="I85" t="inlineStr">
        <is>
          <t>none</t>
        </is>
      </c>
      <c r="J85" t="n">
        <v>20766.736</v>
      </c>
      <c r="K85" t="n">
        <v>0.0086</v>
      </c>
      <c r="L85" s="6" t="inlineStr">
        <is>
          <t>The source names Salmon but does not document char or whitefish membership; their potentially anadromous/freshwater component cannot be assigned to Pacific salmon without evidence. Reviewed: no documented compatible group for this catch label.</t>
        </is>
      </c>
    </row>
    <row r="86">
      <c r="A86" t="inlineStr">
        <is>
          <t>Mactridae</t>
        </is>
      </c>
      <c r="B86" t="inlineStr">
        <is>
          <t>Mactra surf clams</t>
        </is>
      </c>
      <c r="C86" t="inlineStr">
        <is>
          <t>Other demersal invertebrates</t>
        </is>
      </c>
      <c r="D86" t="inlineStr">
        <is>
          <t>Molluscs</t>
        </is>
      </c>
      <c r="E86" s="5" t="inlineStr">
        <is>
          <t>2nd level benthos</t>
        </is>
      </c>
      <c r="F86" t="inlineStr"/>
      <c r="G86" t="inlineStr"/>
      <c r="H86" t="inlineStr">
        <is>
          <t>medium</t>
        </is>
      </c>
      <c r="I86" t="inlineStr">
        <is>
          <t>habitat_size_guild</t>
        </is>
      </c>
      <c r="J86" t="n">
        <v>20332.194</v>
      </c>
      <c r="K86" t="n">
        <v>0.008399999999999999</v>
      </c>
      <c r="L86" s="6" t="inlineStr">
        <is>
          <t>Analyst inference: Mactridae is a benthic suspension/deposit feeder or grazer, consistent with Chaikina 2020 Table 1 second-level benthos and its basal diet in Table 3; no species member list is supplied.</t>
        </is>
      </c>
    </row>
    <row r="87">
      <c r="A87" t="inlineStr">
        <is>
          <t>Cyprinidae</t>
        </is>
      </c>
      <c r="B87" t="inlineStr">
        <is>
          <t>Carps, barbels, other cyprinids</t>
        </is>
      </c>
      <c r="C87" t="inlineStr">
        <is>
          <t>Medium demersals (30 - 89 cm)</t>
        </is>
      </c>
      <c r="D87" t="inlineStr">
        <is>
          <t>Other fishes &amp; inverts</t>
        </is>
      </c>
      <c r="E87" s="8" t="inlineStr">
        <is>
          <t>Unresolved</t>
        </is>
      </c>
      <c r="F87" t="inlineStr"/>
      <c r="G87" t="inlineStr"/>
      <c r="H87" t="inlineStr">
        <is>
          <t>unresolved</t>
        </is>
      </c>
      <c r="I87" t="inlineStr">
        <is>
          <t>none</t>
        </is>
      </c>
      <c r="J87" t="n">
        <v>19289.495</v>
      </c>
      <c r="K87" t="n">
        <v>0.008</v>
      </c>
      <c r="L87" s="6" t="inlineStr">
        <is>
          <t>Carps are freshwater fish (Cypriniformes); no freshwater-fish group exists in this marine Ecopath model. Reviewed: no documented compatible group for this catch label.</t>
        </is>
      </c>
    </row>
    <row r="88">
      <c r="A88" t="inlineStr">
        <is>
          <t>Paralithodes</t>
        </is>
      </c>
      <c r="B88" t="inlineStr">
        <is>
          <t>North Pacific king crabs</t>
        </is>
      </c>
      <c r="C88" t="inlineStr">
        <is>
          <t>Lobsters, crabs</t>
        </is>
      </c>
      <c r="D88" t="inlineStr">
        <is>
          <t>Crustaceans</t>
        </is>
      </c>
      <c r="E88" s="7" t="inlineStr">
        <is>
          <t>Crabs and shrimps</t>
        </is>
      </c>
      <c r="F88" t="inlineStr"/>
      <c r="G88" t="inlineStr"/>
      <c r="H88" t="inlineStr">
        <is>
          <t>high</t>
        </is>
      </c>
      <c r="I88" t="inlineStr">
        <is>
          <t>taxonomic_containment</t>
        </is>
      </c>
      <c r="J88" t="n">
        <v>17042.087</v>
      </c>
      <c r="K88" t="n">
        <v>0.007</v>
      </c>
      <c r="L88" s="6" t="inlineStr">
        <is>
          <t>Chaikina 2020 Table 1 names Crabs and shrimps; the catch taxon Paralithodes is within that taxonomic compartment (WoRMS taxonomy checked).</t>
        </is>
      </c>
    </row>
    <row r="89">
      <c r="A89" t="inlineStr">
        <is>
          <t>Scorpaeniformes</t>
        </is>
      </c>
      <c r="B89" t="inlineStr">
        <is>
          <t>Scorpionfishes, flatheads</t>
        </is>
      </c>
      <c r="C89" t="inlineStr">
        <is>
          <t>Medium demersals (30 - 89 cm)</t>
        </is>
      </c>
      <c r="D89" t="inlineStr">
        <is>
          <t>Scorpionfishes</t>
        </is>
      </c>
      <c r="E89" s="5" t="inlineStr">
        <is>
          <t>Cottidae | Other bottom fishes</t>
        </is>
      </c>
      <c r="F89" t="inlineStr">
        <is>
          <t>0.000 | 1.000</t>
        </is>
      </c>
      <c r="G89" t="inlineStr">
        <is>
          <t>catch_composition</t>
        </is>
      </c>
      <c r="H89" t="inlineStr">
        <is>
          <t>medium</t>
        </is>
      </c>
      <c r="I89" t="inlineStr">
        <is>
          <t>composite_split</t>
        </is>
      </c>
      <c r="J89" t="n">
        <v>15485.573</v>
      </c>
      <c r="K89" t="n">
        <v>0.0064</v>
      </c>
      <c r="L89" s="6" t="inlineStr">
        <is>
          <t>This broad order includes the named sculpins and other bottom fishes; exclude pelagic single-species groups.</t>
        </is>
      </c>
    </row>
    <row r="90">
      <c r="A90" t="inlineStr">
        <is>
          <t>Pandalus goniurus</t>
        </is>
      </c>
      <c r="B90" t="inlineStr">
        <is>
          <t>Humpy shrimp</t>
        </is>
      </c>
      <c r="C90" t="inlineStr">
        <is>
          <t>Shrimps</t>
        </is>
      </c>
      <c r="D90" t="inlineStr">
        <is>
          <t>Crustaceans</t>
        </is>
      </c>
      <c r="E90" s="7" t="inlineStr">
        <is>
          <t>Crabs and shrimps</t>
        </is>
      </c>
      <c r="F90" t="inlineStr"/>
      <c r="G90" t="inlineStr"/>
      <c r="H90" t="inlineStr">
        <is>
          <t>high</t>
        </is>
      </c>
      <c r="I90" t="inlineStr">
        <is>
          <t>taxonomic_containment</t>
        </is>
      </c>
      <c r="J90" t="n">
        <v>15375.262</v>
      </c>
      <c r="K90" t="n">
        <v>0.0063</v>
      </c>
      <c r="L90" s="6" t="inlineStr">
        <is>
          <t>Chaikina 2020 Table 1 names Crabs and shrimps; the catch taxon Pandalus goniurus is within that taxonomic compartment (WoRMS taxonomy checked).</t>
        </is>
      </c>
    </row>
    <row r="91">
      <c r="A91" t="inlineStr">
        <is>
          <t>Clupeiformes</t>
        </is>
      </c>
      <c r="B91" t="inlineStr">
        <is>
          <t>Herrings, shads, anchovies</t>
        </is>
      </c>
      <c r="C91" t="inlineStr">
        <is>
          <t>Small pelagics (&lt;30 cm)</t>
        </is>
      </c>
      <c r="D91" t="inlineStr">
        <is>
          <t>Other fishes &amp; inverts</t>
        </is>
      </c>
      <c r="E91" s="8" t="inlineStr">
        <is>
          <t>Unresolved</t>
        </is>
      </c>
      <c r="F91" t="inlineStr"/>
      <c r="G91" t="inlineStr"/>
      <c r="H91" t="inlineStr">
        <is>
          <t>unresolved</t>
        </is>
      </c>
      <c r="I91" t="inlineStr">
        <is>
          <t>none</t>
        </is>
      </c>
      <c r="J91" t="n">
        <v>15329.051</v>
      </c>
      <c r="K91" t="n">
        <v>0.0063</v>
      </c>
      <c r="L91" s="6" t="inlineStr">
        <is>
          <t>Order spans the model's separate 'Pacific herring' and 'Pacific Sardine' groups plus anchovies (no group); cannot be resolved to one group. Reviewed: no documented compatible group for this catch label.</t>
        </is>
      </c>
    </row>
    <row r="92">
      <c r="A92" t="inlineStr">
        <is>
          <t>Thunnus orientalis</t>
        </is>
      </c>
      <c r="B92" t="inlineStr">
        <is>
          <t>Pacific bluefin tuna</t>
        </is>
      </c>
      <c r="C92" t="inlineStr">
        <is>
          <t>Large pelagics (&gt;=90 cm)</t>
        </is>
      </c>
      <c r="D92" t="inlineStr">
        <is>
          <t>Tuna &amp; billfishes</t>
        </is>
      </c>
      <c r="E92" s="8" t="inlineStr">
        <is>
          <t>Unresolved</t>
        </is>
      </c>
      <c r="F92" t="inlineStr"/>
      <c r="G92" t="inlineStr"/>
      <c r="H92" t="inlineStr">
        <is>
          <t>unresolved</t>
        </is>
      </c>
      <c r="I92" t="inlineStr">
        <is>
          <t>none</t>
        </is>
      </c>
      <c r="J92" t="n">
        <v>14163.266</v>
      </c>
      <c r="K92" t="n">
        <v>0.0058</v>
      </c>
      <c r="L92" s="6" t="inlineStr">
        <is>
          <t>Pacific bluefin tuna, oceanic; no tuna/pelagic group in the Okhotsk model. Reviewed: no documented compatible group for this catch label.</t>
        </is>
      </c>
    </row>
    <row r="93">
      <c r="A93" t="inlineStr">
        <is>
          <t>Chionoecetes japonicus</t>
        </is>
      </c>
      <c r="B93" t="inlineStr">
        <is>
          <t>Red snow crab</t>
        </is>
      </c>
      <c r="C93" t="inlineStr">
        <is>
          <t>Lobsters, crabs</t>
        </is>
      </c>
      <c r="D93" t="inlineStr">
        <is>
          <t>Crustaceans</t>
        </is>
      </c>
      <c r="E93" s="7" t="inlineStr">
        <is>
          <t>Crabs and shrimps</t>
        </is>
      </c>
      <c r="F93" t="inlineStr"/>
      <c r="G93" t="inlineStr"/>
      <c r="H93" t="inlineStr">
        <is>
          <t>high</t>
        </is>
      </c>
      <c r="I93" t="inlineStr">
        <is>
          <t>taxonomic_containment</t>
        </is>
      </c>
      <c r="J93" t="n">
        <v>10728.234</v>
      </c>
      <c r="K93" t="n">
        <v>0.0044</v>
      </c>
      <c r="L93" s="6" t="inlineStr">
        <is>
          <t>Chaikina 2020 Table 1 names Crabs and shrimps; the catch taxon Chionoecetes japonicus is within that taxonomic compartment (WoRMS taxonomy checked).</t>
        </is>
      </c>
    </row>
    <row r="94">
      <c r="A94" t="inlineStr">
        <is>
          <t>Ommastrephidae</t>
        </is>
      </c>
      <c r="B94" t="inlineStr">
        <is>
          <t>Arrow squids</t>
        </is>
      </c>
      <c r="C94" t="inlineStr">
        <is>
          <t>Cephalopods</t>
        </is>
      </c>
      <c r="D94" t="inlineStr">
        <is>
          <t>Other fishes &amp; inverts</t>
        </is>
      </c>
      <c r="E94" s="7" t="inlineStr">
        <is>
          <t>Squids</t>
        </is>
      </c>
      <c r="F94" t="inlineStr"/>
      <c r="G94" t="inlineStr"/>
      <c r="H94" t="inlineStr">
        <is>
          <t>high</t>
        </is>
      </c>
      <c r="I94" t="inlineStr">
        <is>
          <t>taxonomic_containment</t>
        </is>
      </c>
      <c r="J94" t="n">
        <v>10608.624</v>
      </c>
      <c r="K94" t="n">
        <v>0.0044</v>
      </c>
      <c r="L94" s="6" t="inlineStr">
        <is>
          <t>Chaikina 2020 Table 1 names Squids; the catch taxon Ommastrephidae is within that taxonomic compartment (WoRMS taxonomy checked).</t>
        </is>
      </c>
    </row>
    <row r="95">
      <c r="A95" t="inlineStr">
        <is>
          <t>Sebastolobus alascanus</t>
        </is>
      </c>
      <c r="B95" t="inlineStr">
        <is>
          <t>Shortspine thornyhead</t>
        </is>
      </c>
      <c r="C95" t="inlineStr">
        <is>
          <t>Medium bathydemersals (30 - 89 cm)</t>
        </is>
      </c>
      <c r="D95" t="inlineStr">
        <is>
          <t>Scorpionfishes</t>
        </is>
      </c>
      <c r="E95" s="5" t="inlineStr">
        <is>
          <t>Other bottom fishes</t>
        </is>
      </c>
      <c r="F95" t="inlineStr"/>
      <c r="G95" t="inlineStr"/>
      <c r="H95" t="inlineStr">
        <is>
          <t>medium</t>
        </is>
      </c>
      <c r="I95" t="inlineStr">
        <is>
          <t>habitat_size_guild</t>
        </is>
      </c>
      <c r="J95" t="n">
        <v>10295.909</v>
      </c>
      <c r="K95" t="n">
        <v>0.0042</v>
      </c>
      <c r="L95" s="6" t="inlineStr">
        <is>
          <t>Shortspine thornyhead, a bathydemersal scorpaenid; placed in the residual 'Other bottom fishes' group on habitat/trophic grounds. Reviewed against Chaikina 2020 Table 1; species membership is not tabulated.</t>
        </is>
      </c>
    </row>
    <row r="96">
      <c r="A96" t="inlineStr">
        <is>
          <t>Octopus</t>
        </is>
      </c>
      <c r="B96" t="inlineStr">
        <is>
          <t>Octopuses, pikas</t>
        </is>
      </c>
      <c r="C96" t="inlineStr">
        <is>
          <t>Cephalopods</t>
        </is>
      </c>
      <c r="D96" t="inlineStr">
        <is>
          <t>Other fishes &amp; inverts</t>
        </is>
      </c>
      <c r="E96" s="9" t="inlineStr">
        <is>
          <t>Carnivorous invertebrates</t>
        </is>
      </c>
      <c r="F96" t="inlineStr"/>
      <c r="G96" t="inlineStr"/>
      <c r="H96" t="inlineStr">
        <is>
          <t>low</t>
        </is>
      </c>
      <c r="I96" t="inlineStr">
        <is>
          <t>analogue</t>
        </is>
      </c>
      <c r="J96" t="n">
        <v>9517.895</v>
      </c>
      <c r="K96" t="n">
        <v>0.0039</v>
      </c>
      <c r="L96" s="6" t="inlineStr">
        <is>
          <t>Octopods are benthic carnivorous invertebrates; placement is an ecological analogue because the source does not name their species.</t>
        </is>
      </c>
    </row>
    <row r="97">
      <c r="A97" t="inlineStr">
        <is>
          <t>Pandalus hypsinotus</t>
        </is>
      </c>
      <c r="B97" t="inlineStr">
        <is>
          <t>Coonstriped shrimp</t>
        </is>
      </c>
      <c r="C97" t="inlineStr">
        <is>
          <t>Shrimps</t>
        </is>
      </c>
      <c r="D97" t="inlineStr">
        <is>
          <t>Crustaceans</t>
        </is>
      </c>
      <c r="E97" s="7" t="inlineStr">
        <is>
          <t>Crabs and shrimps</t>
        </is>
      </c>
      <c r="F97" t="inlineStr"/>
      <c r="G97" t="inlineStr"/>
      <c r="H97" t="inlineStr">
        <is>
          <t>high</t>
        </is>
      </c>
      <c r="I97" t="inlineStr">
        <is>
          <t>taxonomic_containment</t>
        </is>
      </c>
      <c r="J97" t="n">
        <v>9106.644</v>
      </c>
      <c r="K97" t="n">
        <v>0.0038</v>
      </c>
      <c r="L97" s="6" t="inlineStr">
        <is>
          <t>Chaikina 2020 Table 1 names Crabs and shrimps; the catch taxon Pandalus hypsinotus is within that taxonomic compartment (WoRMS taxonomy checked).</t>
        </is>
      </c>
    </row>
    <row r="98">
      <c r="A98" t="inlineStr">
        <is>
          <t>Squillidae</t>
        </is>
      </c>
      <c r="B98" t="inlineStr">
        <is>
          <t>Squilla mantis shrimps</t>
        </is>
      </c>
      <c r="C98" t="inlineStr">
        <is>
          <t>Shrimps</t>
        </is>
      </c>
      <c r="D98" t="inlineStr">
        <is>
          <t>Crustaceans</t>
        </is>
      </c>
      <c r="E98" s="5" t="inlineStr">
        <is>
          <t>Carnivorous invertebrates</t>
        </is>
      </c>
      <c r="F98" t="inlineStr"/>
      <c r="G98" t="inlineStr"/>
      <c r="H98" t="inlineStr">
        <is>
          <t>medium</t>
        </is>
      </c>
      <c r="I98" t="inlineStr">
        <is>
          <t>habitat_size_guild</t>
        </is>
      </c>
      <c r="J98" t="n">
        <v>7636.511</v>
      </c>
      <c r="K98" t="n">
        <v>0.0032</v>
      </c>
      <c r="L98" s="6" t="inlineStr">
        <is>
          <t>Mantis shrimps are predatory stomatopods, distinct from decapod crabs and shrimps; they fit the carnivorous-invertebrate guild.</t>
        </is>
      </c>
    </row>
    <row r="99">
      <c r="A99" t="inlineStr">
        <is>
          <t>Elasmobranchii</t>
        </is>
      </c>
      <c r="B99" t="inlineStr">
        <is>
          <t>Sharks, rays, skates</t>
        </is>
      </c>
      <c r="C99" t="inlineStr">
        <is>
          <t>Large sharks (&gt;=90 cm)</t>
        </is>
      </c>
      <c r="D99" t="inlineStr">
        <is>
          <t>Sharks &amp; rays</t>
        </is>
      </c>
      <c r="E99" s="8" t="inlineStr">
        <is>
          <t>Unresolved</t>
        </is>
      </c>
      <c r="F99" t="inlineStr"/>
      <c r="G99" t="inlineStr"/>
      <c r="H99" t="inlineStr">
        <is>
          <t>unresolved</t>
        </is>
      </c>
      <c r="I99" t="inlineStr">
        <is>
          <t>none</t>
        </is>
      </c>
      <c r="J99" t="n">
        <v>7581.252</v>
      </c>
      <c r="K99" t="n">
        <v>0.0031</v>
      </c>
      <c r="L99" s="6" t="inlineStr">
        <is>
          <t>Sharks and rays; the Okhotsk model has no elasmobranch group. Reviewed: no documented compatible group for this catch label.</t>
        </is>
      </c>
    </row>
    <row r="100">
      <c r="A100" t="inlineStr">
        <is>
          <t>Trachurus</t>
        </is>
      </c>
      <c r="B100" t="inlineStr">
        <is>
          <t>Jacks, horse mackerels</t>
        </is>
      </c>
      <c r="C100" t="inlineStr">
        <is>
          <t>Medium pelagics (30 - 89 cm)</t>
        </is>
      </c>
      <c r="D100" t="inlineStr">
        <is>
          <t>Perch-likes</t>
        </is>
      </c>
      <c r="E100" s="8" t="inlineStr">
        <is>
          <t>Unresolved</t>
        </is>
      </c>
      <c r="F100" t="inlineStr"/>
      <c r="G100" t="inlineStr"/>
      <c r="H100" t="inlineStr">
        <is>
          <t>unresolved</t>
        </is>
      </c>
      <c r="I100" t="inlineStr">
        <is>
          <t>none</t>
        </is>
      </c>
      <c r="J100" t="n">
        <v>7260.354</v>
      </c>
      <c r="K100" t="n">
        <v>0.003</v>
      </c>
      <c r="L100" s="6" t="inlineStr">
        <is>
          <t>Jack/horse mackerel genus, Carangidae, epipelagic; no matching group. Reviewed: no documented compatible group for this catch label.</t>
        </is>
      </c>
    </row>
    <row r="101">
      <c r="A101" t="inlineStr">
        <is>
          <t>Haliotidae</t>
        </is>
      </c>
      <c r="B101" t="inlineStr">
        <is>
          <t>Abalones, ear shells</t>
        </is>
      </c>
      <c r="C101" t="inlineStr">
        <is>
          <t>Other demersal invertebrates</t>
        </is>
      </c>
      <c r="D101" t="inlineStr">
        <is>
          <t>Molluscs</t>
        </is>
      </c>
      <c r="E101" s="5" t="inlineStr">
        <is>
          <t>2nd level benthos</t>
        </is>
      </c>
      <c r="F101" t="inlineStr"/>
      <c r="G101" t="inlineStr"/>
      <c r="H101" t="inlineStr">
        <is>
          <t>medium</t>
        </is>
      </c>
      <c r="I101" t="inlineStr">
        <is>
          <t>habitat_size_guild</t>
        </is>
      </c>
      <c r="J101" t="n">
        <v>6619.166</v>
      </c>
      <c r="K101" t="n">
        <v>0.0027</v>
      </c>
      <c r="L101" s="6" t="inlineStr">
        <is>
          <t>Analyst inference: Haliotidae is a benthic suspension/deposit feeder or grazer, consistent with Chaikina 2020 Table 1 second-level benthos and its basal diet in Table 3; no species member list is supplied.</t>
        </is>
      </c>
    </row>
    <row r="102">
      <c r="A102" t="inlineStr">
        <is>
          <t>Corbicula japonica</t>
        </is>
      </c>
      <c r="B102" t="inlineStr">
        <is>
          <t>Japanese corbicula</t>
        </is>
      </c>
      <c r="C102" t="inlineStr">
        <is>
          <t>Other demersal invertebrates</t>
        </is>
      </c>
      <c r="D102" t="inlineStr">
        <is>
          <t>Molluscs</t>
        </is>
      </c>
      <c r="E102" s="5" t="inlineStr">
        <is>
          <t>2nd level benthos</t>
        </is>
      </c>
      <c r="F102" t="inlineStr"/>
      <c r="G102" t="inlineStr"/>
      <c r="H102" t="inlineStr">
        <is>
          <t>medium</t>
        </is>
      </c>
      <c r="I102" t="inlineStr">
        <is>
          <t>habitat_size_guild</t>
        </is>
      </c>
      <c r="J102" t="n">
        <v>5637.236</v>
      </c>
      <c r="K102" t="n">
        <v>0.0023</v>
      </c>
      <c r="L102" s="6" t="inlineStr">
        <is>
          <t>Analyst inference: Corbicula japonica is a benthic suspension/deposit feeder or grazer, consistent with Chaikina 2020 Table 1 second-level benthos and its basal diet in Table 3; no species member list is supplied.</t>
        </is>
      </c>
    </row>
    <row r="103">
      <c r="A103" t="inlineStr">
        <is>
          <t>Gadiformes</t>
        </is>
      </c>
      <c r="B103" t="inlineStr">
        <is>
          <t>Cods</t>
        </is>
      </c>
      <c r="C103" t="inlineStr">
        <is>
          <t>Medium benthopelagics (30 - 89 cm)</t>
        </is>
      </c>
      <c r="D103" t="inlineStr">
        <is>
          <t>Cod-likes</t>
        </is>
      </c>
      <c r="E103" s="9" t="inlineStr">
        <is>
          <t>Walleye pollock | Juv. pollock | Other Gadidae | Other bottom fishes</t>
        </is>
      </c>
      <c r="F103" t="inlineStr">
        <is>
          <t>0.457 | 0.391 | 0.057 | 0.095</t>
        </is>
      </c>
      <c r="G103" t="inlineStr">
        <is>
          <t>model_biomass</t>
        </is>
      </c>
      <c r="H103" t="inlineStr">
        <is>
          <t>low</t>
        </is>
      </c>
      <c r="I103" t="inlineStr">
        <is>
          <t>composite_split</t>
        </is>
      </c>
      <c r="J103" t="n">
        <v>5635.112</v>
      </c>
      <c r="K103" t="n">
        <v>0.0023</v>
      </c>
      <c r="L103" s="6" t="inlineStr">
        <is>
          <t>Gadiformes includes pollock stages, residual gadids and demersal morids/macrourids in the bottom-fish residual; broad order-level allocation.</t>
        </is>
      </c>
    </row>
    <row r="104">
      <c r="A104" t="inlineStr">
        <is>
          <t>Lycodes</t>
        </is>
      </c>
      <c r="B104" t="inlineStr">
        <is>
          <t>Eelpouts</t>
        </is>
      </c>
      <c r="C104" t="inlineStr">
        <is>
          <t>Medium bathydemersals (30 - 89 cm)</t>
        </is>
      </c>
      <c r="D104" t="inlineStr">
        <is>
          <t>Perch-likes</t>
        </is>
      </c>
      <c r="E104" s="5" t="inlineStr">
        <is>
          <t>Other bottom fishes</t>
        </is>
      </c>
      <c r="F104" t="inlineStr"/>
      <c r="G104" t="inlineStr"/>
      <c r="H104" t="inlineStr">
        <is>
          <t>medium</t>
        </is>
      </c>
      <c r="I104" t="inlineStr">
        <is>
          <t>habitat_size_guild</t>
        </is>
      </c>
      <c r="J104" t="n">
        <v>3135.817</v>
      </c>
      <c r="K104" t="n">
        <v>0.0013</v>
      </c>
      <c r="L104" s="6" t="inlineStr">
        <is>
          <t>Eelpout genus (Zoarcidae), a bathydemersal generalist predator with no dedicated group; placed in residual 'Other bottom fishes'. Reviewed against Chaikina 2020 Table 1; species membership is not tabulated.</t>
        </is>
      </c>
    </row>
    <row r="105">
      <c r="A105" t="inlineStr">
        <is>
          <t>Actinopterygii</t>
        </is>
      </c>
      <c r="B105" t="inlineStr">
        <is>
          <t>Ray-finned fishes</t>
        </is>
      </c>
      <c r="C105" t="inlineStr">
        <is>
          <t>Medium demersals (30 - 89 cm)</t>
        </is>
      </c>
      <c r="D105" t="inlineStr">
        <is>
          <t>Other fishes &amp; inverts</t>
        </is>
      </c>
      <c r="E105" s="9" t="inlineStr">
        <is>
          <t>Other bottom fishes | Other Gadidae | Cottidae | Pleuronectidae</t>
        </is>
      </c>
      <c r="F105" t="inlineStr">
        <is>
          <t>0.380 | 0.474 | 0.000 | 0.146</t>
        </is>
      </c>
      <c r="G105" t="inlineStr">
        <is>
          <t>catch_composition</t>
        </is>
      </c>
      <c r="H105" t="inlineStr">
        <is>
          <t>low</t>
        </is>
      </c>
      <c r="I105" t="inlineStr">
        <is>
          <t>composite_split</t>
        </is>
      </c>
      <c r="J105" t="n">
        <v>2973.471</v>
      </c>
      <c r="K105" t="n">
        <v>0.0012</v>
      </c>
      <c r="L105" s="6" t="inlineStr">
        <is>
          <t>Very broad ray-finned-fish label centred on the SAU demersal class; use only broad bottom-fish compartments and exclude named single stocks.</t>
        </is>
      </c>
    </row>
    <row r="106">
      <c r="A106" t="inlineStr">
        <is>
          <t>Miscellaneous aquatic invertebrates</t>
        </is>
      </c>
      <c r="B106" t="inlineStr">
        <is>
          <t>Aquatic invertebrates</t>
        </is>
      </c>
      <c r="C106" t="inlineStr">
        <is>
          <t>Other demersal invertebrates</t>
        </is>
      </c>
      <c r="D106" t="inlineStr">
        <is>
          <t>Other fishes &amp; inverts</t>
        </is>
      </c>
      <c r="E106" s="9" t="inlineStr">
        <is>
          <t>2nd level benthos | Carnivorous invertebrates</t>
        </is>
      </c>
      <c r="F106" t="inlineStr">
        <is>
          <t>0.784 | 0.216</t>
        </is>
      </c>
      <c r="G106" t="inlineStr">
        <is>
          <t>catch_composition</t>
        </is>
      </c>
      <c r="H106" t="inlineStr">
        <is>
          <t>low</t>
        </is>
      </c>
      <c r="I106" t="inlineStr">
        <is>
          <t>composite_split</t>
        </is>
      </c>
      <c r="J106" t="n">
        <v>2838.35</v>
      </c>
      <c r="K106" t="n">
        <v>0.0012</v>
      </c>
      <c r="L106" s="6" t="inlineStr">
        <is>
          <t>SAU places this unspecified invertebrate catch on the bottom; it may span basal and carnivorous benthos, with no documented composition.</t>
        </is>
      </c>
    </row>
    <row r="107">
      <c r="A107" t="inlineStr">
        <is>
          <t>Erimacrus isenbeckii</t>
        </is>
      </c>
      <c r="B107" t="inlineStr">
        <is>
          <t>Hair Crab</t>
        </is>
      </c>
      <c r="C107" t="inlineStr">
        <is>
          <t>Lobsters, crabs</t>
        </is>
      </c>
      <c r="D107" t="inlineStr">
        <is>
          <t>Crustaceans</t>
        </is>
      </c>
      <c r="E107" s="7" t="inlineStr">
        <is>
          <t>Crabs and shrimps</t>
        </is>
      </c>
      <c r="F107" t="inlineStr"/>
      <c r="G107" t="inlineStr"/>
      <c r="H107" t="inlineStr">
        <is>
          <t>high</t>
        </is>
      </c>
      <c r="I107" t="inlineStr">
        <is>
          <t>taxonomic_containment</t>
        </is>
      </c>
      <c r="J107" t="n">
        <v>2478.101</v>
      </c>
      <c r="K107" t="n">
        <v>0.001</v>
      </c>
      <c r="L107" s="6" t="inlineStr">
        <is>
          <t>Chaikina 2020 Table 1 names Crabs and shrimps; the catch taxon Erimacrus isenbeckii is within that taxonomic compartment (WoRMS taxonomy checked).</t>
        </is>
      </c>
    </row>
    <row r="108">
      <c r="A108" t="inlineStr">
        <is>
          <t>Mytilidae</t>
        </is>
      </c>
      <c r="B108" t="inlineStr">
        <is>
          <t>Sea mussels</t>
        </is>
      </c>
      <c r="C108" t="inlineStr">
        <is>
          <t>Other demersal invertebrates</t>
        </is>
      </c>
      <c r="D108" t="inlineStr">
        <is>
          <t>Molluscs</t>
        </is>
      </c>
      <c r="E108" s="5" t="inlineStr">
        <is>
          <t>2nd level benthos</t>
        </is>
      </c>
      <c r="F108" t="inlineStr"/>
      <c r="G108" t="inlineStr"/>
      <c r="H108" t="inlineStr">
        <is>
          <t>medium</t>
        </is>
      </c>
      <c r="I108" t="inlineStr">
        <is>
          <t>habitat_size_guild</t>
        </is>
      </c>
      <c r="J108" t="n">
        <v>2356.585</v>
      </c>
      <c r="K108" t="n">
        <v>0.001</v>
      </c>
      <c r="L108" s="6" t="inlineStr">
        <is>
          <t>Analyst inference: Mytilidae is a benthic suspension/deposit feeder or grazer, consistent with Chaikina 2020 Table 1 second-level benthos and its basal diet in Table 3; no species member list is supplied.</t>
        </is>
      </c>
    </row>
    <row r="109">
      <c r="A109" t="inlineStr">
        <is>
          <t>Penaeus chinensis</t>
        </is>
      </c>
      <c r="B109" t="inlineStr">
        <is>
          <t>Fleshy prawn</t>
        </is>
      </c>
      <c r="C109" t="inlineStr">
        <is>
          <t>Shrimps</t>
        </is>
      </c>
      <c r="D109" t="inlineStr">
        <is>
          <t>Crustaceans</t>
        </is>
      </c>
      <c r="E109" s="7" t="inlineStr">
        <is>
          <t>Crabs and shrimps</t>
        </is>
      </c>
      <c r="F109" t="inlineStr"/>
      <c r="G109" t="inlineStr"/>
      <c r="H109" t="inlineStr">
        <is>
          <t>high</t>
        </is>
      </c>
      <c r="I109" t="inlineStr">
        <is>
          <t>taxonomic_containment</t>
        </is>
      </c>
      <c r="J109" t="n">
        <v>2182.088</v>
      </c>
      <c r="K109" t="n">
        <v>0.0009</v>
      </c>
      <c r="L109" s="6" t="inlineStr">
        <is>
          <t>Chaikina 2020 Table 1 names Crabs and shrimps; the catch taxon Penaeus chinensis is within that taxonomic compartment (WoRMS taxonomy checked).</t>
        </is>
      </c>
    </row>
    <row r="110">
      <c r="A110" t="inlineStr">
        <is>
          <t>Congridae</t>
        </is>
      </c>
      <c r="B110" t="inlineStr">
        <is>
          <t>Conger, garden eels</t>
        </is>
      </c>
      <c r="C110" t="inlineStr">
        <is>
          <t>Large demersals (&gt;=90 cm)</t>
        </is>
      </c>
      <c r="D110" t="inlineStr">
        <is>
          <t>Other fishes &amp; inverts</t>
        </is>
      </c>
      <c r="E110" s="8" t="inlineStr">
        <is>
          <t>Unresolved</t>
        </is>
      </c>
      <c r="F110" t="inlineStr"/>
      <c r="G110" t="inlineStr"/>
      <c r="H110" t="inlineStr">
        <is>
          <t>unresolved</t>
        </is>
      </c>
      <c r="I110" t="inlineStr">
        <is>
          <t>none</t>
        </is>
      </c>
      <c r="J110" t="n">
        <v>2037.747</v>
      </c>
      <c r="K110" t="n">
        <v>0.0008</v>
      </c>
      <c r="L110" s="6" t="inlineStr">
        <is>
          <t>Conger/garden eel family, warm-temperate/tropical; no matching group. Reviewed: no documented compatible group for this catch label.</t>
        </is>
      </c>
    </row>
    <row r="111">
      <c r="A111" t="inlineStr">
        <is>
          <t>Serranidae</t>
        </is>
      </c>
      <c r="B111" t="inlineStr">
        <is>
          <t>Basses, groupers, hinds</t>
        </is>
      </c>
      <c r="C111" t="inlineStr">
        <is>
          <t>Medium reef assoc. fish (30 - 89 cm)</t>
        </is>
      </c>
      <c r="D111" t="inlineStr">
        <is>
          <t>Perch-likes</t>
        </is>
      </c>
      <c r="E111" s="8" t="inlineStr">
        <is>
          <t>Unresolved</t>
        </is>
      </c>
      <c r="F111" t="inlineStr"/>
      <c r="G111" t="inlineStr"/>
      <c r="H111" t="inlineStr">
        <is>
          <t>unresolved</t>
        </is>
      </c>
      <c r="I111" t="inlineStr">
        <is>
          <t>none</t>
        </is>
      </c>
      <c r="J111" t="n">
        <v>2017.182</v>
      </c>
      <c r="K111" t="n">
        <v>0.0008</v>
      </c>
      <c r="L111" s="6" t="inlineStr">
        <is>
          <t>Basses/groupers, a warm-water reef-associated family; no matching group. Reviewed: no documented compatible group for this catch label.</t>
        </is>
      </c>
    </row>
    <row r="112">
      <c r="A112" t="inlineStr">
        <is>
          <t>Synodontidae</t>
        </is>
      </c>
      <c r="B112" t="inlineStr">
        <is>
          <t>Lizardfishes, sauries</t>
        </is>
      </c>
      <c r="C112" t="inlineStr">
        <is>
          <t>Medium demersals (30 - 89 cm)</t>
        </is>
      </c>
      <c r="D112" t="inlineStr">
        <is>
          <t>Other fishes &amp; inverts</t>
        </is>
      </c>
      <c r="E112" s="8" t="inlineStr">
        <is>
          <t>Unresolved</t>
        </is>
      </c>
      <c r="F112" t="inlineStr"/>
      <c r="G112" t="inlineStr"/>
      <c r="H112" t="inlineStr">
        <is>
          <t>unresolved</t>
        </is>
      </c>
      <c r="I112" t="inlineStr">
        <is>
          <t>none</t>
        </is>
      </c>
      <c r="J112" t="n">
        <v>1936.137</v>
      </c>
      <c r="K112" t="n">
        <v>0.0008</v>
      </c>
      <c r="L112" s="6" t="inlineStr">
        <is>
          <t>Lizardfishes, a warm-water demersal family; no matching group. Reviewed: no documented compatible group for this catch label.</t>
        </is>
      </c>
    </row>
    <row r="113">
      <c r="A113" t="inlineStr">
        <is>
          <t>Perciformes</t>
        </is>
      </c>
      <c r="B113" t="inlineStr">
        <is>
          <t>Perch-likes</t>
        </is>
      </c>
      <c r="C113" t="inlineStr">
        <is>
          <t>Medium demersals (30 - 89 cm)</t>
        </is>
      </c>
      <c r="D113" t="inlineStr">
        <is>
          <t>Perch-likes</t>
        </is>
      </c>
      <c r="E113" s="8" t="inlineStr">
        <is>
          <t>Unresolved</t>
        </is>
      </c>
      <c r="F113" t="inlineStr"/>
      <c r="G113" t="inlineStr"/>
      <c r="H113" t="inlineStr">
        <is>
          <t>unresolved</t>
        </is>
      </c>
      <c r="I113" t="inlineStr">
        <is>
          <t>none</t>
        </is>
      </c>
      <c r="J113" t="n">
        <v>1596.923</v>
      </c>
      <c r="K113" t="n">
        <v>0.0007</v>
      </c>
      <c r="L113" s="6" t="inlineStr">
        <is>
          <t>Perch-likes order-wide is far too broad, spanning dozens of families across multiple model groups and non-model groups; cannot be resolved to one. Reviewed: no documented compatible group for this catch label.</t>
        </is>
      </c>
    </row>
    <row r="114">
      <c r="A114" t="inlineStr">
        <is>
          <t>Ommastrephes bartramii</t>
        </is>
      </c>
      <c r="B114" t="inlineStr">
        <is>
          <t>Neon flying squid</t>
        </is>
      </c>
      <c r="C114" t="inlineStr">
        <is>
          <t>Cephalopods</t>
        </is>
      </c>
      <c r="D114" t="inlineStr">
        <is>
          <t>Other fishes &amp; inverts</t>
        </is>
      </c>
      <c r="E114" s="7" t="inlineStr">
        <is>
          <t>Squids</t>
        </is>
      </c>
      <c r="F114" t="inlineStr"/>
      <c r="G114" t="inlineStr"/>
      <c r="H114" t="inlineStr">
        <is>
          <t>high</t>
        </is>
      </c>
      <c r="I114" t="inlineStr">
        <is>
          <t>taxonomic_containment</t>
        </is>
      </c>
      <c r="J114" t="n">
        <v>1468.252</v>
      </c>
      <c r="K114" t="n">
        <v>0.0005999999999999999</v>
      </c>
      <c r="L114" s="6" t="inlineStr">
        <is>
          <t>Chaikina 2020 Table 1 names Squids; the catch taxon Ommastrephes bartramii is within that taxonomic compartment (WoRMS taxonomy checked).</t>
        </is>
      </c>
    </row>
    <row r="115">
      <c r="A115" t="inlineStr">
        <is>
          <t>Sclerocrangon</t>
        </is>
      </c>
      <c r="B115" t="inlineStr">
        <is>
          <t>Sculptured shrimps</t>
        </is>
      </c>
      <c r="C115" t="inlineStr">
        <is>
          <t>Shrimps</t>
        </is>
      </c>
      <c r="D115" t="inlineStr">
        <is>
          <t>Crustaceans</t>
        </is>
      </c>
      <c r="E115" s="7" t="inlineStr">
        <is>
          <t>Crabs and shrimps</t>
        </is>
      </c>
      <c r="F115" t="inlineStr"/>
      <c r="G115" t="inlineStr"/>
      <c r="H115" t="inlineStr">
        <is>
          <t>high</t>
        </is>
      </c>
      <c r="I115" t="inlineStr">
        <is>
          <t>taxonomic_containment</t>
        </is>
      </c>
      <c r="J115" t="n">
        <v>1370.09</v>
      </c>
      <c r="K115" t="n">
        <v>0.0005999999999999999</v>
      </c>
      <c r="L115" s="6" t="inlineStr">
        <is>
          <t>Chaikina 2020 Table 1 names Crabs and shrimps; the catch taxon Sclerocrangon is within that taxonomic compartment (WoRMS taxonomy checked).</t>
        </is>
      </c>
    </row>
    <row r="116">
      <c r="A116" t="inlineStr">
        <is>
          <t>Mugilidae</t>
        </is>
      </c>
      <c r="B116" t="inlineStr">
        <is>
          <t>Mullets, grey mullets</t>
        </is>
      </c>
      <c r="C116" t="inlineStr">
        <is>
          <t>Medium reef assoc. fish (30 - 89 cm)</t>
        </is>
      </c>
      <c r="D116" t="inlineStr">
        <is>
          <t>Perch-likes</t>
        </is>
      </c>
      <c r="E116" s="8" t="inlineStr">
        <is>
          <t>Unresolved</t>
        </is>
      </c>
      <c r="F116" t="inlineStr"/>
      <c r="G116" t="inlineStr"/>
      <c r="H116" t="inlineStr">
        <is>
          <t>unresolved</t>
        </is>
      </c>
      <c r="I116" t="inlineStr">
        <is>
          <t>none</t>
        </is>
      </c>
      <c r="J116" t="n">
        <v>1185.585</v>
      </c>
      <c r="K116" t="n">
        <v>0.0005</v>
      </c>
      <c r="L116" s="6" t="inlineStr">
        <is>
          <t>Mullet family, warm coastal; no matching group. Reviewed: no documented compatible group for this catch label.</t>
        </is>
      </c>
    </row>
    <row r="117">
      <c r="A117" t="inlineStr">
        <is>
          <t>Hexagrammos otakii</t>
        </is>
      </c>
      <c r="B117" t="inlineStr">
        <is>
          <t>Fat grrenling</t>
        </is>
      </c>
      <c r="C117" t="inlineStr">
        <is>
          <t>Small pelagics (&lt;30 cm)</t>
        </is>
      </c>
      <c r="D117" t="inlineStr">
        <is>
          <t>Scorpionfishes</t>
        </is>
      </c>
      <c r="E117" s="5" t="inlineStr">
        <is>
          <t>Other bottom fishes</t>
        </is>
      </c>
      <c r="F117" t="inlineStr"/>
      <c r="G117" t="inlineStr"/>
      <c r="H117" t="inlineStr">
        <is>
          <t>medium</t>
        </is>
      </c>
      <c r="I117" t="inlineStr">
        <is>
          <t>habitat_size_guild</t>
        </is>
      </c>
      <c r="J117" t="n">
        <v>1141.535</v>
      </c>
      <c r="K117" t="n">
        <v>0.0005</v>
      </c>
      <c r="L117" s="6" t="inlineStr">
        <is>
          <t>Fat greenling, Hexagrammidae; same demersal-shelf-fish reasoning as the other greenlings, placed in residual 'Other bottom fishes'. Reviewed against Chaikina 2020 Table 1; species membership is not tabulated.</t>
        </is>
      </c>
    </row>
    <row r="118">
      <c r="A118" t="inlineStr">
        <is>
          <t>Hexagrammidae</t>
        </is>
      </c>
      <c r="B118" t="inlineStr">
        <is>
          <t>Greenlings</t>
        </is>
      </c>
      <c r="C118" t="inlineStr">
        <is>
          <t>Medium demersals (30 - 89 cm)</t>
        </is>
      </c>
      <c r="D118" t="inlineStr">
        <is>
          <t>Scorpionfishes</t>
        </is>
      </c>
      <c r="E118" s="5" t="inlineStr">
        <is>
          <t>Other bottom fishes</t>
        </is>
      </c>
      <c r="F118" t="inlineStr"/>
      <c r="G118" t="inlineStr"/>
      <c r="H118" t="inlineStr">
        <is>
          <t>medium</t>
        </is>
      </c>
      <c r="I118" t="inlineStr">
        <is>
          <t>habitat_size_guild</t>
        </is>
      </c>
      <c r="J118" t="n">
        <v>964.047</v>
      </c>
      <c r="K118" t="n">
        <v>0.0004</v>
      </c>
      <c r="L118" s="6" t="inlineStr">
        <is>
          <t>Greenling family, cold-water demersal shelf fish with no dedicated group; placed in residual 'Other bottom fishes'. Reviewed against Chaikina 2020 Table 1; species membership is not tabulated.</t>
        </is>
      </c>
    </row>
    <row r="119">
      <c r="A119" t="inlineStr">
        <is>
          <t>Marine pelagic fishes not identified</t>
        </is>
      </c>
      <c r="B119" t="inlineStr">
        <is>
          <t>Pelagic fishes</t>
        </is>
      </c>
      <c r="C119" t="inlineStr">
        <is>
          <t>Medium pelagics (30 - 89 cm)</t>
        </is>
      </c>
      <c r="D119" t="inlineStr">
        <is>
          <t>Other fishes &amp; inverts</t>
        </is>
      </c>
      <c r="E119" s="8" t="inlineStr">
        <is>
          <t>Unresolved</t>
        </is>
      </c>
      <c r="F119" t="inlineStr"/>
      <c r="G119" t="inlineStr"/>
      <c r="H119" t="inlineStr">
        <is>
          <t>unresolved</t>
        </is>
      </c>
      <c r="I119" t="inlineStr">
        <is>
          <t>none</t>
        </is>
      </c>
      <c r="J119" t="n">
        <v>743.317</v>
      </c>
      <c r="K119" t="n">
        <v>0.0003</v>
      </c>
      <c r="L119" s="6" t="inlineStr">
        <is>
          <t>Unidentified pelagic fish nei; the Okhotsk model has no generic pelagic-fish group to receive it. Reviewed: no documented compatible group for this catch label.</t>
        </is>
      </c>
    </row>
    <row r="120">
      <c r="A120" t="inlineStr">
        <is>
          <t>Beryx</t>
        </is>
      </c>
      <c r="B120" t="inlineStr">
        <is>
          <t>Alfonsinos</t>
        </is>
      </c>
      <c r="C120" t="inlineStr">
        <is>
          <t>Medium benthopelagics (30 - 89 cm)</t>
        </is>
      </c>
      <c r="D120" t="inlineStr">
        <is>
          <t>Other fishes &amp; inverts</t>
        </is>
      </c>
      <c r="E120" s="8" t="inlineStr">
        <is>
          <t>Unresolved</t>
        </is>
      </c>
      <c r="F120" t="inlineStr"/>
      <c r="G120" t="inlineStr"/>
      <c r="H120" t="inlineStr">
        <is>
          <t>unresolved</t>
        </is>
      </c>
      <c r="I120" t="inlineStr">
        <is>
          <t>none</t>
        </is>
      </c>
      <c r="J120" t="n">
        <v>565.899</v>
      </c>
      <c r="K120" t="n">
        <v>0.0002</v>
      </c>
      <c r="L120" s="6" t="inlineStr">
        <is>
          <t>Alfonsino genus (Berycidae), a deep-water seamount-associated fish of warmer waters; no matching group. Reviewed: no documented compatible group for this catch label.</t>
        </is>
      </c>
    </row>
    <row r="121">
      <c r="A121" t="inlineStr">
        <is>
          <t>Apostichopus japonicus</t>
        </is>
      </c>
      <c r="B121" t="inlineStr">
        <is>
          <t>Japanese sea cucumber</t>
        </is>
      </c>
      <c r="C121" t="inlineStr">
        <is>
          <t>Other demersal invertebrates</t>
        </is>
      </c>
      <c r="D121" t="inlineStr">
        <is>
          <t>Other fishes &amp; inverts</t>
        </is>
      </c>
      <c r="E121" s="5" t="inlineStr">
        <is>
          <t>2nd level benthos</t>
        </is>
      </c>
      <c r="F121" t="inlineStr"/>
      <c r="G121" t="inlineStr"/>
      <c r="H121" t="inlineStr">
        <is>
          <t>medium</t>
        </is>
      </c>
      <c r="I121" t="inlineStr">
        <is>
          <t>habitat_size_guild</t>
        </is>
      </c>
      <c r="J121" t="n">
        <v>531.083</v>
      </c>
      <c r="K121" t="n">
        <v>0.0002</v>
      </c>
      <c r="L121" s="6" t="inlineStr">
        <is>
          <t>Analyst inference: Apostichopus japonicus is a benthic suspension/deposit feeder or grazer, consistent with Chaikina 2020 Table 1 second-level benthos and its basal diet in Table 3; no species member list is supplied.</t>
        </is>
      </c>
    </row>
    <row r="122">
      <c r="A122" t="inlineStr">
        <is>
          <t>Crassostrea</t>
        </is>
      </c>
      <c r="B122" t="inlineStr">
        <is>
          <t>Cupped oysters</t>
        </is>
      </c>
      <c r="C122" t="inlineStr">
        <is>
          <t>Other demersal invertebrates</t>
        </is>
      </c>
      <c r="D122" t="inlineStr">
        <is>
          <t>Molluscs</t>
        </is>
      </c>
      <c r="E122" s="5" t="inlineStr">
        <is>
          <t>2nd level benthos</t>
        </is>
      </c>
      <c r="F122" t="inlineStr"/>
      <c r="G122" t="inlineStr"/>
      <c r="H122" t="inlineStr">
        <is>
          <t>medium</t>
        </is>
      </c>
      <c r="I122" t="inlineStr">
        <is>
          <t>habitat_size_guild</t>
        </is>
      </c>
      <c r="J122" t="n">
        <v>517.999</v>
      </c>
      <c r="K122" t="n">
        <v>0.0002</v>
      </c>
      <c r="L122" s="6" t="inlineStr">
        <is>
          <t>Analyst inference: Crassostrea is a benthic suspension/deposit feeder or grazer, consistent with Chaikina 2020 Table 1 second-level benthos and its basal diet in Table 3; no species member list is supplied.</t>
        </is>
      </c>
    </row>
    <row r="123">
      <c r="A123" t="inlineStr">
        <is>
          <t>Stromateidae</t>
        </is>
      </c>
      <c r="B123" t="inlineStr">
        <is>
          <t>Butterfishes</t>
        </is>
      </c>
      <c r="C123" t="inlineStr">
        <is>
          <t>Small benthopelagics (&lt;30 cm)</t>
        </is>
      </c>
      <c r="D123" t="inlineStr">
        <is>
          <t>Perch-likes</t>
        </is>
      </c>
      <c r="E123" s="8" t="inlineStr">
        <is>
          <t>Unresolved</t>
        </is>
      </c>
      <c r="F123" t="inlineStr"/>
      <c r="G123" t="inlineStr"/>
      <c r="H123" t="inlineStr">
        <is>
          <t>unresolved</t>
        </is>
      </c>
      <c r="I123" t="inlineStr">
        <is>
          <t>none</t>
        </is>
      </c>
      <c r="J123" t="n">
        <v>488.429</v>
      </c>
      <c r="K123" t="n">
        <v>0.0002</v>
      </c>
      <c r="L123" s="6" t="inlineStr">
        <is>
          <t>Butterfish family, warm-temperate/tropical pelagic; no matching group. Reviewed: no documented compatible group for this catch label.</t>
        </is>
      </c>
    </row>
    <row r="124">
      <c r="A124" t="inlineStr">
        <is>
          <t>Bramidae</t>
        </is>
      </c>
      <c r="B124" t="inlineStr">
        <is>
          <t>Pomfrets</t>
        </is>
      </c>
      <c r="C124" t="inlineStr">
        <is>
          <t>Medium pelagics (30 - 89 cm)</t>
        </is>
      </c>
      <c r="D124" t="inlineStr">
        <is>
          <t>Perch-likes</t>
        </is>
      </c>
      <c r="E124" s="8" t="inlineStr">
        <is>
          <t>Unresolved</t>
        </is>
      </c>
      <c r="F124" t="inlineStr"/>
      <c r="G124" t="inlineStr"/>
      <c r="H124" t="inlineStr">
        <is>
          <t>unresolved</t>
        </is>
      </c>
      <c r="I124" t="inlineStr">
        <is>
          <t>none</t>
        </is>
      </c>
      <c r="J124" t="n">
        <v>463.476</v>
      </c>
      <c r="K124" t="n">
        <v>0.0002</v>
      </c>
      <c r="L124" s="6" t="inlineStr">
        <is>
          <t>Pomfret family, oceanic epipelagic; no matching group. Reviewed: no documented compatible group for this catch label.</t>
        </is>
      </c>
    </row>
    <row r="125">
      <c r="A125" t="inlineStr">
        <is>
          <t>Cephea</t>
        </is>
      </c>
      <c r="B125" t="inlineStr">
        <is>
          <t>Cepheid jellyfishes</t>
        </is>
      </c>
      <c r="C125" t="inlineStr">
        <is>
          <t>Jellyfish</t>
        </is>
      </c>
      <c r="D125" t="inlineStr">
        <is>
          <t>Other fishes &amp; inverts</t>
        </is>
      </c>
      <c r="E125" s="7" t="inlineStr">
        <is>
          <t>Jellyfish</t>
        </is>
      </c>
      <c r="F125" t="inlineStr"/>
      <c r="G125" t="inlineStr"/>
      <c r="H125" t="inlineStr">
        <is>
          <t>high</t>
        </is>
      </c>
      <c r="I125" t="inlineStr">
        <is>
          <t>taxonomic_containment</t>
        </is>
      </c>
      <c r="J125" t="n">
        <v>383.615</v>
      </c>
      <c r="K125" t="n">
        <v>0.0002</v>
      </c>
      <c r="L125" s="6" t="inlineStr">
        <is>
          <t>Chaikina 2020 Table 1 names Jellyfish; the catch taxon Cephea is within that taxonomic compartment (WoRMS taxonomy checked).</t>
        </is>
      </c>
    </row>
    <row r="126">
      <c r="A126" t="inlineStr">
        <is>
          <t>Scorpaenidae</t>
        </is>
      </c>
      <c r="B126" t="inlineStr">
        <is>
          <t>Scorpionfishes, rockfishes</t>
        </is>
      </c>
      <c r="C126" t="inlineStr">
        <is>
          <t>Large reef assoc. fish (&gt;=90 cm)</t>
        </is>
      </c>
      <c r="D126" t="inlineStr">
        <is>
          <t>Scorpionfishes</t>
        </is>
      </c>
      <c r="E126" s="5" t="inlineStr">
        <is>
          <t>Other bottom fishes</t>
        </is>
      </c>
      <c r="F126" t="inlineStr"/>
      <c r="G126" t="inlineStr"/>
      <c r="H126" t="inlineStr">
        <is>
          <t>medium</t>
        </is>
      </c>
      <c r="I126" t="inlineStr">
        <is>
          <t>habitat_size_guild</t>
        </is>
      </c>
      <c r="J126" t="n">
        <v>282.206</v>
      </c>
      <c r="K126" t="n">
        <v>0.0001</v>
      </c>
      <c r="L126" s="6" t="inlineStr">
        <is>
          <t>Scorpionfish/rockfish family; same demersal-predator reasoning as Sebastidae, placed in residual 'Other bottom fishes'. Reviewed against Chaikina 2020 Table 1; species membership is not tabulated.</t>
        </is>
      </c>
    </row>
    <row r="127">
      <c r="A127" t="inlineStr">
        <is>
          <t>Scyphozoa</t>
        </is>
      </c>
      <c r="B127" t="inlineStr">
        <is>
          <t>True jellyfishes</t>
        </is>
      </c>
      <c r="C127" t="inlineStr">
        <is>
          <t>Jellyfish</t>
        </is>
      </c>
      <c r="D127" t="inlineStr">
        <is>
          <t>Other fishes &amp; inverts</t>
        </is>
      </c>
      <c r="E127" s="7" t="inlineStr">
        <is>
          <t>Jellyfish</t>
        </is>
      </c>
      <c r="F127" t="inlineStr"/>
      <c r="G127" t="inlineStr"/>
      <c r="H127" t="inlineStr">
        <is>
          <t>high</t>
        </is>
      </c>
      <c r="I127" t="inlineStr">
        <is>
          <t>taxonomic_containment</t>
        </is>
      </c>
      <c r="J127" t="n">
        <v>254.077</v>
      </c>
      <c r="K127" t="n">
        <v>0.0001</v>
      </c>
      <c r="L127" s="6" t="inlineStr">
        <is>
          <t>Chaikina 2020 Table 1 names Jellyfish; the catch taxon Scyphozoa is within that taxonomic compartment (WoRMS taxonomy checked).</t>
        </is>
      </c>
    </row>
    <row r="128">
      <c r="A128" t="inlineStr">
        <is>
          <t>Pandalopsis japonica</t>
        </is>
      </c>
      <c r="B128" t="inlineStr">
        <is>
          <t>Sidestripe shrimp</t>
        </is>
      </c>
      <c r="C128" t="inlineStr">
        <is>
          <t>Shrimps</t>
        </is>
      </c>
      <c r="D128" t="inlineStr">
        <is>
          <t>Crustaceans</t>
        </is>
      </c>
      <c r="E128" s="7" t="inlineStr">
        <is>
          <t>Crabs and shrimps</t>
        </is>
      </c>
      <c r="F128" t="inlineStr"/>
      <c r="G128" t="inlineStr"/>
      <c r="H128" t="inlineStr">
        <is>
          <t>high</t>
        </is>
      </c>
      <c r="I128" t="inlineStr">
        <is>
          <t>taxonomic_containment</t>
        </is>
      </c>
      <c r="J128" t="n">
        <v>238.86</v>
      </c>
      <c r="K128" t="n">
        <v>0.0001</v>
      </c>
      <c r="L128" s="6" t="inlineStr">
        <is>
          <t>Chaikina 2020 Table 1 names Crabs and shrimps; the catch taxon Pandalopsis japonica is within that taxonomic compartment (WoRMS taxonomy checked).</t>
        </is>
      </c>
    </row>
    <row r="129">
      <c r="A129" t="inlineStr">
        <is>
          <t>Pandalus kessleri</t>
        </is>
      </c>
      <c r="B129" t="inlineStr">
        <is>
          <t>Grass shrimp</t>
        </is>
      </c>
      <c r="C129" t="inlineStr">
        <is>
          <t>Shrimps</t>
        </is>
      </c>
      <c r="D129" t="inlineStr">
        <is>
          <t>Crustaceans</t>
        </is>
      </c>
      <c r="E129" s="7" t="inlineStr">
        <is>
          <t>Crabs and shrimps</t>
        </is>
      </c>
      <c r="F129" t="inlineStr"/>
      <c r="G129" t="inlineStr"/>
      <c r="H129" t="inlineStr">
        <is>
          <t>high</t>
        </is>
      </c>
      <c r="I129" t="inlineStr">
        <is>
          <t>taxonomic_containment</t>
        </is>
      </c>
      <c r="J129" t="n">
        <v>203.576</v>
      </c>
      <c r="K129" t="n">
        <v>0.0001</v>
      </c>
      <c r="L129" s="6" t="inlineStr">
        <is>
          <t>Chaikina 2020 Table 1 names Crabs and shrimps; the catch taxon Pandalus kessleri is within that taxonomic compartment (WoRMS taxonomy checked).</t>
        </is>
      </c>
    </row>
    <row r="130">
      <c r="A130" t="inlineStr">
        <is>
          <t>Oncorhynchus masou</t>
        </is>
      </c>
      <c r="B130" t="inlineStr">
        <is>
          <t>Masu salmon</t>
        </is>
      </c>
      <c r="C130" t="inlineStr">
        <is>
          <t>Medium benthopelagics (30 - 89 cm)</t>
        </is>
      </c>
      <c r="D130" t="inlineStr">
        <is>
          <t>Salmon, smelts, etc</t>
        </is>
      </c>
      <c r="E130" s="7" t="inlineStr">
        <is>
          <t>Salmon</t>
        </is>
      </c>
      <c r="F130" t="inlineStr"/>
      <c r="G130" t="inlineStr"/>
      <c r="H130" t="inlineStr">
        <is>
          <t>high</t>
        </is>
      </c>
      <c r="I130" t="inlineStr">
        <is>
          <t>taxonomic_containment</t>
        </is>
      </c>
      <c r="J130" t="n">
        <v>150.563</v>
      </c>
      <c r="K130" t="n">
        <v>0.0001</v>
      </c>
      <c r="L130" s="6" t="inlineStr">
        <is>
          <t>Pacific salmon catch within the Salmon compartment in Chaikina 2020 Table 1; no size/stage split is supplied.</t>
        </is>
      </c>
    </row>
    <row r="131">
      <c r="A131" t="inlineStr">
        <is>
          <t>Isurus</t>
        </is>
      </c>
      <c r="B131" t="inlineStr">
        <is>
          <t>Mako sharks</t>
        </is>
      </c>
      <c r="C131" t="inlineStr">
        <is>
          <t>Large sharks (&gt;=90 cm)</t>
        </is>
      </c>
      <c r="D131" t="inlineStr">
        <is>
          <t>Sharks &amp; rays</t>
        </is>
      </c>
      <c r="E131" s="8" t="inlineStr">
        <is>
          <t>Unresolved</t>
        </is>
      </c>
      <c r="F131" t="inlineStr"/>
      <c r="G131" t="inlineStr"/>
      <c r="H131" t="inlineStr">
        <is>
          <t>unresolved</t>
        </is>
      </c>
      <c r="I131" t="inlineStr">
        <is>
          <t>none</t>
        </is>
      </c>
      <c r="J131" t="n">
        <v>115.673</v>
      </c>
      <c r="K131" t="n">
        <v>0</v>
      </c>
      <c r="L131" s="6" t="inlineStr">
        <is>
          <t>Mako shark genus; the Okhotsk model has no elasmobranch group. Reviewed: no documented compatible group for this catch label.</t>
        </is>
      </c>
    </row>
    <row r="132">
      <c r="A132" t="inlineStr">
        <is>
          <t>Paralithodes brevipes</t>
        </is>
      </c>
      <c r="B132" t="inlineStr">
        <is>
          <t>Spiny king crab</t>
        </is>
      </c>
      <c r="C132" t="inlineStr">
        <is>
          <t>Lobsters, crabs</t>
        </is>
      </c>
      <c r="D132" t="inlineStr">
        <is>
          <t>Crustaceans</t>
        </is>
      </c>
      <c r="E132" s="7" t="inlineStr">
        <is>
          <t>Crabs and shrimps</t>
        </is>
      </c>
      <c r="F132" t="inlineStr"/>
      <c r="G132" t="inlineStr"/>
      <c r="H132" t="inlineStr">
        <is>
          <t>high</t>
        </is>
      </c>
      <c r="I132" t="inlineStr">
        <is>
          <t>taxonomic_containment</t>
        </is>
      </c>
      <c r="J132" t="n">
        <v>111.992</v>
      </c>
      <c r="K132" t="n">
        <v>0</v>
      </c>
      <c r="L132" s="6" t="inlineStr">
        <is>
          <t>Chaikina 2020 Table 1 names Crabs and shrimps; the catch taxon Paralithodes brevipes is within that taxonomic compartment (WoRMS taxonomy checked).</t>
        </is>
      </c>
    </row>
    <row r="133">
      <c r="A133" t="inlineStr">
        <is>
          <t>Metapenaeus</t>
        </is>
      </c>
      <c r="B133" t="inlineStr">
        <is>
          <t>Indo-Pacific prawns</t>
        </is>
      </c>
      <c r="C133" t="inlineStr">
        <is>
          <t>Shrimps</t>
        </is>
      </c>
      <c r="D133" t="inlineStr">
        <is>
          <t>Crustaceans</t>
        </is>
      </c>
      <c r="E133" s="7" t="inlineStr">
        <is>
          <t>Crabs and shrimps</t>
        </is>
      </c>
      <c r="F133" t="inlineStr"/>
      <c r="G133" t="inlineStr"/>
      <c r="H133" t="inlineStr">
        <is>
          <t>high</t>
        </is>
      </c>
      <c r="I133" t="inlineStr">
        <is>
          <t>taxonomic_containment</t>
        </is>
      </c>
      <c r="J133" t="n">
        <v>78.602</v>
      </c>
      <c r="K133" t="n">
        <v>0</v>
      </c>
      <c r="L133" s="6" t="inlineStr">
        <is>
          <t>Chaikina 2020 Table 1 names Crabs and shrimps; the catch taxon Metapenaeus is within that taxonomic compartment (WoRMS taxonomy checked).</t>
        </is>
      </c>
    </row>
    <row r="134">
      <c r="A134" t="inlineStr">
        <is>
          <t>Mola mola</t>
        </is>
      </c>
      <c r="B134" t="inlineStr">
        <is>
          <t>Ocean sunfish</t>
        </is>
      </c>
      <c r="C134" t="inlineStr">
        <is>
          <t>Large pelagics (&gt;=90 cm)</t>
        </is>
      </c>
      <c r="D134" t="inlineStr">
        <is>
          <t>Other fishes &amp; inverts</t>
        </is>
      </c>
      <c r="E134" s="8" t="inlineStr">
        <is>
          <t>Unresolved</t>
        </is>
      </c>
      <c r="F134" t="inlineStr"/>
      <c r="G134" t="inlineStr"/>
      <c r="H134" t="inlineStr">
        <is>
          <t>unresolved</t>
        </is>
      </c>
      <c r="I134" t="inlineStr">
        <is>
          <t>none</t>
        </is>
      </c>
      <c r="J134" t="n">
        <v>33.928</v>
      </c>
      <c r="K134" t="n">
        <v>0</v>
      </c>
      <c r="L134" s="6" t="inlineStr">
        <is>
          <t>Ocean sunfish, an oceanic epipelagic species; no matching group. Reviewed: no documented compatible group for this catch label.</t>
        </is>
      </c>
    </row>
    <row r="135">
      <c r="A135" t="inlineStr">
        <is>
          <t>Magallana gigas</t>
        </is>
      </c>
      <c r="B135" t="inlineStr">
        <is>
          <t>Pacific cupped oyster</t>
        </is>
      </c>
      <c r="C135" t="inlineStr">
        <is>
          <t>Other demersal invertebrates</t>
        </is>
      </c>
      <c r="D135" t="inlineStr">
        <is>
          <t>Molluscs</t>
        </is>
      </c>
      <c r="E135" s="5" t="inlineStr">
        <is>
          <t>2nd level benthos</t>
        </is>
      </c>
      <c r="F135" t="inlineStr"/>
      <c r="G135" t="inlineStr"/>
      <c r="H135" t="inlineStr">
        <is>
          <t>medium</t>
        </is>
      </c>
      <c r="I135" t="inlineStr">
        <is>
          <t>habitat_size_guild</t>
        </is>
      </c>
      <c r="J135" t="n">
        <v>25.65</v>
      </c>
      <c r="K135" t="n">
        <v>0</v>
      </c>
      <c r="L135" s="6" t="inlineStr">
        <is>
          <t>Analyst inference: Magallana gigas is a benthic suspension/deposit feeder or grazer, consistent with Chaikina 2020 Table 1 second-level benthos and its basal diet in Table 3; no species member list is supplied.</t>
        </is>
      </c>
    </row>
    <row r="136">
      <c r="A136" t="inlineStr">
        <is>
          <t>Xiphias gladius</t>
        </is>
      </c>
      <c r="B136" t="inlineStr">
        <is>
          <t>Swordfish</t>
        </is>
      </c>
      <c r="C136" t="inlineStr">
        <is>
          <t>Large pelagics (&gt;=90 cm)</t>
        </is>
      </c>
      <c r="D136" t="inlineStr">
        <is>
          <t>Tuna &amp; billfishes</t>
        </is>
      </c>
      <c r="E136" s="8" t="inlineStr">
        <is>
          <t>Unresolved</t>
        </is>
      </c>
      <c r="F136" t="inlineStr"/>
      <c r="G136" t="inlineStr"/>
      <c r="H136" t="inlineStr">
        <is>
          <t>unresolved</t>
        </is>
      </c>
      <c r="I136" t="inlineStr">
        <is>
          <t>none</t>
        </is>
      </c>
      <c r="J136" t="n">
        <v>7.067</v>
      </c>
      <c r="K136" t="n">
        <v>0</v>
      </c>
      <c r="L136" s="6" t="inlineStr">
        <is>
          <t>Swordfish, an oceanic epipelagic predator; no matching group. Reviewed: no documented compatible group for this catch label.</t>
        </is>
      </c>
    </row>
    <row r="137">
      <c r="A137" t="inlineStr">
        <is>
          <t>Decapterus</t>
        </is>
      </c>
      <c r="B137" t="inlineStr">
        <is>
          <t>Scads</t>
        </is>
      </c>
      <c r="C137" t="inlineStr">
        <is>
          <t>Medium pelagics (30 - 89 cm)</t>
        </is>
      </c>
      <c r="D137" t="inlineStr">
        <is>
          <t>Perch-likes</t>
        </is>
      </c>
      <c r="E137" s="8" t="inlineStr">
        <is>
          <t>Unresolved</t>
        </is>
      </c>
      <c r="F137" t="inlineStr"/>
      <c r="G137" t="inlineStr"/>
      <c r="H137" t="inlineStr">
        <is>
          <t>unresolved</t>
        </is>
      </c>
      <c r="I137" t="inlineStr">
        <is>
          <t>none</t>
        </is>
      </c>
      <c r="J137" t="n">
        <v>6.812</v>
      </c>
      <c r="K137" t="n">
        <v>0</v>
      </c>
      <c r="L137" s="6" t="inlineStr">
        <is>
          <t>Scad genus, Carangidae, epipelagic; no matching group. Reviewed: no documented compatible group for this catch label.</t>
        </is>
      </c>
    </row>
    <row r="138">
      <c r="A138" t="inlineStr">
        <is>
          <t>Scomberomorus niphonius</t>
        </is>
      </c>
      <c r="B138" t="inlineStr">
        <is>
          <t>Japanese Spanish mackerel</t>
        </is>
      </c>
      <c r="C138" t="inlineStr">
        <is>
          <t>Large pelagics (&gt;=90 cm)</t>
        </is>
      </c>
      <c r="D138" t="inlineStr">
        <is>
          <t>Perch-likes</t>
        </is>
      </c>
      <c r="E138" s="8" t="inlineStr">
        <is>
          <t>Unresolved</t>
        </is>
      </c>
      <c r="F138" t="inlineStr"/>
      <c r="G138" t="inlineStr"/>
      <c r="H138" t="inlineStr">
        <is>
          <t>unresolved</t>
        </is>
      </c>
      <c r="I138" t="inlineStr">
        <is>
          <t>none</t>
        </is>
      </c>
      <c r="J138" t="n">
        <v>5.272</v>
      </c>
      <c r="K138" t="n">
        <v>0</v>
      </c>
      <c r="L138" s="6" t="inlineStr">
        <is>
          <t>Japanese Spanish mackerel, Scombridae, epipelagic; no matching group. Reviewed: no documented compatible group for this catch label.</t>
        </is>
      </c>
    </row>
    <row r="139">
      <c r="A139" t="inlineStr">
        <is>
          <t>Panulirus</t>
        </is>
      </c>
      <c r="B139" t="inlineStr">
        <is>
          <t>Spiny lobsters</t>
        </is>
      </c>
      <c r="C139" t="inlineStr">
        <is>
          <t>Lobsters, crabs</t>
        </is>
      </c>
      <c r="D139" t="inlineStr">
        <is>
          <t>Crustaceans</t>
        </is>
      </c>
      <c r="E139" s="9" t="inlineStr">
        <is>
          <t>Carnivorous invertebrates</t>
        </is>
      </c>
      <c r="F139" t="inlineStr"/>
      <c r="G139" t="inlineStr"/>
      <c r="H139" t="inlineStr">
        <is>
          <t>low</t>
        </is>
      </c>
      <c r="I139" t="inlineStr">
        <is>
          <t>analogue</t>
        </is>
      </c>
      <c r="J139" t="n">
        <v>4.606</v>
      </c>
      <c r="K139" t="n">
        <v>0</v>
      </c>
      <c r="L139" s="6" t="inlineStr">
        <is>
          <t>Spiny lobsters are benthic carnivorous invertebrates; source Crabs and shrimps does not explicitly include lobsters. Residual feeding-guild placement is provisional.</t>
        </is>
      </c>
    </row>
    <row r="140">
      <c r="A140" t="inlineStr">
        <is>
          <t>Rachycentron canadum</t>
        </is>
      </c>
      <c r="B140" t="inlineStr">
        <is>
          <t>Cobia</t>
        </is>
      </c>
      <c r="C140" t="inlineStr">
        <is>
          <t>Large pelagics (&gt;=90 cm)</t>
        </is>
      </c>
      <c r="D140" t="inlineStr">
        <is>
          <t>Perch-likes</t>
        </is>
      </c>
      <c r="E140" s="8" t="inlineStr">
        <is>
          <t>Unresolved</t>
        </is>
      </c>
      <c r="F140" t="inlineStr"/>
      <c r="G140" t="inlineStr"/>
      <c r="H140" t="inlineStr">
        <is>
          <t>unresolved</t>
        </is>
      </c>
      <c r="I140" t="inlineStr">
        <is>
          <t>none</t>
        </is>
      </c>
      <c r="J140" t="n">
        <v>2.341</v>
      </c>
      <c r="K140" t="n">
        <v>0</v>
      </c>
      <c r="L140" s="6" t="inlineStr">
        <is>
          <t>Cobia, a warm-water coastal/pelagic species; no matching group. Reviewed: no documented compatible group for this catch label.</t>
        </is>
      </c>
    </row>
    <row r="141">
      <c r="A141" t="inlineStr">
        <is>
          <t>Coregonus</t>
        </is>
      </c>
      <c r="B141" t="inlineStr">
        <is>
          <t>Whitefishes</t>
        </is>
      </c>
      <c r="C141" t="inlineStr">
        <is>
          <t>Medium pelagics (30 - 89 cm)</t>
        </is>
      </c>
      <c r="D141" t="inlineStr">
        <is>
          <t>Salmon, smelts, etc</t>
        </is>
      </c>
      <c r="E141" s="8" t="inlineStr">
        <is>
          <t>Unresolved</t>
        </is>
      </c>
      <c r="F141" t="inlineStr"/>
      <c r="G141" t="inlineStr"/>
      <c r="H141" t="inlineStr">
        <is>
          <t>unresolved</t>
        </is>
      </c>
      <c r="I141" t="inlineStr">
        <is>
          <t>none</t>
        </is>
      </c>
      <c r="J141" t="n">
        <v>1.999</v>
      </c>
      <c r="K141" t="n">
        <v>0</v>
      </c>
      <c r="L141" s="6" t="inlineStr">
        <is>
          <t>The source names Salmon but does not document char or whitefish membership; their potentially anadromous/freshwater component cannot be assigned to Pacific salmon without evidence. Reviewed: no documented compatible group for this catch label.</t>
        </is>
      </c>
    </row>
    <row r="142">
      <c r="A142" t="inlineStr">
        <is>
          <t>Haliotis</t>
        </is>
      </c>
      <c r="B142" t="inlineStr">
        <is>
          <t>Abalones</t>
        </is>
      </c>
      <c r="C142" t="inlineStr">
        <is>
          <t>Other demersal invertebrates</t>
        </is>
      </c>
      <c r="D142" t="inlineStr">
        <is>
          <t>Molluscs</t>
        </is>
      </c>
      <c r="E142" s="5" t="inlineStr">
        <is>
          <t>2nd level benthos</t>
        </is>
      </c>
      <c r="F142" t="inlineStr"/>
      <c r="G142" t="inlineStr"/>
      <c r="H142" t="inlineStr">
        <is>
          <t>medium</t>
        </is>
      </c>
      <c r="I142" t="inlineStr">
        <is>
          <t>habitat_size_guild</t>
        </is>
      </c>
      <c r="J142" t="n">
        <v>1.196</v>
      </c>
      <c r="K142" t="n">
        <v>0</v>
      </c>
      <c r="L142" s="6" t="inlineStr">
        <is>
          <t>Analyst inference: Haliotis is a benthic suspension/deposit feeder or grazer, consistent with Chaikina 2020 Table 1 second-level benthos and its basal diet in Table 3; no species member list is supplied.</t>
        </is>
      </c>
    </row>
    <row r="143">
      <c r="A143" t="inlineStr">
        <is>
          <t>Seriola dumerili</t>
        </is>
      </c>
      <c r="B143" t="inlineStr">
        <is>
          <t>Greater amberjack</t>
        </is>
      </c>
      <c r="C143" t="inlineStr">
        <is>
          <t>Large reef assoc. fish (&gt;=90 cm)</t>
        </is>
      </c>
      <c r="D143" t="inlineStr">
        <is>
          <t>Perch-likes</t>
        </is>
      </c>
      <c r="E143" s="8" t="inlineStr">
        <is>
          <t>Unresolved</t>
        </is>
      </c>
      <c r="F143" t="inlineStr"/>
      <c r="G143" t="inlineStr"/>
      <c r="H143" t="inlineStr">
        <is>
          <t>unresolved</t>
        </is>
      </c>
      <c r="I143" t="inlineStr">
        <is>
          <t>none</t>
        </is>
      </c>
      <c r="J143" t="n">
        <v>1.059</v>
      </c>
      <c r="K143" t="n">
        <v>0</v>
      </c>
      <c r="L143" s="6" t="inlineStr">
        <is>
          <t>Greater amberjack, Carangidae, warm-water; no matching group. Reviewed: no documented compatible group for this catch label.</t>
        </is>
      </c>
    </row>
    <row r="144">
      <c r="A144" t="inlineStr">
        <is>
          <t>Saurida</t>
        </is>
      </c>
      <c r="B144" t="inlineStr">
        <is>
          <t>Lizardfishes</t>
        </is>
      </c>
      <c r="C144" t="inlineStr">
        <is>
          <t>Medium demersals (30 - 89 cm)</t>
        </is>
      </c>
      <c r="D144" t="inlineStr">
        <is>
          <t>Other fishes &amp; inverts</t>
        </is>
      </c>
      <c r="E144" s="8" t="inlineStr">
        <is>
          <t>Unresolved</t>
        </is>
      </c>
      <c r="F144" t="inlineStr"/>
      <c r="G144" t="inlineStr"/>
      <c r="H144" t="inlineStr">
        <is>
          <t>unresolved</t>
        </is>
      </c>
      <c r="I144" t="inlineStr">
        <is>
          <t>none</t>
        </is>
      </c>
      <c r="J144" t="n">
        <v>1.048</v>
      </c>
      <c r="K144" t="n">
        <v>0</v>
      </c>
      <c r="L144" s="6" t="inlineStr">
        <is>
          <t>Lizardfish genus, Synodontidae, warm-water demersal; no matching group. Reviewed: no documented compatible group for this catch label.</t>
        </is>
      </c>
    </row>
    <row r="145">
      <c r="A145" t="inlineStr">
        <is>
          <t>Prionace glauca</t>
        </is>
      </c>
      <c r="B145" t="inlineStr">
        <is>
          <t>Blue shark</t>
        </is>
      </c>
      <c r="C145" t="inlineStr">
        <is>
          <t>Large sharks (&gt;=90 cm)</t>
        </is>
      </c>
      <c r="D145" t="inlineStr">
        <is>
          <t>Sharks &amp; rays</t>
        </is>
      </c>
      <c r="E145" s="8" t="inlineStr">
        <is>
          <t>Unresolved</t>
        </is>
      </c>
      <c r="F145" t="inlineStr"/>
      <c r="G145" t="inlineStr"/>
      <c r="H145" t="inlineStr">
        <is>
          <t>unresolved</t>
        </is>
      </c>
      <c r="I145" t="inlineStr">
        <is>
          <t>none</t>
        </is>
      </c>
      <c r="J145" t="n">
        <v>0.959</v>
      </c>
      <c r="K145" t="n">
        <v>0</v>
      </c>
      <c r="L145" s="6" t="inlineStr">
        <is>
          <t>Blue shark; the Okhotsk model has no elasmobranch group. Reviewed: no documented compatible group for this catch label.</t>
        </is>
      </c>
    </row>
    <row r="146">
      <c r="A146" t="inlineStr">
        <is>
          <t>Echinozoa</t>
        </is>
      </c>
      <c r="B146" t="inlineStr">
        <is>
          <t>Sea urchins and sea cucumbers</t>
        </is>
      </c>
      <c r="C146" t="inlineStr">
        <is>
          <t>Other demersal invertebrates</t>
        </is>
      </c>
      <c r="D146" t="inlineStr">
        <is>
          <t>Other fishes &amp; inverts</t>
        </is>
      </c>
      <c r="E146" s="5" t="inlineStr">
        <is>
          <t>2nd level benthos</t>
        </is>
      </c>
      <c r="F146" t="inlineStr"/>
      <c r="G146" t="inlineStr"/>
      <c r="H146" t="inlineStr">
        <is>
          <t>medium</t>
        </is>
      </c>
      <c r="I146" t="inlineStr">
        <is>
          <t>habitat_size_guild</t>
        </is>
      </c>
      <c r="J146" t="n">
        <v>0.092</v>
      </c>
      <c r="K146" t="n">
        <v>0</v>
      </c>
      <c r="L146" s="6" t="inlineStr">
        <is>
          <t>Analyst inference: Echinozoa is a benthic suspension/deposit feeder or grazer, consistent with Chaikina 2020 Table 1 second-level benthos and its basal diet in Table 3; no species member list is supplied.</t>
        </is>
      </c>
    </row>
    <row r="147">
      <c r="A147" t="inlineStr">
        <is>
          <t>Lates calcarifer</t>
        </is>
      </c>
      <c r="B147" t="inlineStr">
        <is>
          <t>Barramundi</t>
        </is>
      </c>
      <c r="C147" t="inlineStr">
        <is>
          <t>Large demersals (&gt;=90 cm)</t>
        </is>
      </c>
      <c r="D147" t="inlineStr">
        <is>
          <t>Perch-likes</t>
        </is>
      </c>
      <c r="E147" s="8" t="inlineStr">
        <is>
          <t>Unresolved</t>
        </is>
      </c>
      <c r="F147" t="inlineStr"/>
      <c r="G147" t="inlineStr"/>
      <c r="H147" t="inlineStr">
        <is>
          <t>unresolved</t>
        </is>
      </c>
      <c r="I147" t="inlineStr">
        <is>
          <t>none</t>
        </is>
      </c>
      <c r="J147" t="n">
        <v>0.038</v>
      </c>
      <c r="K147" t="n">
        <v>0</v>
      </c>
      <c r="L147" s="6" t="inlineStr">
        <is>
          <t>Barramundi, a tropical estuarine species; no matching group. Reviewed: no documented compatible group for this catch label.</t>
        </is>
      </c>
    </row>
    <row r="148">
      <c r="A148" t="inlineStr">
        <is>
          <t>Rhopilema hispidum</t>
        </is>
      </c>
      <c r="B148" t="inlineStr">
        <is>
          <t>Sand jellyfish</t>
        </is>
      </c>
      <c r="C148" t="inlineStr">
        <is>
          <t>Jellyfish</t>
        </is>
      </c>
      <c r="D148" t="inlineStr">
        <is>
          <t>Other fishes &amp; inverts</t>
        </is>
      </c>
      <c r="E148" s="7" t="inlineStr">
        <is>
          <t>Jellyfish</t>
        </is>
      </c>
      <c r="F148" t="inlineStr"/>
      <c r="G148" t="inlineStr"/>
      <c r="H148" t="inlineStr">
        <is>
          <t>high</t>
        </is>
      </c>
      <c r="I148" t="inlineStr">
        <is>
          <t>taxonomic_containment</t>
        </is>
      </c>
      <c r="J148" t="n">
        <v>0.014</v>
      </c>
      <c r="K148" t="n">
        <v>0</v>
      </c>
      <c r="L148" s="6" t="inlineStr">
        <is>
          <t>Chaikina 2020 Table 1 names Jellyfish; the catch taxon Rhopilema hispidum is within that taxonomic compartment (WoRMS taxonomy checked).</t>
        </is>
      </c>
    </row>
    <row r="149">
      <c r="A149" t="inlineStr">
        <is>
          <t>Scaridae</t>
        </is>
      </c>
      <c r="B149" t="inlineStr">
        <is>
          <t>Parrotfishes</t>
        </is>
      </c>
      <c r="C149" t="inlineStr">
        <is>
          <t>Medium reef assoc. fish (30 - 89 cm)</t>
        </is>
      </c>
      <c r="D149" t="inlineStr">
        <is>
          <t>Perch-likes</t>
        </is>
      </c>
      <c r="E149" s="8" t="inlineStr">
        <is>
          <t>Unresolved</t>
        </is>
      </c>
      <c r="F149" t="inlineStr"/>
      <c r="G149" t="inlineStr"/>
      <c r="H149" t="inlineStr">
        <is>
          <t>unresolved</t>
        </is>
      </c>
      <c r="I149" t="inlineStr">
        <is>
          <t>none</t>
        </is>
      </c>
      <c r="J149" t="n">
        <v>0.01</v>
      </c>
      <c r="K149" t="n">
        <v>0</v>
      </c>
      <c r="L149" s="6" t="inlineStr">
        <is>
          <t>Parrotfish family, tropical reef-associated; no matching group. Reviewed: no documented compatible group for this catch label.</t>
        </is>
      </c>
    </row>
    <row r="150">
      <c r="A150" t="inlineStr">
        <is>
          <t>Rachycentridae</t>
        </is>
      </c>
      <c r="B150" t="inlineStr">
        <is>
          <t>Cobias</t>
        </is>
      </c>
      <c r="C150" t="inlineStr">
        <is>
          <t>Large pelagics (&gt;=90 cm)</t>
        </is>
      </c>
      <c r="D150" t="inlineStr">
        <is>
          <t>Perch-likes</t>
        </is>
      </c>
      <c r="E150" s="8" t="inlineStr">
        <is>
          <t>Unresolved</t>
        </is>
      </c>
      <c r="F150" t="inlineStr"/>
      <c r="G150" t="inlineStr"/>
      <c r="H150" t="inlineStr">
        <is>
          <t>unresolved</t>
        </is>
      </c>
      <c r="I150" t="inlineStr">
        <is>
          <t>none</t>
        </is>
      </c>
      <c r="J150" t="n">
        <v>0.007</v>
      </c>
      <c r="K150" t="n">
        <v>0</v>
      </c>
      <c r="L150" s="6" t="inlineStr">
        <is>
          <t>Cobia family, warm-water; no matching group. Reviewed: no documented compatible group for this catch label.</t>
        </is>
      </c>
    </row>
    <row r="151">
      <c r="A151" t="inlineStr">
        <is>
          <t>Chanos chanos</t>
        </is>
      </c>
      <c r="B151" t="inlineStr">
        <is>
          <t>Milkfish</t>
        </is>
      </c>
      <c r="C151" t="inlineStr">
        <is>
          <t>Large benthopelagics (&gt;=90 cm)</t>
        </is>
      </c>
      <c r="D151" t="inlineStr">
        <is>
          <t>Other fishes &amp; inverts</t>
        </is>
      </c>
      <c r="E151" s="8" t="inlineStr">
        <is>
          <t>Unresolved</t>
        </is>
      </c>
      <c r="F151" t="inlineStr"/>
      <c r="G151" t="inlineStr"/>
      <c r="H151" t="inlineStr">
        <is>
          <t>unresolved</t>
        </is>
      </c>
      <c r="I151" t="inlineStr">
        <is>
          <t>none</t>
        </is>
      </c>
      <c r="J151" t="n">
        <v>0.005</v>
      </c>
      <c r="K151" t="n">
        <v>0</v>
      </c>
      <c r="L151" s="6" t="inlineStr">
        <is>
          <t>Milkfish, a tropical species; no matching group. Reviewed: no documented compatible group for this catch label.</t>
        </is>
      </c>
    </row>
    <row r="152">
      <c r="A152" t="inlineStr">
        <is>
          <t>Pinctada</t>
        </is>
      </c>
      <c r="B152" t="inlineStr">
        <is>
          <t>Mother of pearl oysters</t>
        </is>
      </c>
      <c r="C152" t="inlineStr">
        <is>
          <t>Other demersal invertebrates</t>
        </is>
      </c>
      <c r="D152" t="inlineStr">
        <is>
          <t>Molluscs</t>
        </is>
      </c>
      <c r="E152" s="5" t="inlineStr">
        <is>
          <t>2nd level benthos</t>
        </is>
      </c>
      <c r="F152" t="inlineStr"/>
      <c r="G152" t="inlineStr"/>
      <c r="H152" t="inlineStr">
        <is>
          <t>medium</t>
        </is>
      </c>
      <c r="I152" t="inlineStr">
        <is>
          <t>habitat_size_guild</t>
        </is>
      </c>
      <c r="J152" t="n">
        <v>0.001</v>
      </c>
      <c r="K152" t="n">
        <v>0</v>
      </c>
      <c r="L152" s="6" t="inlineStr">
        <is>
          <t>Analyst inference: Pinctada is a benthic suspension/deposit feeder or grazer, consistent with Chaikina 2020 Table 1 second-level benthos and its basal diet in Table 3; no species member list is supplied.</t>
        </is>
      </c>
    </row>
    <row r="153">
      <c r="A153" t="inlineStr">
        <is>
          <t>Scombroidei</t>
        </is>
      </c>
      <c r="B153" t="inlineStr">
        <is>
          <t>Tunas, bonitos, billfishes</t>
        </is>
      </c>
      <c r="C153" t="inlineStr">
        <is>
          <t>Large pelagics (&gt;=90 cm)</t>
        </is>
      </c>
      <c r="D153" t="inlineStr">
        <is>
          <t>Tuna &amp; billfishes</t>
        </is>
      </c>
      <c r="E153" s="8" t="inlineStr">
        <is>
          <t>Unresolved</t>
        </is>
      </c>
      <c r="F153" t="inlineStr"/>
      <c r="G153" t="inlineStr"/>
      <c r="H153" t="inlineStr">
        <is>
          <t>unresolved</t>
        </is>
      </c>
      <c r="I153" t="inlineStr">
        <is>
          <t>none</t>
        </is>
      </c>
      <c r="J153" t="n">
        <v>0.001</v>
      </c>
      <c r="K153" t="n">
        <v>0</v>
      </c>
      <c r="L153" s="6" t="inlineStr">
        <is>
          <t>Tuna/bonito/billfish suborder, oceanic epipelagic; no matching group. Reviewed: no documented compatible group for this catch label.</t>
        </is>
      </c>
    </row>
    <row r="154">
      <c r="A154" t="inlineStr">
        <is>
          <t>Sphyraena barracuda</t>
        </is>
      </c>
      <c r="B154" t="inlineStr">
        <is>
          <t>Great barracuda</t>
        </is>
      </c>
      <c r="C154" t="inlineStr">
        <is>
          <t>Large pelagics (&gt;=90 cm)</t>
        </is>
      </c>
      <c r="D154" t="inlineStr">
        <is>
          <t>Perch-likes</t>
        </is>
      </c>
      <c r="E154" s="8" t="inlineStr">
        <is>
          <t>Unresolved</t>
        </is>
      </c>
      <c r="F154" t="inlineStr"/>
      <c r="G154" t="inlineStr"/>
      <c r="H154" t="inlineStr">
        <is>
          <t>unresolved</t>
        </is>
      </c>
      <c r="I154" t="inlineStr">
        <is>
          <t>none</t>
        </is>
      </c>
      <c r="J154" t="n">
        <v>0</v>
      </c>
      <c r="K154" t="n">
        <v>0</v>
      </c>
      <c r="L154" s="6" t="inlineStr">
        <is>
          <t>Great barracuda, a tropical/warm-temperate species; no matching group. Reviewed: no documented compatible group for this catch label.</t>
        </is>
      </c>
    </row>
    <row r="155">
      <c r="A155" t="inlineStr">
        <is>
          <t>Isurus oxyrinchus</t>
        </is>
      </c>
      <c r="B155" t="inlineStr">
        <is>
          <t>Shortfin mako</t>
        </is>
      </c>
      <c r="C155" t="inlineStr">
        <is>
          <t>Large sharks (&gt;=90 cm)</t>
        </is>
      </c>
      <c r="D155" t="inlineStr">
        <is>
          <t>Sharks &amp; rays</t>
        </is>
      </c>
      <c r="E155" s="8" t="inlineStr">
        <is>
          <t>Unresolved</t>
        </is>
      </c>
      <c r="F155" t="inlineStr"/>
      <c r="G155" t="inlineStr"/>
      <c r="H155" t="inlineStr">
        <is>
          <t>unresolved</t>
        </is>
      </c>
      <c r="I155" t="inlineStr">
        <is>
          <t>none</t>
        </is>
      </c>
      <c r="J155" t="n">
        <v>0</v>
      </c>
      <c r="K155" t="n">
        <v>0</v>
      </c>
      <c r="L155" s="6" t="inlineStr">
        <is>
          <t>Shortfin mako; the Okhotsk model has no elasmobranch group. Reviewed: no documented compatible group for this catch label.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6" customWidth="1" min="2" max="2"/>
    <col width="30" customWidth="1" min="3" max="3"/>
    <col width="23" customWidth="1" min="4" max="4"/>
    <col width="27" customWidth="1" min="5" max="5"/>
    <col width="24" customWidth="1" min="6" max="6"/>
    <col width="35" customWidth="1" min="7" max="7"/>
    <col width="23" customWidth="1" min="8" max="8"/>
    <col width="22" customWidth="1" min="9" max="9"/>
    <col width="14" customWidth="1" min="10" max="10"/>
    <col width="24" customWidth="1" min="11" max="11"/>
    <col width="95" customWidth="1" min="12" max="12"/>
    <col width="18" customWidth="1" min="13" max="13"/>
  </cols>
  <sheetData>
    <row r="1">
      <c r="A1" s="1" t="inlineStr">
        <is>
          <t>Final taxon-to-group mappings, identified separately for each Ecopath model</t>
        </is>
      </c>
    </row>
    <row r="2">
      <c r="A2" t="inlineStr">
        <is>
          <t>One row per taxon/group assignment; numeric weights are the exact values used to calculate SPPR.</t>
        </is>
      </c>
    </row>
    <row r="3">
      <c r="A3" t="inlineStr">
        <is>
          <t>Unresolved taxa retain a row with a blank weight. Catch tonnes repeat across a taxon's assignments; do not sum these rows.</t>
        </is>
      </c>
    </row>
    <row r="4">
      <c r="A4" s="2" t="inlineStr">
        <is>
          <t>unit_id</t>
        </is>
      </c>
      <c r="B4" s="2" t="inlineStr">
        <is>
          <t>model_id</t>
        </is>
      </c>
      <c r="C4" s="2" t="inlineStr">
        <is>
          <t>taxon</t>
        </is>
      </c>
      <c r="D4" s="2" t="inlineStr">
        <is>
          <t>common_name</t>
        </is>
      </c>
      <c r="E4" s="2" t="inlineStr">
        <is>
          <t>SAU functional group</t>
        </is>
      </c>
      <c r="F4" s="2" t="inlineStr">
        <is>
          <t>SAU commercial group</t>
        </is>
      </c>
      <c r="G4" s="2" t="inlineStr">
        <is>
          <t>group</t>
        </is>
      </c>
      <c r="H4" s="2" t="inlineStr">
        <is>
          <t>weight</t>
        </is>
      </c>
      <c r="I4" s="2" t="inlineStr">
        <is>
          <t>weight_basis</t>
        </is>
      </c>
      <c r="J4" s="2" t="inlineStr">
        <is>
          <t>confidence</t>
        </is>
      </c>
      <c r="K4" s="2" t="inlineStr">
        <is>
          <t>evidence</t>
        </is>
      </c>
      <c r="L4" s="2" t="inlineStr">
        <is>
          <t>explanation</t>
        </is>
      </c>
      <c r="M4" s="2" t="inlineStr">
        <is>
          <t>catch_tonnes</t>
        </is>
      </c>
    </row>
    <row r="5" ht="36" customHeight="1">
      <c r="A5" s="10" t="inlineStr">
        <is>
          <t>LME_052</t>
        </is>
      </c>
      <c r="B5" s="11" t="inlineStr">
        <is>
          <t>52_1_Sea_of_Okhotsk_NE_(1980)</t>
        </is>
      </c>
      <c r="C5" s="11" t="inlineStr">
        <is>
          <t>Gadus chalcogrammus</t>
        </is>
      </c>
      <c r="D5" s="10" t="inlineStr">
        <is>
          <t>Alaska pollock</t>
        </is>
      </c>
      <c r="E5" s="10" t="inlineStr">
        <is>
          <t>Medium benthopelagics (30 - 89 cm)</t>
        </is>
      </c>
      <c r="F5" s="10" t="inlineStr">
        <is>
          <t>Cod-likes</t>
        </is>
      </c>
      <c r="G5" s="11" t="inlineStr">
        <is>
          <t>Walleye pollock</t>
        </is>
      </c>
      <c r="H5" s="12" t="n">
        <v>0.5387461906835002</v>
      </c>
      <c r="I5" s="10" t="inlineStr">
        <is>
          <t>model_biomass</t>
        </is>
      </c>
      <c r="J5" s="13" t="inlineStr">
        <is>
          <t>medium</t>
        </is>
      </c>
      <c r="K5" s="10" t="inlineStr">
        <is>
          <t>composite_split</t>
        </is>
      </c>
      <c r="L5" s="11" t="inlineStr">
        <is>
          <t>Walleye pollock and juvenile pollock are the same taxon at different life stages in Table 1. Catch has no age split and model catch is zero throughout; use model biomass.</t>
        </is>
      </c>
      <c r="M5" s="10" t="n">
        <v>146132008.462</v>
      </c>
    </row>
    <row r="6" ht="36" customHeight="1">
      <c r="A6" s="10" t="inlineStr">
        <is>
          <t>LME_052</t>
        </is>
      </c>
      <c r="B6" s="11" t="inlineStr">
        <is>
          <t>52_1_Sea_of_Okhotsk_NE_(1980)</t>
        </is>
      </c>
      <c r="C6" s="11" t="inlineStr">
        <is>
          <t>Gadus chalcogrammus</t>
        </is>
      </c>
      <c r="D6" s="10" t="inlineStr">
        <is>
          <t>Alaska pollock</t>
        </is>
      </c>
      <c r="E6" s="10" t="inlineStr">
        <is>
          <t>Medium benthopelagics (30 - 89 cm)</t>
        </is>
      </c>
      <c r="F6" s="10" t="inlineStr">
        <is>
          <t>Cod-likes</t>
        </is>
      </c>
      <c r="G6" s="11" t="inlineStr">
        <is>
          <t>Juv. pollock</t>
        </is>
      </c>
      <c r="H6" s="12" t="n">
        <v>0.4612538093164998</v>
      </c>
      <c r="I6" s="10" t="inlineStr">
        <is>
          <t>model_biomass</t>
        </is>
      </c>
      <c r="J6" s="13" t="inlineStr">
        <is>
          <t>medium</t>
        </is>
      </c>
      <c r="K6" s="10" t="inlineStr">
        <is>
          <t>composite_split</t>
        </is>
      </c>
      <c r="L6" s="11" t="inlineStr">
        <is>
          <t>Walleye pollock and juvenile pollock are the same taxon at different life stages in Table 1. Catch has no age split and model catch is zero throughout; use model biomass.</t>
        </is>
      </c>
      <c r="M6" s="10" t="n">
        <v>146132008.462</v>
      </c>
    </row>
    <row r="7" ht="36" customHeight="1">
      <c r="A7" s="10" t="inlineStr">
        <is>
          <t>LME_052</t>
        </is>
      </c>
      <c r="B7" s="11" t="inlineStr">
        <is>
          <t>52_1_Sea_of_Okhotsk_NE_(1980)</t>
        </is>
      </c>
      <c r="C7" s="11" t="inlineStr">
        <is>
          <t>Clupea pallasii</t>
        </is>
      </c>
      <c r="D7" s="10" t="inlineStr">
        <is>
          <t>Pacific herring</t>
        </is>
      </c>
      <c r="E7" s="10" t="inlineStr">
        <is>
          <t>Medium pelagics (30 - 89 cm)</t>
        </is>
      </c>
      <c r="F7" s="10" t="inlineStr">
        <is>
          <t>Herring-likes</t>
        </is>
      </c>
      <c r="G7" s="11" t="inlineStr">
        <is>
          <t>Pacific herring</t>
        </is>
      </c>
      <c r="H7" s="12" t="n">
        <v>1</v>
      </c>
      <c r="I7" s="10" t="inlineStr">
        <is>
          <t>single</t>
        </is>
      </c>
      <c r="J7" s="14" t="inlineStr">
        <is>
          <t>high</t>
        </is>
      </c>
      <c r="K7" s="10" t="inlineStr">
        <is>
          <t>taxonomic_containment</t>
        </is>
      </c>
      <c r="L7" s="11" t="inlineStr">
        <is>
          <t>Chaikina 2020 Table 1 names Pacific herring; the catch taxon Clupea pallasii is within that taxonomic compartment (WoRMS taxonomy checked).</t>
        </is>
      </c>
      <c r="M7" s="10" t="n">
        <v>18753775.683</v>
      </c>
    </row>
    <row r="8" ht="36" customHeight="1">
      <c r="A8" s="10" t="inlineStr">
        <is>
          <t>LME_052</t>
        </is>
      </c>
      <c r="B8" s="11" t="inlineStr">
        <is>
          <t>52_1_Sea_of_Okhotsk_NE_(1980)</t>
        </is>
      </c>
      <c r="C8" s="11" t="inlineStr">
        <is>
          <t>Marine fishes not identified</t>
        </is>
      </c>
      <c r="D8" s="10" t="inlineStr">
        <is>
          <t>Marine fishes nei</t>
        </is>
      </c>
      <c r="E8" s="10" t="inlineStr">
        <is>
          <t>Medium demersals (30 - 89 cm)</t>
        </is>
      </c>
      <c r="F8" s="10" t="inlineStr">
        <is>
          <t>Other fishes &amp; inverts</t>
        </is>
      </c>
      <c r="G8" s="11" t="inlineStr">
        <is>
          <t>Other bottom fishes</t>
        </is>
      </c>
      <c r="H8" s="12" t="n">
        <v>0.3796816377703437</v>
      </c>
      <c r="I8" s="10" t="inlineStr">
        <is>
          <t>catch_composition</t>
        </is>
      </c>
      <c r="J8" s="13" t="inlineStr">
        <is>
          <t>medium</t>
        </is>
      </c>
      <c r="K8" s="10" t="inlineStr">
        <is>
          <t>composite_split</t>
        </is>
      </c>
      <c r="L8" s="11" t="inlineStr">
        <is>
          <t>SAU identifies medium demersal fish; these are the model's broad bottom-fish compartments. Named single-species pelagic stocks and mammal/invertebrate groups are excluded.</t>
        </is>
      </c>
      <c r="M8" s="10" t="n">
        <v>14223073.136</v>
      </c>
    </row>
    <row r="9" ht="36" customHeight="1">
      <c r="A9" s="10" t="inlineStr">
        <is>
          <t>LME_052</t>
        </is>
      </c>
      <c r="B9" s="11" t="inlineStr">
        <is>
          <t>52_1_Sea_of_Okhotsk_NE_(1980)</t>
        </is>
      </c>
      <c r="C9" s="11" t="inlineStr">
        <is>
          <t>Marine fishes not identified</t>
        </is>
      </c>
      <c r="D9" s="10" t="inlineStr">
        <is>
          <t>Marine fishes nei</t>
        </is>
      </c>
      <c r="E9" s="10" t="inlineStr">
        <is>
          <t>Medium demersals (30 - 89 cm)</t>
        </is>
      </c>
      <c r="F9" s="10" t="inlineStr">
        <is>
          <t>Other fishes &amp; inverts</t>
        </is>
      </c>
      <c r="G9" s="11" t="inlineStr">
        <is>
          <t>Other Gadidae</t>
        </is>
      </c>
      <c r="H9" s="12" t="n">
        <v>0.4741724641350938</v>
      </c>
      <c r="I9" s="10" t="inlineStr">
        <is>
          <t>catch_composition</t>
        </is>
      </c>
      <c r="J9" s="13" t="inlineStr">
        <is>
          <t>medium</t>
        </is>
      </c>
      <c r="K9" s="10" t="inlineStr">
        <is>
          <t>composite_split</t>
        </is>
      </c>
      <c r="L9" s="11" t="inlineStr">
        <is>
          <t>SAU identifies medium demersal fish; these are the model's broad bottom-fish compartments. Named single-species pelagic stocks and mammal/invertebrate groups are excluded.</t>
        </is>
      </c>
      <c r="M9" s="10" t="n">
        <v>14223073.136</v>
      </c>
    </row>
    <row r="10" ht="36" customHeight="1">
      <c r="A10" s="10" t="inlineStr">
        <is>
          <t>LME_052</t>
        </is>
      </c>
      <c r="B10" s="11" t="inlineStr">
        <is>
          <t>52_1_Sea_of_Okhotsk_NE_(1980)</t>
        </is>
      </c>
      <c r="C10" s="11" t="inlineStr">
        <is>
          <t>Marine fishes not identified</t>
        </is>
      </c>
      <c r="D10" s="10" t="inlineStr">
        <is>
          <t>Marine fishes nei</t>
        </is>
      </c>
      <c r="E10" s="10" t="inlineStr">
        <is>
          <t>Medium demersals (30 - 89 cm)</t>
        </is>
      </c>
      <c r="F10" s="10" t="inlineStr">
        <is>
          <t>Other fishes &amp; inverts</t>
        </is>
      </c>
      <c r="G10" s="11" t="inlineStr">
        <is>
          <t>Cottidae</t>
        </is>
      </c>
      <c r="H10" s="12" t="n">
        <v>0</v>
      </c>
      <c r="I10" s="10" t="inlineStr">
        <is>
          <t>catch_composition</t>
        </is>
      </c>
      <c r="J10" s="13" t="inlineStr">
        <is>
          <t>medium</t>
        </is>
      </c>
      <c r="K10" s="10" t="inlineStr">
        <is>
          <t>composite_split</t>
        </is>
      </c>
      <c r="L10" s="11" t="inlineStr">
        <is>
          <t>SAU identifies medium demersal fish; these are the model's broad bottom-fish compartments. Named single-species pelagic stocks and mammal/invertebrate groups are excluded.</t>
        </is>
      </c>
      <c r="M10" s="10" t="n">
        <v>14223073.136</v>
      </c>
    </row>
    <row r="11" ht="36" customHeight="1">
      <c r="A11" s="10" t="inlineStr">
        <is>
          <t>LME_052</t>
        </is>
      </c>
      <c r="B11" s="11" t="inlineStr">
        <is>
          <t>52_1_Sea_of_Okhotsk_NE_(1980)</t>
        </is>
      </c>
      <c r="C11" s="11" t="inlineStr">
        <is>
          <t>Marine fishes not identified</t>
        </is>
      </c>
      <c r="D11" s="10" t="inlineStr">
        <is>
          <t>Marine fishes nei</t>
        </is>
      </c>
      <c r="E11" s="10" t="inlineStr">
        <is>
          <t>Medium demersals (30 - 89 cm)</t>
        </is>
      </c>
      <c r="F11" s="10" t="inlineStr">
        <is>
          <t>Other fishes &amp; inverts</t>
        </is>
      </c>
      <c r="G11" s="11" t="inlineStr">
        <is>
          <t>Pleuronectidae</t>
        </is>
      </c>
      <c r="H11" s="12" t="n">
        <v>0.1461458980945624</v>
      </c>
      <c r="I11" s="10" t="inlineStr">
        <is>
          <t>catch_composition</t>
        </is>
      </c>
      <c r="J11" s="13" t="inlineStr">
        <is>
          <t>medium</t>
        </is>
      </c>
      <c r="K11" s="10" t="inlineStr">
        <is>
          <t>composite_split</t>
        </is>
      </c>
      <c r="L11" s="11" t="inlineStr">
        <is>
          <t>SAU identifies medium demersal fish; these are the model's broad bottom-fish compartments. Named single-species pelagic stocks and mammal/invertebrate groups are excluded.</t>
        </is>
      </c>
      <c r="M11" s="10" t="n">
        <v>14223073.136</v>
      </c>
    </row>
    <row r="12" ht="36" customHeight="1">
      <c r="A12" s="10" t="inlineStr">
        <is>
          <t>LME_052</t>
        </is>
      </c>
      <c r="B12" s="11" t="inlineStr">
        <is>
          <t>52_1_Sea_of_Okhotsk_NE_(1980)</t>
        </is>
      </c>
      <c r="C12" s="11" t="inlineStr">
        <is>
          <t>Oncorhynchus gorbuscha</t>
        </is>
      </c>
      <c r="D12" s="10" t="inlineStr">
        <is>
          <t>Pink salmon</t>
        </is>
      </c>
      <c r="E12" s="10" t="inlineStr">
        <is>
          <t>Medium demersals (30 - 89 cm)</t>
        </is>
      </c>
      <c r="F12" s="10" t="inlineStr">
        <is>
          <t>Salmon, smelts, etc</t>
        </is>
      </c>
      <c r="G12" s="11" t="inlineStr">
        <is>
          <t>Salmon</t>
        </is>
      </c>
      <c r="H12" s="12" t="n">
        <v>1</v>
      </c>
      <c r="I12" s="10" t="inlineStr">
        <is>
          <t>single</t>
        </is>
      </c>
      <c r="J12" s="14" t="inlineStr">
        <is>
          <t>high</t>
        </is>
      </c>
      <c r="K12" s="10" t="inlineStr">
        <is>
          <t>taxonomic_containment</t>
        </is>
      </c>
      <c r="L12" s="11" t="inlineStr">
        <is>
          <t>Pacific salmon catch within the Salmon compartment in Chaikina 2020 Table 1; no size/stage split is supplied.</t>
        </is>
      </c>
      <c r="M12" s="10" t="n">
        <v>11221364.935</v>
      </c>
    </row>
    <row r="13" ht="51" customHeight="1">
      <c r="A13" s="10" t="inlineStr">
        <is>
          <t>LME_052</t>
        </is>
      </c>
      <c r="B13" s="11" t="inlineStr">
        <is>
          <t>52_1_Sea_of_Okhotsk_NE_(1980)</t>
        </is>
      </c>
      <c r="C13" s="11" t="inlineStr">
        <is>
          <t>Sardinops sagax</t>
        </is>
      </c>
      <c r="D13" s="10" t="inlineStr">
        <is>
          <t>South American pilchard</t>
        </is>
      </c>
      <c r="E13" s="10" t="inlineStr">
        <is>
          <t>Medium pelagics (30 - 89 cm)</t>
        </is>
      </c>
      <c r="F13" s="10" t="inlineStr">
        <is>
          <t>Herring-likes</t>
        </is>
      </c>
      <c r="G13" s="11" t="inlineStr">
        <is>
          <t>Pacific Sardine</t>
        </is>
      </c>
      <c r="H13" s="12" t="n">
        <v>1</v>
      </c>
      <c r="I13" s="10" t="inlineStr">
        <is>
          <t>single</t>
        </is>
      </c>
      <c r="J13" s="13" t="inlineStr">
        <is>
          <t>medium</t>
        </is>
      </c>
      <c r="K13" s="10" t="inlineStr">
        <is>
          <t>analogue</t>
        </is>
      </c>
      <c r="L13" s="11" t="inlineStr">
        <is>
          <t>Regional sardine-name crosswalk inferred: the paper labels Pacific Sardine without a binomial; catch uses Sardinops sagax (WoRMS accepted). Source identity cannot be proved as a species synonym from the common name alone.</t>
        </is>
      </c>
      <c r="M13" s="10" t="n">
        <v>6361027.532</v>
      </c>
    </row>
    <row r="14" ht="36" customHeight="1">
      <c r="A14" s="10" t="inlineStr">
        <is>
          <t>LME_052</t>
        </is>
      </c>
      <c r="B14" s="11" t="inlineStr">
        <is>
          <t>52_1_Sea_of_Okhotsk_NE_(1980)</t>
        </is>
      </c>
      <c r="C14" s="11" t="inlineStr">
        <is>
          <t>Gadus macrocephalus</t>
        </is>
      </c>
      <c r="D14" s="10" t="inlineStr">
        <is>
          <t>Pacific cod</t>
        </is>
      </c>
      <c r="E14" s="10" t="inlineStr">
        <is>
          <t>Large demersals (&gt;=90 cm)</t>
        </is>
      </c>
      <c r="F14" s="10" t="inlineStr">
        <is>
          <t>Cod-likes</t>
        </is>
      </c>
      <c r="G14" s="11" t="inlineStr">
        <is>
          <t>Other Gadidae</t>
        </is>
      </c>
      <c r="H14" s="12" t="n">
        <v>1</v>
      </c>
      <c r="I14" s="10" t="inlineStr">
        <is>
          <t>single</t>
        </is>
      </c>
      <c r="J14" s="14" t="inlineStr">
        <is>
          <t>high</t>
        </is>
      </c>
      <c r="K14" s="10" t="inlineStr">
        <is>
          <t>taxonomic_containment</t>
        </is>
      </c>
      <c r="L14" s="11" t="inlineStr">
        <is>
          <t>Chaikina 2020 Table 1 names Other Gadidae; the catch taxon Gadus macrocephalus is within that taxonomic compartment (WoRMS taxonomy checked).</t>
        </is>
      </c>
      <c r="M14" s="10" t="n">
        <v>5161513.421</v>
      </c>
    </row>
    <row r="15" ht="36" customHeight="1">
      <c r="A15" s="10" t="inlineStr">
        <is>
          <t>LME_052</t>
        </is>
      </c>
      <c r="B15" s="11" t="inlineStr">
        <is>
          <t>52_1_Sea_of_Okhotsk_NE_(1980)</t>
        </is>
      </c>
      <c r="C15" s="11" t="inlineStr">
        <is>
          <t>Oncorhynchus</t>
        </is>
      </c>
      <c r="D15" s="10" t="inlineStr">
        <is>
          <t>Salmons, trouts</t>
        </is>
      </c>
      <c r="E15" s="10" t="inlineStr">
        <is>
          <t>Large benthopelagics (&gt;=90 cm)</t>
        </is>
      </c>
      <c r="F15" s="10" t="inlineStr">
        <is>
          <t>Salmon, smelts, etc</t>
        </is>
      </c>
      <c r="G15" s="11" t="inlineStr">
        <is>
          <t>Salmon</t>
        </is>
      </c>
      <c r="H15" s="12" t="n">
        <v>1</v>
      </c>
      <c r="I15" s="10" t="inlineStr">
        <is>
          <t>single</t>
        </is>
      </c>
      <c r="J15" s="14" t="inlineStr">
        <is>
          <t>high</t>
        </is>
      </c>
      <c r="K15" s="10" t="inlineStr">
        <is>
          <t>taxonomic_containment</t>
        </is>
      </c>
      <c r="L15" s="11" t="inlineStr">
        <is>
          <t>Pacific salmon catch within the Salmon compartment in Chaikina 2020 Table 1; no size/stage split is supplied.</t>
        </is>
      </c>
      <c r="M15" s="10" t="n">
        <v>3616523.455</v>
      </c>
    </row>
    <row r="16" ht="36" customHeight="1">
      <c r="A16" s="10" t="inlineStr">
        <is>
          <t>LME_052</t>
        </is>
      </c>
      <c r="B16" s="11" t="inlineStr">
        <is>
          <t>52_1_Sea_of_Okhotsk_NE_(1980)</t>
        </is>
      </c>
      <c r="C16" s="11" t="inlineStr">
        <is>
          <t>Oncorhynchus keta</t>
        </is>
      </c>
      <c r="D16" s="10" t="inlineStr">
        <is>
          <t>Chum salmon</t>
        </is>
      </c>
      <c r="E16" s="10" t="inlineStr">
        <is>
          <t>Large benthopelagics (&gt;=90 cm)</t>
        </is>
      </c>
      <c r="F16" s="10" t="inlineStr">
        <is>
          <t>Salmon, smelts, etc</t>
        </is>
      </c>
      <c r="G16" s="11" t="inlineStr">
        <is>
          <t>Salmon</t>
        </is>
      </c>
      <c r="H16" s="12" t="n">
        <v>1</v>
      </c>
      <c r="I16" s="10" t="inlineStr">
        <is>
          <t>single</t>
        </is>
      </c>
      <c r="J16" s="14" t="inlineStr">
        <is>
          <t>high</t>
        </is>
      </c>
      <c r="K16" s="10" t="inlineStr">
        <is>
          <t>taxonomic_containment</t>
        </is>
      </c>
      <c r="L16" s="11" t="inlineStr">
        <is>
          <t>Pacific salmon catch within the Salmon compartment in Chaikina 2020 Table 1; no size/stage split is supplied.</t>
        </is>
      </c>
      <c r="M16" s="10" t="n">
        <v>3266940.097</v>
      </c>
    </row>
    <row r="17" ht="51" customHeight="1">
      <c r="A17" s="10" t="inlineStr">
        <is>
          <t>LME_052</t>
        </is>
      </c>
      <c r="B17" s="11" t="inlineStr">
        <is>
          <t>52_1_Sea_of_Okhotsk_NE_(1980)</t>
        </is>
      </c>
      <c r="C17" s="11" t="inlineStr">
        <is>
          <t>Pleuronectiformes</t>
        </is>
      </c>
      <c r="D17" s="10" t="inlineStr">
        <is>
          <t>Flatfishes</t>
        </is>
      </c>
      <c r="E17" s="10" t="inlineStr">
        <is>
          <t>Small to medium flatfishes (&lt;90 cm)</t>
        </is>
      </c>
      <c r="F17" s="10" t="inlineStr">
        <is>
          <t>Flatfishes</t>
        </is>
      </c>
      <c r="G17" s="11" t="inlineStr">
        <is>
          <t>Pleuronectidae</t>
        </is>
      </c>
      <c r="H17" s="12" t="n">
        <v>0.2779350416751658</v>
      </c>
      <c r="I17" s="10" t="inlineStr">
        <is>
          <t>catch_composition</t>
        </is>
      </c>
      <c r="J17" s="13" t="inlineStr">
        <is>
          <t>medium</t>
        </is>
      </c>
      <c r="K17" s="10" t="inlineStr">
        <is>
          <t>composite_split</t>
        </is>
      </c>
      <c r="L17" s="11" t="inlineStr">
        <is>
          <t>The order includes righteye flounders in the named family and other bottom-dwelling flatfishes in the residual bottom-fish pool; no evidence restricts all order-level catch to Pleuronectidae.</t>
        </is>
      </c>
      <c r="M17" s="10" t="n">
        <v>2647805.622</v>
      </c>
    </row>
    <row r="18" ht="51" customHeight="1">
      <c r="A18" s="10" t="inlineStr">
        <is>
          <t>LME_052</t>
        </is>
      </c>
      <c r="B18" s="11" t="inlineStr">
        <is>
          <t>52_1_Sea_of_Okhotsk_NE_(1980)</t>
        </is>
      </c>
      <c r="C18" s="11" t="inlineStr">
        <is>
          <t>Pleuronectiformes</t>
        </is>
      </c>
      <c r="D18" s="10" t="inlineStr">
        <is>
          <t>Flatfishes</t>
        </is>
      </c>
      <c r="E18" s="10" t="inlineStr">
        <is>
          <t>Small to medium flatfishes (&lt;90 cm)</t>
        </is>
      </c>
      <c r="F18" s="10" t="inlineStr">
        <is>
          <t>Flatfishes</t>
        </is>
      </c>
      <c r="G18" s="11" t="inlineStr">
        <is>
          <t>Other bottom fishes</t>
        </is>
      </c>
      <c r="H18" s="12" t="n">
        <v>0.7220649583248342</v>
      </c>
      <c r="I18" s="10" t="inlineStr">
        <is>
          <t>catch_composition</t>
        </is>
      </c>
      <c r="J18" s="13" t="inlineStr">
        <is>
          <t>medium</t>
        </is>
      </c>
      <c r="K18" s="10" t="inlineStr">
        <is>
          <t>composite_split</t>
        </is>
      </c>
      <c r="L18" s="11" t="inlineStr">
        <is>
          <t>The order includes righteye flounders in the named family and other bottom-dwelling flatfishes in the residual bottom-fish pool; no evidence restricts all order-level catch to Pleuronectidae.</t>
        </is>
      </c>
      <c r="M18" s="10" t="n">
        <v>2647805.622</v>
      </c>
    </row>
    <row r="19" ht="36" customHeight="1">
      <c r="A19" s="10" t="inlineStr">
        <is>
          <t>LME_052</t>
        </is>
      </c>
      <c r="B19" s="11" t="inlineStr">
        <is>
          <t>52_1_Sea_of_Okhotsk_NE_(1980)</t>
        </is>
      </c>
      <c r="C19" s="11" t="inlineStr">
        <is>
          <t>Paralithodes camtschaticus</t>
        </is>
      </c>
      <c r="D19" s="10" t="inlineStr">
        <is>
          <t>Red king crab</t>
        </is>
      </c>
      <c r="E19" s="10" t="inlineStr">
        <is>
          <t>Lobsters, crabs</t>
        </is>
      </c>
      <c r="F19" s="10" t="inlineStr">
        <is>
          <t>Crustaceans</t>
        </is>
      </c>
      <c r="G19" s="11" t="inlineStr">
        <is>
          <t>Crabs and shrimps</t>
        </is>
      </c>
      <c r="H19" s="12" t="n">
        <v>1</v>
      </c>
      <c r="I19" s="10" t="inlineStr">
        <is>
          <t>single</t>
        </is>
      </c>
      <c r="J19" s="14" t="inlineStr">
        <is>
          <t>high</t>
        </is>
      </c>
      <c r="K19" s="10" t="inlineStr">
        <is>
          <t>taxonomic_containment</t>
        </is>
      </c>
      <c r="L19" s="11" t="inlineStr">
        <is>
          <t>Chaikina 2020 Table 1 names Crabs and shrimps; the catch taxon Paralithodes camtschaticus is within that taxonomic compartment (WoRMS taxonomy checked).</t>
        </is>
      </c>
      <c r="M19" s="10" t="n">
        <v>2194189.219</v>
      </c>
    </row>
    <row r="20" ht="51" customHeight="1">
      <c r="A20" s="10" t="inlineStr">
        <is>
          <t>LME_052</t>
        </is>
      </c>
      <c r="B20" s="11" t="inlineStr">
        <is>
          <t>52_1_Sea_of_Okhotsk_NE_(1980)</t>
        </is>
      </c>
      <c r="C20" s="11" t="inlineStr">
        <is>
          <t>Pleurogrammus azonus</t>
        </is>
      </c>
      <c r="D20" s="10" t="inlineStr">
        <is>
          <t>Okhotsk atka mackerel</t>
        </is>
      </c>
      <c r="E20" s="10" t="inlineStr">
        <is>
          <t>Medium demersals (30 - 89 cm)</t>
        </is>
      </c>
      <c r="F20" s="10" t="inlineStr">
        <is>
          <t>Scorpionfishes</t>
        </is>
      </c>
      <c r="G20" s="11" t="inlineStr">
        <is>
          <t>Other bottom fishes</t>
        </is>
      </c>
      <c r="H20" s="12" t="n">
        <v>1</v>
      </c>
      <c r="I20" s="10" t="inlineStr">
        <is>
          <t>single</t>
        </is>
      </c>
      <c r="J20" s="13" t="inlineStr">
        <is>
          <t>medium</t>
        </is>
      </c>
      <c r="K20" s="10" t="inlineStr">
        <is>
          <t>habitat_size_guild</t>
        </is>
      </c>
      <c r="L20" s="11" t="inlineStr">
        <is>
          <t>Hexagrammidae, a cold-water demersal shelf fish with no dedicated group; placed in the model's residual demersal 'Other bottom fishes' group on habitat and trophic-level grounds. Reviewed against Chaikina 2020 Table 1; species membership is not tabulated.</t>
        </is>
      </c>
      <c r="M20" s="10" t="n">
        <v>1970290.649</v>
      </c>
    </row>
    <row r="21" ht="51" customHeight="1">
      <c r="A21" s="10" t="inlineStr">
        <is>
          <t>LME_052</t>
        </is>
      </c>
      <c r="B21" s="11" t="inlineStr">
        <is>
          <t>52_1_Sea_of_Okhotsk_NE_(1980)</t>
        </is>
      </c>
      <c r="C21" s="11" t="inlineStr">
        <is>
          <t>Scomber</t>
        </is>
      </c>
      <c r="D21" s="10" t="inlineStr">
        <is>
          <t>Chub mackerels</t>
        </is>
      </c>
      <c r="E21" s="10" t="inlineStr">
        <is>
          <t>Medium pelagics (30 - 89 cm)</t>
        </is>
      </c>
      <c r="F21" s="10" t="inlineStr">
        <is>
          <t>Perch-likes</t>
        </is>
      </c>
      <c r="G21" s="11" t="inlineStr">
        <is>
          <t>Unresolved</t>
        </is>
      </c>
      <c r="H21" s="12" t="n"/>
      <c r="I21" s="10" t="inlineStr"/>
      <c r="J21" s="15" t="inlineStr">
        <is>
          <t>unresolved</t>
        </is>
      </c>
      <c r="K21" s="10" t="inlineStr">
        <is>
          <t>none</t>
        </is>
      </c>
      <c r="L21" s="11" t="inlineStr">
        <is>
          <t>Scombridae (mackerel genus), an epipelagic small pelagic; the Okhotsk model has no pelagic/mackerel group, only demersal/mesopelagic/benthic residual categories, so no defensible group exists. Reviewed: no documented compatible group for this catch label.</t>
        </is>
      </c>
      <c r="M21" s="10" t="n">
        <v>1716358.066</v>
      </c>
    </row>
    <row r="22" ht="36" customHeight="1">
      <c r="A22" s="10" t="inlineStr">
        <is>
          <t>LME_052</t>
        </is>
      </c>
      <c r="B22" s="11" t="inlineStr">
        <is>
          <t>52_1_Sea_of_Okhotsk_NE_(1980)</t>
        </is>
      </c>
      <c r="C22" s="11" t="inlineStr">
        <is>
          <t>Teuthida</t>
        </is>
      </c>
      <c r="D22" s="10" t="inlineStr">
        <is>
          <t>Squids</t>
        </is>
      </c>
      <c r="E22" s="10" t="inlineStr">
        <is>
          <t>Cephalopods</t>
        </is>
      </c>
      <c r="F22" s="10" t="inlineStr">
        <is>
          <t>Other fishes &amp; inverts</t>
        </is>
      </c>
      <c r="G22" s="11" t="inlineStr">
        <is>
          <t>Squids</t>
        </is>
      </c>
      <c r="H22" s="12" t="n">
        <v>1</v>
      </c>
      <c r="I22" s="10" t="inlineStr">
        <is>
          <t>single</t>
        </is>
      </c>
      <c r="J22" s="14" t="inlineStr">
        <is>
          <t>high</t>
        </is>
      </c>
      <c r="K22" s="10" t="inlineStr">
        <is>
          <t>taxonomic_containment</t>
        </is>
      </c>
      <c r="L22" s="11" t="inlineStr">
        <is>
          <t>Chaikina 2020 Table 1 names Squids; the catch taxon Teuthida is within that taxonomic compartment (WoRMS taxonomy checked).</t>
        </is>
      </c>
      <c r="M22" s="10" t="n">
        <v>1601595.175</v>
      </c>
    </row>
    <row r="23" ht="36" customHeight="1">
      <c r="A23" s="10" t="inlineStr">
        <is>
          <t>LME_052</t>
        </is>
      </c>
      <c r="B23" s="11" t="inlineStr">
        <is>
          <t>52_1_Sea_of_Okhotsk_NE_(1980)</t>
        </is>
      </c>
      <c r="C23" s="11" t="inlineStr">
        <is>
          <t>Eleginus gracilis</t>
        </is>
      </c>
      <c r="D23" s="10" t="inlineStr">
        <is>
          <t>Saffron cod</t>
        </is>
      </c>
      <c r="E23" s="10" t="inlineStr">
        <is>
          <t>Medium demersals (30 - 89 cm)</t>
        </is>
      </c>
      <c r="F23" s="10" t="inlineStr">
        <is>
          <t>Cod-likes</t>
        </is>
      </c>
      <c r="G23" s="11" t="inlineStr">
        <is>
          <t>Other Gadidae</t>
        </is>
      </c>
      <c r="H23" s="12" t="n">
        <v>1</v>
      </c>
      <c r="I23" s="10" t="inlineStr">
        <is>
          <t>single</t>
        </is>
      </c>
      <c r="J23" s="14" t="inlineStr">
        <is>
          <t>high</t>
        </is>
      </c>
      <c r="K23" s="10" t="inlineStr">
        <is>
          <t>taxonomic_containment</t>
        </is>
      </c>
      <c r="L23" s="11" t="inlineStr">
        <is>
          <t>Chaikina 2020 Table 1 names Other Gadidae; the catch taxon Eleginus gracilis is within that taxonomic compartment (WoRMS taxonomy checked).</t>
        </is>
      </c>
      <c r="M23" s="10" t="n">
        <v>1420067.304</v>
      </c>
    </row>
    <row r="24" ht="36" customHeight="1">
      <c r="A24" s="10" t="inlineStr">
        <is>
          <t>LME_052</t>
        </is>
      </c>
      <c r="B24" s="11" t="inlineStr">
        <is>
          <t>52_1_Sea_of_Okhotsk_NE_(1980)</t>
        </is>
      </c>
      <c r="C24" s="11" t="inlineStr">
        <is>
          <t>Ammodytes personatus</t>
        </is>
      </c>
      <c r="D24" s="10" t="inlineStr">
        <is>
          <t>Pacific sandlance</t>
        </is>
      </c>
      <c r="E24" s="10" t="inlineStr">
        <is>
          <t>Small demersals (&lt;30 cm)</t>
        </is>
      </c>
      <c r="F24" s="10" t="inlineStr">
        <is>
          <t>Perch-likes</t>
        </is>
      </c>
      <c r="G24" s="11" t="inlineStr">
        <is>
          <t>Ammodytidae</t>
        </is>
      </c>
      <c r="H24" s="12" t="n">
        <v>1</v>
      </c>
      <c r="I24" s="10" t="inlineStr">
        <is>
          <t>single</t>
        </is>
      </c>
      <c r="J24" s="14" t="inlineStr">
        <is>
          <t>high</t>
        </is>
      </c>
      <c r="K24" s="10" t="inlineStr">
        <is>
          <t>taxonomic_containment</t>
        </is>
      </c>
      <c r="L24" s="11" t="inlineStr">
        <is>
          <t>Chaikina 2020 Table 1 names Ammodytidae; the catch taxon Ammodytes personatus is within that taxonomic compartment (WoRMS taxonomy checked).</t>
        </is>
      </c>
      <c r="M24" s="10" t="n">
        <v>1413151.605</v>
      </c>
    </row>
    <row r="25" ht="36" customHeight="1">
      <c r="A25" s="10" t="inlineStr">
        <is>
          <t>LME_052</t>
        </is>
      </c>
      <c r="B25" s="11" t="inlineStr">
        <is>
          <t>52_1_Sea_of_Okhotsk_NE_(1980)</t>
        </is>
      </c>
      <c r="C25" s="11" t="inlineStr">
        <is>
          <t>Todarodes pacificus</t>
        </is>
      </c>
      <c r="D25" s="10" t="inlineStr">
        <is>
          <t>Japanese flying squid</t>
        </is>
      </c>
      <c r="E25" s="10" t="inlineStr">
        <is>
          <t>Cephalopods</t>
        </is>
      </c>
      <c r="F25" s="10" t="inlineStr">
        <is>
          <t>Other fishes &amp; inverts</t>
        </is>
      </c>
      <c r="G25" s="11" t="inlineStr">
        <is>
          <t>Squids</t>
        </is>
      </c>
      <c r="H25" s="12" t="n">
        <v>1</v>
      </c>
      <c r="I25" s="10" t="inlineStr">
        <is>
          <t>single</t>
        </is>
      </c>
      <c r="J25" s="14" t="inlineStr">
        <is>
          <t>high</t>
        </is>
      </c>
      <c r="K25" s="10" t="inlineStr">
        <is>
          <t>taxonomic_containment</t>
        </is>
      </c>
      <c r="L25" s="11" t="inlineStr">
        <is>
          <t>Chaikina 2020 Table 1 names Squids; the catch taxon Todarodes pacificus is within that taxonomic compartment (WoRMS taxonomy checked).</t>
        </is>
      </c>
      <c r="M25" s="10" t="n">
        <v>1397772.673</v>
      </c>
    </row>
    <row r="26" ht="36" customHeight="1">
      <c r="A26" s="10" t="inlineStr">
        <is>
          <t>LME_052</t>
        </is>
      </c>
      <c r="B26" s="11" t="inlineStr">
        <is>
          <t>52_1_Sea_of_Okhotsk_NE_(1980)</t>
        </is>
      </c>
      <c r="C26" s="11" t="inlineStr">
        <is>
          <t>Mollusca</t>
        </is>
      </c>
      <c r="D26" s="10" t="inlineStr">
        <is>
          <t>Clams, seasnails, squids, octopuses</t>
        </is>
      </c>
      <c r="E26" s="10" t="inlineStr">
        <is>
          <t>Other demersal invertebrates</t>
        </is>
      </c>
      <c r="F26" s="10" t="inlineStr">
        <is>
          <t>Molluscs</t>
        </is>
      </c>
      <c r="G26" s="11" t="inlineStr">
        <is>
          <t>2nd level benthos</t>
        </is>
      </c>
      <c r="H26" s="12" t="n">
        <v>0.2907501832899463</v>
      </c>
      <c r="I26" s="10" t="inlineStr">
        <is>
          <t>catch_composition</t>
        </is>
      </c>
      <c r="J26" s="16" t="inlineStr">
        <is>
          <t>low</t>
        </is>
      </c>
      <c r="K26" s="10" t="inlineStr">
        <is>
          <t>composite_split</t>
        </is>
      </c>
      <c r="L26" s="11" t="inlineStr">
        <is>
          <t>Molluscs span basal benthic bivalves/grazers, predatory benthic molluscs and the named squid group; model species lists are absent, so this coarse allocation remains provisional.</t>
        </is>
      </c>
      <c r="M26" s="10" t="n">
        <v>1330721.237</v>
      </c>
    </row>
    <row r="27" ht="36" customHeight="1">
      <c r="A27" s="10" t="inlineStr">
        <is>
          <t>LME_052</t>
        </is>
      </c>
      <c r="B27" s="11" t="inlineStr">
        <is>
          <t>52_1_Sea_of_Okhotsk_NE_(1980)</t>
        </is>
      </c>
      <c r="C27" s="11" t="inlineStr">
        <is>
          <t>Mollusca</t>
        </is>
      </c>
      <c r="D27" s="10" t="inlineStr">
        <is>
          <t>Clams, seasnails, squids, octopuses</t>
        </is>
      </c>
      <c r="E27" s="10" t="inlineStr">
        <is>
          <t>Other demersal invertebrates</t>
        </is>
      </c>
      <c r="F27" s="10" t="inlineStr">
        <is>
          <t>Molluscs</t>
        </is>
      </c>
      <c r="G27" s="11" t="inlineStr">
        <is>
          <t>Carnivorous invertebrates</t>
        </is>
      </c>
      <c r="H27" s="12" t="n">
        <v>0.08017403454539031</v>
      </c>
      <c r="I27" s="10" t="inlineStr">
        <is>
          <t>catch_composition</t>
        </is>
      </c>
      <c r="J27" s="16" t="inlineStr">
        <is>
          <t>low</t>
        </is>
      </c>
      <c r="K27" s="10" t="inlineStr">
        <is>
          <t>composite_split</t>
        </is>
      </c>
      <c r="L27" s="11" t="inlineStr">
        <is>
          <t>Molluscs span basal benthic bivalves/grazers, predatory benthic molluscs and the named squid group; model species lists are absent, so this coarse allocation remains provisional.</t>
        </is>
      </c>
      <c r="M27" s="10" t="n">
        <v>1330721.237</v>
      </c>
    </row>
    <row r="28" ht="36" customHeight="1">
      <c r="A28" s="10" t="inlineStr">
        <is>
          <t>LME_052</t>
        </is>
      </c>
      <c r="B28" s="11" t="inlineStr">
        <is>
          <t>52_1_Sea_of_Okhotsk_NE_(1980)</t>
        </is>
      </c>
      <c r="C28" s="11" t="inlineStr">
        <is>
          <t>Mollusca</t>
        </is>
      </c>
      <c r="D28" s="10" t="inlineStr">
        <is>
          <t>Clams, seasnails, squids, octopuses</t>
        </is>
      </c>
      <c r="E28" s="10" t="inlineStr">
        <is>
          <t>Other demersal invertebrates</t>
        </is>
      </c>
      <c r="F28" s="10" t="inlineStr">
        <is>
          <t>Molluscs</t>
        </is>
      </c>
      <c r="G28" s="11" t="inlineStr">
        <is>
          <t>Squids</t>
        </is>
      </c>
      <c r="H28" s="12" t="n">
        <v>0.6290757821646633</v>
      </c>
      <c r="I28" s="10" t="inlineStr">
        <is>
          <t>catch_composition</t>
        </is>
      </c>
      <c r="J28" s="16" t="inlineStr">
        <is>
          <t>low</t>
        </is>
      </c>
      <c r="K28" s="10" t="inlineStr">
        <is>
          <t>composite_split</t>
        </is>
      </c>
      <c r="L28" s="11" t="inlineStr">
        <is>
          <t>Molluscs span basal benthic bivalves/grazers, predatory benthic molluscs and the named squid group; model species lists are absent, so this coarse allocation remains provisional.</t>
        </is>
      </c>
      <c r="M28" s="10" t="n">
        <v>1330721.237</v>
      </c>
    </row>
    <row r="29" ht="36" customHeight="1">
      <c r="A29" s="10" t="inlineStr">
        <is>
          <t>LME_052</t>
        </is>
      </c>
      <c r="B29" s="11" t="inlineStr">
        <is>
          <t>52_1_Sea_of_Okhotsk_NE_(1980)</t>
        </is>
      </c>
      <c r="C29" s="11" t="inlineStr">
        <is>
          <t>Cololabis saira</t>
        </is>
      </c>
      <c r="D29" s="10" t="inlineStr">
        <is>
          <t>Pacific saury</t>
        </is>
      </c>
      <c r="E29" s="10" t="inlineStr">
        <is>
          <t>Medium pelagics (30 - 89 cm)</t>
        </is>
      </c>
      <c r="F29" s="10" t="inlineStr">
        <is>
          <t>Other fishes &amp; inverts</t>
        </is>
      </c>
      <c r="G29" s="11" t="inlineStr">
        <is>
          <t>Unresolved</t>
        </is>
      </c>
      <c r="H29" s="12" t="n"/>
      <c r="I29" s="10" t="inlineStr"/>
      <c r="J29" s="15" t="inlineStr">
        <is>
          <t>unresolved</t>
        </is>
      </c>
      <c r="K29" s="10" t="inlineStr">
        <is>
          <t>none</t>
        </is>
      </c>
      <c r="L29" s="11" t="inlineStr">
        <is>
          <t>Scomberesocidae (Pacific saury), a small epipelagic fish; the Okhotsk model has no pelagic-fish group to place it in. Reviewed: no documented compatible group for this catch label.</t>
        </is>
      </c>
      <c r="M29" s="10" t="n">
        <v>1247073.954</v>
      </c>
    </row>
    <row r="30" ht="51" customHeight="1">
      <c r="A30" s="10" t="inlineStr">
        <is>
          <t>LME_052</t>
        </is>
      </c>
      <c r="B30" s="11" t="inlineStr">
        <is>
          <t>52_1_Sea_of_Okhotsk_NE_(1980)</t>
        </is>
      </c>
      <c r="C30" s="11" t="inlineStr">
        <is>
          <t>Pleurogrammus monopterygius</t>
        </is>
      </c>
      <c r="D30" s="10" t="inlineStr">
        <is>
          <t>Atka mackerel</t>
        </is>
      </c>
      <c r="E30" s="10" t="inlineStr">
        <is>
          <t>Medium demersals (30 - 89 cm)</t>
        </is>
      </c>
      <c r="F30" s="10" t="inlineStr">
        <is>
          <t>Scorpionfishes</t>
        </is>
      </c>
      <c r="G30" s="11" t="inlineStr">
        <is>
          <t>Other bottom fishes</t>
        </is>
      </c>
      <c r="H30" s="12" t="n">
        <v>1</v>
      </c>
      <c r="I30" s="10" t="inlineStr">
        <is>
          <t>single</t>
        </is>
      </c>
      <c r="J30" s="13" t="inlineStr">
        <is>
          <t>medium</t>
        </is>
      </c>
      <c r="K30" s="10" t="inlineStr">
        <is>
          <t>habitat_size_guild</t>
        </is>
      </c>
      <c r="L30" s="11" t="inlineStr">
        <is>
          <t>Hexagrammidae, same family as Pleurogrammus azonus above; placed in the residual demersal 'Other bottom fishes' group on habitat/trophic grounds. Reviewed against Chaikina 2020 Table 1; species membership is not tabulated.</t>
        </is>
      </c>
      <c r="M30" s="10" t="n">
        <v>1245166.946</v>
      </c>
    </row>
    <row r="31" ht="36" customHeight="1">
      <c r="A31" s="10" t="inlineStr">
        <is>
          <t>LME_052</t>
        </is>
      </c>
      <c r="B31" s="11" t="inlineStr">
        <is>
          <t>52_1_Sea_of_Okhotsk_NE_(1980)</t>
        </is>
      </c>
      <c r="C31" s="11" t="inlineStr">
        <is>
          <t>Oncorhynchus nerka</t>
        </is>
      </c>
      <c r="D31" s="10" t="inlineStr">
        <is>
          <t>Sockeye salmon</t>
        </is>
      </c>
      <c r="E31" s="10" t="inlineStr">
        <is>
          <t>Medium pelagics (30 - 89 cm)</t>
        </is>
      </c>
      <c r="F31" s="10" t="inlineStr">
        <is>
          <t>Salmon, smelts, etc</t>
        </is>
      </c>
      <c r="G31" s="11" t="inlineStr">
        <is>
          <t>Salmon</t>
        </is>
      </c>
      <c r="H31" s="12" t="n">
        <v>1</v>
      </c>
      <c r="I31" s="10" t="inlineStr">
        <is>
          <t>single</t>
        </is>
      </c>
      <c r="J31" s="14" t="inlineStr">
        <is>
          <t>high</t>
        </is>
      </c>
      <c r="K31" s="10" t="inlineStr">
        <is>
          <t>taxonomic_containment</t>
        </is>
      </c>
      <c r="L31" s="11" t="inlineStr">
        <is>
          <t>Pacific salmon catch within the Salmon compartment in Chaikina 2020 Table 1; no size/stage split is supplied.</t>
        </is>
      </c>
      <c r="M31" s="10" t="n">
        <v>1182462.308</v>
      </c>
    </row>
    <row r="32" ht="36" customHeight="1">
      <c r="A32" s="10" t="inlineStr">
        <is>
          <t>LME_052</t>
        </is>
      </c>
      <c r="B32" s="11" t="inlineStr">
        <is>
          <t>52_1_Sea_of_Okhotsk_NE_(1980)</t>
        </is>
      </c>
      <c r="C32" s="11" t="inlineStr">
        <is>
          <t>Pleuronectidae</t>
        </is>
      </c>
      <c r="D32" s="10" t="inlineStr">
        <is>
          <t>Righteye flounders</t>
        </is>
      </c>
      <c r="E32" s="10" t="inlineStr">
        <is>
          <t>Small to medium flatfishes (&lt;90 cm)</t>
        </is>
      </c>
      <c r="F32" s="10" t="inlineStr">
        <is>
          <t>Flatfishes</t>
        </is>
      </c>
      <c r="G32" s="11" t="inlineStr">
        <is>
          <t>Pleuronectidae</t>
        </is>
      </c>
      <c r="H32" s="12" t="n">
        <v>1</v>
      </c>
      <c r="I32" s="10" t="inlineStr">
        <is>
          <t>single</t>
        </is>
      </c>
      <c r="J32" s="14" t="inlineStr">
        <is>
          <t>high</t>
        </is>
      </c>
      <c r="K32" s="10" t="inlineStr">
        <is>
          <t>taxonomic_containment</t>
        </is>
      </c>
      <c r="L32" s="11" t="inlineStr">
        <is>
          <t>Chaikina 2020 Table 1 names Pleuronectidae; the catch taxon Pleuronectidae is within that taxonomic compartment (WoRMS taxonomy checked).</t>
        </is>
      </c>
      <c r="M32" s="10" t="n">
        <v>1084818.657</v>
      </c>
    </row>
    <row r="33" ht="36" customHeight="1">
      <c r="A33" s="10" t="inlineStr">
        <is>
          <t>LME_052</t>
        </is>
      </c>
      <c r="B33" s="11" t="inlineStr">
        <is>
          <t>52_1_Sea_of_Okhotsk_NE_(1980)</t>
        </is>
      </c>
      <c r="C33" s="11" t="inlineStr">
        <is>
          <t>Mallotus villosus</t>
        </is>
      </c>
      <c r="D33" s="10" t="inlineStr">
        <is>
          <t>Capelin</t>
        </is>
      </c>
      <c r="E33" s="10" t="inlineStr">
        <is>
          <t>Small pelagics (&lt;30 cm)</t>
        </is>
      </c>
      <c r="F33" s="10" t="inlineStr">
        <is>
          <t>Salmon, smelts, etc</t>
        </is>
      </c>
      <c r="G33" s="11" t="inlineStr">
        <is>
          <t>Capelin</t>
        </is>
      </c>
      <c r="H33" s="12" t="n">
        <v>1</v>
      </c>
      <c r="I33" s="10" t="inlineStr">
        <is>
          <t>single</t>
        </is>
      </c>
      <c r="J33" s="14" t="inlineStr">
        <is>
          <t>high</t>
        </is>
      </c>
      <c r="K33" s="10" t="inlineStr">
        <is>
          <t>taxonomic_containment</t>
        </is>
      </c>
      <c r="L33" s="11" t="inlineStr">
        <is>
          <t>Chaikina 2020 Table 1 names Capelin; the catch taxon Mallotus villosus is within that taxonomic compartment (WoRMS taxonomy checked).</t>
        </is>
      </c>
      <c r="M33" s="10" t="n">
        <v>1077371.301</v>
      </c>
    </row>
    <row r="34" ht="36" customHeight="1">
      <c r="A34" s="10" t="inlineStr">
        <is>
          <t>LME_052</t>
        </is>
      </c>
      <c r="B34" s="11" t="inlineStr">
        <is>
          <t>52_1_Sea_of_Okhotsk_NE_(1980)</t>
        </is>
      </c>
      <c r="C34" s="11" t="inlineStr">
        <is>
          <t>Miscellaneous marine crustaceans</t>
        </is>
      </c>
      <c r="D34" s="10" t="inlineStr">
        <is>
          <t>Marine crabs, shrimps, lobsters nei</t>
        </is>
      </c>
      <c r="E34" s="10" t="inlineStr">
        <is>
          <t>Shrimps</t>
        </is>
      </c>
      <c r="F34" s="10" t="inlineStr">
        <is>
          <t>Crustaceans</t>
        </is>
      </c>
      <c r="G34" s="11" t="inlineStr">
        <is>
          <t>Crabs and shrimps</t>
        </is>
      </c>
      <c r="H34" s="12" t="n">
        <v>1</v>
      </c>
      <c r="I34" s="10" t="inlineStr">
        <is>
          <t>single</t>
        </is>
      </c>
      <c r="J34" s="14" t="inlineStr">
        <is>
          <t>high</t>
        </is>
      </c>
      <c r="K34" s="10" t="inlineStr">
        <is>
          <t>taxonomic_containment</t>
        </is>
      </c>
      <c r="L34" s="11" t="inlineStr">
        <is>
          <t>Chaikina 2020 Table 1 names Crabs and shrimps; the catch taxon Miscellaneous marine crustaceans is within that taxonomic compartment (WoRMS taxonomy checked).</t>
        </is>
      </c>
      <c r="M34" s="10" t="n">
        <v>935887.171</v>
      </c>
    </row>
    <row r="35" ht="36" customHeight="1">
      <c r="A35" s="10" t="inlineStr">
        <is>
          <t>LME_052</t>
        </is>
      </c>
      <c r="B35" s="11" t="inlineStr">
        <is>
          <t>52_1_Sea_of_Okhotsk_NE_(1980)</t>
        </is>
      </c>
      <c r="C35" s="11" t="inlineStr">
        <is>
          <t>Scomber japonicus</t>
        </is>
      </c>
      <c r="D35" s="10" t="inlineStr">
        <is>
          <t>Pacific chub mackerel</t>
        </is>
      </c>
      <c r="E35" s="10" t="inlineStr">
        <is>
          <t>Medium pelagics (30 - 89 cm)</t>
        </is>
      </c>
      <c r="F35" s="10" t="inlineStr">
        <is>
          <t>Perch-likes</t>
        </is>
      </c>
      <c r="G35" s="11" t="inlineStr">
        <is>
          <t>Unresolved</t>
        </is>
      </c>
      <c r="H35" s="12" t="n"/>
      <c r="I35" s="10" t="inlineStr"/>
      <c r="J35" s="15" t="inlineStr">
        <is>
          <t>unresolved</t>
        </is>
      </c>
      <c r="K35" s="10" t="inlineStr">
        <is>
          <t>none</t>
        </is>
      </c>
      <c r="L35" s="11" t="inlineStr">
        <is>
          <t>Scombridae (chub mackerel), epipelagic; same limitation as genus Scomber -- no pelagic-fish group in the Okhotsk model. Reviewed: no documented compatible group for this catch label.</t>
        </is>
      </c>
      <c r="M35" s="10" t="n">
        <v>883031.144</v>
      </c>
    </row>
    <row r="36" ht="51" customHeight="1">
      <c r="A36" s="10" t="inlineStr">
        <is>
          <t>LME_052</t>
        </is>
      </c>
      <c r="B36" s="11" t="inlineStr">
        <is>
          <t>52_1_Sea_of_Okhotsk_NE_(1980)</t>
        </is>
      </c>
      <c r="C36" s="11" t="inlineStr">
        <is>
          <t>Pectinidae</t>
        </is>
      </c>
      <c r="D36" s="10" t="inlineStr">
        <is>
          <t>Scallops</t>
        </is>
      </c>
      <c r="E36" s="10" t="inlineStr">
        <is>
          <t>Other demersal invertebrates</t>
        </is>
      </c>
      <c r="F36" s="10" t="inlineStr">
        <is>
          <t>Molluscs</t>
        </is>
      </c>
      <c r="G36" s="11" t="inlineStr">
        <is>
          <t>2nd level benthos</t>
        </is>
      </c>
      <c r="H36" s="12" t="n">
        <v>1</v>
      </c>
      <c r="I36" s="10" t="inlineStr">
        <is>
          <t>single</t>
        </is>
      </c>
      <c r="J36" s="13" t="inlineStr">
        <is>
          <t>medium</t>
        </is>
      </c>
      <c r="K36" s="10" t="inlineStr">
        <is>
          <t>habitat_size_guild</t>
        </is>
      </c>
      <c r="L36" s="11" t="inlineStr">
        <is>
          <t>Analyst inference: Pectinidae is a benthic suspension/deposit feeder or grazer, consistent with Chaikina 2020 Table 1 second-level benthos and its basal diet in Table 3; no species member list is supplied.</t>
        </is>
      </c>
      <c r="M36" s="10" t="n">
        <v>730793.024</v>
      </c>
    </row>
    <row r="37" ht="36" customHeight="1">
      <c r="A37" s="10" t="inlineStr">
        <is>
          <t>LME_052</t>
        </is>
      </c>
      <c r="B37" s="11" t="inlineStr">
        <is>
          <t>52_1_Sea_of_Okhotsk_NE_(1980)</t>
        </is>
      </c>
      <c r="C37" s="11" t="inlineStr">
        <is>
          <t>Moridae</t>
        </is>
      </c>
      <c r="D37" s="10" t="inlineStr">
        <is>
          <t>Codlings, moras</t>
        </is>
      </c>
      <c r="E37" s="10" t="inlineStr">
        <is>
          <t>Medium benthopelagics (30 - 89 cm)</t>
        </is>
      </c>
      <c r="F37" s="10" t="inlineStr">
        <is>
          <t>Cod-likes</t>
        </is>
      </c>
      <c r="G37" s="11" t="inlineStr">
        <is>
          <t>Other bottom fishes</t>
        </is>
      </c>
      <c r="H37" s="12" t="n">
        <v>1</v>
      </c>
      <c r="I37" s="10" t="inlineStr">
        <is>
          <t>single</t>
        </is>
      </c>
      <c r="J37" s="13" t="inlineStr">
        <is>
          <t>medium</t>
        </is>
      </c>
      <c r="K37" s="10" t="inlineStr">
        <is>
          <t>habitat_size_guild</t>
        </is>
      </c>
      <c r="L37" s="11" t="inlineStr">
        <is>
          <t>Morids are demersal cod-like fishes outside Gadidae; use the residual bottom-fish group, not Other Gadidae.</t>
        </is>
      </c>
      <c r="M37" s="10" t="n">
        <v>641456.819</v>
      </c>
    </row>
    <row r="38" ht="36" customHeight="1">
      <c r="A38" s="10" t="inlineStr">
        <is>
          <t>LME_052</t>
        </is>
      </c>
      <c r="B38" s="11" t="inlineStr">
        <is>
          <t>52_1_Sea_of_Okhotsk_NE_(1980)</t>
        </is>
      </c>
      <c r="C38" s="11" t="inlineStr">
        <is>
          <t>Engraulis japonicus</t>
        </is>
      </c>
      <c r="D38" s="10" t="inlineStr">
        <is>
          <t>Japanese anchovy</t>
        </is>
      </c>
      <c r="E38" s="10" t="inlineStr">
        <is>
          <t>Small pelagics (&lt;30 cm)</t>
        </is>
      </c>
      <c r="F38" s="10" t="inlineStr">
        <is>
          <t>Anchovies</t>
        </is>
      </c>
      <c r="G38" s="11" t="inlineStr">
        <is>
          <t>Unresolved</t>
        </is>
      </c>
      <c r="H38" s="12" t="n"/>
      <c r="I38" s="10" t="inlineStr"/>
      <c r="J38" s="15" t="inlineStr">
        <is>
          <t>unresolved</t>
        </is>
      </c>
      <c r="K38" s="10" t="inlineStr">
        <is>
          <t>none</t>
        </is>
      </c>
      <c r="L38" s="11" t="inlineStr">
        <is>
          <t>Engraulidae (Japanese anchovy), small epipelagic; no anchovy or generic pelagic-fish group exists in the Okhotsk model. Reviewed: no documented compatible group for this catch label.</t>
        </is>
      </c>
      <c r="M38" s="10" t="n">
        <v>546075.036</v>
      </c>
    </row>
    <row r="39" ht="36" customHeight="1">
      <c r="A39" s="10" t="inlineStr">
        <is>
          <t>LME_052</t>
        </is>
      </c>
      <c r="B39" s="11" t="inlineStr">
        <is>
          <t>52_1_Sea_of_Okhotsk_NE_(1980)</t>
        </is>
      </c>
      <c r="C39" s="11" t="inlineStr">
        <is>
          <t>Laemonema longipes</t>
        </is>
      </c>
      <c r="D39" s="10" t="inlineStr">
        <is>
          <t>Longfin codling</t>
        </is>
      </c>
      <c r="E39" s="10" t="inlineStr">
        <is>
          <t>Medium benthopelagics (30 - 89 cm)</t>
        </is>
      </c>
      <c r="F39" s="10" t="inlineStr">
        <is>
          <t>Cod-likes</t>
        </is>
      </c>
      <c r="G39" s="11" t="inlineStr">
        <is>
          <t>Other bottom fishes</t>
        </is>
      </c>
      <c r="H39" s="12" t="n">
        <v>1</v>
      </c>
      <c r="I39" s="10" t="inlineStr">
        <is>
          <t>single</t>
        </is>
      </c>
      <c r="J39" s="13" t="inlineStr">
        <is>
          <t>medium</t>
        </is>
      </c>
      <c r="K39" s="10" t="inlineStr">
        <is>
          <t>habitat_size_guild</t>
        </is>
      </c>
      <c r="L39" s="11" t="inlineStr">
        <is>
          <t>Laemonema longipes is a demersal morid; the model has a residual bottom-fish group and no separate Moridae.</t>
        </is>
      </c>
      <c r="M39" s="10" t="n">
        <v>535524.236</v>
      </c>
    </row>
    <row r="40" ht="36" customHeight="1">
      <c r="A40" s="10" t="inlineStr">
        <is>
          <t>LME_052</t>
        </is>
      </c>
      <c r="B40" s="11" t="inlineStr">
        <is>
          <t>52_1_Sea_of_Okhotsk_NE_(1980)</t>
        </is>
      </c>
      <c r="C40" s="11" t="inlineStr">
        <is>
          <t>Chionoecetes</t>
        </is>
      </c>
      <c r="D40" s="10" t="inlineStr">
        <is>
          <t>Tanner, snow crabs</t>
        </is>
      </c>
      <c r="E40" s="10" t="inlineStr">
        <is>
          <t>Lobsters, crabs</t>
        </is>
      </c>
      <c r="F40" s="10" t="inlineStr">
        <is>
          <t>Crustaceans</t>
        </is>
      </c>
      <c r="G40" s="11" t="inlineStr">
        <is>
          <t>Crabs and shrimps</t>
        </is>
      </c>
      <c r="H40" s="12" t="n">
        <v>1</v>
      </c>
      <c r="I40" s="10" t="inlineStr">
        <is>
          <t>single</t>
        </is>
      </c>
      <c r="J40" s="14" t="inlineStr">
        <is>
          <t>high</t>
        </is>
      </c>
      <c r="K40" s="10" t="inlineStr">
        <is>
          <t>taxonomic_containment</t>
        </is>
      </c>
      <c r="L40" s="11" t="inlineStr">
        <is>
          <t>Chaikina 2020 Table 1 names Crabs and shrimps; the catch taxon Chionoecetes is within that taxonomic compartment (WoRMS taxonomy checked).</t>
        </is>
      </c>
      <c r="M40" s="10" t="n">
        <v>513134.296</v>
      </c>
    </row>
    <row r="41" ht="36" customHeight="1">
      <c r="A41" s="10" t="inlineStr">
        <is>
          <t>LME_052</t>
        </is>
      </c>
      <c r="B41" s="11" t="inlineStr">
        <is>
          <t>52_1_Sea_of_Okhotsk_NE_(1980)</t>
        </is>
      </c>
      <c r="C41" s="11" t="inlineStr">
        <is>
          <t>Oncorhynchus kisutch</t>
        </is>
      </c>
      <c r="D41" s="10" t="inlineStr">
        <is>
          <t>Coho salmon</t>
        </is>
      </c>
      <c r="E41" s="10" t="inlineStr">
        <is>
          <t>Large demersals (&gt;=90 cm)</t>
        </is>
      </c>
      <c r="F41" s="10" t="inlineStr">
        <is>
          <t>Salmon, smelts, etc</t>
        </is>
      </c>
      <c r="G41" s="11" t="inlineStr">
        <is>
          <t>Salmon</t>
        </is>
      </c>
      <c r="H41" s="12" t="n">
        <v>1</v>
      </c>
      <c r="I41" s="10" t="inlineStr">
        <is>
          <t>single</t>
        </is>
      </c>
      <c r="J41" s="14" t="inlineStr">
        <is>
          <t>high</t>
        </is>
      </c>
      <c r="K41" s="10" t="inlineStr">
        <is>
          <t>taxonomic_containment</t>
        </is>
      </c>
      <c r="L41" s="11" t="inlineStr">
        <is>
          <t>Pacific salmon catch within the Salmon compartment in Chaikina 2020 Table 1; no size/stage split is supplied.</t>
        </is>
      </c>
      <c r="M41" s="10" t="n">
        <v>418738.451</v>
      </c>
    </row>
    <row r="42" ht="36" customHeight="1">
      <c r="A42" s="10" t="inlineStr">
        <is>
          <t>LME_052</t>
        </is>
      </c>
      <c r="B42" s="11" t="inlineStr">
        <is>
          <t>52_1_Sea_of_Okhotsk_NE_(1980)</t>
        </is>
      </c>
      <c r="C42" s="11" t="inlineStr">
        <is>
          <t>Chionoecetes opilio</t>
        </is>
      </c>
      <c r="D42" s="10" t="inlineStr">
        <is>
          <t>Snow crab</t>
        </is>
      </c>
      <c r="E42" s="10" t="inlineStr">
        <is>
          <t>Lobsters, crabs</t>
        </is>
      </c>
      <c r="F42" s="10" t="inlineStr">
        <is>
          <t>Crustaceans</t>
        </is>
      </c>
      <c r="G42" s="11" t="inlineStr">
        <is>
          <t>Crabs and shrimps</t>
        </is>
      </c>
      <c r="H42" s="12" t="n">
        <v>1</v>
      </c>
      <c r="I42" s="10" t="inlineStr">
        <is>
          <t>single</t>
        </is>
      </c>
      <c r="J42" s="14" t="inlineStr">
        <is>
          <t>high</t>
        </is>
      </c>
      <c r="K42" s="10" t="inlineStr">
        <is>
          <t>taxonomic_containment</t>
        </is>
      </c>
      <c r="L42" s="11" t="inlineStr">
        <is>
          <t>Chaikina 2020 Table 1 names Crabs and shrimps; the catch taxon Chionoecetes opilio is within that taxonomic compartment (WoRMS taxonomy checked).</t>
        </is>
      </c>
      <c r="M42" s="10" t="n">
        <v>409348.485</v>
      </c>
    </row>
    <row r="43" ht="51" customHeight="1">
      <c r="A43" s="10" t="inlineStr">
        <is>
          <t>LME_052</t>
        </is>
      </c>
      <c r="B43" s="11" t="inlineStr">
        <is>
          <t>52_1_Sea_of_Okhotsk_NE_(1980)</t>
        </is>
      </c>
      <c r="C43" s="11" t="inlineStr">
        <is>
          <t>Bivalvia</t>
        </is>
      </c>
      <c r="D43" s="10" t="inlineStr">
        <is>
          <t>Clams</t>
        </is>
      </c>
      <c r="E43" s="10" t="inlineStr">
        <is>
          <t>Other demersal invertebrates</t>
        </is>
      </c>
      <c r="F43" s="10" t="inlineStr">
        <is>
          <t>Molluscs</t>
        </is>
      </c>
      <c r="G43" s="11" t="inlineStr">
        <is>
          <t>2nd level benthos</t>
        </is>
      </c>
      <c r="H43" s="12" t="n">
        <v>1</v>
      </c>
      <c r="I43" s="10" t="inlineStr">
        <is>
          <t>single</t>
        </is>
      </c>
      <c r="J43" s="13" t="inlineStr">
        <is>
          <t>medium</t>
        </is>
      </c>
      <c r="K43" s="10" t="inlineStr">
        <is>
          <t>habitat_size_guild</t>
        </is>
      </c>
      <c r="L43" s="11" t="inlineStr">
        <is>
          <t>Analyst inference: Bivalvia is a benthic suspension/deposit feeder or grazer, consistent with Chaikina 2020 Table 1 second-level benthos and its basal diet in Table 3; no species member list is supplied.</t>
        </is>
      </c>
      <c r="M43" s="10" t="n">
        <v>391148.826</v>
      </c>
    </row>
    <row r="44" ht="36" customHeight="1">
      <c r="A44" s="10" t="inlineStr">
        <is>
          <t>LME_052</t>
        </is>
      </c>
      <c r="B44" s="11" t="inlineStr">
        <is>
          <t>52_1_Sea_of_Okhotsk_NE_(1980)</t>
        </is>
      </c>
      <c r="C44" s="11" t="inlineStr">
        <is>
          <t>Atheresthes evermanni</t>
        </is>
      </c>
      <c r="D44" s="10" t="inlineStr">
        <is>
          <t>Kamchatka flounder</t>
        </is>
      </c>
      <c r="E44" s="10" t="inlineStr">
        <is>
          <t>Large flatfishes (&gt;=90 cm)</t>
        </is>
      </c>
      <c r="F44" s="10" t="inlineStr">
        <is>
          <t>Flatfishes</t>
        </is>
      </c>
      <c r="G44" s="11" t="inlineStr">
        <is>
          <t>Pleuronectidae</t>
        </is>
      </c>
      <c r="H44" s="12" t="n">
        <v>1</v>
      </c>
      <c r="I44" s="10" t="inlineStr">
        <is>
          <t>single</t>
        </is>
      </c>
      <c r="J44" s="14" t="inlineStr">
        <is>
          <t>high</t>
        </is>
      </c>
      <c r="K44" s="10" t="inlineStr">
        <is>
          <t>taxonomic_containment</t>
        </is>
      </c>
      <c r="L44" s="11" t="inlineStr">
        <is>
          <t>Chaikina 2020 Table 1 names Pleuronectidae; the catch taxon Atheresthes evermanni is within that taxonomic compartment (WoRMS taxonomy checked).</t>
        </is>
      </c>
      <c r="M44" s="10" t="n">
        <v>383636.504</v>
      </c>
    </row>
    <row r="45" ht="51" customHeight="1">
      <c r="A45" s="10" t="inlineStr">
        <is>
          <t>LME_052</t>
        </is>
      </c>
      <c r="B45" s="11" t="inlineStr">
        <is>
          <t>52_1_Sea_of_Okhotsk_NE_(1980)</t>
        </is>
      </c>
      <c r="C45" s="11" t="inlineStr">
        <is>
          <t>Batoidea</t>
        </is>
      </c>
      <c r="D45" s="10" t="inlineStr">
        <is>
          <t>Batoids, skates, rays, sawfishes</t>
        </is>
      </c>
      <c r="E45" s="10" t="inlineStr">
        <is>
          <t>Large rays (&gt;=90 cm)</t>
        </is>
      </c>
      <c r="F45" s="10" t="inlineStr">
        <is>
          <t>Sharks &amp; rays</t>
        </is>
      </c>
      <c r="G45" s="11" t="inlineStr">
        <is>
          <t>Unresolved</t>
        </is>
      </c>
      <c r="H45" s="12" t="n"/>
      <c r="I45" s="10" t="inlineStr"/>
      <c r="J45" s="15" t="inlineStr">
        <is>
          <t>unresolved</t>
        </is>
      </c>
      <c r="K45" s="10" t="inlineStr">
        <is>
          <t>none</t>
        </is>
      </c>
      <c r="L45" s="11" t="inlineStr">
        <is>
          <t>Skates/rays; the Okhotsk model contains no elasmobranch (shark/ray) group at all, only marine mammals, seabirds, fish and invertebrates. Reviewed: no documented compatible group for this catch label.</t>
        </is>
      </c>
      <c r="M45" s="10" t="n">
        <v>375866.584</v>
      </c>
    </row>
    <row r="46" ht="66" customHeight="1">
      <c r="A46" s="10" t="inlineStr">
        <is>
          <t>LME_052</t>
        </is>
      </c>
      <c r="B46" s="11" t="inlineStr">
        <is>
          <t>52_1_Sea_of_Okhotsk_NE_(1980)</t>
        </is>
      </c>
      <c r="C46" s="11" t="inlineStr">
        <is>
          <t>Osmeridae</t>
        </is>
      </c>
      <c r="D46" s="10" t="inlineStr">
        <is>
          <t>Smelts</t>
        </is>
      </c>
      <c r="E46" s="10" t="inlineStr">
        <is>
          <t>Small pelagics (&lt;30 cm)</t>
        </is>
      </c>
      <c r="F46" s="10" t="inlineStr">
        <is>
          <t>Salmon, smelts, etc</t>
        </is>
      </c>
      <c r="G46" s="11" t="inlineStr">
        <is>
          <t>Unresolved</t>
        </is>
      </c>
      <c r="H46" s="12" t="n"/>
      <c r="I46" s="10" t="inlineStr"/>
      <c r="J46" s="15" t="inlineStr">
        <is>
          <t>unresolved</t>
        </is>
      </c>
      <c r="K46" s="10" t="inlineStr">
        <is>
          <t>none</t>
        </is>
      </c>
      <c r="L46" s="11" t="inlineStr">
        <is>
          <t>Family Osmeridae (true smelts) includes several genera besides capelin (e.g. Hypomesus, Osmerus); the model's only Osmeridae-linked group, 'Capelin', is species-specific, so an unidentified smelt cannot be safely assigned to it. Reviewed: no documented compatible group for this catch label.</t>
        </is>
      </c>
      <c r="M46" s="10" t="n">
        <v>340195.148</v>
      </c>
    </row>
    <row r="47" ht="36" customHeight="1">
      <c r="A47" s="10" t="inlineStr">
        <is>
          <t>LME_052</t>
        </is>
      </c>
      <c r="B47" s="11" t="inlineStr">
        <is>
          <t>52_1_Sea_of_Okhotsk_NE_(1980)</t>
        </is>
      </c>
      <c r="C47" s="11" t="inlineStr">
        <is>
          <t>Hippoglossus stenolepis</t>
        </is>
      </c>
      <c r="D47" s="10" t="inlineStr">
        <is>
          <t>Pacific halibut</t>
        </is>
      </c>
      <c r="E47" s="10" t="inlineStr">
        <is>
          <t>Large flatfishes (&gt;=90 cm)</t>
        </is>
      </c>
      <c r="F47" s="10" t="inlineStr">
        <is>
          <t>Flatfishes</t>
        </is>
      </c>
      <c r="G47" s="11" t="inlineStr">
        <is>
          <t>Pleuronectidae</t>
        </is>
      </c>
      <c r="H47" s="12" t="n">
        <v>1</v>
      </c>
      <c r="I47" s="10" t="inlineStr">
        <is>
          <t>single</t>
        </is>
      </c>
      <c r="J47" s="14" t="inlineStr">
        <is>
          <t>high</t>
        </is>
      </c>
      <c r="K47" s="10" t="inlineStr">
        <is>
          <t>taxonomic_containment</t>
        </is>
      </c>
      <c r="L47" s="11" t="inlineStr">
        <is>
          <t>Chaikina 2020 Table 1 names Pleuronectidae; the catch taxon Hippoglossus stenolepis is within that taxonomic compartment (WoRMS taxonomy checked).</t>
        </is>
      </c>
      <c r="M47" s="10" t="n">
        <v>238734.624</v>
      </c>
    </row>
    <row r="48" ht="51" customHeight="1">
      <c r="A48" s="10" t="inlineStr">
        <is>
          <t>LME_052</t>
        </is>
      </c>
      <c r="B48" s="11" t="inlineStr">
        <is>
          <t>52_1_Sea_of_Okhotsk_NE_(1980)</t>
        </is>
      </c>
      <c r="C48" s="11" t="inlineStr">
        <is>
          <t>Sebastidae</t>
        </is>
      </c>
      <c r="D48" s="10" t="inlineStr">
        <is>
          <t>Rockfishes, rockcods, thornyheads</t>
        </is>
      </c>
      <c r="E48" s="10" t="inlineStr">
        <is>
          <t>Medium demersals (30 - 89 cm)</t>
        </is>
      </c>
      <c r="F48" s="10" t="inlineStr">
        <is>
          <t>Scorpionfishes</t>
        </is>
      </c>
      <c r="G48" s="11" t="inlineStr">
        <is>
          <t>Other bottom fishes</t>
        </is>
      </c>
      <c r="H48" s="12" t="n">
        <v>1</v>
      </c>
      <c r="I48" s="10" t="inlineStr">
        <is>
          <t>single</t>
        </is>
      </c>
      <c r="J48" s="13" t="inlineStr">
        <is>
          <t>medium</t>
        </is>
      </c>
      <c r="K48" s="10" t="inlineStr">
        <is>
          <t>habitat_size_guild</t>
        </is>
      </c>
      <c r="L48" s="11" t="inlineStr">
        <is>
          <t>Rockfishes (Sebastidae) are benthopelagic/demersal predators with no dedicated group; placed in the residual 'Other bottom fishes' group on habitat and trophic-level grounds. Reviewed against Chaikina 2020 Table 1; species membership is not tabulated.</t>
        </is>
      </c>
      <c r="M48" s="10" t="n">
        <v>237687.743</v>
      </c>
    </row>
    <row r="49" ht="36" customHeight="1">
      <c r="A49" s="10" t="inlineStr">
        <is>
          <t>LME_052</t>
        </is>
      </c>
      <c r="B49" s="11" t="inlineStr">
        <is>
          <t>52_1_Sea_of_Okhotsk_NE_(1980)</t>
        </is>
      </c>
      <c r="C49" s="11" t="inlineStr">
        <is>
          <t>Decapoda</t>
        </is>
      </c>
      <c r="D49" s="10" t="inlineStr">
        <is>
          <t>Crabs, lobsters, shrimps</t>
        </is>
      </c>
      <c r="E49" s="10" t="inlineStr">
        <is>
          <t>Lobsters, crabs</t>
        </is>
      </c>
      <c r="F49" s="10" t="inlineStr">
        <is>
          <t>Crustaceans</t>
        </is>
      </c>
      <c r="G49" s="11" t="inlineStr">
        <is>
          <t>Crabs and shrimps</t>
        </is>
      </c>
      <c r="H49" s="12" t="n">
        <v>1</v>
      </c>
      <c r="I49" s="10" t="inlineStr">
        <is>
          <t>single</t>
        </is>
      </c>
      <c r="J49" s="14" t="inlineStr">
        <is>
          <t>high</t>
        </is>
      </c>
      <c r="K49" s="10" t="inlineStr">
        <is>
          <t>taxonomic_containment</t>
        </is>
      </c>
      <c r="L49" s="11" t="inlineStr">
        <is>
          <t>Chaikina 2020 Table 1 names Crabs and shrimps; the catch taxon Decapoda is within that taxonomic compartment (WoRMS taxonomy checked).</t>
        </is>
      </c>
      <c r="M49" s="10" t="n">
        <v>232812.554</v>
      </c>
    </row>
    <row r="50" ht="36" customHeight="1">
      <c r="A50" s="10" t="inlineStr">
        <is>
          <t>LME_052</t>
        </is>
      </c>
      <c r="B50" s="11" t="inlineStr">
        <is>
          <t>52_1_Sea_of_Okhotsk_NE_(1980)</t>
        </is>
      </c>
      <c r="C50" s="11" t="inlineStr">
        <is>
          <t>Octopoda</t>
        </is>
      </c>
      <c r="D50" s="10" t="inlineStr">
        <is>
          <t>Octopuses, argonauts</t>
        </is>
      </c>
      <c r="E50" s="10" t="inlineStr">
        <is>
          <t>Cephalopods</t>
        </is>
      </c>
      <c r="F50" s="10" t="inlineStr">
        <is>
          <t>Other fishes &amp; inverts</t>
        </is>
      </c>
      <c r="G50" s="11" t="inlineStr">
        <is>
          <t>Carnivorous invertebrates</t>
        </is>
      </c>
      <c r="H50" s="12" t="n">
        <v>1</v>
      </c>
      <c r="I50" s="10" t="inlineStr">
        <is>
          <t>single</t>
        </is>
      </c>
      <c r="J50" s="16" t="inlineStr">
        <is>
          <t>low</t>
        </is>
      </c>
      <c r="K50" s="10" t="inlineStr">
        <is>
          <t>analogue</t>
        </is>
      </c>
      <c r="L50" s="11" t="inlineStr">
        <is>
          <t>Octopods are benthic carnivorous invertebrates; placement is an ecological analogue because the source does not name their species.</t>
        </is>
      </c>
      <c r="M50" s="10" t="n">
        <v>231062.901</v>
      </c>
    </row>
    <row r="51" ht="51" customHeight="1">
      <c r="A51" s="10" t="inlineStr">
        <is>
          <t>LME_052</t>
        </is>
      </c>
      <c r="B51" s="11" t="inlineStr">
        <is>
          <t>52_1_Sea_of_Okhotsk_NE_(1980)</t>
        </is>
      </c>
      <c r="C51" s="11" t="inlineStr">
        <is>
          <t>Anoplopoma fimbria</t>
        </is>
      </c>
      <c r="D51" s="10" t="inlineStr">
        <is>
          <t>Sablefish</t>
        </is>
      </c>
      <c r="E51" s="10" t="inlineStr">
        <is>
          <t>Large bathydemersals (&gt;=90 cm)</t>
        </is>
      </c>
      <c r="F51" s="10" t="inlineStr">
        <is>
          <t>Scorpionfishes</t>
        </is>
      </c>
      <c r="G51" s="11" t="inlineStr">
        <is>
          <t>Other bottom fishes</t>
        </is>
      </c>
      <c r="H51" s="12" t="n">
        <v>1</v>
      </c>
      <c r="I51" s="10" t="inlineStr">
        <is>
          <t>single</t>
        </is>
      </c>
      <c r="J51" s="13" t="inlineStr">
        <is>
          <t>medium</t>
        </is>
      </c>
      <c r="K51" s="10" t="inlineStr">
        <is>
          <t>habitat_size_guild</t>
        </is>
      </c>
      <c r="L51" s="11" t="inlineStr">
        <is>
          <t>Sablefish is a bathydemersal predator with no dedicated group; placed in the residual 'Other bottom fishes' group (TL ~3.86) on habitat/trophic grounds. Reviewed against Chaikina 2020 Table 1; species membership is not tabulated.</t>
        </is>
      </c>
      <c r="M51" s="10" t="n">
        <v>222419.043</v>
      </c>
    </row>
    <row r="52" ht="36" customHeight="1">
      <c r="A52" s="10" t="inlineStr">
        <is>
          <t>LME_052</t>
        </is>
      </c>
      <c r="B52" s="11" t="inlineStr">
        <is>
          <t>52_1_Sea_of_Okhotsk_NE_(1980)</t>
        </is>
      </c>
      <c r="C52" s="11" t="inlineStr">
        <is>
          <t>Reinhardtius hippoglossoides</t>
        </is>
      </c>
      <c r="D52" s="10" t="inlineStr">
        <is>
          <t>Greenland halibut</t>
        </is>
      </c>
      <c r="E52" s="10" t="inlineStr">
        <is>
          <t>Small to medium flatfishes (&lt;90 cm)</t>
        </is>
      </c>
      <c r="F52" s="10" t="inlineStr">
        <is>
          <t>Flatfishes</t>
        </is>
      </c>
      <c r="G52" s="11" t="inlineStr">
        <is>
          <t>Pleuronectidae</t>
        </is>
      </c>
      <c r="H52" s="12" t="n">
        <v>1</v>
      </c>
      <c r="I52" s="10" t="inlineStr">
        <is>
          <t>single</t>
        </is>
      </c>
      <c r="J52" s="14" t="inlineStr">
        <is>
          <t>high</t>
        </is>
      </c>
      <c r="K52" s="10" t="inlineStr">
        <is>
          <t>taxonomic_containment</t>
        </is>
      </c>
      <c r="L52" s="11" t="inlineStr">
        <is>
          <t>Chaikina 2020 Table 1 names Pleuronectidae; the catch taxon Reinhardtius hippoglossoides is within that taxonomic compartment (WoRMS taxonomy checked).</t>
        </is>
      </c>
      <c r="M52" s="10" t="n">
        <v>222110.863</v>
      </c>
    </row>
    <row r="53" ht="36" customHeight="1">
      <c r="A53" s="10" t="inlineStr">
        <is>
          <t>LME_052</t>
        </is>
      </c>
      <c r="B53" s="11" t="inlineStr">
        <is>
          <t>52_1_Sea_of_Okhotsk_NE_(1980)</t>
        </is>
      </c>
      <c r="C53" s="11" t="inlineStr">
        <is>
          <t>Salmonidae</t>
        </is>
      </c>
      <c r="D53" s="10" t="inlineStr">
        <is>
          <t>Salmonids</t>
        </is>
      </c>
      <c r="E53" s="10" t="inlineStr">
        <is>
          <t>Large benthopelagics (&gt;=90 cm)</t>
        </is>
      </c>
      <c r="F53" s="10" t="inlineStr">
        <is>
          <t>Salmon, smelts, etc</t>
        </is>
      </c>
      <c r="G53" s="11" t="inlineStr">
        <is>
          <t>Salmon</t>
        </is>
      </c>
      <c r="H53" s="12" t="n">
        <v>1</v>
      </c>
      <c r="I53" s="10" t="inlineStr">
        <is>
          <t>single</t>
        </is>
      </c>
      <c r="J53" s="14" t="inlineStr">
        <is>
          <t>high</t>
        </is>
      </c>
      <c r="K53" s="10" t="inlineStr">
        <is>
          <t>taxonomic_containment</t>
        </is>
      </c>
      <c r="L53" s="11" t="inlineStr">
        <is>
          <t>Pacific salmon catch within the Salmon compartment in Chaikina 2020 Table 1; no size/stage split is supplied.</t>
        </is>
      </c>
      <c r="M53" s="10" t="n">
        <v>217485.93</v>
      </c>
    </row>
    <row r="54" ht="51" customHeight="1">
      <c r="A54" s="10" t="inlineStr">
        <is>
          <t>LME_052</t>
        </is>
      </c>
      <c r="B54" s="11" t="inlineStr">
        <is>
          <t>52_1_Sea_of_Okhotsk_NE_(1980)</t>
        </is>
      </c>
      <c r="C54" s="11" t="inlineStr">
        <is>
          <t>Arctoscopus japonicus</t>
        </is>
      </c>
      <c r="D54" s="10" t="inlineStr">
        <is>
          <t>Japanese sandfish</t>
        </is>
      </c>
      <c r="E54" s="10" t="inlineStr">
        <is>
          <t>Small bathydemersals (&lt;30 cm)</t>
        </is>
      </c>
      <c r="F54" s="10" t="inlineStr">
        <is>
          <t>Perch-likes</t>
        </is>
      </c>
      <c r="G54" s="11" t="inlineStr">
        <is>
          <t>Other bottom fishes</t>
        </is>
      </c>
      <c r="H54" s="12" t="n">
        <v>1</v>
      </c>
      <c r="I54" s="10" t="inlineStr">
        <is>
          <t>single</t>
        </is>
      </c>
      <c r="J54" s="13" t="inlineStr">
        <is>
          <t>medium</t>
        </is>
      </c>
      <c r="K54" s="10" t="inlineStr">
        <is>
          <t>habitat_size_guild</t>
        </is>
      </c>
      <c r="L54" s="11" t="inlineStr">
        <is>
          <t>Japanese sandfish (Trichodontidae) is a small bathydemersal, sand-dwelling fish with no dedicated group (it is not Ammodytidae); placed in the residual 'Other bottom fishes' group. Reviewed against Chaikina 2020 Table 1; species membership is not tabulated.</t>
        </is>
      </c>
      <c r="M54" s="10" t="n">
        <v>204057.395</v>
      </c>
    </row>
    <row r="55" ht="51" customHeight="1">
      <c r="A55" s="10" t="inlineStr">
        <is>
          <t>LME_052</t>
        </is>
      </c>
      <c r="B55" s="11" t="inlineStr">
        <is>
          <t>52_1_Sea_of_Okhotsk_NE_(1980)</t>
        </is>
      </c>
      <c r="C55" s="11" t="inlineStr">
        <is>
          <t>Trichiurus lepturus</t>
        </is>
      </c>
      <c r="D55" s="10" t="inlineStr">
        <is>
          <t>Largehead hairtail</t>
        </is>
      </c>
      <c r="E55" s="10" t="inlineStr">
        <is>
          <t>Large benthopelagics (&gt;=90 cm)</t>
        </is>
      </c>
      <c r="F55" s="10" t="inlineStr">
        <is>
          <t>Perch-likes</t>
        </is>
      </c>
      <c r="G55" s="11" t="inlineStr">
        <is>
          <t>Unresolved</t>
        </is>
      </c>
      <c r="H55" s="12" t="n"/>
      <c r="I55" s="10" t="inlineStr"/>
      <c r="J55" s="15" t="inlineStr">
        <is>
          <t>unresolved</t>
        </is>
      </c>
      <c r="K55" s="10" t="inlineStr">
        <is>
          <t>none</t>
        </is>
      </c>
      <c r="L55" s="11" t="inlineStr">
        <is>
          <t>Largehead hairtail (Trichiuridae) is a warm-temperate/tropical benthopelagic predator; no matching group in the Okhotsk model. Reviewed: no documented compatible group for this catch label.</t>
        </is>
      </c>
      <c r="M55" s="10" t="n">
        <v>195817.051</v>
      </c>
    </row>
    <row r="56" ht="36" customHeight="1">
      <c r="A56" s="10" t="inlineStr">
        <is>
          <t>LME_052</t>
        </is>
      </c>
      <c r="B56" s="11" t="inlineStr">
        <is>
          <t>52_1_Sea_of_Okhotsk_NE_(1980)</t>
        </is>
      </c>
      <c r="C56" s="11" t="inlineStr">
        <is>
          <t>Brachyura</t>
        </is>
      </c>
      <c r="D56" s="10" t="inlineStr">
        <is>
          <t>Marine crabs</t>
        </is>
      </c>
      <c r="E56" s="10" t="inlineStr">
        <is>
          <t>Lobsters, crabs</t>
        </is>
      </c>
      <c r="F56" s="10" t="inlineStr">
        <is>
          <t>Crustaceans</t>
        </is>
      </c>
      <c r="G56" s="11" t="inlineStr">
        <is>
          <t>Crabs and shrimps</t>
        </is>
      </c>
      <c r="H56" s="12" t="n">
        <v>1</v>
      </c>
      <c r="I56" s="10" t="inlineStr">
        <is>
          <t>single</t>
        </is>
      </c>
      <c r="J56" s="14" t="inlineStr">
        <is>
          <t>high</t>
        </is>
      </c>
      <c r="K56" s="10" t="inlineStr">
        <is>
          <t>taxonomic_containment</t>
        </is>
      </c>
      <c r="L56" s="11" t="inlineStr">
        <is>
          <t>Chaikina 2020 Table 1 names Crabs and shrimps; the catch taxon Brachyura is within that taxonomic compartment (WoRMS taxonomy checked).</t>
        </is>
      </c>
      <c r="M56" s="10" t="n">
        <v>191958.178</v>
      </c>
    </row>
    <row r="57" ht="36" customHeight="1">
      <c r="A57" s="10" t="inlineStr">
        <is>
          <t>LME_052</t>
        </is>
      </c>
      <c r="B57" s="11" t="inlineStr">
        <is>
          <t>52_1_Sea_of_Okhotsk_NE_(1980)</t>
        </is>
      </c>
      <c r="C57" s="11" t="inlineStr">
        <is>
          <t>Pandalus borealis</t>
        </is>
      </c>
      <c r="D57" s="10" t="inlineStr">
        <is>
          <t>Northern prawn</t>
        </is>
      </c>
      <c r="E57" s="10" t="inlineStr">
        <is>
          <t>Shrimps</t>
        </is>
      </c>
      <c r="F57" s="10" t="inlineStr">
        <is>
          <t>Crustaceans</t>
        </is>
      </c>
      <c r="G57" s="11" t="inlineStr">
        <is>
          <t>Crabs and shrimps</t>
        </is>
      </c>
      <c r="H57" s="12" t="n">
        <v>1</v>
      </c>
      <c r="I57" s="10" t="inlineStr">
        <is>
          <t>single</t>
        </is>
      </c>
      <c r="J57" s="14" t="inlineStr">
        <is>
          <t>high</t>
        </is>
      </c>
      <c r="K57" s="10" t="inlineStr">
        <is>
          <t>taxonomic_containment</t>
        </is>
      </c>
      <c r="L57" s="11" t="inlineStr">
        <is>
          <t>Chaikina 2020 Table 1 names Crabs and shrimps; the catch taxon Pandalus borealis is within that taxonomic compartment (WoRMS taxonomy checked).</t>
        </is>
      </c>
      <c r="M57" s="10" t="n">
        <v>178082.576</v>
      </c>
    </row>
    <row r="58" ht="36" customHeight="1">
      <c r="A58" s="10" t="inlineStr">
        <is>
          <t>LME_052</t>
        </is>
      </c>
      <c r="B58" s="11" t="inlineStr">
        <is>
          <t>52_1_Sea_of_Okhotsk_NE_(1980)</t>
        </is>
      </c>
      <c r="C58" s="11" t="inlineStr">
        <is>
          <t>Cephalopoda</t>
        </is>
      </c>
      <c r="D58" s="10" t="inlineStr">
        <is>
          <t>Squids, cuttlefishes, octopuses</t>
        </is>
      </c>
      <c r="E58" s="10" t="inlineStr">
        <is>
          <t>Cephalopods</t>
        </is>
      </c>
      <c r="F58" s="10" t="inlineStr">
        <is>
          <t>Other fishes &amp; inverts</t>
        </is>
      </c>
      <c r="G58" s="11" t="inlineStr">
        <is>
          <t>Squids</t>
        </is>
      </c>
      <c r="H58" s="12" t="n">
        <v>0.8869593863029984</v>
      </c>
      <c r="I58" s="10" t="inlineStr">
        <is>
          <t>catch_composition</t>
        </is>
      </c>
      <c r="J58" s="16" t="inlineStr">
        <is>
          <t>low</t>
        </is>
      </c>
      <c r="K58" s="10" t="inlineStr">
        <is>
          <t>composite_split</t>
        </is>
      </c>
      <c r="L58" s="11" t="inlineStr">
        <is>
          <t>Cephalopods include the named squids and benthic octopods provisionally assigned to the carnivorous-invertebrate pool; source has no octopod list.</t>
        </is>
      </c>
      <c r="M58" s="10" t="n">
        <v>165448.29</v>
      </c>
    </row>
    <row r="59" ht="36" customHeight="1">
      <c r="A59" s="10" t="inlineStr">
        <is>
          <t>LME_052</t>
        </is>
      </c>
      <c r="B59" s="11" t="inlineStr">
        <is>
          <t>52_1_Sea_of_Okhotsk_NE_(1980)</t>
        </is>
      </c>
      <c r="C59" s="11" t="inlineStr">
        <is>
          <t>Cephalopoda</t>
        </is>
      </c>
      <c r="D59" s="10" t="inlineStr">
        <is>
          <t>Squids, cuttlefishes, octopuses</t>
        </is>
      </c>
      <c r="E59" s="10" t="inlineStr">
        <is>
          <t>Cephalopods</t>
        </is>
      </c>
      <c r="F59" s="10" t="inlineStr">
        <is>
          <t>Other fishes &amp; inverts</t>
        </is>
      </c>
      <c r="G59" s="11" t="inlineStr">
        <is>
          <t>Carnivorous invertebrates</t>
        </is>
      </c>
      <c r="H59" s="12" t="n">
        <v>0.1130406136970015</v>
      </c>
      <c r="I59" s="10" t="inlineStr">
        <is>
          <t>catch_composition</t>
        </is>
      </c>
      <c r="J59" s="16" t="inlineStr">
        <is>
          <t>low</t>
        </is>
      </c>
      <c r="K59" s="10" t="inlineStr">
        <is>
          <t>composite_split</t>
        </is>
      </c>
      <c r="L59" s="11" t="inlineStr">
        <is>
          <t>Cephalopods include the named squids and benthic octopods provisionally assigned to the carnivorous-invertebrate pool; source has no octopod list.</t>
        </is>
      </c>
      <c r="M59" s="10" t="n">
        <v>165448.29</v>
      </c>
    </row>
    <row r="60" ht="36" customHeight="1">
      <c r="A60" s="10" t="inlineStr">
        <is>
          <t>LME_052</t>
        </is>
      </c>
      <c r="B60" s="11" t="inlineStr">
        <is>
          <t>52_1_Sea_of_Okhotsk_NE_(1980)</t>
        </is>
      </c>
      <c r="C60" s="11" t="inlineStr">
        <is>
          <t>Trachurus japonicus</t>
        </is>
      </c>
      <c r="D60" s="10" t="inlineStr">
        <is>
          <t>Japanese jack mackerel</t>
        </is>
      </c>
      <c r="E60" s="10" t="inlineStr">
        <is>
          <t>Medium demersals (30 - 89 cm)</t>
        </is>
      </c>
      <c r="F60" s="10" t="inlineStr">
        <is>
          <t>Perch-likes</t>
        </is>
      </c>
      <c r="G60" s="11" t="inlineStr">
        <is>
          <t>Unresolved</t>
        </is>
      </c>
      <c r="H60" s="12" t="n"/>
      <c r="I60" s="10" t="inlineStr"/>
      <c r="J60" s="15" t="inlineStr">
        <is>
          <t>unresolved</t>
        </is>
      </c>
      <c r="K60" s="10" t="inlineStr">
        <is>
          <t>none</t>
        </is>
      </c>
      <c r="L60" s="11" t="inlineStr">
        <is>
          <t>Japanese jack mackerel, family Carangidae, epipelagic; no pelagic-fish group in the Okhotsk model. Reviewed: no documented compatible group for this catch label.</t>
        </is>
      </c>
      <c r="M60" s="10" t="n">
        <v>160436.364</v>
      </c>
    </row>
    <row r="61" ht="51" customHeight="1">
      <c r="A61" s="10" t="inlineStr">
        <is>
          <t>LME_052</t>
        </is>
      </c>
      <c r="B61" s="11" t="inlineStr">
        <is>
          <t>52_1_Sea_of_Okhotsk_NE_(1980)</t>
        </is>
      </c>
      <c r="C61" s="11" t="inlineStr">
        <is>
          <t>Mizuhopecten yessoensis</t>
        </is>
      </c>
      <c r="D61" s="10" t="inlineStr">
        <is>
          <t>Yesso scallop</t>
        </is>
      </c>
      <c r="E61" s="10" t="inlineStr">
        <is>
          <t>Other demersal invertebrates</t>
        </is>
      </c>
      <c r="F61" s="10" t="inlineStr">
        <is>
          <t>Molluscs</t>
        </is>
      </c>
      <c r="G61" s="11" t="inlineStr">
        <is>
          <t>2nd level benthos</t>
        </is>
      </c>
      <c r="H61" s="12" t="n">
        <v>1</v>
      </c>
      <c r="I61" s="10" t="inlineStr">
        <is>
          <t>single</t>
        </is>
      </c>
      <c r="J61" s="13" t="inlineStr">
        <is>
          <t>medium</t>
        </is>
      </c>
      <c r="K61" s="10" t="inlineStr">
        <is>
          <t>habitat_size_guild</t>
        </is>
      </c>
      <c r="L61" s="11" t="inlineStr">
        <is>
          <t>Analyst inference: Mizuhopecten yessoensis is a benthic suspension/deposit feeder or grazer, consistent with Chaikina 2020 Table 1 second-level benthos and its basal diet in Table 3; no species member list is supplied.</t>
        </is>
      </c>
      <c r="M61" s="10" t="n">
        <v>146408.228</v>
      </c>
    </row>
    <row r="62" ht="36" customHeight="1">
      <c r="A62" s="10" t="inlineStr">
        <is>
          <t>LME_052</t>
        </is>
      </c>
      <c r="B62" s="11" t="inlineStr">
        <is>
          <t>52_1_Sea_of_Okhotsk_NE_(1980)</t>
        </is>
      </c>
      <c r="C62" s="11" t="inlineStr">
        <is>
          <t>Octopodidae</t>
        </is>
      </c>
      <c r="D62" s="10" t="inlineStr">
        <is>
          <t>Octopuses</t>
        </is>
      </c>
      <c r="E62" s="10" t="inlineStr">
        <is>
          <t>Cephalopods</t>
        </is>
      </c>
      <c r="F62" s="10" t="inlineStr">
        <is>
          <t>Other fishes &amp; inverts</t>
        </is>
      </c>
      <c r="G62" s="11" t="inlineStr">
        <is>
          <t>Carnivorous invertebrates</t>
        </is>
      </c>
      <c r="H62" s="12" t="n">
        <v>1</v>
      </c>
      <c r="I62" s="10" t="inlineStr">
        <is>
          <t>single</t>
        </is>
      </c>
      <c r="J62" s="16" t="inlineStr">
        <is>
          <t>low</t>
        </is>
      </c>
      <c r="K62" s="10" t="inlineStr">
        <is>
          <t>analogue</t>
        </is>
      </c>
      <c r="L62" s="11" t="inlineStr">
        <is>
          <t>Octopods are benthic carnivorous invertebrates; placement is an ecological analogue because the source does not name their species.</t>
        </is>
      </c>
      <c r="M62" s="10" t="n">
        <v>145261.179</v>
      </c>
    </row>
    <row r="63" ht="36" customHeight="1">
      <c r="A63" s="10" t="inlineStr">
        <is>
          <t>LME_052</t>
        </is>
      </c>
      <c r="B63" s="11" t="inlineStr">
        <is>
          <t>52_1_Sea_of_Okhotsk_NE_(1980)</t>
        </is>
      </c>
      <c r="C63" s="11" t="inlineStr">
        <is>
          <t>Sciaenidae</t>
        </is>
      </c>
      <c r="D63" s="10" t="inlineStr">
        <is>
          <t>Drums, croakers</t>
        </is>
      </c>
      <c r="E63" s="10" t="inlineStr">
        <is>
          <t>Medium demersals (30 - 89 cm)</t>
        </is>
      </c>
      <c r="F63" s="10" t="inlineStr">
        <is>
          <t>Perch-likes</t>
        </is>
      </c>
      <c r="G63" s="11" t="inlineStr">
        <is>
          <t>Unresolved</t>
        </is>
      </c>
      <c r="H63" s="12" t="n"/>
      <c r="I63" s="10" t="inlineStr"/>
      <c r="J63" s="15" t="inlineStr">
        <is>
          <t>unresolved</t>
        </is>
      </c>
      <c r="K63" s="10" t="inlineStr">
        <is>
          <t>none</t>
        </is>
      </c>
      <c r="L63" s="11" t="inlineStr">
        <is>
          <t>Drums/croakers, a warm-temperate demersal family; no matching group in the Okhotsk model. Reviewed: no documented compatible group for this catch label.</t>
        </is>
      </c>
      <c r="M63" s="10" t="n">
        <v>115312.669</v>
      </c>
    </row>
    <row r="64" ht="36" customHeight="1">
      <c r="A64" s="10" t="inlineStr">
        <is>
          <t>LME_052</t>
        </is>
      </c>
      <c r="B64" s="11" t="inlineStr">
        <is>
          <t>52_1_Sea_of_Okhotsk_NE_(1980)</t>
        </is>
      </c>
      <c r="C64" s="11" t="inlineStr">
        <is>
          <t>Carangidae</t>
        </is>
      </c>
      <c r="D64" s="10" t="inlineStr">
        <is>
          <t>Jacks, pompanos</t>
        </is>
      </c>
      <c r="E64" s="10" t="inlineStr">
        <is>
          <t>Medium pelagics (30 - 89 cm)</t>
        </is>
      </c>
      <c r="F64" s="10" t="inlineStr">
        <is>
          <t>Perch-likes</t>
        </is>
      </c>
      <c r="G64" s="11" t="inlineStr">
        <is>
          <t>Unresolved</t>
        </is>
      </c>
      <c r="H64" s="12" t="n"/>
      <c r="I64" s="10" t="inlineStr"/>
      <c r="J64" s="15" t="inlineStr">
        <is>
          <t>unresolved</t>
        </is>
      </c>
      <c r="K64" s="10" t="inlineStr">
        <is>
          <t>none</t>
        </is>
      </c>
      <c r="L64" s="11" t="inlineStr">
        <is>
          <t>Jacks/pompanos, epipelagic; no pelagic-fish group in the Okhotsk model. Reviewed: no documented compatible group for this catch label.</t>
        </is>
      </c>
      <c r="M64" s="10" t="n">
        <v>113522.544</v>
      </c>
    </row>
    <row r="65" ht="36" customHeight="1">
      <c r="A65" s="10" t="inlineStr">
        <is>
          <t>LME_052</t>
        </is>
      </c>
      <c r="B65" s="11" t="inlineStr">
        <is>
          <t>52_1_Sea_of_Okhotsk_NE_(1980)</t>
        </is>
      </c>
      <c r="C65" s="11" t="inlineStr">
        <is>
          <t>Sebastes</t>
        </is>
      </c>
      <c r="D65" s="10" t="inlineStr">
        <is>
          <t>Redfishes</t>
        </is>
      </c>
      <c r="E65" s="10" t="inlineStr">
        <is>
          <t>Large reef assoc. fish (&gt;=90 cm)</t>
        </is>
      </c>
      <c r="F65" s="10" t="inlineStr">
        <is>
          <t>Scorpionfishes</t>
        </is>
      </c>
      <c r="G65" s="11" t="inlineStr">
        <is>
          <t>Other bottom fishes</t>
        </is>
      </c>
      <c r="H65" s="12" t="n">
        <v>1</v>
      </c>
      <c r="I65" s="10" t="inlineStr">
        <is>
          <t>single</t>
        </is>
      </c>
      <c r="J65" s="13" t="inlineStr">
        <is>
          <t>medium</t>
        </is>
      </c>
      <c r="K65" s="10" t="inlineStr">
        <is>
          <t>habitat_size_guild</t>
        </is>
      </c>
      <c r="L65" s="11" t="inlineStr">
        <is>
          <t>Rockfish genus (Sebastidae); same reasoning as Sebastidae -- placed in residual 'Other bottom fishes'. Reviewed against Chaikina 2020 Table 1; species membership is not tabulated.</t>
        </is>
      </c>
      <c r="M65" s="10" t="n">
        <v>97536.08900000001</v>
      </c>
    </row>
    <row r="66" ht="51" customHeight="1">
      <c r="A66" s="10" t="inlineStr">
        <is>
          <t>LME_052</t>
        </is>
      </c>
      <c r="B66" s="11" t="inlineStr">
        <is>
          <t>52_1_Sea_of_Okhotsk_NE_(1980)</t>
        </is>
      </c>
      <c r="C66" s="11" t="inlineStr">
        <is>
          <t>Echinoidea</t>
        </is>
      </c>
      <c r="D66" s="10" t="inlineStr">
        <is>
          <t>Sea urchins, sea hedgehogs</t>
        </is>
      </c>
      <c r="E66" s="10" t="inlineStr">
        <is>
          <t>Other demersal invertebrates</t>
        </is>
      </c>
      <c r="F66" s="10" t="inlineStr">
        <is>
          <t>Other fishes &amp; inverts</t>
        </is>
      </c>
      <c r="G66" s="11" t="inlineStr">
        <is>
          <t>2nd level benthos</t>
        </is>
      </c>
      <c r="H66" s="12" t="n">
        <v>1</v>
      </c>
      <c r="I66" s="10" t="inlineStr">
        <is>
          <t>single</t>
        </is>
      </c>
      <c r="J66" s="13" t="inlineStr">
        <is>
          <t>medium</t>
        </is>
      </c>
      <c r="K66" s="10" t="inlineStr">
        <is>
          <t>habitat_size_guild</t>
        </is>
      </c>
      <c r="L66" s="11" t="inlineStr">
        <is>
          <t>Analyst inference: Echinoidea is a benthic suspension/deposit feeder or grazer, consistent with Chaikina 2020 Table 1 second-level benthos and its basal diet in Table 3; no species member list is supplied.</t>
        </is>
      </c>
      <c r="M66" s="10" t="n">
        <v>94820.673</v>
      </c>
    </row>
    <row r="67" ht="36" customHeight="1">
      <c r="A67" s="10" t="inlineStr">
        <is>
          <t>LME_052</t>
        </is>
      </c>
      <c r="B67" s="11" t="inlineStr">
        <is>
          <t>52_1_Sea_of_Okhotsk_NE_(1980)</t>
        </is>
      </c>
      <c r="C67" s="11" t="inlineStr">
        <is>
          <t>Seriola lalandi</t>
        </is>
      </c>
      <c r="D67" s="10" t="inlineStr">
        <is>
          <t>Yellowtail amberjack</t>
        </is>
      </c>
      <c r="E67" s="10" t="inlineStr">
        <is>
          <t>Large benthopelagics (&gt;=90 cm)</t>
        </is>
      </c>
      <c r="F67" s="10" t="inlineStr">
        <is>
          <t>Perch-likes</t>
        </is>
      </c>
      <c r="G67" s="11" t="inlineStr">
        <is>
          <t>Unresolved</t>
        </is>
      </c>
      <c r="H67" s="12" t="n"/>
      <c r="I67" s="10" t="inlineStr"/>
      <c r="J67" s="15" t="inlineStr">
        <is>
          <t>unresolved</t>
        </is>
      </c>
      <c r="K67" s="10" t="inlineStr">
        <is>
          <t>none</t>
        </is>
      </c>
      <c r="L67" s="11" t="inlineStr">
        <is>
          <t>Yellowtail amberjack, Carangidae, warm-water epipelagic; no matching group. Reviewed: no documented compatible group for this catch label.</t>
        </is>
      </c>
      <c r="M67" s="10" t="n">
        <v>87092.753</v>
      </c>
    </row>
    <row r="68" ht="36" customHeight="1">
      <c r="A68" s="10" t="inlineStr">
        <is>
          <t>LME_052</t>
        </is>
      </c>
      <c r="B68" s="11" t="inlineStr">
        <is>
          <t>52_1_Sea_of_Okhotsk_NE_(1980)</t>
        </is>
      </c>
      <c r="C68" s="11" t="inlineStr">
        <is>
          <t>Mugil cephalus</t>
        </is>
      </c>
      <c r="D68" s="10" t="inlineStr">
        <is>
          <t>Flathead grey mullet</t>
        </is>
      </c>
      <c r="E68" s="10" t="inlineStr">
        <is>
          <t>Large benthopelagics (&gt;=90 cm)</t>
        </is>
      </c>
      <c r="F68" s="10" t="inlineStr">
        <is>
          <t>Perch-likes</t>
        </is>
      </c>
      <c r="G68" s="11" t="inlineStr">
        <is>
          <t>Unresolved</t>
        </is>
      </c>
      <c r="H68" s="12" t="n"/>
      <c r="I68" s="10" t="inlineStr"/>
      <c r="J68" s="15" t="inlineStr">
        <is>
          <t>unresolved</t>
        </is>
      </c>
      <c r="K68" s="10" t="inlineStr">
        <is>
          <t>none</t>
        </is>
      </c>
      <c r="L68" s="11" t="inlineStr">
        <is>
          <t>Flathead grey mullet, Mugilidae, warm coastal species; no matching group in the Okhotsk model. Reviewed: no documented compatible group for this catch label.</t>
        </is>
      </c>
      <c r="M68" s="10" t="n">
        <v>85819.28200000001</v>
      </c>
    </row>
    <row r="69" ht="36" customHeight="1">
      <c r="A69" s="10" t="inlineStr">
        <is>
          <t>LME_052</t>
        </is>
      </c>
      <c r="B69" s="11" t="inlineStr">
        <is>
          <t>52_1_Sea_of_Okhotsk_NE_(1980)</t>
        </is>
      </c>
      <c r="C69" s="11" t="inlineStr">
        <is>
          <t>Chondrichthyes</t>
        </is>
      </c>
      <c r="D69" s="10" t="inlineStr">
        <is>
          <t>Sharks, rays, chimaeras</t>
        </is>
      </c>
      <c r="E69" s="10" t="inlineStr">
        <is>
          <t>Large sharks (&gt;=90 cm)</t>
        </is>
      </c>
      <c r="F69" s="10" t="inlineStr">
        <is>
          <t>Sharks &amp; rays</t>
        </is>
      </c>
      <c r="G69" s="11" t="inlineStr">
        <is>
          <t>Unresolved</t>
        </is>
      </c>
      <c r="H69" s="12" t="n"/>
      <c r="I69" s="10" t="inlineStr"/>
      <c r="J69" s="15" t="inlineStr">
        <is>
          <t>unresolved</t>
        </is>
      </c>
      <c r="K69" s="10" t="inlineStr">
        <is>
          <t>none</t>
        </is>
      </c>
      <c r="L69" s="11" t="inlineStr">
        <is>
          <t>Sharks/rays/chimaeras class-wide; the Okhotsk model has no elasmobranch group. Reviewed: no documented compatible group for this catch label.</t>
        </is>
      </c>
      <c r="M69" s="10" t="n">
        <v>84064.859</v>
      </c>
    </row>
    <row r="70" ht="36" customHeight="1">
      <c r="A70" s="10" t="inlineStr">
        <is>
          <t>LME_052</t>
        </is>
      </c>
      <c r="B70" s="11" t="inlineStr">
        <is>
          <t>52_1_Sea_of_Okhotsk_NE_(1980)</t>
        </is>
      </c>
      <c r="C70" s="11" t="inlineStr">
        <is>
          <t>Scombridae</t>
        </is>
      </c>
      <c r="D70" s="10" t="inlineStr">
        <is>
          <t>Mackerels, tunas, bonitos</t>
        </is>
      </c>
      <c r="E70" s="10" t="inlineStr">
        <is>
          <t>Medium pelagics (30 - 89 cm)</t>
        </is>
      </c>
      <c r="F70" s="10" t="inlineStr">
        <is>
          <t>Perch-likes</t>
        </is>
      </c>
      <c r="G70" s="11" t="inlineStr">
        <is>
          <t>Unresolved</t>
        </is>
      </c>
      <c r="H70" s="12" t="n"/>
      <c r="I70" s="10" t="inlineStr"/>
      <c r="J70" s="15" t="inlineStr">
        <is>
          <t>unresolved</t>
        </is>
      </c>
      <c r="K70" s="10" t="inlineStr">
        <is>
          <t>none</t>
        </is>
      </c>
      <c r="L70" s="11" t="inlineStr">
        <is>
          <t>Mackerels/tunas/bonitos family, epipelagic; no pelagic-fish group in the Okhotsk model. Reviewed: no documented compatible group for this catch label.</t>
        </is>
      </c>
      <c r="M70" s="10" t="n">
        <v>81111.298</v>
      </c>
    </row>
    <row r="71" ht="51" customHeight="1">
      <c r="A71" s="10" t="inlineStr">
        <is>
          <t>LME_052</t>
        </is>
      </c>
      <c r="B71" s="11" t="inlineStr">
        <is>
          <t>52_1_Sea_of_Okhotsk_NE_(1980)</t>
        </is>
      </c>
      <c r="C71" s="11" t="inlineStr">
        <is>
          <t>Sebastes alutus</t>
        </is>
      </c>
      <c r="D71" s="10" t="inlineStr">
        <is>
          <t>Pacific ocean perch</t>
        </is>
      </c>
      <c r="E71" s="10" t="inlineStr">
        <is>
          <t>Medium demersals (30 - 89 cm)</t>
        </is>
      </c>
      <c r="F71" s="10" t="inlineStr">
        <is>
          <t>Scorpionfishes</t>
        </is>
      </c>
      <c r="G71" s="11" t="inlineStr">
        <is>
          <t>Other bottom fishes</t>
        </is>
      </c>
      <c r="H71" s="12" t="n">
        <v>1</v>
      </c>
      <c r="I71" s="10" t="inlineStr">
        <is>
          <t>single</t>
        </is>
      </c>
      <c r="J71" s="13" t="inlineStr">
        <is>
          <t>medium</t>
        </is>
      </c>
      <c r="K71" s="10" t="inlineStr">
        <is>
          <t>habitat_size_guild</t>
        </is>
      </c>
      <c r="L71" s="11" t="inlineStr">
        <is>
          <t>Pacific ocean perch, Sebastidae, a North Pacific benthopelagic rockfish; placed in residual 'Other bottom fishes'. Reviewed against Chaikina 2020 Table 1; species membership is not tabulated.</t>
        </is>
      </c>
      <c r="M71" s="10" t="n">
        <v>78933.788</v>
      </c>
    </row>
    <row r="72" ht="36" customHeight="1">
      <c r="A72" s="10" t="inlineStr">
        <is>
          <t>LME_052</t>
        </is>
      </c>
      <c r="B72" s="11" t="inlineStr">
        <is>
          <t>52_1_Sea_of_Okhotsk_NE_(1980)</t>
        </is>
      </c>
      <c r="C72" s="11" t="inlineStr">
        <is>
          <t>Oncorhynchus tshawytscha</t>
        </is>
      </c>
      <c r="D72" s="10" t="inlineStr">
        <is>
          <t>Chinook salmon</t>
        </is>
      </c>
      <c r="E72" s="10" t="inlineStr">
        <is>
          <t>Large benthopelagics (&gt;=90 cm)</t>
        </is>
      </c>
      <c r="F72" s="10" t="inlineStr">
        <is>
          <t>Salmon, smelts, etc</t>
        </is>
      </c>
      <c r="G72" s="11" t="inlineStr">
        <is>
          <t>Salmon</t>
        </is>
      </c>
      <c r="H72" s="12" t="n">
        <v>1</v>
      </c>
      <c r="I72" s="10" t="inlineStr">
        <is>
          <t>single</t>
        </is>
      </c>
      <c r="J72" s="14" t="inlineStr">
        <is>
          <t>high</t>
        </is>
      </c>
      <c r="K72" s="10" t="inlineStr">
        <is>
          <t>taxonomic_containment</t>
        </is>
      </c>
      <c r="L72" s="11" t="inlineStr">
        <is>
          <t>Pacific salmon catch within the Salmon compartment in Chaikina 2020 Table 1; no size/stage split is supplied.</t>
        </is>
      </c>
      <c r="M72" s="10" t="n">
        <v>73299.914</v>
      </c>
    </row>
    <row r="73" ht="51" customHeight="1">
      <c r="A73" s="10" t="inlineStr">
        <is>
          <t>LME_052</t>
        </is>
      </c>
      <c r="B73" s="11" t="inlineStr">
        <is>
          <t>52_1_Sea_of_Okhotsk_NE_(1980)</t>
        </is>
      </c>
      <c r="C73" s="11" t="inlineStr">
        <is>
          <t>Salvelinus</t>
        </is>
      </c>
      <c r="D73" s="10" t="inlineStr">
        <is>
          <t>Chars</t>
        </is>
      </c>
      <c r="E73" s="10" t="inlineStr">
        <is>
          <t>Large benthopelagics (&gt;=90 cm)</t>
        </is>
      </c>
      <c r="F73" s="10" t="inlineStr">
        <is>
          <t>Salmon, smelts, etc</t>
        </is>
      </c>
      <c r="G73" s="11" t="inlineStr">
        <is>
          <t>Unresolved</t>
        </is>
      </c>
      <c r="H73" s="12" t="n"/>
      <c r="I73" s="10" t="inlineStr"/>
      <c r="J73" s="15" t="inlineStr">
        <is>
          <t>unresolved</t>
        </is>
      </c>
      <c r="K73" s="10" t="inlineStr">
        <is>
          <t>none</t>
        </is>
      </c>
      <c r="L73" s="11" t="inlineStr">
        <is>
          <t>The source names Salmon but does not document char or whitefish membership; their potentially anadromous/freshwater component cannot be assigned to Pacific salmon without evidence. Reviewed: no documented compatible group for this catch label.</t>
        </is>
      </c>
      <c r="M73" s="10" t="n">
        <v>70112.436</v>
      </c>
    </row>
    <row r="74" ht="36" customHeight="1">
      <c r="A74" s="10" t="inlineStr">
        <is>
          <t>LME_052</t>
        </is>
      </c>
      <c r="B74" s="11" t="inlineStr">
        <is>
          <t>52_1_Sea_of_Okhotsk_NE_(1980)</t>
        </is>
      </c>
      <c r="C74" s="11" t="inlineStr">
        <is>
          <t>Paralithodes platypus</t>
        </is>
      </c>
      <c r="D74" s="10" t="inlineStr">
        <is>
          <t>Blue king crab</t>
        </is>
      </c>
      <c r="E74" s="10" t="inlineStr">
        <is>
          <t>Lobsters, crabs</t>
        </is>
      </c>
      <c r="F74" s="10" t="inlineStr">
        <is>
          <t>Crustaceans</t>
        </is>
      </c>
      <c r="G74" s="11" t="inlineStr">
        <is>
          <t>Crabs and shrimps</t>
        </is>
      </c>
      <c r="H74" s="12" t="n">
        <v>1</v>
      </c>
      <c r="I74" s="10" t="inlineStr">
        <is>
          <t>single</t>
        </is>
      </c>
      <c r="J74" s="14" t="inlineStr">
        <is>
          <t>high</t>
        </is>
      </c>
      <c r="K74" s="10" t="inlineStr">
        <is>
          <t>taxonomic_containment</t>
        </is>
      </c>
      <c r="L74" s="11" t="inlineStr">
        <is>
          <t>Chaikina 2020 Table 1 names Crabs and shrimps; the catch taxon Paralithodes platypus is within that taxonomic compartment (WoRMS taxonomy checked).</t>
        </is>
      </c>
      <c r="M74" s="10" t="n">
        <v>68504.94899999999</v>
      </c>
    </row>
    <row r="75" ht="36" customHeight="1">
      <c r="A75" s="10" t="inlineStr">
        <is>
          <t>LME_052</t>
        </is>
      </c>
      <c r="B75" s="11" t="inlineStr">
        <is>
          <t>52_1_Sea_of_Okhotsk_NE_(1980)</t>
        </is>
      </c>
      <c r="C75" s="11" t="inlineStr">
        <is>
          <t>Pentaceros wheeleri</t>
        </is>
      </c>
      <c r="D75" s="10" t="inlineStr">
        <is>
          <t>Slender armorhead</t>
        </is>
      </c>
      <c r="E75" s="10" t="inlineStr">
        <is>
          <t>Medium pelagics (30 - 89 cm)</t>
        </is>
      </c>
      <c r="F75" s="10" t="inlineStr">
        <is>
          <t>Perch-likes</t>
        </is>
      </c>
      <c r="G75" s="11" t="inlineStr">
        <is>
          <t>Unresolved</t>
        </is>
      </c>
      <c r="H75" s="12" t="n"/>
      <c r="I75" s="10" t="inlineStr"/>
      <c r="J75" s="15" t="inlineStr">
        <is>
          <t>unresolved</t>
        </is>
      </c>
      <c r="K75" s="10" t="inlineStr">
        <is>
          <t>none</t>
        </is>
      </c>
      <c r="L75" s="11" t="inlineStr">
        <is>
          <t>Slender armorhead (Pentacerotidae) is a seamount/offshore pelagic species; no matching group in the Okhotsk model. Reviewed: no documented compatible group for this catch label.</t>
        </is>
      </c>
      <c r="M75" s="10" t="n">
        <v>67590.72199999999</v>
      </c>
    </row>
    <row r="76" ht="36" customHeight="1">
      <c r="A76" s="10" t="inlineStr">
        <is>
          <t>LME_052</t>
        </is>
      </c>
      <c r="B76" s="11" t="inlineStr">
        <is>
          <t>52_1_Sea_of_Okhotsk_NE_(1980)</t>
        </is>
      </c>
      <c r="C76" s="11" t="inlineStr">
        <is>
          <t>Limanda aspera</t>
        </is>
      </c>
      <c r="D76" s="10" t="inlineStr">
        <is>
          <t>Yellowfin sole</t>
        </is>
      </c>
      <c r="E76" s="10" t="inlineStr">
        <is>
          <t>Small to medium flatfishes (&lt;90 cm)</t>
        </is>
      </c>
      <c r="F76" s="10" t="inlineStr">
        <is>
          <t>Flatfishes</t>
        </is>
      </c>
      <c r="G76" s="11" t="inlineStr">
        <is>
          <t>Pleuronectidae</t>
        </is>
      </c>
      <c r="H76" s="12" t="n">
        <v>1</v>
      </c>
      <c r="I76" s="10" t="inlineStr">
        <is>
          <t>single</t>
        </is>
      </c>
      <c r="J76" s="14" t="inlineStr">
        <is>
          <t>high</t>
        </is>
      </c>
      <c r="K76" s="10" t="inlineStr">
        <is>
          <t>taxonomic_containment</t>
        </is>
      </c>
      <c r="L76" s="11" t="inlineStr">
        <is>
          <t>Chaikina 2020 Table 1 names Pleuronectidae; the catch taxon Limanda aspera is within that taxonomic compartment (WoRMS taxonomy checked).</t>
        </is>
      </c>
      <c r="M76" s="10" t="n">
        <v>61014.086</v>
      </c>
    </row>
    <row r="77" ht="36" customHeight="1">
      <c r="A77" s="10" t="inlineStr">
        <is>
          <t>LME_052</t>
        </is>
      </c>
      <c r="B77" s="11" t="inlineStr">
        <is>
          <t>52_1_Sea_of_Okhotsk_NE_(1980)</t>
        </is>
      </c>
      <c r="C77" s="11" t="inlineStr">
        <is>
          <t>Bathylagidae</t>
        </is>
      </c>
      <c r="D77" s="10" t="inlineStr">
        <is>
          <t>Deepsea smelts</t>
        </is>
      </c>
      <c r="E77" s="10" t="inlineStr">
        <is>
          <t>Small bathypelagics (&lt;30 cm)</t>
        </is>
      </c>
      <c r="F77" s="10" t="inlineStr">
        <is>
          <t>Salmon, smelts, etc</t>
        </is>
      </c>
      <c r="G77" s="11" t="inlineStr">
        <is>
          <t>Bathylagidae</t>
        </is>
      </c>
      <c r="H77" s="12" t="n">
        <v>1</v>
      </c>
      <c r="I77" s="10" t="inlineStr">
        <is>
          <t>single</t>
        </is>
      </c>
      <c r="J77" s="14" t="inlineStr">
        <is>
          <t>high</t>
        </is>
      </c>
      <c r="K77" s="10" t="inlineStr">
        <is>
          <t>taxonomic_containment</t>
        </is>
      </c>
      <c r="L77" s="11" t="inlineStr">
        <is>
          <t>Chaikina 2020 Table 1 names Bathylagidae; the catch taxon Bathylagidae is within that taxonomic compartment (WoRMS taxonomy checked).</t>
        </is>
      </c>
      <c r="M77" s="10" t="n">
        <v>54063.278</v>
      </c>
    </row>
    <row r="78" ht="36" customHeight="1">
      <c r="A78" s="10" t="inlineStr">
        <is>
          <t>LME_052</t>
        </is>
      </c>
      <c r="B78" s="11" t="inlineStr">
        <is>
          <t>52_1_Sea_of_Okhotsk_NE_(1980)</t>
        </is>
      </c>
      <c r="C78" s="11" t="inlineStr">
        <is>
          <t>Seriola</t>
        </is>
      </c>
      <c r="D78" s="10" t="inlineStr">
        <is>
          <t>Amberjacks</t>
        </is>
      </c>
      <c r="E78" s="10" t="inlineStr">
        <is>
          <t>Large benthopelagics (&gt;=90 cm)</t>
        </is>
      </c>
      <c r="F78" s="10" t="inlineStr">
        <is>
          <t>Perch-likes</t>
        </is>
      </c>
      <c r="G78" s="11" t="inlineStr">
        <is>
          <t>Unresolved</t>
        </is>
      </c>
      <c r="H78" s="12" t="n"/>
      <c r="I78" s="10" t="inlineStr"/>
      <c r="J78" s="15" t="inlineStr">
        <is>
          <t>unresolved</t>
        </is>
      </c>
      <c r="K78" s="10" t="inlineStr">
        <is>
          <t>none</t>
        </is>
      </c>
      <c r="L78" s="11" t="inlineStr">
        <is>
          <t>Amberjack genus, Carangidae, warm-water epipelagic; no matching group. Reviewed: no documented compatible group for this catch label.</t>
        </is>
      </c>
      <c r="M78" s="10" t="n">
        <v>51867.348</v>
      </c>
    </row>
    <row r="79" ht="36" customHeight="1">
      <c r="A79" s="10" t="inlineStr">
        <is>
          <t>LME_052</t>
        </is>
      </c>
      <c r="B79" s="11" t="inlineStr">
        <is>
          <t>52_1_Sea_of_Okhotsk_NE_(1980)</t>
        </is>
      </c>
      <c r="C79" s="11" t="inlineStr">
        <is>
          <t>Thunnus alalunga</t>
        </is>
      </c>
      <c r="D79" s="10" t="inlineStr">
        <is>
          <t>Albacore</t>
        </is>
      </c>
      <c r="E79" s="10" t="inlineStr">
        <is>
          <t>Large pelagics (&gt;=90 cm)</t>
        </is>
      </c>
      <c r="F79" s="10" t="inlineStr">
        <is>
          <t>Tuna &amp; billfishes</t>
        </is>
      </c>
      <c r="G79" s="11" t="inlineStr">
        <is>
          <t>Unresolved</t>
        </is>
      </c>
      <c r="H79" s="12" t="n"/>
      <c r="I79" s="10" t="inlineStr"/>
      <c r="J79" s="15" t="inlineStr">
        <is>
          <t>unresolved</t>
        </is>
      </c>
      <c r="K79" s="10" t="inlineStr">
        <is>
          <t>none</t>
        </is>
      </c>
      <c r="L79" s="11" t="inlineStr">
        <is>
          <t>Albacore, an oceanic tuna; no tuna/pelagic group in the Okhotsk model. Reviewed: no documented compatible group for this catch label.</t>
        </is>
      </c>
      <c r="M79" s="10" t="n">
        <v>44138.992</v>
      </c>
    </row>
    <row r="80" ht="36" customHeight="1">
      <c r="A80" s="10" t="inlineStr">
        <is>
          <t>LME_052</t>
        </is>
      </c>
      <c r="B80" s="11" t="inlineStr">
        <is>
          <t>52_1_Sea_of_Okhotsk_NE_(1980)</t>
        </is>
      </c>
      <c r="C80" s="11" t="inlineStr">
        <is>
          <t>Loliginidae</t>
        </is>
      </c>
      <c r="D80" s="10" t="inlineStr">
        <is>
          <t>Common pencil squids</t>
        </is>
      </c>
      <c r="E80" s="10" t="inlineStr">
        <is>
          <t>Cephalopods</t>
        </is>
      </c>
      <c r="F80" s="10" t="inlineStr">
        <is>
          <t>Other fishes &amp; inverts</t>
        </is>
      </c>
      <c r="G80" s="11" t="inlineStr">
        <is>
          <t>Squids</t>
        </is>
      </c>
      <c r="H80" s="12" t="n">
        <v>1</v>
      </c>
      <c r="I80" s="10" t="inlineStr">
        <is>
          <t>single</t>
        </is>
      </c>
      <c r="J80" s="14" t="inlineStr">
        <is>
          <t>high</t>
        </is>
      </c>
      <c r="K80" s="10" t="inlineStr">
        <is>
          <t>taxonomic_containment</t>
        </is>
      </c>
      <c r="L80" s="11" t="inlineStr">
        <is>
          <t>Chaikina 2020 Table 1 names Squids; the catch taxon Loliginidae is within that taxonomic compartment (WoRMS taxonomy checked).</t>
        </is>
      </c>
      <c r="M80" s="10" t="n">
        <v>43261.709</v>
      </c>
    </row>
    <row r="81" ht="36" customHeight="1">
      <c r="A81" s="10" t="inlineStr">
        <is>
          <t>LME_052</t>
        </is>
      </c>
      <c r="B81" s="11" t="inlineStr">
        <is>
          <t>52_1_Sea_of_Okhotsk_NE_(1980)</t>
        </is>
      </c>
      <c r="C81" s="11" t="inlineStr">
        <is>
          <t>Hippoglossoides elassodon</t>
        </is>
      </c>
      <c r="D81" s="10" t="inlineStr">
        <is>
          <t>Flathead sole</t>
        </is>
      </c>
      <c r="E81" s="10" t="inlineStr">
        <is>
          <t>Small to medium flatfishes (&lt;90 cm)</t>
        </is>
      </c>
      <c r="F81" s="10" t="inlineStr">
        <is>
          <t>Flatfishes</t>
        </is>
      </c>
      <c r="G81" s="11" t="inlineStr">
        <is>
          <t>Pleuronectidae</t>
        </is>
      </c>
      <c r="H81" s="12" t="n">
        <v>1</v>
      </c>
      <c r="I81" s="10" t="inlineStr">
        <is>
          <t>single</t>
        </is>
      </c>
      <c r="J81" s="14" t="inlineStr">
        <is>
          <t>high</t>
        </is>
      </c>
      <c r="K81" s="10" t="inlineStr">
        <is>
          <t>taxonomic_containment</t>
        </is>
      </c>
      <c r="L81" s="11" t="inlineStr">
        <is>
          <t>Chaikina 2020 Table 1 names Pleuronectidae; the catch taxon Hippoglossoides elassodon is within that taxonomic compartment (WoRMS taxonomy checked).</t>
        </is>
      </c>
      <c r="M81" s="10" t="n">
        <v>38210.958</v>
      </c>
    </row>
    <row r="82" ht="36" customHeight="1">
      <c r="A82" s="10" t="inlineStr">
        <is>
          <t>LME_052</t>
        </is>
      </c>
      <c r="B82" s="11" t="inlineStr">
        <is>
          <t>52_1_Sea_of_Okhotsk_NE_(1980)</t>
        </is>
      </c>
      <c r="C82" s="11" t="inlineStr">
        <is>
          <t>Gadidae</t>
        </is>
      </c>
      <c r="D82" s="10" t="inlineStr">
        <is>
          <t>Cods, haddocks</t>
        </is>
      </c>
      <c r="E82" s="10" t="inlineStr">
        <is>
          <t>Medium demersals (30 - 89 cm)</t>
        </is>
      </c>
      <c r="F82" s="10" t="inlineStr">
        <is>
          <t>Cod-likes</t>
        </is>
      </c>
      <c r="G82" s="11" t="inlineStr">
        <is>
          <t>Walleye pollock</t>
        </is>
      </c>
      <c r="H82" s="12" t="n">
        <v>0.5051020408163265</v>
      </c>
      <c r="I82" s="10" t="inlineStr">
        <is>
          <t>model_biomass</t>
        </is>
      </c>
      <c r="J82" s="13" t="inlineStr">
        <is>
          <t>medium</t>
        </is>
      </c>
      <c r="K82" s="10" t="inlineStr">
        <is>
          <t>composite_split</t>
        </is>
      </c>
      <c r="L82" s="11" t="inlineStr">
        <is>
          <t>Gadidae includes pollock and the residual gadids. The source splits pollock by stage; model biomass supplies the stage-inclusive allocation because all recorded model catches are zero.</t>
        </is>
      </c>
      <c r="M82" s="10" t="n">
        <v>37945.049</v>
      </c>
    </row>
    <row r="83" ht="36" customHeight="1">
      <c r="A83" s="10" t="inlineStr">
        <is>
          <t>LME_052</t>
        </is>
      </c>
      <c r="B83" s="11" t="inlineStr">
        <is>
          <t>52_1_Sea_of_Okhotsk_NE_(1980)</t>
        </is>
      </c>
      <c r="C83" s="11" t="inlineStr">
        <is>
          <t>Gadidae</t>
        </is>
      </c>
      <c r="D83" s="10" t="inlineStr">
        <is>
          <t>Cods, haddocks</t>
        </is>
      </c>
      <c r="E83" s="10" t="inlineStr">
        <is>
          <t>Medium demersals (30 - 89 cm)</t>
        </is>
      </c>
      <c r="F83" s="10" t="inlineStr">
        <is>
          <t>Cod-likes</t>
        </is>
      </c>
      <c r="G83" s="11" t="inlineStr">
        <is>
          <t>Juv. pollock</t>
        </is>
      </c>
      <c r="H83" s="12" t="n">
        <v>0.4324489795918368</v>
      </c>
      <c r="I83" s="10" t="inlineStr">
        <is>
          <t>model_biomass</t>
        </is>
      </c>
      <c r="J83" s="13" t="inlineStr">
        <is>
          <t>medium</t>
        </is>
      </c>
      <c r="K83" s="10" t="inlineStr">
        <is>
          <t>composite_split</t>
        </is>
      </c>
      <c r="L83" s="11" t="inlineStr">
        <is>
          <t>Gadidae includes pollock and the residual gadids. The source splits pollock by stage; model biomass supplies the stage-inclusive allocation because all recorded model catches are zero.</t>
        </is>
      </c>
      <c r="M83" s="10" t="n">
        <v>37945.049</v>
      </c>
    </row>
    <row r="84" ht="36" customHeight="1">
      <c r="A84" s="10" t="inlineStr">
        <is>
          <t>LME_052</t>
        </is>
      </c>
      <c r="B84" s="11" t="inlineStr">
        <is>
          <t>52_1_Sea_of_Okhotsk_NE_(1980)</t>
        </is>
      </c>
      <c r="C84" s="11" t="inlineStr">
        <is>
          <t>Gadidae</t>
        </is>
      </c>
      <c r="D84" s="10" t="inlineStr">
        <is>
          <t>Cods, haddocks</t>
        </is>
      </c>
      <c r="E84" s="10" t="inlineStr">
        <is>
          <t>Medium demersals (30 - 89 cm)</t>
        </is>
      </c>
      <c r="F84" s="10" t="inlineStr">
        <is>
          <t>Cod-likes</t>
        </is>
      </c>
      <c r="G84" s="11" t="inlineStr">
        <is>
          <t>Other Gadidae</t>
        </is>
      </c>
      <c r="H84" s="12" t="n">
        <v>0.06244897959183673</v>
      </c>
      <c r="I84" s="10" t="inlineStr">
        <is>
          <t>model_biomass</t>
        </is>
      </c>
      <c r="J84" s="13" t="inlineStr">
        <is>
          <t>medium</t>
        </is>
      </c>
      <c r="K84" s="10" t="inlineStr">
        <is>
          <t>composite_split</t>
        </is>
      </c>
      <c r="L84" s="11" t="inlineStr">
        <is>
          <t>Gadidae includes pollock and the residual gadids. The source splits pollock by stage; model biomass supplies the stage-inclusive allocation because all recorded model catches are zero.</t>
        </is>
      </c>
      <c r="M84" s="10" t="n">
        <v>37945.049</v>
      </c>
    </row>
    <row r="85" ht="36" customHeight="1">
      <c r="A85" s="10" t="inlineStr">
        <is>
          <t>LME_052</t>
        </is>
      </c>
      <c r="B85" s="11" t="inlineStr">
        <is>
          <t>52_1_Sea_of_Okhotsk_NE_(1980)</t>
        </is>
      </c>
      <c r="C85" s="11" t="inlineStr">
        <is>
          <t>Gastropoda</t>
        </is>
      </c>
      <c r="D85" s="10" t="inlineStr">
        <is>
          <t>Sea snails</t>
        </is>
      </c>
      <c r="E85" s="10" t="inlineStr">
        <is>
          <t>Other demersal invertebrates</t>
        </is>
      </c>
      <c r="F85" s="10" t="inlineStr">
        <is>
          <t>Molluscs</t>
        </is>
      </c>
      <c r="G85" s="11" t="inlineStr">
        <is>
          <t>2nd level benthos</t>
        </is>
      </c>
      <c r="H85" s="12" t="n">
        <v>0.7838533298977481</v>
      </c>
      <c r="I85" s="10" t="inlineStr">
        <is>
          <t>catch_composition</t>
        </is>
      </c>
      <c r="J85" s="16" t="inlineStr">
        <is>
          <t>low</t>
        </is>
      </c>
      <c r="K85" s="10" t="inlineStr">
        <is>
          <t>composite_split</t>
        </is>
      </c>
      <c r="L85" s="11" t="inlineStr">
        <is>
          <t>Gastropods include benthic grazers and carnivores; the two benthos guilds span those diets, without a species composition in the catch.</t>
        </is>
      </c>
      <c r="M85" s="10" t="n">
        <v>36062.372</v>
      </c>
    </row>
    <row r="86" ht="36" customHeight="1">
      <c r="A86" s="10" t="inlineStr">
        <is>
          <t>LME_052</t>
        </is>
      </c>
      <c r="B86" s="11" t="inlineStr">
        <is>
          <t>52_1_Sea_of_Okhotsk_NE_(1980)</t>
        </is>
      </c>
      <c r="C86" s="11" t="inlineStr">
        <is>
          <t>Gastropoda</t>
        </is>
      </c>
      <c r="D86" s="10" t="inlineStr">
        <is>
          <t>Sea snails</t>
        </is>
      </c>
      <c r="E86" s="10" t="inlineStr">
        <is>
          <t>Other demersal invertebrates</t>
        </is>
      </c>
      <c r="F86" s="10" t="inlineStr">
        <is>
          <t>Molluscs</t>
        </is>
      </c>
      <c r="G86" s="11" t="inlineStr">
        <is>
          <t>Carnivorous invertebrates</t>
        </is>
      </c>
      <c r="H86" s="12" t="n">
        <v>0.2161466701022519</v>
      </c>
      <c r="I86" s="10" t="inlineStr">
        <is>
          <t>catch_composition</t>
        </is>
      </c>
      <c r="J86" s="16" t="inlineStr">
        <is>
          <t>low</t>
        </is>
      </c>
      <c r="K86" s="10" t="inlineStr">
        <is>
          <t>composite_split</t>
        </is>
      </c>
      <c r="L86" s="11" t="inlineStr">
        <is>
          <t>Gastropods include benthic grazers and carnivores; the two benthos guilds span those diets, without a species composition in the catch.</t>
        </is>
      </c>
      <c r="M86" s="10" t="n">
        <v>36062.372</v>
      </c>
    </row>
    <row r="87" ht="36" customHeight="1">
      <c r="A87" s="10" t="inlineStr">
        <is>
          <t>LME_052</t>
        </is>
      </c>
      <c r="B87" s="11" t="inlineStr">
        <is>
          <t>52_1_Sea_of_Okhotsk_NE_(1980)</t>
        </is>
      </c>
      <c r="C87" s="11" t="inlineStr">
        <is>
          <t>Berryteuthis magister</t>
        </is>
      </c>
      <c r="D87" s="10" t="inlineStr">
        <is>
          <t>Schoolmaster gonate squid</t>
        </is>
      </c>
      <c r="E87" s="10" t="inlineStr">
        <is>
          <t>Cephalopods</t>
        </is>
      </c>
      <c r="F87" s="10" t="inlineStr">
        <is>
          <t>Other fishes &amp; inverts</t>
        </is>
      </c>
      <c r="G87" s="11" t="inlineStr">
        <is>
          <t>Squids</t>
        </is>
      </c>
      <c r="H87" s="12" t="n">
        <v>1</v>
      </c>
      <c r="I87" s="10" t="inlineStr">
        <is>
          <t>single</t>
        </is>
      </c>
      <c r="J87" s="14" t="inlineStr">
        <is>
          <t>high</t>
        </is>
      </c>
      <c r="K87" s="10" t="inlineStr">
        <is>
          <t>taxonomic_containment</t>
        </is>
      </c>
      <c r="L87" s="11" t="inlineStr">
        <is>
          <t>Chaikina 2020 Table 1 names Squids; the catch taxon Berryteuthis magister is within that taxonomic compartment (WoRMS taxonomy checked).</t>
        </is>
      </c>
      <c r="M87" s="10" t="n">
        <v>32710.65</v>
      </c>
    </row>
    <row r="88" ht="36" customHeight="1">
      <c r="A88" s="10" t="inlineStr">
        <is>
          <t>LME_052</t>
        </is>
      </c>
      <c r="B88" s="11" t="inlineStr">
        <is>
          <t>52_1_Sea_of_Okhotsk_NE_(1980)</t>
        </is>
      </c>
      <c r="C88" s="11" t="inlineStr">
        <is>
          <t>Lutjanidae</t>
        </is>
      </c>
      <c r="D88" s="10" t="inlineStr">
        <is>
          <t>Snappers</t>
        </is>
      </c>
      <c r="E88" s="10" t="inlineStr">
        <is>
          <t>Medium reef assoc. fish (30 - 89 cm)</t>
        </is>
      </c>
      <c r="F88" s="10" t="inlineStr">
        <is>
          <t>Perch-likes</t>
        </is>
      </c>
      <c r="G88" s="11" t="inlineStr">
        <is>
          <t>Unresolved</t>
        </is>
      </c>
      <c r="H88" s="12" t="n"/>
      <c r="I88" s="10" t="inlineStr"/>
      <c r="J88" s="15" t="inlineStr">
        <is>
          <t>unresolved</t>
        </is>
      </c>
      <c r="K88" s="10" t="inlineStr">
        <is>
          <t>none</t>
        </is>
      </c>
      <c r="L88" s="11" t="inlineStr">
        <is>
          <t>Snappers, a tropical reef-associated family; no matching group in the Okhotsk model. Reviewed: no documented compatible group for this catch label.</t>
        </is>
      </c>
      <c r="M88" s="10" t="n">
        <v>29831.411</v>
      </c>
    </row>
    <row r="89" ht="51" customHeight="1">
      <c r="A89" s="10" t="inlineStr">
        <is>
          <t>LME_052</t>
        </is>
      </c>
      <c r="B89" s="11" t="inlineStr">
        <is>
          <t>52_1_Sea_of_Okhotsk_NE_(1980)</t>
        </is>
      </c>
      <c r="C89" s="11" t="inlineStr">
        <is>
          <t>Clupeidae</t>
        </is>
      </c>
      <c r="D89" s="10" t="inlineStr">
        <is>
          <t>Herrings, sardines, menhadens</t>
        </is>
      </c>
      <c r="E89" s="10" t="inlineStr">
        <is>
          <t>Small pelagics (&lt;30 cm)</t>
        </is>
      </c>
      <c r="F89" s="10" t="inlineStr">
        <is>
          <t>Herring-likes</t>
        </is>
      </c>
      <c r="G89" s="11" t="inlineStr">
        <is>
          <t>Unresolved</t>
        </is>
      </c>
      <c r="H89" s="12" t="n"/>
      <c r="I89" s="10" t="inlineStr"/>
      <c r="J89" s="15" t="inlineStr">
        <is>
          <t>unresolved</t>
        </is>
      </c>
      <c r="K89" s="10" t="inlineStr">
        <is>
          <t>none</t>
        </is>
      </c>
      <c r="L89" s="11" t="inlineStr">
        <is>
          <t>Family spans both the model's 'Pacific herring' and 'Pacific Sardine' species-specific groups; an unidentified clupeid cannot be assigned to one without guessing. Reviewed: no documented compatible group for this catch label.</t>
        </is>
      </c>
      <c r="M89" s="10" t="n">
        <v>27777.798</v>
      </c>
    </row>
    <row r="90" ht="51" customHeight="1">
      <c r="A90" s="10" t="inlineStr">
        <is>
          <t>LME_052</t>
        </is>
      </c>
      <c r="B90" s="11" t="inlineStr">
        <is>
          <t>52_1_Sea_of_Okhotsk_NE_(1980)</t>
        </is>
      </c>
      <c r="C90" s="11" t="inlineStr">
        <is>
          <t>Holothuroidea</t>
        </is>
      </c>
      <c r="D90" s="10" t="inlineStr">
        <is>
          <t>Sea cucumbers</t>
        </is>
      </c>
      <c r="E90" s="10" t="inlineStr">
        <is>
          <t>Other demersal invertebrates</t>
        </is>
      </c>
      <c r="F90" s="10" t="inlineStr">
        <is>
          <t>Other fishes &amp; inverts</t>
        </is>
      </c>
      <c r="G90" s="11" t="inlineStr">
        <is>
          <t>2nd level benthos</t>
        </is>
      </c>
      <c r="H90" s="12" t="n">
        <v>1</v>
      </c>
      <c r="I90" s="10" t="inlineStr">
        <is>
          <t>single</t>
        </is>
      </c>
      <c r="J90" s="13" t="inlineStr">
        <is>
          <t>medium</t>
        </is>
      </c>
      <c r="K90" s="10" t="inlineStr">
        <is>
          <t>habitat_size_guild</t>
        </is>
      </c>
      <c r="L90" s="11" t="inlineStr">
        <is>
          <t>Analyst inference: Holothuroidea is a benthic suspension/deposit feeder or grazer, consistent with Chaikina 2020 Table 1 second-level benthos and its basal diet in Table 3; no species member list is supplied.</t>
        </is>
      </c>
      <c r="M90" s="10" t="n">
        <v>27769.803</v>
      </c>
    </row>
    <row r="91" ht="36" customHeight="1">
      <c r="A91" s="10" t="inlineStr">
        <is>
          <t>LME_052</t>
        </is>
      </c>
      <c r="B91" s="11" t="inlineStr">
        <is>
          <t>52_1_Sea_of_Okhotsk_NE_(1980)</t>
        </is>
      </c>
      <c r="C91" s="11" t="inlineStr">
        <is>
          <t>Dendrobranchiata</t>
        </is>
      </c>
      <c r="D91" s="10" t="inlineStr">
        <is>
          <t>Shrimps and prawns</t>
        </is>
      </c>
      <c r="E91" s="10" t="inlineStr">
        <is>
          <t>Shrimps</t>
        </is>
      </c>
      <c r="F91" s="10" t="inlineStr">
        <is>
          <t>Crustaceans</t>
        </is>
      </c>
      <c r="G91" s="11" t="inlineStr">
        <is>
          <t>Crabs and shrimps</t>
        </is>
      </c>
      <c r="H91" s="12" t="n">
        <v>1</v>
      </c>
      <c r="I91" s="10" t="inlineStr">
        <is>
          <t>single</t>
        </is>
      </c>
      <c r="J91" s="14" t="inlineStr">
        <is>
          <t>high</t>
        </is>
      </c>
      <c r="K91" s="10" t="inlineStr">
        <is>
          <t>taxonomic_containment</t>
        </is>
      </c>
      <c r="L91" s="11" t="inlineStr">
        <is>
          <t>Chaikina 2020 Table 1 names Crabs and shrimps; the catch taxon Dendrobranchiata is within that taxonomic compartment (WoRMS taxonomy checked).</t>
        </is>
      </c>
      <c r="M91" s="10" t="n">
        <v>26930.721</v>
      </c>
    </row>
    <row r="92" ht="36" customHeight="1">
      <c r="A92" s="10" t="inlineStr">
        <is>
          <t>LME_052</t>
        </is>
      </c>
      <c r="B92" s="11" t="inlineStr">
        <is>
          <t>52_1_Sea_of_Okhotsk_NE_(1980)</t>
        </is>
      </c>
      <c r="C92" s="11" t="inlineStr">
        <is>
          <t>Pandalus</t>
        </is>
      </c>
      <c r="D92" s="10" t="inlineStr">
        <is>
          <t>Seabed shrimps</t>
        </is>
      </c>
      <c r="E92" s="10" t="inlineStr">
        <is>
          <t>Shrimps</t>
        </is>
      </c>
      <c r="F92" s="10" t="inlineStr">
        <is>
          <t>Crustaceans</t>
        </is>
      </c>
      <c r="G92" s="11" t="inlineStr">
        <is>
          <t>Crabs and shrimps</t>
        </is>
      </c>
      <c r="H92" s="12" t="n">
        <v>1</v>
      </c>
      <c r="I92" s="10" t="inlineStr">
        <is>
          <t>single</t>
        </is>
      </c>
      <c r="J92" s="14" t="inlineStr">
        <is>
          <t>high</t>
        </is>
      </c>
      <c r="K92" s="10" t="inlineStr">
        <is>
          <t>taxonomic_containment</t>
        </is>
      </c>
      <c r="L92" s="11" t="inlineStr">
        <is>
          <t>Chaikina 2020 Table 1 names Crabs and shrimps; the catch taxon Pandalus is within that taxonomic compartment (WoRMS taxonomy checked).</t>
        </is>
      </c>
      <c r="M92" s="10" t="n">
        <v>21986.6</v>
      </c>
    </row>
    <row r="93" ht="36" customHeight="1">
      <c r="A93" s="10" t="inlineStr">
        <is>
          <t>LME_052</t>
        </is>
      </c>
      <c r="B93" s="11" t="inlineStr">
        <is>
          <t>52_1_Sea_of_Okhotsk_NE_(1980)</t>
        </is>
      </c>
      <c r="C93" s="11" t="inlineStr">
        <is>
          <t>Tetraodontidae</t>
        </is>
      </c>
      <c r="D93" s="10" t="inlineStr">
        <is>
          <t>Puffers, tobies</t>
        </is>
      </c>
      <c r="E93" s="10" t="inlineStr">
        <is>
          <t>Large reef assoc. fish (&gt;=90 cm)</t>
        </is>
      </c>
      <c r="F93" s="10" t="inlineStr">
        <is>
          <t>Other fishes &amp; inverts</t>
        </is>
      </c>
      <c r="G93" s="11" t="inlineStr">
        <is>
          <t>Unresolved</t>
        </is>
      </c>
      <c r="H93" s="12" t="n"/>
      <c r="I93" s="10" t="inlineStr"/>
      <c r="J93" s="15" t="inlineStr">
        <is>
          <t>unresolved</t>
        </is>
      </c>
      <c r="K93" s="10" t="inlineStr">
        <is>
          <t>none</t>
        </is>
      </c>
      <c r="L93" s="11" t="inlineStr">
        <is>
          <t>Puffers, a warm-water reef-associated family; no matching group. Reviewed: no documented compatible group for this catch label.</t>
        </is>
      </c>
      <c r="M93" s="10" t="n">
        <v>21764.075</v>
      </c>
    </row>
    <row r="94" ht="36" customHeight="1">
      <c r="A94" s="10" t="inlineStr">
        <is>
          <t>LME_052</t>
        </is>
      </c>
      <c r="B94" s="11" t="inlineStr">
        <is>
          <t>52_1_Sea_of_Okhotsk_NE_(1980)</t>
        </is>
      </c>
      <c r="C94" s="11" t="inlineStr">
        <is>
          <t>Muraenesox cinereus</t>
        </is>
      </c>
      <c r="D94" s="10" t="inlineStr">
        <is>
          <t>Daggertooth pike conger</t>
        </is>
      </c>
      <c r="E94" s="10" t="inlineStr">
        <is>
          <t>Large demersals (&gt;=90 cm)</t>
        </is>
      </c>
      <c r="F94" s="10" t="inlineStr">
        <is>
          <t>Other fishes &amp; inverts</t>
        </is>
      </c>
      <c r="G94" s="11" t="inlineStr">
        <is>
          <t>Unresolved</t>
        </is>
      </c>
      <c r="H94" s="12" t="n"/>
      <c r="I94" s="10" t="inlineStr"/>
      <c r="J94" s="15" t="inlineStr">
        <is>
          <t>unresolved</t>
        </is>
      </c>
      <c r="K94" s="10" t="inlineStr">
        <is>
          <t>none</t>
        </is>
      </c>
      <c r="L94" s="11" t="inlineStr">
        <is>
          <t>Daggertooth pike conger, Muraenesocidae, warm-temperate/tropical; no matching group. Reviewed: no documented compatible group for this catch label.</t>
        </is>
      </c>
      <c r="M94" s="10" t="n">
        <v>21403.087</v>
      </c>
    </row>
    <row r="95" ht="36" customHeight="1">
      <c r="A95" s="10" t="inlineStr">
        <is>
          <t>LME_052</t>
        </is>
      </c>
      <c r="B95" s="11" t="inlineStr">
        <is>
          <t>52_1_Sea_of_Okhotsk_NE_(1980)</t>
        </is>
      </c>
      <c r="C95" s="11" t="inlineStr">
        <is>
          <t>Paralichthys olivaceus</t>
        </is>
      </c>
      <c r="D95" s="10" t="inlineStr">
        <is>
          <t>Bastard halibut</t>
        </is>
      </c>
      <c r="E95" s="10" t="inlineStr">
        <is>
          <t>Large flatfishes (&gt;=90 cm)</t>
        </is>
      </c>
      <c r="F95" s="10" t="inlineStr">
        <is>
          <t>Flatfishes</t>
        </is>
      </c>
      <c r="G95" s="11" t="inlineStr">
        <is>
          <t>Other bottom fishes</t>
        </is>
      </c>
      <c r="H95" s="12" t="n">
        <v>1</v>
      </c>
      <c r="I95" s="10" t="inlineStr">
        <is>
          <t>single</t>
        </is>
      </c>
      <c r="J95" s="13" t="inlineStr">
        <is>
          <t>medium</t>
        </is>
      </c>
      <c r="K95" s="10" t="inlineStr">
        <is>
          <t>habitat_size_guild</t>
        </is>
      </c>
      <c r="L95" s="11" t="inlineStr">
        <is>
          <t>Paralichthys is a bottom-dwelling paralichthyid, outside the named Pleuronectidae; residual bottom-fish placement follows taxonomy and habitat.</t>
        </is>
      </c>
      <c r="M95" s="10" t="n">
        <v>21142.497</v>
      </c>
    </row>
    <row r="96" ht="51" customHeight="1">
      <c r="A96" s="10" t="inlineStr">
        <is>
          <t>LME_052</t>
        </is>
      </c>
      <c r="B96" s="11" t="inlineStr">
        <is>
          <t>52_1_Sea_of_Okhotsk_NE_(1980)</t>
        </is>
      </c>
      <c r="C96" s="11" t="inlineStr">
        <is>
          <t>Salvelinus malma</t>
        </is>
      </c>
      <c r="D96" s="10" t="inlineStr">
        <is>
          <t>Dolly varden</t>
        </is>
      </c>
      <c r="E96" s="10" t="inlineStr">
        <is>
          <t>Large benthopelagics (&gt;=90 cm)</t>
        </is>
      </c>
      <c r="F96" s="10" t="inlineStr">
        <is>
          <t>Salmon, smelts, etc</t>
        </is>
      </c>
      <c r="G96" s="11" t="inlineStr">
        <is>
          <t>Unresolved</t>
        </is>
      </c>
      <c r="H96" s="12" t="n"/>
      <c r="I96" s="10" t="inlineStr"/>
      <c r="J96" s="15" t="inlineStr">
        <is>
          <t>unresolved</t>
        </is>
      </c>
      <c r="K96" s="10" t="inlineStr">
        <is>
          <t>none</t>
        </is>
      </c>
      <c r="L96" s="11" t="inlineStr">
        <is>
          <t>The source names Salmon but does not document char or whitefish membership; their potentially anadromous/freshwater component cannot be assigned to Pacific salmon without evidence. Reviewed: no documented compatible group for this catch label.</t>
        </is>
      </c>
      <c r="M96" s="10" t="n">
        <v>20766.736</v>
      </c>
    </row>
    <row r="97" ht="51" customHeight="1">
      <c r="A97" s="10" t="inlineStr">
        <is>
          <t>LME_052</t>
        </is>
      </c>
      <c r="B97" s="11" t="inlineStr">
        <is>
          <t>52_1_Sea_of_Okhotsk_NE_(1980)</t>
        </is>
      </c>
      <c r="C97" s="11" t="inlineStr">
        <is>
          <t>Mactridae</t>
        </is>
      </c>
      <c r="D97" s="10" t="inlineStr">
        <is>
          <t>Mactra surf clams</t>
        </is>
      </c>
      <c r="E97" s="10" t="inlineStr">
        <is>
          <t>Other demersal invertebrates</t>
        </is>
      </c>
      <c r="F97" s="10" t="inlineStr">
        <is>
          <t>Molluscs</t>
        </is>
      </c>
      <c r="G97" s="11" t="inlineStr">
        <is>
          <t>2nd level benthos</t>
        </is>
      </c>
      <c r="H97" s="12" t="n">
        <v>1</v>
      </c>
      <c r="I97" s="10" t="inlineStr">
        <is>
          <t>single</t>
        </is>
      </c>
      <c r="J97" s="13" t="inlineStr">
        <is>
          <t>medium</t>
        </is>
      </c>
      <c r="K97" s="10" t="inlineStr">
        <is>
          <t>habitat_size_guild</t>
        </is>
      </c>
      <c r="L97" s="11" t="inlineStr">
        <is>
          <t>Analyst inference: Mactridae is a benthic suspension/deposit feeder or grazer, consistent with Chaikina 2020 Table 1 second-level benthos and its basal diet in Table 3; no species member list is supplied.</t>
        </is>
      </c>
      <c r="M97" s="10" t="n">
        <v>20332.194</v>
      </c>
    </row>
    <row r="98" ht="36" customHeight="1">
      <c r="A98" s="10" t="inlineStr">
        <is>
          <t>LME_052</t>
        </is>
      </c>
      <c r="B98" s="11" t="inlineStr">
        <is>
          <t>52_1_Sea_of_Okhotsk_NE_(1980)</t>
        </is>
      </c>
      <c r="C98" s="11" t="inlineStr">
        <is>
          <t>Cyprinidae</t>
        </is>
      </c>
      <c r="D98" s="10" t="inlineStr">
        <is>
          <t>Carps, barbels, other cyprinids</t>
        </is>
      </c>
      <c r="E98" s="10" t="inlineStr">
        <is>
          <t>Medium demersals (30 - 89 cm)</t>
        </is>
      </c>
      <c r="F98" s="10" t="inlineStr">
        <is>
          <t>Other fishes &amp; inverts</t>
        </is>
      </c>
      <c r="G98" s="11" t="inlineStr">
        <is>
          <t>Unresolved</t>
        </is>
      </c>
      <c r="H98" s="12" t="n"/>
      <c r="I98" s="10" t="inlineStr"/>
      <c r="J98" s="15" t="inlineStr">
        <is>
          <t>unresolved</t>
        </is>
      </c>
      <c r="K98" s="10" t="inlineStr">
        <is>
          <t>none</t>
        </is>
      </c>
      <c r="L98" s="11" t="inlineStr">
        <is>
          <t>Carps are freshwater fish (Cypriniformes); no freshwater-fish group exists in this marine Ecopath model. Reviewed: no documented compatible group for this catch label.</t>
        </is>
      </c>
      <c r="M98" s="10" t="n">
        <v>19289.495</v>
      </c>
    </row>
    <row r="99" ht="36" customHeight="1">
      <c r="A99" s="10" t="inlineStr">
        <is>
          <t>LME_052</t>
        </is>
      </c>
      <c r="B99" s="11" t="inlineStr">
        <is>
          <t>52_1_Sea_of_Okhotsk_NE_(1980)</t>
        </is>
      </c>
      <c r="C99" s="11" t="inlineStr">
        <is>
          <t>Paralithodes</t>
        </is>
      </c>
      <c r="D99" s="10" t="inlineStr">
        <is>
          <t>North Pacific king crabs</t>
        </is>
      </c>
      <c r="E99" s="10" t="inlineStr">
        <is>
          <t>Lobsters, crabs</t>
        </is>
      </c>
      <c r="F99" s="10" t="inlineStr">
        <is>
          <t>Crustaceans</t>
        </is>
      </c>
      <c r="G99" s="11" t="inlineStr">
        <is>
          <t>Crabs and shrimps</t>
        </is>
      </c>
      <c r="H99" s="12" t="n">
        <v>1</v>
      </c>
      <c r="I99" s="10" t="inlineStr">
        <is>
          <t>single</t>
        </is>
      </c>
      <c r="J99" s="14" t="inlineStr">
        <is>
          <t>high</t>
        </is>
      </c>
      <c r="K99" s="10" t="inlineStr">
        <is>
          <t>taxonomic_containment</t>
        </is>
      </c>
      <c r="L99" s="11" t="inlineStr">
        <is>
          <t>Chaikina 2020 Table 1 names Crabs and shrimps; the catch taxon Paralithodes is within that taxonomic compartment (WoRMS taxonomy checked).</t>
        </is>
      </c>
      <c r="M99" s="10" t="n">
        <v>17042.087</v>
      </c>
    </row>
    <row r="100" ht="36" customHeight="1">
      <c r="A100" s="10" t="inlineStr">
        <is>
          <t>LME_052</t>
        </is>
      </c>
      <c r="B100" s="11" t="inlineStr">
        <is>
          <t>52_1_Sea_of_Okhotsk_NE_(1980)</t>
        </is>
      </c>
      <c r="C100" s="11" t="inlineStr">
        <is>
          <t>Scorpaeniformes</t>
        </is>
      </c>
      <c r="D100" s="10" t="inlineStr">
        <is>
          <t>Scorpionfishes, flatheads</t>
        </is>
      </c>
      <c r="E100" s="10" t="inlineStr">
        <is>
          <t>Medium demersals (30 - 89 cm)</t>
        </is>
      </c>
      <c r="F100" s="10" t="inlineStr">
        <is>
          <t>Scorpionfishes</t>
        </is>
      </c>
      <c r="G100" s="11" t="inlineStr">
        <is>
          <t>Cottidae</t>
        </is>
      </c>
      <c r="H100" s="12" t="n">
        <v>0</v>
      </c>
      <c r="I100" s="10" t="inlineStr">
        <is>
          <t>catch_composition</t>
        </is>
      </c>
      <c r="J100" s="13" t="inlineStr">
        <is>
          <t>medium</t>
        </is>
      </c>
      <c r="K100" s="10" t="inlineStr">
        <is>
          <t>composite_split</t>
        </is>
      </c>
      <c r="L100" s="11" t="inlineStr">
        <is>
          <t>This broad order includes the named sculpins and other bottom fishes; exclude pelagic single-species groups.</t>
        </is>
      </c>
      <c r="M100" s="10" t="n">
        <v>15485.573</v>
      </c>
    </row>
    <row r="101" ht="36" customHeight="1">
      <c r="A101" s="10" t="inlineStr">
        <is>
          <t>LME_052</t>
        </is>
      </c>
      <c r="B101" s="11" t="inlineStr">
        <is>
          <t>52_1_Sea_of_Okhotsk_NE_(1980)</t>
        </is>
      </c>
      <c r="C101" s="11" t="inlineStr">
        <is>
          <t>Scorpaeniformes</t>
        </is>
      </c>
      <c r="D101" s="10" t="inlineStr">
        <is>
          <t>Scorpionfishes, flatheads</t>
        </is>
      </c>
      <c r="E101" s="10" t="inlineStr">
        <is>
          <t>Medium demersals (30 - 89 cm)</t>
        </is>
      </c>
      <c r="F101" s="10" t="inlineStr">
        <is>
          <t>Scorpionfishes</t>
        </is>
      </c>
      <c r="G101" s="11" t="inlineStr">
        <is>
          <t>Other bottom fishes</t>
        </is>
      </c>
      <c r="H101" s="12" t="n">
        <v>1</v>
      </c>
      <c r="I101" s="10" t="inlineStr">
        <is>
          <t>catch_composition</t>
        </is>
      </c>
      <c r="J101" s="13" t="inlineStr">
        <is>
          <t>medium</t>
        </is>
      </c>
      <c r="K101" s="10" t="inlineStr">
        <is>
          <t>composite_split</t>
        </is>
      </c>
      <c r="L101" s="11" t="inlineStr">
        <is>
          <t>This broad order includes the named sculpins and other bottom fishes; exclude pelagic single-species groups.</t>
        </is>
      </c>
      <c r="M101" s="10" t="n">
        <v>15485.573</v>
      </c>
    </row>
    <row r="102" ht="36" customHeight="1">
      <c r="A102" s="10" t="inlineStr">
        <is>
          <t>LME_052</t>
        </is>
      </c>
      <c r="B102" s="11" t="inlineStr">
        <is>
          <t>52_1_Sea_of_Okhotsk_NE_(1980)</t>
        </is>
      </c>
      <c r="C102" s="11" t="inlineStr">
        <is>
          <t>Pandalus goniurus</t>
        </is>
      </c>
      <c r="D102" s="10" t="inlineStr">
        <is>
          <t>Humpy shrimp</t>
        </is>
      </c>
      <c r="E102" s="10" t="inlineStr">
        <is>
          <t>Shrimps</t>
        </is>
      </c>
      <c r="F102" s="10" t="inlineStr">
        <is>
          <t>Crustaceans</t>
        </is>
      </c>
      <c r="G102" s="11" t="inlineStr">
        <is>
          <t>Crabs and shrimps</t>
        </is>
      </c>
      <c r="H102" s="12" t="n">
        <v>1</v>
      </c>
      <c r="I102" s="10" t="inlineStr">
        <is>
          <t>single</t>
        </is>
      </c>
      <c r="J102" s="14" t="inlineStr">
        <is>
          <t>high</t>
        </is>
      </c>
      <c r="K102" s="10" t="inlineStr">
        <is>
          <t>taxonomic_containment</t>
        </is>
      </c>
      <c r="L102" s="11" t="inlineStr">
        <is>
          <t>Chaikina 2020 Table 1 names Crabs and shrimps; the catch taxon Pandalus goniurus is within that taxonomic compartment (WoRMS taxonomy checked).</t>
        </is>
      </c>
      <c r="M102" s="10" t="n">
        <v>15375.262</v>
      </c>
    </row>
    <row r="103" ht="51" customHeight="1">
      <c r="A103" s="10" t="inlineStr">
        <is>
          <t>LME_052</t>
        </is>
      </c>
      <c r="B103" s="11" t="inlineStr">
        <is>
          <t>52_1_Sea_of_Okhotsk_NE_(1980)</t>
        </is>
      </c>
      <c r="C103" s="11" t="inlineStr">
        <is>
          <t>Clupeiformes</t>
        </is>
      </c>
      <c r="D103" s="10" t="inlineStr">
        <is>
          <t>Herrings, shads, anchovies</t>
        </is>
      </c>
      <c r="E103" s="10" t="inlineStr">
        <is>
          <t>Small pelagics (&lt;30 cm)</t>
        </is>
      </c>
      <c r="F103" s="10" t="inlineStr">
        <is>
          <t>Other fishes &amp; inverts</t>
        </is>
      </c>
      <c r="G103" s="11" t="inlineStr">
        <is>
          <t>Unresolved</t>
        </is>
      </c>
      <c r="H103" s="12" t="n"/>
      <c r="I103" s="10" t="inlineStr"/>
      <c r="J103" s="15" t="inlineStr">
        <is>
          <t>unresolved</t>
        </is>
      </c>
      <c r="K103" s="10" t="inlineStr">
        <is>
          <t>none</t>
        </is>
      </c>
      <c r="L103" s="11" t="inlineStr">
        <is>
          <t>Order spans the model's separate 'Pacific herring' and 'Pacific Sardine' groups plus anchovies (no group); cannot be resolved to one group. Reviewed: no documented compatible group for this catch label.</t>
        </is>
      </c>
      <c r="M103" s="10" t="n">
        <v>15329.051</v>
      </c>
    </row>
    <row r="104" ht="36" customHeight="1">
      <c r="A104" s="10" t="inlineStr">
        <is>
          <t>LME_052</t>
        </is>
      </c>
      <c r="B104" s="11" t="inlineStr">
        <is>
          <t>52_1_Sea_of_Okhotsk_NE_(1980)</t>
        </is>
      </c>
      <c r="C104" s="11" t="inlineStr">
        <is>
          <t>Thunnus orientalis</t>
        </is>
      </c>
      <c r="D104" s="10" t="inlineStr">
        <is>
          <t>Pacific bluefin tuna</t>
        </is>
      </c>
      <c r="E104" s="10" t="inlineStr">
        <is>
          <t>Large pelagics (&gt;=90 cm)</t>
        </is>
      </c>
      <c r="F104" s="10" t="inlineStr">
        <is>
          <t>Tuna &amp; billfishes</t>
        </is>
      </c>
      <c r="G104" s="11" t="inlineStr">
        <is>
          <t>Unresolved</t>
        </is>
      </c>
      <c r="H104" s="12" t="n"/>
      <c r="I104" s="10" t="inlineStr"/>
      <c r="J104" s="15" t="inlineStr">
        <is>
          <t>unresolved</t>
        </is>
      </c>
      <c r="K104" s="10" t="inlineStr">
        <is>
          <t>none</t>
        </is>
      </c>
      <c r="L104" s="11" t="inlineStr">
        <is>
          <t>Pacific bluefin tuna, oceanic; no tuna/pelagic group in the Okhotsk model. Reviewed: no documented compatible group for this catch label.</t>
        </is>
      </c>
      <c r="M104" s="10" t="n">
        <v>14163.266</v>
      </c>
    </row>
    <row r="105" ht="36" customHeight="1">
      <c r="A105" s="10" t="inlineStr">
        <is>
          <t>LME_052</t>
        </is>
      </c>
      <c r="B105" s="11" t="inlineStr">
        <is>
          <t>52_1_Sea_of_Okhotsk_NE_(1980)</t>
        </is>
      </c>
      <c r="C105" s="11" t="inlineStr">
        <is>
          <t>Chionoecetes japonicus</t>
        </is>
      </c>
      <c r="D105" s="10" t="inlineStr">
        <is>
          <t>Red snow crab</t>
        </is>
      </c>
      <c r="E105" s="10" t="inlineStr">
        <is>
          <t>Lobsters, crabs</t>
        </is>
      </c>
      <c r="F105" s="10" t="inlineStr">
        <is>
          <t>Crustaceans</t>
        </is>
      </c>
      <c r="G105" s="11" t="inlineStr">
        <is>
          <t>Crabs and shrimps</t>
        </is>
      </c>
      <c r="H105" s="12" t="n">
        <v>1</v>
      </c>
      <c r="I105" s="10" t="inlineStr">
        <is>
          <t>single</t>
        </is>
      </c>
      <c r="J105" s="14" t="inlineStr">
        <is>
          <t>high</t>
        </is>
      </c>
      <c r="K105" s="10" t="inlineStr">
        <is>
          <t>taxonomic_containment</t>
        </is>
      </c>
      <c r="L105" s="11" t="inlineStr">
        <is>
          <t>Chaikina 2020 Table 1 names Crabs and shrimps; the catch taxon Chionoecetes japonicus is within that taxonomic compartment (WoRMS taxonomy checked).</t>
        </is>
      </c>
      <c r="M105" s="10" t="n">
        <v>10728.234</v>
      </c>
    </row>
    <row r="106" ht="36" customHeight="1">
      <c r="A106" s="10" t="inlineStr">
        <is>
          <t>LME_052</t>
        </is>
      </c>
      <c r="B106" s="11" t="inlineStr">
        <is>
          <t>52_1_Sea_of_Okhotsk_NE_(1980)</t>
        </is>
      </c>
      <c r="C106" s="11" t="inlineStr">
        <is>
          <t>Ommastrephidae</t>
        </is>
      </c>
      <c r="D106" s="10" t="inlineStr">
        <is>
          <t>Arrow squids</t>
        </is>
      </c>
      <c r="E106" s="10" t="inlineStr">
        <is>
          <t>Cephalopods</t>
        </is>
      </c>
      <c r="F106" s="10" t="inlineStr">
        <is>
          <t>Other fishes &amp; inverts</t>
        </is>
      </c>
      <c r="G106" s="11" t="inlineStr">
        <is>
          <t>Squids</t>
        </is>
      </c>
      <c r="H106" s="12" t="n">
        <v>1</v>
      </c>
      <c r="I106" s="10" t="inlineStr">
        <is>
          <t>single</t>
        </is>
      </c>
      <c r="J106" s="14" t="inlineStr">
        <is>
          <t>high</t>
        </is>
      </c>
      <c r="K106" s="10" t="inlineStr">
        <is>
          <t>taxonomic_containment</t>
        </is>
      </c>
      <c r="L106" s="11" t="inlineStr">
        <is>
          <t>Chaikina 2020 Table 1 names Squids; the catch taxon Ommastrephidae is within that taxonomic compartment (WoRMS taxonomy checked).</t>
        </is>
      </c>
      <c r="M106" s="10" t="n">
        <v>10608.624</v>
      </c>
    </row>
    <row r="107" ht="51" customHeight="1">
      <c r="A107" s="10" t="inlineStr">
        <is>
          <t>LME_052</t>
        </is>
      </c>
      <c r="B107" s="11" t="inlineStr">
        <is>
          <t>52_1_Sea_of_Okhotsk_NE_(1980)</t>
        </is>
      </c>
      <c r="C107" s="11" t="inlineStr">
        <is>
          <t>Sebastolobus alascanus</t>
        </is>
      </c>
      <c r="D107" s="10" t="inlineStr">
        <is>
          <t>Shortspine thornyhead</t>
        </is>
      </c>
      <c r="E107" s="10" t="inlineStr">
        <is>
          <t>Medium bathydemersals (30 - 89 cm)</t>
        </is>
      </c>
      <c r="F107" s="10" t="inlineStr">
        <is>
          <t>Scorpionfishes</t>
        </is>
      </c>
      <c r="G107" s="11" t="inlineStr">
        <is>
          <t>Other bottom fishes</t>
        </is>
      </c>
      <c r="H107" s="12" t="n">
        <v>1</v>
      </c>
      <c r="I107" s="10" t="inlineStr">
        <is>
          <t>single</t>
        </is>
      </c>
      <c r="J107" s="13" t="inlineStr">
        <is>
          <t>medium</t>
        </is>
      </c>
      <c r="K107" s="10" t="inlineStr">
        <is>
          <t>habitat_size_guild</t>
        </is>
      </c>
      <c r="L107" s="11" t="inlineStr">
        <is>
          <t>Shortspine thornyhead, a bathydemersal scorpaenid; placed in the residual 'Other bottom fishes' group on habitat/trophic grounds. Reviewed against Chaikina 2020 Table 1; species membership is not tabulated.</t>
        </is>
      </c>
      <c r="M107" s="10" t="n">
        <v>10295.909</v>
      </c>
    </row>
    <row r="108" ht="36" customHeight="1">
      <c r="A108" s="10" t="inlineStr">
        <is>
          <t>LME_052</t>
        </is>
      </c>
      <c r="B108" s="11" t="inlineStr">
        <is>
          <t>52_1_Sea_of_Okhotsk_NE_(1980)</t>
        </is>
      </c>
      <c r="C108" s="11" t="inlineStr">
        <is>
          <t>Octopus</t>
        </is>
      </c>
      <c r="D108" s="10" t="inlineStr">
        <is>
          <t>Octopuses, pikas</t>
        </is>
      </c>
      <c r="E108" s="10" t="inlineStr">
        <is>
          <t>Cephalopods</t>
        </is>
      </c>
      <c r="F108" s="10" t="inlineStr">
        <is>
          <t>Other fishes &amp; inverts</t>
        </is>
      </c>
      <c r="G108" s="11" t="inlineStr">
        <is>
          <t>Carnivorous invertebrates</t>
        </is>
      </c>
      <c r="H108" s="12" t="n">
        <v>1</v>
      </c>
      <c r="I108" s="10" t="inlineStr">
        <is>
          <t>single</t>
        </is>
      </c>
      <c r="J108" s="16" t="inlineStr">
        <is>
          <t>low</t>
        </is>
      </c>
      <c r="K108" s="10" t="inlineStr">
        <is>
          <t>analogue</t>
        </is>
      </c>
      <c r="L108" s="11" t="inlineStr">
        <is>
          <t>Octopods are benthic carnivorous invertebrates; placement is an ecological analogue because the source does not name their species.</t>
        </is>
      </c>
      <c r="M108" s="10" t="n">
        <v>9517.895</v>
      </c>
    </row>
    <row r="109" ht="36" customHeight="1">
      <c r="A109" s="10" t="inlineStr">
        <is>
          <t>LME_052</t>
        </is>
      </c>
      <c r="B109" s="11" t="inlineStr">
        <is>
          <t>52_1_Sea_of_Okhotsk_NE_(1980)</t>
        </is>
      </c>
      <c r="C109" s="11" t="inlineStr">
        <is>
          <t>Pandalus hypsinotus</t>
        </is>
      </c>
      <c r="D109" s="10" t="inlineStr">
        <is>
          <t>Coonstriped shrimp</t>
        </is>
      </c>
      <c r="E109" s="10" t="inlineStr">
        <is>
          <t>Shrimps</t>
        </is>
      </c>
      <c r="F109" s="10" t="inlineStr">
        <is>
          <t>Crustaceans</t>
        </is>
      </c>
      <c r="G109" s="11" t="inlineStr">
        <is>
          <t>Crabs and shrimps</t>
        </is>
      </c>
      <c r="H109" s="12" t="n">
        <v>1</v>
      </c>
      <c r="I109" s="10" t="inlineStr">
        <is>
          <t>single</t>
        </is>
      </c>
      <c r="J109" s="14" t="inlineStr">
        <is>
          <t>high</t>
        </is>
      </c>
      <c r="K109" s="10" t="inlineStr">
        <is>
          <t>taxonomic_containment</t>
        </is>
      </c>
      <c r="L109" s="11" t="inlineStr">
        <is>
          <t>Chaikina 2020 Table 1 names Crabs and shrimps; the catch taxon Pandalus hypsinotus is within that taxonomic compartment (WoRMS taxonomy checked).</t>
        </is>
      </c>
      <c r="M109" s="10" t="n">
        <v>9106.644</v>
      </c>
    </row>
    <row r="110" ht="36" customHeight="1">
      <c r="A110" s="10" t="inlineStr">
        <is>
          <t>LME_052</t>
        </is>
      </c>
      <c r="B110" s="11" t="inlineStr">
        <is>
          <t>52_1_Sea_of_Okhotsk_NE_(1980)</t>
        </is>
      </c>
      <c r="C110" s="11" t="inlineStr">
        <is>
          <t>Squillidae</t>
        </is>
      </c>
      <c r="D110" s="10" t="inlineStr">
        <is>
          <t>Squilla mantis shrimps</t>
        </is>
      </c>
      <c r="E110" s="10" t="inlineStr">
        <is>
          <t>Shrimps</t>
        </is>
      </c>
      <c r="F110" s="10" t="inlineStr">
        <is>
          <t>Crustaceans</t>
        </is>
      </c>
      <c r="G110" s="11" t="inlineStr">
        <is>
          <t>Carnivorous invertebrates</t>
        </is>
      </c>
      <c r="H110" s="12" t="n">
        <v>1</v>
      </c>
      <c r="I110" s="10" t="inlineStr">
        <is>
          <t>single</t>
        </is>
      </c>
      <c r="J110" s="13" t="inlineStr">
        <is>
          <t>medium</t>
        </is>
      </c>
      <c r="K110" s="10" t="inlineStr">
        <is>
          <t>habitat_size_guild</t>
        </is>
      </c>
      <c r="L110" s="11" t="inlineStr">
        <is>
          <t>Mantis shrimps are predatory stomatopods, distinct from decapod crabs and shrimps; they fit the carnivorous-invertebrate guild.</t>
        </is>
      </c>
      <c r="M110" s="10" t="n">
        <v>7636.511</v>
      </c>
    </row>
    <row r="111" ht="36" customHeight="1">
      <c r="A111" s="10" t="inlineStr">
        <is>
          <t>LME_052</t>
        </is>
      </c>
      <c r="B111" s="11" t="inlineStr">
        <is>
          <t>52_1_Sea_of_Okhotsk_NE_(1980)</t>
        </is>
      </c>
      <c r="C111" s="11" t="inlineStr">
        <is>
          <t>Elasmobranchii</t>
        </is>
      </c>
      <c r="D111" s="10" t="inlineStr">
        <is>
          <t>Sharks, rays, skates</t>
        </is>
      </c>
      <c r="E111" s="10" t="inlineStr">
        <is>
          <t>Large sharks (&gt;=90 cm)</t>
        </is>
      </c>
      <c r="F111" s="10" t="inlineStr">
        <is>
          <t>Sharks &amp; rays</t>
        </is>
      </c>
      <c r="G111" s="11" t="inlineStr">
        <is>
          <t>Unresolved</t>
        </is>
      </c>
      <c r="H111" s="12" t="n"/>
      <c r="I111" s="10" t="inlineStr"/>
      <c r="J111" s="15" t="inlineStr">
        <is>
          <t>unresolved</t>
        </is>
      </c>
      <c r="K111" s="10" t="inlineStr">
        <is>
          <t>none</t>
        </is>
      </c>
      <c r="L111" s="11" t="inlineStr">
        <is>
          <t>Sharks and rays; the Okhotsk model has no elasmobranch group. Reviewed: no documented compatible group for this catch label.</t>
        </is>
      </c>
      <c r="M111" s="10" t="n">
        <v>7581.252</v>
      </c>
    </row>
    <row r="112" ht="36" customHeight="1">
      <c r="A112" s="10" t="inlineStr">
        <is>
          <t>LME_052</t>
        </is>
      </c>
      <c r="B112" s="11" t="inlineStr">
        <is>
          <t>52_1_Sea_of_Okhotsk_NE_(1980)</t>
        </is>
      </c>
      <c r="C112" s="11" t="inlineStr">
        <is>
          <t>Trachurus</t>
        </is>
      </c>
      <c r="D112" s="10" t="inlineStr">
        <is>
          <t>Jacks, horse mackerels</t>
        </is>
      </c>
      <c r="E112" s="10" t="inlineStr">
        <is>
          <t>Medium pelagics (30 - 89 cm)</t>
        </is>
      </c>
      <c r="F112" s="10" t="inlineStr">
        <is>
          <t>Perch-likes</t>
        </is>
      </c>
      <c r="G112" s="11" t="inlineStr">
        <is>
          <t>Unresolved</t>
        </is>
      </c>
      <c r="H112" s="12" t="n"/>
      <c r="I112" s="10" t="inlineStr"/>
      <c r="J112" s="15" t="inlineStr">
        <is>
          <t>unresolved</t>
        </is>
      </c>
      <c r="K112" s="10" t="inlineStr">
        <is>
          <t>none</t>
        </is>
      </c>
      <c r="L112" s="11" t="inlineStr">
        <is>
          <t>Jack/horse mackerel genus, Carangidae, epipelagic; no matching group. Reviewed: no documented compatible group for this catch label.</t>
        </is>
      </c>
      <c r="M112" s="10" t="n">
        <v>7260.354</v>
      </c>
    </row>
    <row r="113" ht="51" customHeight="1">
      <c r="A113" s="10" t="inlineStr">
        <is>
          <t>LME_052</t>
        </is>
      </c>
      <c r="B113" s="11" t="inlineStr">
        <is>
          <t>52_1_Sea_of_Okhotsk_NE_(1980)</t>
        </is>
      </c>
      <c r="C113" s="11" t="inlineStr">
        <is>
          <t>Haliotidae</t>
        </is>
      </c>
      <c r="D113" s="10" t="inlineStr">
        <is>
          <t>Abalones, ear shells</t>
        </is>
      </c>
      <c r="E113" s="10" t="inlineStr">
        <is>
          <t>Other demersal invertebrates</t>
        </is>
      </c>
      <c r="F113" s="10" t="inlineStr">
        <is>
          <t>Molluscs</t>
        </is>
      </c>
      <c r="G113" s="11" t="inlineStr">
        <is>
          <t>2nd level benthos</t>
        </is>
      </c>
      <c r="H113" s="12" t="n">
        <v>1</v>
      </c>
      <c r="I113" s="10" t="inlineStr">
        <is>
          <t>single</t>
        </is>
      </c>
      <c r="J113" s="13" t="inlineStr">
        <is>
          <t>medium</t>
        </is>
      </c>
      <c r="K113" s="10" t="inlineStr">
        <is>
          <t>habitat_size_guild</t>
        </is>
      </c>
      <c r="L113" s="11" t="inlineStr">
        <is>
          <t>Analyst inference: Haliotidae is a benthic suspension/deposit feeder or grazer, consistent with Chaikina 2020 Table 1 second-level benthos and its basal diet in Table 3; no species member list is supplied.</t>
        </is>
      </c>
      <c r="M113" s="10" t="n">
        <v>6619.166</v>
      </c>
    </row>
    <row r="114" ht="51" customHeight="1">
      <c r="A114" s="10" t="inlineStr">
        <is>
          <t>LME_052</t>
        </is>
      </c>
      <c r="B114" s="11" t="inlineStr">
        <is>
          <t>52_1_Sea_of_Okhotsk_NE_(1980)</t>
        </is>
      </c>
      <c r="C114" s="11" t="inlineStr">
        <is>
          <t>Corbicula japonica</t>
        </is>
      </c>
      <c r="D114" s="10" t="inlineStr">
        <is>
          <t>Japanese corbicula</t>
        </is>
      </c>
      <c r="E114" s="10" t="inlineStr">
        <is>
          <t>Other demersal invertebrates</t>
        </is>
      </c>
      <c r="F114" s="10" t="inlineStr">
        <is>
          <t>Molluscs</t>
        </is>
      </c>
      <c r="G114" s="11" t="inlineStr">
        <is>
          <t>2nd level benthos</t>
        </is>
      </c>
      <c r="H114" s="12" t="n">
        <v>1</v>
      </c>
      <c r="I114" s="10" t="inlineStr">
        <is>
          <t>single</t>
        </is>
      </c>
      <c r="J114" s="13" t="inlineStr">
        <is>
          <t>medium</t>
        </is>
      </c>
      <c r="K114" s="10" t="inlineStr">
        <is>
          <t>habitat_size_guild</t>
        </is>
      </c>
      <c r="L114" s="11" t="inlineStr">
        <is>
          <t>Analyst inference: Corbicula japonica is a benthic suspension/deposit feeder or grazer, consistent with Chaikina 2020 Table 1 second-level benthos and its basal diet in Table 3; no species member list is supplied.</t>
        </is>
      </c>
      <c r="M114" s="10" t="n">
        <v>5637.236</v>
      </c>
    </row>
    <row r="115" ht="36" customHeight="1">
      <c r="A115" s="10" t="inlineStr">
        <is>
          <t>LME_052</t>
        </is>
      </c>
      <c r="B115" s="11" t="inlineStr">
        <is>
          <t>52_1_Sea_of_Okhotsk_NE_(1980)</t>
        </is>
      </c>
      <c r="C115" s="11" t="inlineStr">
        <is>
          <t>Gadiformes</t>
        </is>
      </c>
      <c r="D115" s="10" t="inlineStr">
        <is>
          <t>Cods</t>
        </is>
      </c>
      <c r="E115" s="10" t="inlineStr">
        <is>
          <t>Medium benthopelagics (30 - 89 cm)</t>
        </is>
      </c>
      <c r="F115" s="10" t="inlineStr">
        <is>
          <t>Cod-likes</t>
        </is>
      </c>
      <c r="G115" s="11" t="inlineStr">
        <is>
          <t>Walleye pollock</t>
        </is>
      </c>
      <c r="H115" s="12" t="n">
        <v>0.4570637119113574</v>
      </c>
      <c r="I115" s="10" t="inlineStr">
        <is>
          <t>model_biomass</t>
        </is>
      </c>
      <c r="J115" s="16" t="inlineStr">
        <is>
          <t>low</t>
        </is>
      </c>
      <c r="K115" s="10" t="inlineStr">
        <is>
          <t>composite_split</t>
        </is>
      </c>
      <c r="L115" s="11" t="inlineStr">
        <is>
          <t>Gadiformes includes pollock stages, residual gadids and demersal morids/macrourids in the bottom-fish residual; broad order-level allocation.</t>
        </is>
      </c>
      <c r="M115" s="10" t="n">
        <v>5635.112</v>
      </c>
    </row>
    <row r="116" ht="36" customHeight="1">
      <c r="A116" s="10" t="inlineStr">
        <is>
          <t>LME_052</t>
        </is>
      </c>
      <c r="B116" s="11" t="inlineStr">
        <is>
          <t>52_1_Sea_of_Okhotsk_NE_(1980)</t>
        </is>
      </c>
      <c r="C116" s="11" t="inlineStr">
        <is>
          <t>Gadiformes</t>
        </is>
      </c>
      <c r="D116" s="10" t="inlineStr">
        <is>
          <t>Cods</t>
        </is>
      </c>
      <c r="E116" s="10" t="inlineStr">
        <is>
          <t>Medium benthopelagics (30 - 89 cm)</t>
        </is>
      </c>
      <c r="F116" s="10" t="inlineStr">
        <is>
          <t>Cod-likes</t>
        </is>
      </c>
      <c r="G116" s="11" t="inlineStr">
        <is>
          <t>Juv. pollock</t>
        </is>
      </c>
      <c r="H116" s="12" t="n">
        <v>0.3913204062788551</v>
      </c>
      <c r="I116" s="10" t="inlineStr">
        <is>
          <t>model_biomass</t>
        </is>
      </c>
      <c r="J116" s="16" t="inlineStr">
        <is>
          <t>low</t>
        </is>
      </c>
      <c r="K116" s="10" t="inlineStr">
        <is>
          <t>composite_split</t>
        </is>
      </c>
      <c r="L116" s="11" t="inlineStr">
        <is>
          <t>Gadiformes includes pollock stages, residual gadids and demersal morids/macrourids in the bottom-fish residual; broad order-level allocation.</t>
        </is>
      </c>
      <c r="M116" s="10" t="n">
        <v>5635.112</v>
      </c>
    </row>
    <row r="117" ht="36" customHeight="1">
      <c r="A117" s="10" t="inlineStr">
        <is>
          <t>LME_052</t>
        </is>
      </c>
      <c r="B117" s="11" t="inlineStr">
        <is>
          <t>52_1_Sea_of_Okhotsk_NE_(1980)</t>
        </is>
      </c>
      <c r="C117" s="11" t="inlineStr">
        <is>
          <t>Gadiformes</t>
        </is>
      </c>
      <c r="D117" s="10" t="inlineStr">
        <is>
          <t>Cods</t>
        </is>
      </c>
      <c r="E117" s="10" t="inlineStr">
        <is>
          <t>Medium benthopelagics (30 - 89 cm)</t>
        </is>
      </c>
      <c r="F117" s="10" t="inlineStr">
        <is>
          <t>Cod-likes</t>
        </is>
      </c>
      <c r="G117" s="11" t="inlineStr">
        <is>
          <t>Other Gadidae</t>
        </is>
      </c>
      <c r="H117" s="12" t="n">
        <v>0.05650969529085872</v>
      </c>
      <c r="I117" s="10" t="inlineStr">
        <is>
          <t>model_biomass</t>
        </is>
      </c>
      <c r="J117" s="16" t="inlineStr">
        <is>
          <t>low</t>
        </is>
      </c>
      <c r="K117" s="10" t="inlineStr">
        <is>
          <t>composite_split</t>
        </is>
      </c>
      <c r="L117" s="11" t="inlineStr">
        <is>
          <t>Gadiformes includes pollock stages, residual gadids and demersal morids/macrourids in the bottom-fish residual; broad order-level allocation.</t>
        </is>
      </c>
      <c r="M117" s="10" t="n">
        <v>5635.112</v>
      </c>
    </row>
    <row r="118" ht="36" customHeight="1">
      <c r="A118" s="10" t="inlineStr">
        <is>
          <t>LME_052</t>
        </is>
      </c>
      <c r="B118" s="11" t="inlineStr">
        <is>
          <t>52_1_Sea_of_Okhotsk_NE_(1980)</t>
        </is>
      </c>
      <c r="C118" s="11" t="inlineStr">
        <is>
          <t>Gadiformes</t>
        </is>
      </c>
      <c r="D118" s="10" t="inlineStr">
        <is>
          <t>Cods</t>
        </is>
      </c>
      <c r="E118" s="10" t="inlineStr">
        <is>
          <t>Medium benthopelagics (30 - 89 cm)</t>
        </is>
      </c>
      <c r="F118" s="10" t="inlineStr">
        <is>
          <t>Cod-likes</t>
        </is>
      </c>
      <c r="G118" s="11" t="inlineStr">
        <is>
          <t>Other bottom fishes</t>
        </is>
      </c>
      <c r="H118" s="12" t="n">
        <v>0.09510618651892891</v>
      </c>
      <c r="I118" s="10" t="inlineStr">
        <is>
          <t>model_biomass</t>
        </is>
      </c>
      <c r="J118" s="16" t="inlineStr">
        <is>
          <t>low</t>
        </is>
      </c>
      <c r="K118" s="10" t="inlineStr">
        <is>
          <t>composite_split</t>
        </is>
      </c>
      <c r="L118" s="11" t="inlineStr">
        <is>
          <t>Gadiformes includes pollock stages, residual gadids and demersal morids/macrourids in the bottom-fish residual; broad order-level allocation.</t>
        </is>
      </c>
      <c r="M118" s="10" t="n">
        <v>5635.112</v>
      </c>
    </row>
    <row r="119" ht="51" customHeight="1">
      <c r="A119" s="10" t="inlineStr">
        <is>
          <t>LME_052</t>
        </is>
      </c>
      <c r="B119" s="11" t="inlineStr">
        <is>
          <t>52_1_Sea_of_Okhotsk_NE_(1980)</t>
        </is>
      </c>
      <c r="C119" s="11" t="inlineStr">
        <is>
          <t>Lycodes</t>
        </is>
      </c>
      <c r="D119" s="10" t="inlineStr">
        <is>
          <t>Eelpouts</t>
        </is>
      </c>
      <c r="E119" s="10" t="inlineStr">
        <is>
          <t>Medium bathydemersals (30 - 89 cm)</t>
        </is>
      </c>
      <c r="F119" s="10" t="inlineStr">
        <is>
          <t>Perch-likes</t>
        </is>
      </c>
      <c r="G119" s="11" t="inlineStr">
        <is>
          <t>Other bottom fishes</t>
        </is>
      </c>
      <c r="H119" s="12" t="n">
        <v>1</v>
      </c>
      <c r="I119" s="10" t="inlineStr">
        <is>
          <t>single</t>
        </is>
      </c>
      <c r="J119" s="13" t="inlineStr">
        <is>
          <t>medium</t>
        </is>
      </c>
      <c r="K119" s="10" t="inlineStr">
        <is>
          <t>habitat_size_guild</t>
        </is>
      </c>
      <c r="L119" s="11" t="inlineStr">
        <is>
          <t>Eelpout genus (Zoarcidae), a bathydemersal generalist predator with no dedicated group; placed in residual 'Other bottom fishes'. Reviewed against Chaikina 2020 Table 1; species membership is not tabulated.</t>
        </is>
      </c>
      <c r="M119" s="10" t="n">
        <v>3135.817</v>
      </c>
    </row>
    <row r="120" ht="36" customHeight="1">
      <c r="A120" s="10" t="inlineStr">
        <is>
          <t>LME_052</t>
        </is>
      </c>
      <c r="B120" s="11" t="inlineStr">
        <is>
          <t>52_1_Sea_of_Okhotsk_NE_(1980)</t>
        </is>
      </c>
      <c r="C120" s="11" t="inlineStr">
        <is>
          <t>Actinopterygii</t>
        </is>
      </c>
      <c r="D120" s="10" t="inlineStr">
        <is>
          <t>Ray-finned fishes</t>
        </is>
      </c>
      <c r="E120" s="10" t="inlineStr">
        <is>
          <t>Medium demersals (30 - 89 cm)</t>
        </is>
      </c>
      <c r="F120" s="10" t="inlineStr">
        <is>
          <t>Other fishes &amp; inverts</t>
        </is>
      </c>
      <c r="G120" s="11" t="inlineStr">
        <is>
          <t>Other bottom fishes</t>
        </is>
      </c>
      <c r="H120" s="12" t="n">
        <v>0.3796816377703437</v>
      </c>
      <c r="I120" s="10" t="inlineStr">
        <is>
          <t>catch_composition</t>
        </is>
      </c>
      <c r="J120" s="16" t="inlineStr">
        <is>
          <t>low</t>
        </is>
      </c>
      <c r="K120" s="10" t="inlineStr">
        <is>
          <t>composite_split</t>
        </is>
      </c>
      <c r="L120" s="11" t="inlineStr">
        <is>
          <t>Very broad ray-finned-fish label centred on the SAU demersal class; use only broad bottom-fish compartments and exclude named single stocks.</t>
        </is>
      </c>
      <c r="M120" s="10" t="n">
        <v>2973.471</v>
      </c>
    </row>
    <row r="121" ht="36" customHeight="1">
      <c r="A121" s="10" t="inlineStr">
        <is>
          <t>LME_052</t>
        </is>
      </c>
      <c r="B121" s="11" t="inlineStr">
        <is>
          <t>52_1_Sea_of_Okhotsk_NE_(1980)</t>
        </is>
      </c>
      <c r="C121" s="11" t="inlineStr">
        <is>
          <t>Actinopterygii</t>
        </is>
      </c>
      <c r="D121" s="10" t="inlineStr">
        <is>
          <t>Ray-finned fishes</t>
        </is>
      </c>
      <c r="E121" s="10" t="inlineStr">
        <is>
          <t>Medium demersals (30 - 89 cm)</t>
        </is>
      </c>
      <c r="F121" s="10" t="inlineStr">
        <is>
          <t>Other fishes &amp; inverts</t>
        </is>
      </c>
      <c r="G121" s="11" t="inlineStr">
        <is>
          <t>Other Gadidae</t>
        </is>
      </c>
      <c r="H121" s="12" t="n">
        <v>0.4741724641350938</v>
      </c>
      <c r="I121" s="10" t="inlineStr">
        <is>
          <t>catch_composition</t>
        </is>
      </c>
      <c r="J121" s="16" t="inlineStr">
        <is>
          <t>low</t>
        </is>
      </c>
      <c r="K121" s="10" t="inlineStr">
        <is>
          <t>composite_split</t>
        </is>
      </c>
      <c r="L121" s="11" t="inlineStr">
        <is>
          <t>Very broad ray-finned-fish label centred on the SAU demersal class; use only broad bottom-fish compartments and exclude named single stocks.</t>
        </is>
      </c>
      <c r="M121" s="10" t="n">
        <v>2973.471</v>
      </c>
    </row>
    <row r="122" ht="36" customHeight="1">
      <c r="A122" s="10" t="inlineStr">
        <is>
          <t>LME_052</t>
        </is>
      </c>
      <c r="B122" s="11" t="inlineStr">
        <is>
          <t>52_1_Sea_of_Okhotsk_NE_(1980)</t>
        </is>
      </c>
      <c r="C122" s="11" t="inlineStr">
        <is>
          <t>Actinopterygii</t>
        </is>
      </c>
      <c r="D122" s="10" t="inlineStr">
        <is>
          <t>Ray-finned fishes</t>
        </is>
      </c>
      <c r="E122" s="10" t="inlineStr">
        <is>
          <t>Medium demersals (30 - 89 cm)</t>
        </is>
      </c>
      <c r="F122" s="10" t="inlineStr">
        <is>
          <t>Other fishes &amp; inverts</t>
        </is>
      </c>
      <c r="G122" s="11" t="inlineStr">
        <is>
          <t>Cottidae</t>
        </is>
      </c>
      <c r="H122" s="12" t="n">
        <v>0</v>
      </c>
      <c r="I122" s="10" t="inlineStr">
        <is>
          <t>catch_composition</t>
        </is>
      </c>
      <c r="J122" s="16" t="inlineStr">
        <is>
          <t>low</t>
        </is>
      </c>
      <c r="K122" s="10" t="inlineStr">
        <is>
          <t>composite_split</t>
        </is>
      </c>
      <c r="L122" s="11" t="inlineStr">
        <is>
          <t>Very broad ray-finned-fish label centred on the SAU demersal class; use only broad bottom-fish compartments and exclude named single stocks.</t>
        </is>
      </c>
      <c r="M122" s="10" t="n">
        <v>2973.471</v>
      </c>
    </row>
    <row r="123" ht="36" customHeight="1">
      <c r="A123" s="10" t="inlineStr">
        <is>
          <t>LME_052</t>
        </is>
      </c>
      <c r="B123" s="11" t="inlineStr">
        <is>
          <t>52_1_Sea_of_Okhotsk_NE_(1980)</t>
        </is>
      </c>
      <c r="C123" s="11" t="inlineStr">
        <is>
          <t>Actinopterygii</t>
        </is>
      </c>
      <c r="D123" s="10" t="inlineStr">
        <is>
          <t>Ray-finned fishes</t>
        </is>
      </c>
      <c r="E123" s="10" t="inlineStr">
        <is>
          <t>Medium demersals (30 - 89 cm)</t>
        </is>
      </c>
      <c r="F123" s="10" t="inlineStr">
        <is>
          <t>Other fishes &amp; inverts</t>
        </is>
      </c>
      <c r="G123" s="11" t="inlineStr">
        <is>
          <t>Pleuronectidae</t>
        </is>
      </c>
      <c r="H123" s="12" t="n">
        <v>0.1461458980945624</v>
      </c>
      <c r="I123" s="10" t="inlineStr">
        <is>
          <t>catch_composition</t>
        </is>
      </c>
      <c r="J123" s="16" t="inlineStr">
        <is>
          <t>low</t>
        </is>
      </c>
      <c r="K123" s="10" t="inlineStr">
        <is>
          <t>composite_split</t>
        </is>
      </c>
      <c r="L123" s="11" t="inlineStr">
        <is>
          <t>Very broad ray-finned-fish label centred on the SAU demersal class; use only broad bottom-fish compartments and exclude named single stocks.</t>
        </is>
      </c>
      <c r="M123" s="10" t="n">
        <v>2973.471</v>
      </c>
    </row>
    <row r="124" ht="36" customHeight="1">
      <c r="A124" s="10" t="inlineStr">
        <is>
          <t>LME_052</t>
        </is>
      </c>
      <c r="B124" s="11" t="inlineStr">
        <is>
          <t>52_1_Sea_of_Okhotsk_NE_(1980)</t>
        </is>
      </c>
      <c r="C124" s="11" t="inlineStr">
        <is>
          <t>Miscellaneous aquatic invertebrates</t>
        </is>
      </c>
      <c r="D124" s="10" t="inlineStr">
        <is>
          <t>Aquatic invertebrates</t>
        </is>
      </c>
      <c r="E124" s="10" t="inlineStr">
        <is>
          <t>Other demersal invertebrates</t>
        </is>
      </c>
      <c r="F124" s="10" t="inlineStr">
        <is>
          <t>Other fishes &amp; inverts</t>
        </is>
      </c>
      <c r="G124" s="11" t="inlineStr">
        <is>
          <t>2nd level benthos</t>
        </is>
      </c>
      <c r="H124" s="12" t="n">
        <v>0.7838533298977481</v>
      </c>
      <c r="I124" s="10" t="inlineStr">
        <is>
          <t>catch_composition</t>
        </is>
      </c>
      <c r="J124" s="16" t="inlineStr">
        <is>
          <t>low</t>
        </is>
      </c>
      <c r="K124" s="10" t="inlineStr">
        <is>
          <t>composite_split</t>
        </is>
      </c>
      <c r="L124" s="11" t="inlineStr">
        <is>
          <t>SAU places this unspecified invertebrate catch on the bottom; it may span basal and carnivorous benthos, with no documented composition.</t>
        </is>
      </c>
      <c r="M124" s="10" t="n">
        <v>2838.35</v>
      </c>
    </row>
    <row r="125" ht="36" customHeight="1">
      <c r="A125" s="10" t="inlineStr">
        <is>
          <t>LME_052</t>
        </is>
      </c>
      <c r="B125" s="11" t="inlineStr">
        <is>
          <t>52_1_Sea_of_Okhotsk_NE_(1980)</t>
        </is>
      </c>
      <c r="C125" s="11" t="inlineStr">
        <is>
          <t>Miscellaneous aquatic invertebrates</t>
        </is>
      </c>
      <c r="D125" s="10" t="inlineStr">
        <is>
          <t>Aquatic invertebrates</t>
        </is>
      </c>
      <c r="E125" s="10" t="inlineStr">
        <is>
          <t>Other demersal invertebrates</t>
        </is>
      </c>
      <c r="F125" s="10" t="inlineStr">
        <is>
          <t>Other fishes &amp; inverts</t>
        </is>
      </c>
      <c r="G125" s="11" t="inlineStr">
        <is>
          <t>Carnivorous invertebrates</t>
        </is>
      </c>
      <c r="H125" s="12" t="n">
        <v>0.2161466701022519</v>
      </c>
      <c r="I125" s="10" t="inlineStr">
        <is>
          <t>catch_composition</t>
        </is>
      </c>
      <c r="J125" s="16" t="inlineStr">
        <is>
          <t>low</t>
        </is>
      </c>
      <c r="K125" s="10" t="inlineStr">
        <is>
          <t>composite_split</t>
        </is>
      </c>
      <c r="L125" s="11" t="inlineStr">
        <is>
          <t>SAU places this unspecified invertebrate catch on the bottom; it may span basal and carnivorous benthos, with no documented composition.</t>
        </is>
      </c>
      <c r="M125" s="10" t="n">
        <v>2838.35</v>
      </c>
    </row>
    <row r="126" ht="36" customHeight="1">
      <c r="A126" s="10" t="inlineStr">
        <is>
          <t>LME_052</t>
        </is>
      </c>
      <c r="B126" s="11" t="inlineStr">
        <is>
          <t>52_1_Sea_of_Okhotsk_NE_(1980)</t>
        </is>
      </c>
      <c r="C126" s="11" t="inlineStr">
        <is>
          <t>Erimacrus isenbeckii</t>
        </is>
      </c>
      <c r="D126" s="10" t="inlineStr">
        <is>
          <t>Hair Crab</t>
        </is>
      </c>
      <c r="E126" s="10" t="inlineStr">
        <is>
          <t>Lobsters, crabs</t>
        </is>
      </c>
      <c r="F126" s="10" t="inlineStr">
        <is>
          <t>Crustaceans</t>
        </is>
      </c>
      <c r="G126" s="11" t="inlineStr">
        <is>
          <t>Crabs and shrimps</t>
        </is>
      </c>
      <c r="H126" s="12" t="n">
        <v>1</v>
      </c>
      <c r="I126" s="10" t="inlineStr">
        <is>
          <t>single</t>
        </is>
      </c>
      <c r="J126" s="14" t="inlineStr">
        <is>
          <t>high</t>
        </is>
      </c>
      <c r="K126" s="10" t="inlineStr">
        <is>
          <t>taxonomic_containment</t>
        </is>
      </c>
      <c r="L126" s="11" t="inlineStr">
        <is>
          <t>Chaikina 2020 Table 1 names Crabs and shrimps; the catch taxon Erimacrus isenbeckii is within that taxonomic compartment (WoRMS taxonomy checked).</t>
        </is>
      </c>
      <c r="M126" s="10" t="n">
        <v>2478.101</v>
      </c>
    </row>
    <row r="127" ht="51" customHeight="1">
      <c r="A127" s="10" t="inlineStr">
        <is>
          <t>LME_052</t>
        </is>
      </c>
      <c r="B127" s="11" t="inlineStr">
        <is>
          <t>52_1_Sea_of_Okhotsk_NE_(1980)</t>
        </is>
      </c>
      <c r="C127" s="11" t="inlineStr">
        <is>
          <t>Mytilidae</t>
        </is>
      </c>
      <c r="D127" s="10" t="inlineStr">
        <is>
          <t>Sea mussels</t>
        </is>
      </c>
      <c r="E127" s="10" t="inlineStr">
        <is>
          <t>Other demersal invertebrates</t>
        </is>
      </c>
      <c r="F127" s="10" t="inlineStr">
        <is>
          <t>Molluscs</t>
        </is>
      </c>
      <c r="G127" s="11" t="inlineStr">
        <is>
          <t>2nd level benthos</t>
        </is>
      </c>
      <c r="H127" s="12" t="n">
        <v>1</v>
      </c>
      <c r="I127" s="10" t="inlineStr">
        <is>
          <t>single</t>
        </is>
      </c>
      <c r="J127" s="13" t="inlineStr">
        <is>
          <t>medium</t>
        </is>
      </c>
      <c r="K127" s="10" t="inlineStr">
        <is>
          <t>habitat_size_guild</t>
        </is>
      </c>
      <c r="L127" s="11" t="inlineStr">
        <is>
          <t>Analyst inference: Mytilidae is a benthic suspension/deposit feeder or grazer, consistent with Chaikina 2020 Table 1 second-level benthos and its basal diet in Table 3; no species member list is supplied.</t>
        </is>
      </c>
      <c r="M127" s="10" t="n">
        <v>2356.585</v>
      </c>
    </row>
    <row r="128" ht="36" customHeight="1">
      <c r="A128" s="10" t="inlineStr">
        <is>
          <t>LME_052</t>
        </is>
      </c>
      <c r="B128" s="11" t="inlineStr">
        <is>
          <t>52_1_Sea_of_Okhotsk_NE_(1980)</t>
        </is>
      </c>
      <c r="C128" s="11" t="inlineStr">
        <is>
          <t>Penaeus chinensis</t>
        </is>
      </c>
      <c r="D128" s="10" t="inlineStr">
        <is>
          <t>Fleshy prawn</t>
        </is>
      </c>
      <c r="E128" s="10" t="inlineStr">
        <is>
          <t>Shrimps</t>
        </is>
      </c>
      <c r="F128" s="10" t="inlineStr">
        <is>
          <t>Crustaceans</t>
        </is>
      </c>
      <c r="G128" s="11" t="inlineStr">
        <is>
          <t>Crabs and shrimps</t>
        </is>
      </c>
      <c r="H128" s="12" t="n">
        <v>1</v>
      </c>
      <c r="I128" s="10" t="inlineStr">
        <is>
          <t>single</t>
        </is>
      </c>
      <c r="J128" s="14" t="inlineStr">
        <is>
          <t>high</t>
        </is>
      </c>
      <c r="K128" s="10" t="inlineStr">
        <is>
          <t>taxonomic_containment</t>
        </is>
      </c>
      <c r="L128" s="11" t="inlineStr">
        <is>
          <t>Chaikina 2020 Table 1 names Crabs and shrimps; the catch taxon Penaeus chinensis is within that taxonomic compartment (WoRMS taxonomy checked).</t>
        </is>
      </c>
      <c r="M128" s="10" t="n">
        <v>2182.088</v>
      </c>
    </row>
    <row r="129" ht="36" customHeight="1">
      <c r="A129" s="10" t="inlineStr">
        <is>
          <t>LME_052</t>
        </is>
      </c>
      <c r="B129" s="11" t="inlineStr">
        <is>
          <t>52_1_Sea_of_Okhotsk_NE_(1980)</t>
        </is>
      </c>
      <c r="C129" s="11" t="inlineStr">
        <is>
          <t>Congridae</t>
        </is>
      </c>
      <c r="D129" s="10" t="inlineStr">
        <is>
          <t>Conger, garden eels</t>
        </is>
      </c>
      <c r="E129" s="10" t="inlineStr">
        <is>
          <t>Large demersals (&gt;=90 cm)</t>
        </is>
      </c>
      <c r="F129" s="10" t="inlineStr">
        <is>
          <t>Other fishes &amp; inverts</t>
        </is>
      </c>
      <c r="G129" s="11" t="inlineStr">
        <is>
          <t>Unresolved</t>
        </is>
      </c>
      <c r="H129" s="12" t="n"/>
      <c r="I129" s="10" t="inlineStr"/>
      <c r="J129" s="15" t="inlineStr">
        <is>
          <t>unresolved</t>
        </is>
      </c>
      <c r="K129" s="10" t="inlineStr">
        <is>
          <t>none</t>
        </is>
      </c>
      <c r="L129" s="11" t="inlineStr">
        <is>
          <t>Conger/garden eel family, warm-temperate/tropical; no matching group. Reviewed: no documented compatible group for this catch label.</t>
        </is>
      </c>
      <c r="M129" s="10" t="n">
        <v>2037.747</v>
      </c>
    </row>
    <row r="130" ht="36" customHeight="1">
      <c r="A130" s="10" t="inlineStr">
        <is>
          <t>LME_052</t>
        </is>
      </c>
      <c r="B130" s="11" t="inlineStr">
        <is>
          <t>52_1_Sea_of_Okhotsk_NE_(1980)</t>
        </is>
      </c>
      <c r="C130" s="11" t="inlineStr">
        <is>
          <t>Serranidae</t>
        </is>
      </c>
      <c r="D130" s="10" t="inlineStr">
        <is>
          <t>Basses, groupers, hinds</t>
        </is>
      </c>
      <c r="E130" s="10" t="inlineStr">
        <is>
          <t>Medium reef assoc. fish (30 - 89 cm)</t>
        </is>
      </c>
      <c r="F130" s="10" t="inlineStr">
        <is>
          <t>Perch-likes</t>
        </is>
      </c>
      <c r="G130" s="11" t="inlineStr">
        <is>
          <t>Unresolved</t>
        </is>
      </c>
      <c r="H130" s="12" t="n"/>
      <c r="I130" s="10" t="inlineStr"/>
      <c r="J130" s="15" t="inlineStr">
        <is>
          <t>unresolved</t>
        </is>
      </c>
      <c r="K130" s="10" t="inlineStr">
        <is>
          <t>none</t>
        </is>
      </c>
      <c r="L130" s="11" t="inlineStr">
        <is>
          <t>Basses/groupers, a warm-water reef-associated family; no matching group. Reviewed: no documented compatible group for this catch label.</t>
        </is>
      </c>
      <c r="M130" s="10" t="n">
        <v>2017.182</v>
      </c>
    </row>
    <row r="131" ht="36" customHeight="1">
      <c r="A131" s="10" t="inlineStr">
        <is>
          <t>LME_052</t>
        </is>
      </c>
      <c r="B131" s="11" t="inlineStr">
        <is>
          <t>52_1_Sea_of_Okhotsk_NE_(1980)</t>
        </is>
      </c>
      <c r="C131" s="11" t="inlineStr">
        <is>
          <t>Synodontidae</t>
        </is>
      </c>
      <c r="D131" s="10" t="inlineStr">
        <is>
          <t>Lizardfishes, sauries</t>
        </is>
      </c>
      <c r="E131" s="10" t="inlineStr">
        <is>
          <t>Medium demersals (30 - 89 cm)</t>
        </is>
      </c>
      <c r="F131" s="10" t="inlineStr">
        <is>
          <t>Other fishes &amp; inverts</t>
        </is>
      </c>
      <c r="G131" s="11" t="inlineStr">
        <is>
          <t>Unresolved</t>
        </is>
      </c>
      <c r="H131" s="12" t="n"/>
      <c r="I131" s="10" t="inlineStr"/>
      <c r="J131" s="15" t="inlineStr">
        <is>
          <t>unresolved</t>
        </is>
      </c>
      <c r="K131" s="10" t="inlineStr">
        <is>
          <t>none</t>
        </is>
      </c>
      <c r="L131" s="11" t="inlineStr">
        <is>
          <t>Lizardfishes, a warm-water demersal family; no matching group. Reviewed: no documented compatible group for this catch label.</t>
        </is>
      </c>
      <c r="M131" s="10" t="n">
        <v>1936.137</v>
      </c>
    </row>
    <row r="132" ht="51" customHeight="1">
      <c r="A132" s="10" t="inlineStr">
        <is>
          <t>LME_052</t>
        </is>
      </c>
      <c r="B132" s="11" t="inlineStr">
        <is>
          <t>52_1_Sea_of_Okhotsk_NE_(1980)</t>
        </is>
      </c>
      <c r="C132" s="11" t="inlineStr">
        <is>
          <t>Perciformes</t>
        </is>
      </c>
      <c r="D132" s="10" t="inlineStr">
        <is>
          <t>Perch-likes</t>
        </is>
      </c>
      <c r="E132" s="10" t="inlineStr">
        <is>
          <t>Medium demersals (30 - 89 cm)</t>
        </is>
      </c>
      <c r="F132" s="10" t="inlineStr">
        <is>
          <t>Perch-likes</t>
        </is>
      </c>
      <c r="G132" s="11" t="inlineStr">
        <is>
          <t>Unresolved</t>
        </is>
      </c>
      <c r="H132" s="12" t="n"/>
      <c r="I132" s="10" t="inlineStr"/>
      <c r="J132" s="15" t="inlineStr">
        <is>
          <t>unresolved</t>
        </is>
      </c>
      <c r="K132" s="10" t="inlineStr">
        <is>
          <t>none</t>
        </is>
      </c>
      <c r="L132" s="11" t="inlineStr">
        <is>
          <t>Perch-likes order-wide is far too broad, spanning dozens of families across multiple model groups and non-model groups; cannot be resolved to one. Reviewed: no documented compatible group for this catch label.</t>
        </is>
      </c>
      <c r="M132" s="10" t="n">
        <v>1596.923</v>
      </c>
    </row>
    <row r="133" ht="36" customHeight="1">
      <c r="A133" s="10" t="inlineStr">
        <is>
          <t>LME_052</t>
        </is>
      </c>
      <c r="B133" s="11" t="inlineStr">
        <is>
          <t>52_1_Sea_of_Okhotsk_NE_(1980)</t>
        </is>
      </c>
      <c r="C133" s="11" t="inlineStr">
        <is>
          <t>Ommastrephes bartramii</t>
        </is>
      </c>
      <c r="D133" s="10" t="inlineStr">
        <is>
          <t>Neon flying squid</t>
        </is>
      </c>
      <c r="E133" s="10" t="inlineStr">
        <is>
          <t>Cephalopods</t>
        </is>
      </c>
      <c r="F133" s="10" t="inlineStr">
        <is>
          <t>Other fishes &amp; inverts</t>
        </is>
      </c>
      <c r="G133" s="11" t="inlineStr">
        <is>
          <t>Squids</t>
        </is>
      </c>
      <c r="H133" s="12" t="n">
        <v>1</v>
      </c>
      <c r="I133" s="10" t="inlineStr">
        <is>
          <t>single</t>
        </is>
      </c>
      <c r="J133" s="14" t="inlineStr">
        <is>
          <t>high</t>
        </is>
      </c>
      <c r="K133" s="10" t="inlineStr">
        <is>
          <t>taxonomic_containment</t>
        </is>
      </c>
      <c r="L133" s="11" t="inlineStr">
        <is>
          <t>Chaikina 2020 Table 1 names Squids; the catch taxon Ommastrephes bartramii is within that taxonomic compartment (WoRMS taxonomy checked).</t>
        </is>
      </c>
      <c r="M133" s="10" t="n">
        <v>1468.252</v>
      </c>
    </row>
    <row r="134" ht="36" customHeight="1">
      <c r="A134" s="10" t="inlineStr">
        <is>
          <t>LME_052</t>
        </is>
      </c>
      <c r="B134" s="11" t="inlineStr">
        <is>
          <t>52_1_Sea_of_Okhotsk_NE_(1980)</t>
        </is>
      </c>
      <c r="C134" s="11" t="inlineStr">
        <is>
          <t>Sclerocrangon</t>
        </is>
      </c>
      <c r="D134" s="10" t="inlineStr">
        <is>
          <t>Sculptured shrimps</t>
        </is>
      </c>
      <c r="E134" s="10" t="inlineStr">
        <is>
          <t>Shrimps</t>
        </is>
      </c>
      <c r="F134" s="10" t="inlineStr">
        <is>
          <t>Crustaceans</t>
        </is>
      </c>
      <c r="G134" s="11" t="inlineStr">
        <is>
          <t>Crabs and shrimps</t>
        </is>
      </c>
      <c r="H134" s="12" t="n">
        <v>1</v>
      </c>
      <c r="I134" s="10" t="inlineStr">
        <is>
          <t>single</t>
        </is>
      </c>
      <c r="J134" s="14" t="inlineStr">
        <is>
          <t>high</t>
        </is>
      </c>
      <c r="K134" s="10" t="inlineStr">
        <is>
          <t>taxonomic_containment</t>
        </is>
      </c>
      <c r="L134" s="11" t="inlineStr">
        <is>
          <t>Chaikina 2020 Table 1 names Crabs and shrimps; the catch taxon Sclerocrangon is within that taxonomic compartment (WoRMS taxonomy checked).</t>
        </is>
      </c>
      <c r="M134" s="10" t="n">
        <v>1370.09</v>
      </c>
    </row>
    <row r="135" ht="36" customHeight="1">
      <c r="A135" s="10" t="inlineStr">
        <is>
          <t>LME_052</t>
        </is>
      </c>
      <c r="B135" s="11" t="inlineStr">
        <is>
          <t>52_1_Sea_of_Okhotsk_NE_(1980)</t>
        </is>
      </c>
      <c r="C135" s="11" t="inlineStr">
        <is>
          <t>Mugilidae</t>
        </is>
      </c>
      <c r="D135" s="10" t="inlineStr">
        <is>
          <t>Mullets, grey mullets</t>
        </is>
      </c>
      <c r="E135" s="10" t="inlineStr">
        <is>
          <t>Medium reef assoc. fish (30 - 89 cm)</t>
        </is>
      </c>
      <c r="F135" s="10" t="inlineStr">
        <is>
          <t>Perch-likes</t>
        </is>
      </c>
      <c r="G135" s="11" t="inlineStr">
        <is>
          <t>Unresolved</t>
        </is>
      </c>
      <c r="H135" s="12" t="n"/>
      <c r="I135" s="10" t="inlineStr"/>
      <c r="J135" s="15" t="inlineStr">
        <is>
          <t>unresolved</t>
        </is>
      </c>
      <c r="K135" s="10" t="inlineStr">
        <is>
          <t>none</t>
        </is>
      </c>
      <c r="L135" s="11" t="inlineStr">
        <is>
          <t>Mullet family, warm coastal; no matching group. Reviewed: no documented compatible group for this catch label.</t>
        </is>
      </c>
      <c r="M135" s="10" t="n">
        <v>1185.585</v>
      </c>
    </row>
    <row r="136" ht="51" customHeight="1">
      <c r="A136" s="10" t="inlineStr">
        <is>
          <t>LME_052</t>
        </is>
      </c>
      <c r="B136" s="11" t="inlineStr">
        <is>
          <t>52_1_Sea_of_Okhotsk_NE_(1980)</t>
        </is>
      </c>
      <c r="C136" s="11" t="inlineStr">
        <is>
          <t>Hexagrammos otakii</t>
        </is>
      </c>
      <c r="D136" s="10" t="inlineStr">
        <is>
          <t>Fat grrenling</t>
        </is>
      </c>
      <c r="E136" s="10" t="inlineStr">
        <is>
          <t>Small pelagics (&lt;30 cm)</t>
        </is>
      </c>
      <c r="F136" s="10" t="inlineStr">
        <is>
          <t>Scorpionfishes</t>
        </is>
      </c>
      <c r="G136" s="11" t="inlineStr">
        <is>
          <t>Other bottom fishes</t>
        </is>
      </c>
      <c r="H136" s="12" t="n">
        <v>1</v>
      </c>
      <c r="I136" s="10" t="inlineStr">
        <is>
          <t>single</t>
        </is>
      </c>
      <c r="J136" s="13" t="inlineStr">
        <is>
          <t>medium</t>
        </is>
      </c>
      <c r="K136" s="10" t="inlineStr">
        <is>
          <t>habitat_size_guild</t>
        </is>
      </c>
      <c r="L136" s="11" t="inlineStr">
        <is>
          <t>Fat greenling, Hexagrammidae; same demersal-shelf-fish reasoning as the other greenlings, placed in residual 'Other bottom fishes'. Reviewed against Chaikina 2020 Table 1; species membership is not tabulated.</t>
        </is>
      </c>
      <c r="M136" s="10" t="n">
        <v>1141.535</v>
      </c>
    </row>
    <row r="137" ht="51" customHeight="1">
      <c r="A137" s="10" t="inlineStr">
        <is>
          <t>LME_052</t>
        </is>
      </c>
      <c r="B137" s="11" t="inlineStr">
        <is>
          <t>52_1_Sea_of_Okhotsk_NE_(1980)</t>
        </is>
      </c>
      <c r="C137" s="11" t="inlineStr">
        <is>
          <t>Hexagrammidae</t>
        </is>
      </c>
      <c r="D137" s="10" t="inlineStr">
        <is>
          <t>Greenlings</t>
        </is>
      </c>
      <c r="E137" s="10" t="inlineStr">
        <is>
          <t>Medium demersals (30 - 89 cm)</t>
        </is>
      </c>
      <c r="F137" s="10" t="inlineStr">
        <is>
          <t>Scorpionfishes</t>
        </is>
      </c>
      <c r="G137" s="11" t="inlineStr">
        <is>
          <t>Other bottom fishes</t>
        </is>
      </c>
      <c r="H137" s="12" t="n">
        <v>1</v>
      </c>
      <c r="I137" s="10" t="inlineStr">
        <is>
          <t>single</t>
        </is>
      </c>
      <c r="J137" s="13" t="inlineStr">
        <is>
          <t>medium</t>
        </is>
      </c>
      <c r="K137" s="10" t="inlineStr">
        <is>
          <t>habitat_size_guild</t>
        </is>
      </c>
      <c r="L137" s="11" t="inlineStr">
        <is>
          <t>Greenling family, cold-water demersal shelf fish with no dedicated group; placed in residual 'Other bottom fishes'. Reviewed against Chaikina 2020 Table 1; species membership is not tabulated.</t>
        </is>
      </c>
      <c r="M137" s="10" t="n">
        <v>964.047</v>
      </c>
    </row>
    <row r="138" ht="36" customHeight="1">
      <c r="A138" s="10" t="inlineStr">
        <is>
          <t>LME_052</t>
        </is>
      </c>
      <c r="B138" s="11" t="inlineStr">
        <is>
          <t>52_1_Sea_of_Okhotsk_NE_(1980)</t>
        </is>
      </c>
      <c r="C138" s="11" t="inlineStr">
        <is>
          <t>Marine pelagic fishes not identified</t>
        </is>
      </c>
      <c r="D138" s="10" t="inlineStr">
        <is>
          <t>Pelagic fishes</t>
        </is>
      </c>
      <c r="E138" s="10" t="inlineStr">
        <is>
          <t>Medium pelagics (30 - 89 cm)</t>
        </is>
      </c>
      <c r="F138" s="10" t="inlineStr">
        <is>
          <t>Other fishes &amp; inverts</t>
        </is>
      </c>
      <c r="G138" s="11" t="inlineStr">
        <is>
          <t>Unresolved</t>
        </is>
      </c>
      <c r="H138" s="12" t="n"/>
      <c r="I138" s="10" t="inlineStr"/>
      <c r="J138" s="15" t="inlineStr">
        <is>
          <t>unresolved</t>
        </is>
      </c>
      <c r="K138" s="10" t="inlineStr">
        <is>
          <t>none</t>
        </is>
      </c>
      <c r="L138" s="11" t="inlineStr">
        <is>
          <t>Unidentified pelagic fish nei; the Okhotsk model has no generic pelagic-fish group to receive it. Reviewed: no documented compatible group for this catch label.</t>
        </is>
      </c>
      <c r="M138" s="10" t="n">
        <v>743.317</v>
      </c>
    </row>
    <row r="139" ht="36" customHeight="1">
      <c r="A139" s="10" t="inlineStr">
        <is>
          <t>LME_052</t>
        </is>
      </c>
      <c r="B139" s="11" t="inlineStr">
        <is>
          <t>52_1_Sea_of_Okhotsk_NE_(1980)</t>
        </is>
      </c>
      <c r="C139" s="11" t="inlineStr">
        <is>
          <t>Beryx</t>
        </is>
      </c>
      <c r="D139" s="10" t="inlineStr">
        <is>
          <t>Alfonsinos</t>
        </is>
      </c>
      <c r="E139" s="10" t="inlineStr">
        <is>
          <t>Medium benthopelagics (30 - 89 cm)</t>
        </is>
      </c>
      <c r="F139" s="10" t="inlineStr">
        <is>
          <t>Other fishes &amp; inverts</t>
        </is>
      </c>
      <c r="G139" s="11" t="inlineStr">
        <is>
          <t>Unresolved</t>
        </is>
      </c>
      <c r="H139" s="12" t="n"/>
      <c r="I139" s="10" t="inlineStr"/>
      <c r="J139" s="15" t="inlineStr">
        <is>
          <t>unresolved</t>
        </is>
      </c>
      <c r="K139" s="10" t="inlineStr">
        <is>
          <t>none</t>
        </is>
      </c>
      <c r="L139" s="11" t="inlineStr">
        <is>
          <t>Alfonsino genus (Berycidae), a deep-water seamount-associated fish of warmer waters; no matching group. Reviewed: no documented compatible group for this catch label.</t>
        </is>
      </c>
      <c r="M139" s="10" t="n">
        <v>565.899</v>
      </c>
    </row>
    <row r="140" ht="51" customHeight="1">
      <c r="A140" s="10" t="inlineStr">
        <is>
          <t>LME_052</t>
        </is>
      </c>
      <c r="B140" s="11" t="inlineStr">
        <is>
          <t>52_1_Sea_of_Okhotsk_NE_(1980)</t>
        </is>
      </c>
      <c r="C140" s="11" t="inlineStr">
        <is>
          <t>Apostichopus japonicus</t>
        </is>
      </c>
      <c r="D140" s="10" t="inlineStr">
        <is>
          <t>Japanese sea cucumber</t>
        </is>
      </c>
      <c r="E140" s="10" t="inlineStr">
        <is>
          <t>Other demersal invertebrates</t>
        </is>
      </c>
      <c r="F140" s="10" t="inlineStr">
        <is>
          <t>Other fishes &amp; inverts</t>
        </is>
      </c>
      <c r="G140" s="11" t="inlineStr">
        <is>
          <t>2nd level benthos</t>
        </is>
      </c>
      <c r="H140" s="12" t="n">
        <v>1</v>
      </c>
      <c r="I140" s="10" t="inlineStr">
        <is>
          <t>single</t>
        </is>
      </c>
      <c r="J140" s="13" t="inlineStr">
        <is>
          <t>medium</t>
        </is>
      </c>
      <c r="K140" s="10" t="inlineStr">
        <is>
          <t>habitat_size_guild</t>
        </is>
      </c>
      <c r="L140" s="11" t="inlineStr">
        <is>
          <t>Analyst inference: Apostichopus japonicus is a benthic suspension/deposit feeder or grazer, consistent with Chaikina 2020 Table 1 second-level benthos and its basal diet in Table 3; no species member list is supplied.</t>
        </is>
      </c>
      <c r="M140" s="10" t="n">
        <v>531.083</v>
      </c>
    </row>
    <row r="141" ht="51" customHeight="1">
      <c r="A141" s="10" t="inlineStr">
        <is>
          <t>LME_052</t>
        </is>
      </c>
      <c r="B141" s="11" t="inlineStr">
        <is>
          <t>52_1_Sea_of_Okhotsk_NE_(1980)</t>
        </is>
      </c>
      <c r="C141" s="11" t="inlineStr">
        <is>
          <t>Crassostrea</t>
        </is>
      </c>
      <c r="D141" s="10" t="inlineStr">
        <is>
          <t>Cupped oysters</t>
        </is>
      </c>
      <c r="E141" s="10" t="inlineStr">
        <is>
          <t>Other demersal invertebrates</t>
        </is>
      </c>
      <c r="F141" s="10" t="inlineStr">
        <is>
          <t>Molluscs</t>
        </is>
      </c>
      <c r="G141" s="11" t="inlineStr">
        <is>
          <t>2nd level benthos</t>
        </is>
      </c>
      <c r="H141" s="12" t="n">
        <v>1</v>
      </c>
      <c r="I141" s="10" t="inlineStr">
        <is>
          <t>single</t>
        </is>
      </c>
      <c r="J141" s="13" t="inlineStr">
        <is>
          <t>medium</t>
        </is>
      </c>
      <c r="K141" s="10" t="inlineStr">
        <is>
          <t>habitat_size_guild</t>
        </is>
      </c>
      <c r="L141" s="11" t="inlineStr">
        <is>
          <t>Analyst inference: Crassostrea is a benthic suspension/deposit feeder or grazer, consistent with Chaikina 2020 Table 1 second-level benthos and its basal diet in Table 3; no species member list is supplied.</t>
        </is>
      </c>
      <c r="M141" s="10" t="n">
        <v>517.999</v>
      </c>
    </row>
    <row r="142" ht="36" customHeight="1">
      <c r="A142" s="10" t="inlineStr">
        <is>
          <t>LME_052</t>
        </is>
      </c>
      <c r="B142" s="11" t="inlineStr">
        <is>
          <t>52_1_Sea_of_Okhotsk_NE_(1980)</t>
        </is>
      </c>
      <c r="C142" s="11" t="inlineStr">
        <is>
          <t>Stromateidae</t>
        </is>
      </c>
      <c r="D142" s="10" t="inlineStr">
        <is>
          <t>Butterfishes</t>
        </is>
      </c>
      <c r="E142" s="10" t="inlineStr">
        <is>
          <t>Small benthopelagics (&lt;30 cm)</t>
        </is>
      </c>
      <c r="F142" s="10" t="inlineStr">
        <is>
          <t>Perch-likes</t>
        </is>
      </c>
      <c r="G142" s="11" t="inlineStr">
        <is>
          <t>Unresolved</t>
        </is>
      </c>
      <c r="H142" s="12" t="n"/>
      <c r="I142" s="10" t="inlineStr"/>
      <c r="J142" s="15" t="inlineStr">
        <is>
          <t>unresolved</t>
        </is>
      </c>
      <c r="K142" s="10" t="inlineStr">
        <is>
          <t>none</t>
        </is>
      </c>
      <c r="L142" s="11" t="inlineStr">
        <is>
          <t>Butterfish family, warm-temperate/tropical pelagic; no matching group. Reviewed: no documented compatible group for this catch label.</t>
        </is>
      </c>
      <c r="M142" s="10" t="n">
        <v>488.429</v>
      </c>
    </row>
    <row r="143" ht="36" customHeight="1">
      <c r="A143" s="10" t="inlineStr">
        <is>
          <t>LME_052</t>
        </is>
      </c>
      <c r="B143" s="11" t="inlineStr">
        <is>
          <t>52_1_Sea_of_Okhotsk_NE_(1980)</t>
        </is>
      </c>
      <c r="C143" s="11" t="inlineStr">
        <is>
          <t>Bramidae</t>
        </is>
      </c>
      <c r="D143" s="10" t="inlineStr">
        <is>
          <t>Pomfrets</t>
        </is>
      </c>
      <c r="E143" s="10" t="inlineStr">
        <is>
          <t>Medium pelagics (30 - 89 cm)</t>
        </is>
      </c>
      <c r="F143" s="10" t="inlineStr">
        <is>
          <t>Perch-likes</t>
        </is>
      </c>
      <c r="G143" s="11" t="inlineStr">
        <is>
          <t>Unresolved</t>
        </is>
      </c>
      <c r="H143" s="12" t="n"/>
      <c r="I143" s="10" t="inlineStr"/>
      <c r="J143" s="15" t="inlineStr">
        <is>
          <t>unresolved</t>
        </is>
      </c>
      <c r="K143" s="10" t="inlineStr">
        <is>
          <t>none</t>
        </is>
      </c>
      <c r="L143" s="11" t="inlineStr">
        <is>
          <t>Pomfret family, oceanic epipelagic; no matching group. Reviewed: no documented compatible group for this catch label.</t>
        </is>
      </c>
      <c r="M143" s="10" t="n">
        <v>463.476</v>
      </c>
    </row>
    <row r="144" ht="36" customHeight="1">
      <c r="A144" s="10" t="inlineStr">
        <is>
          <t>LME_052</t>
        </is>
      </c>
      <c r="B144" s="11" t="inlineStr">
        <is>
          <t>52_1_Sea_of_Okhotsk_NE_(1980)</t>
        </is>
      </c>
      <c r="C144" s="11" t="inlineStr">
        <is>
          <t>Cephea</t>
        </is>
      </c>
      <c r="D144" s="10" t="inlineStr">
        <is>
          <t>Cepheid jellyfishes</t>
        </is>
      </c>
      <c r="E144" s="10" t="inlineStr">
        <is>
          <t>Jellyfish</t>
        </is>
      </c>
      <c r="F144" s="10" t="inlineStr">
        <is>
          <t>Other fishes &amp; inverts</t>
        </is>
      </c>
      <c r="G144" s="11" t="inlineStr">
        <is>
          <t>Jellyfish</t>
        </is>
      </c>
      <c r="H144" s="12" t="n">
        <v>1</v>
      </c>
      <c r="I144" s="10" t="inlineStr">
        <is>
          <t>single</t>
        </is>
      </c>
      <c r="J144" s="14" t="inlineStr">
        <is>
          <t>high</t>
        </is>
      </c>
      <c r="K144" s="10" t="inlineStr">
        <is>
          <t>taxonomic_containment</t>
        </is>
      </c>
      <c r="L144" s="11" t="inlineStr">
        <is>
          <t>Chaikina 2020 Table 1 names Jellyfish; the catch taxon Cephea is within that taxonomic compartment (WoRMS taxonomy checked).</t>
        </is>
      </c>
      <c r="M144" s="10" t="n">
        <v>383.615</v>
      </c>
    </row>
    <row r="145" ht="51" customHeight="1">
      <c r="A145" s="10" t="inlineStr">
        <is>
          <t>LME_052</t>
        </is>
      </c>
      <c r="B145" s="11" t="inlineStr">
        <is>
          <t>52_1_Sea_of_Okhotsk_NE_(1980)</t>
        </is>
      </c>
      <c r="C145" s="11" t="inlineStr">
        <is>
          <t>Scorpaenidae</t>
        </is>
      </c>
      <c r="D145" s="10" t="inlineStr">
        <is>
          <t>Scorpionfishes, rockfishes</t>
        </is>
      </c>
      <c r="E145" s="10" t="inlineStr">
        <is>
          <t>Large reef assoc. fish (&gt;=90 cm)</t>
        </is>
      </c>
      <c r="F145" s="10" t="inlineStr">
        <is>
          <t>Scorpionfishes</t>
        </is>
      </c>
      <c r="G145" s="11" t="inlineStr">
        <is>
          <t>Other bottom fishes</t>
        </is>
      </c>
      <c r="H145" s="12" t="n">
        <v>1</v>
      </c>
      <c r="I145" s="10" t="inlineStr">
        <is>
          <t>single</t>
        </is>
      </c>
      <c r="J145" s="13" t="inlineStr">
        <is>
          <t>medium</t>
        </is>
      </c>
      <c r="K145" s="10" t="inlineStr">
        <is>
          <t>habitat_size_guild</t>
        </is>
      </c>
      <c r="L145" s="11" t="inlineStr">
        <is>
          <t>Scorpionfish/rockfish family; same demersal-predator reasoning as Sebastidae, placed in residual 'Other bottom fishes'. Reviewed against Chaikina 2020 Table 1; species membership is not tabulated.</t>
        </is>
      </c>
      <c r="M145" s="10" t="n">
        <v>282.206</v>
      </c>
    </row>
    <row r="146" ht="36" customHeight="1">
      <c r="A146" s="10" t="inlineStr">
        <is>
          <t>LME_052</t>
        </is>
      </c>
      <c r="B146" s="11" t="inlineStr">
        <is>
          <t>52_1_Sea_of_Okhotsk_NE_(1980)</t>
        </is>
      </c>
      <c r="C146" s="11" t="inlineStr">
        <is>
          <t>Scyphozoa</t>
        </is>
      </c>
      <c r="D146" s="10" t="inlineStr">
        <is>
          <t>True jellyfishes</t>
        </is>
      </c>
      <c r="E146" s="10" t="inlineStr">
        <is>
          <t>Jellyfish</t>
        </is>
      </c>
      <c r="F146" s="10" t="inlineStr">
        <is>
          <t>Other fishes &amp; inverts</t>
        </is>
      </c>
      <c r="G146" s="11" t="inlineStr">
        <is>
          <t>Jellyfish</t>
        </is>
      </c>
      <c r="H146" s="12" t="n">
        <v>1</v>
      </c>
      <c r="I146" s="10" t="inlineStr">
        <is>
          <t>single</t>
        </is>
      </c>
      <c r="J146" s="14" t="inlineStr">
        <is>
          <t>high</t>
        </is>
      </c>
      <c r="K146" s="10" t="inlineStr">
        <is>
          <t>taxonomic_containment</t>
        </is>
      </c>
      <c r="L146" s="11" t="inlineStr">
        <is>
          <t>Chaikina 2020 Table 1 names Jellyfish; the catch taxon Scyphozoa is within that taxonomic compartment (WoRMS taxonomy checked).</t>
        </is>
      </c>
      <c r="M146" s="10" t="n">
        <v>254.077</v>
      </c>
    </row>
    <row r="147" ht="36" customHeight="1">
      <c r="A147" s="10" t="inlineStr">
        <is>
          <t>LME_052</t>
        </is>
      </c>
      <c r="B147" s="11" t="inlineStr">
        <is>
          <t>52_1_Sea_of_Okhotsk_NE_(1980)</t>
        </is>
      </c>
      <c r="C147" s="11" t="inlineStr">
        <is>
          <t>Pandalopsis japonica</t>
        </is>
      </c>
      <c r="D147" s="10" t="inlineStr">
        <is>
          <t>Sidestripe shrimp</t>
        </is>
      </c>
      <c r="E147" s="10" t="inlineStr">
        <is>
          <t>Shrimps</t>
        </is>
      </c>
      <c r="F147" s="10" t="inlineStr">
        <is>
          <t>Crustaceans</t>
        </is>
      </c>
      <c r="G147" s="11" t="inlineStr">
        <is>
          <t>Crabs and shrimps</t>
        </is>
      </c>
      <c r="H147" s="12" t="n">
        <v>1</v>
      </c>
      <c r="I147" s="10" t="inlineStr">
        <is>
          <t>single</t>
        </is>
      </c>
      <c r="J147" s="14" t="inlineStr">
        <is>
          <t>high</t>
        </is>
      </c>
      <c r="K147" s="10" t="inlineStr">
        <is>
          <t>taxonomic_containment</t>
        </is>
      </c>
      <c r="L147" s="11" t="inlineStr">
        <is>
          <t>Chaikina 2020 Table 1 names Crabs and shrimps; the catch taxon Pandalopsis japonica is within that taxonomic compartment (WoRMS taxonomy checked).</t>
        </is>
      </c>
      <c r="M147" s="10" t="n">
        <v>238.86</v>
      </c>
    </row>
    <row r="148" ht="36" customHeight="1">
      <c r="A148" s="10" t="inlineStr">
        <is>
          <t>LME_052</t>
        </is>
      </c>
      <c r="B148" s="11" t="inlineStr">
        <is>
          <t>52_1_Sea_of_Okhotsk_NE_(1980)</t>
        </is>
      </c>
      <c r="C148" s="11" t="inlineStr">
        <is>
          <t>Pandalus kessleri</t>
        </is>
      </c>
      <c r="D148" s="10" t="inlineStr">
        <is>
          <t>Grass shrimp</t>
        </is>
      </c>
      <c r="E148" s="10" t="inlineStr">
        <is>
          <t>Shrimps</t>
        </is>
      </c>
      <c r="F148" s="10" t="inlineStr">
        <is>
          <t>Crustaceans</t>
        </is>
      </c>
      <c r="G148" s="11" t="inlineStr">
        <is>
          <t>Crabs and shrimps</t>
        </is>
      </c>
      <c r="H148" s="12" t="n">
        <v>1</v>
      </c>
      <c r="I148" s="10" t="inlineStr">
        <is>
          <t>single</t>
        </is>
      </c>
      <c r="J148" s="14" t="inlineStr">
        <is>
          <t>high</t>
        </is>
      </c>
      <c r="K148" s="10" t="inlineStr">
        <is>
          <t>taxonomic_containment</t>
        </is>
      </c>
      <c r="L148" s="11" t="inlineStr">
        <is>
          <t>Chaikina 2020 Table 1 names Crabs and shrimps; the catch taxon Pandalus kessleri is within that taxonomic compartment (WoRMS taxonomy checked).</t>
        </is>
      </c>
      <c r="M148" s="10" t="n">
        <v>203.576</v>
      </c>
    </row>
    <row r="149" ht="36" customHeight="1">
      <c r="A149" s="10" t="inlineStr">
        <is>
          <t>LME_052</t>
        </is>
      </c>
      <c r="B149" s="11" t="inlineStr">
        <is>
          <t>52_1_Sea_of_Okhotsk_NE_(1980)</t>
        </is>
      </c>
      <c r="C149" s="11" t="inlineStr">
        <is>
          <t>Oncorhynchus masou</t>
        </is>
      </c>
      <c r="D149" s="10" t="inlineStr">
        <is>
          <t>Masu salmon</t>
        </is>
      </c>
      <c r="E149" s="10" t="inlineStr">
        <is>
          <t>Medium benthopelagics (30 - 89 cm)</t>
        </is>
      </c>
      <c r="F149" s="10" t="inlineStr">
        <is>
          <t>Salmon, smelts, etc</t>
        </is>
      </c>
      <c r="G149" s="11" t="inlineStr">
        <is>
          <t>Salmon</t>
        </is>
      </c>
      <c r="H149" s="12" t="n">
        <v>1</v>
      </c>
      <c r="I149" s="10" t="inlineStr">
        <is>
          <t>single</t>
        </is>
      </c>
      <c r="J149" s="14" t="inlineStr">
        <is>
          <t>high</t>
        </is>
      </c>
      <c r="K149" s="10" t="inlineStr">
        <is>
          <t>taxonomic_containment</t>
        </is>
      </c>
      <c r="L149" s="11" t="inlineStr">
        <is>
          <t>Pacific salmon catch within the Salmon compartment in Chaikina 2020 Table 1; no size/stage split is supplied.</t>
        </is>
      </c>
      <c r="M149" s="10" t="n">
        <v>150.563</v>
      </c>
    </row>
    <row r="150" ht="36" customHeight="1">
      <c r="A150" s="10" t="inlineStr">
        <is>
          <t>LME_052</t>
        </is>
      </c>
      <c r="B150" s="11" t="inlineStr">
        <is>
          <t>52_1_Sea_of_Okhotsk_NE_(1980)</t>
        </is>
      </c>
      <c r="C150" s="11" t="inlineStr">
        <is>
          <t>Isurus</t>
        </is>
      </c>
      <c r="D150" s="10" t="inlineStr">
        <is>
          <t>Mako sharks</t>
        </is>
      </c>
      <c r="E150" s="10" t="inlineStr">
        <is>
          <t>Large sharks (&gt;=90 cm)</t>
        </is>
      </c>
      <c r="F150" s="10" t="inlineStr">
        <is>
          <t>Sharks &amp; rays</t>
        </is>
      </c>
      <c r="G150" s="11" t="inlineStr">
        <is>
          <t>Unresolved</t>
        </is>
      </c>
      <c r="H150" s="12" t="n"/>
      <c r="I150" s="10" t="inlineStr"/>
      <c r="J150" s="15" t="inlineStr">
        <is>
          <t>unresolved</t>
        </is>
      </c>
      <c r="K150" s="10" t="inlineStr">
        <is>
          <t>none</t>
        </is>
      </c>
      <c r="L150" s="11" t="inlineStr">
        <is>
          <t>Mako shark genus; the Okhotsk model has no elasmobranch group. Reviewed: no documented compatible group for this catch label.</t>
        </is>
      </c>
      <c r="M150" s="10" t="n">
        <v>115.673</v>
      </c>
    </row>
    <row r="151" ht="36" customHeight="1">
      <c r="A151" s="10" t="inlineStr">
        <is>
          <t>LME_052</t>
        </is>
      </c>
      <c r="B151" s="11" t="inlineStr">
        <is>
          <t>52_1_Sea_of_Okhotsk_NE_(1980)</t>
        </is>
      </c>
      <c r="C151" s="11" t="inlineStr">
        <is>
          <t>Paralithodes brevipes</t>
        </is>
      </c>
      <c r="D151" s="10" t="inlineStr">
        <is>
          <t>Spiny king crab</t>
        </is>
      </c>
      <c r="E151" s="10" t="inlineStr">
        <is>
          <t>Lobsters, crabs</t>
        </is>
      </c>
      <c r="F151" s="10" t="inlineStr">
        <is>
          <t>Crustaceans</t>
        </is>
      </c>
      <c r="G151" s="11" t="inlineStr">
        <is>
          <t>Crabs and shrimps</t>
        </is>
      </c>
      <c r="H151" s="12" t="n">
        <v>1</v>
      </c>
      <c r="I151" s="10" t="inlineStr">
        <is>
          <t>single</t>
        </is>
      </c>
      <c r="J151" s="14" t="inlineStr">
        <is>
          <t>high</t>
        </is>
      </c>
      <c r="K151" s="10" t="inlineStr">
        <is>
          <t>taxonomic_containment</t>
        </is>
      </c>
      <c r="L151" s="11" t="inlineStr">
        <is>
          <t>Chaikina 2020 Table 1 names Crabs and shrimps; the catch taxon Paralithodes brevipes is within that taxonomic compartment (WoRMS taxonomy checked).</t>
        </is>
      </c>
      <c r="M151" s="10" t="n">
        <v>111.992</v>
      </c>
    </row>
    <row r="152" ht="36" customHeight="1">
      <c r="A152" s="10" t="inlineStr">
        <is>
          <t>LME_052</t>
        </is>
      </c>
      <c r="B152" s="11" t="inlineStr">
        <is>
          <t>52_1_Sea_of_Okhotsk_NE_(1980)</t>
        </is>
      </c>
      <c r="C152" s="11" t="inlineStr">
        <is>
          <t>Metapenaeus</t>
        </is>
      </c>
      <c r="D152" s="10" t="inlineStr">
        <is>
          <t>Indo-Pacific prawns</t>
        </is>
      </c>
      <c r="E152" s="10" t="inlineStr">
        <is>
          <t>Shrimps</t>
        </is>
      </c>
      <c r="F152" s="10" t="inlineStr">
        <is>
          <t>Crustaceans</t>
        </is>
      </c>
      <c r="G152" s="11" t="inlineStr">
        <is>
          <t>Crabs and shrimps</t>
        </is>
      </c>
      <c r="H152" s="12" t="n">
        <v>1</v>
      </c>
      <c r="I152" s="10" t="inlineStr">
        <is>
          <t>single</t>
        </is>
      </c>
      <c r="J152" s="14" t="inlineStr">
        <is>
          <t>high</t>
        </is>
      </c>
      <c r="K152" s="10" t="inlineStr">
        <is>
          <t>taxonomic_containment</t>
        </is>
      </c>
      <c r="L152" s="11" t="inlineStr">
        <is>
          <t>Chaikina 2020 Table 1 names Crabs and shrimps; the catch taxon Metapenaeus is within that taxonomic compartment (WoRMS taxonomy checked).</t>
        </is>
      </c>
      <c r="M152" s="10" t="n">
        <v>78.602</v>
      </c>
    </row>
    <row r="153" ht="36" customHeight="1">
      <c r="A153" s="10" t="inlineStr">
        <is>
          <t>LME_052</t>
        </is>
      </c>
      <c r="B153" s="11" t="inlineStr">
        <is>
          <t>52_1_Sea_of_Okhotsk_NE_(1980)</t>
        </is>
      </c>
      <c r="C153" s="11" t="inlineStr">
        <is>
          <t>Mola mola</t>
        </is>
      </c>
      <c r="D153" s="10" t="inlineStr">
        <is>
          <t>Ocean sunfish</t>
        </is>
      </c>
      <c r="E153" s="10" t="inlineStr">
        <is>
          <t>Large pelagics (&gt;=90 cm)</t>
        </is>
      </c>
      <c r="F153" s="10" t="inlineStr">
        <is>
          <t>Other fishes &amp; inverts</t>
        </is>
      </c>
      <c r="G153" s="11" t="inlineStr">
        <is>
          <t>Unresolved</t>
        </is>
      </c>
      <c r="H153" s="12" t="n"/>
      <c r="I153" s="10" t="inlineStr"/>
      <c r="J153" s="15" t="inlineStr">
        <is>
          <t>unresolved</t>
        </is>
      </c>
      <c r="K153" s="10" t="inlineStr">
        <is>
          <t>none</t>
        </is>
      </c>
      <c r="L153" s="11" t="inlineStr">
        <is>
          <t>Ocean sunfish, an oceanic epipelagic species; no matching group. Reviewed: no documented compatible group for this catch label.</t>
        </is>
      </c>
      <c r="M153" s="10" t="n">
        <v>33.928</v>
      </c>
    </row>
    <row r="154" ht="51" customHeight="1">
      <c r="A154" s="10" t="inlineStr">
        <is>
          <t>LME_052</t>
        </is>
      </c>
      <c r="B154" s="11" t="inlineStr">
        <is>
          <t>52_1_Sea_of_Okhotsk_NE_(1980)</t>
        </is>
      </c>
      <c r="C154" s="11" t="inlineStr">
        <is>
          <t>Magallana gigas</t>
        </is>
      </c>
      <c r="D154" s="10" t="inlineStr">
        <is>
          <t>Pacific cupped oyster</t>
        </is>
      </c>
      <c r="E154" s="10" t="inlineStr">
        <is>
          <t>Other demersal invertebrates</t>
        </is>
      </c>
      <c r="F154" s="10" t="inlineStr">
        <is>
          <t>Molluscs</t>
        </is>
      </c>
      <c r="G154" s="11" t="inlineStr">
        <is>
          <t>2nd level benthos</t>
        </is>
      </c>
      <c r="H154" s="12" t="n">
        <v>1</v>
      </c>
      <c r="I154" s="10" t="inlineStr">
        <is>
          <t>single</t>
        </is>
      </c>
      <c r="J154" s="13" t="inlineStr">
        <is>
          <t>medium</t>
        </is>
      </c>
      <c r="K154" s="10" t="inlineStr">
        <is>
          <t>habitat_size_guild</t>
        </is>
      </c>
      <c r="L154" s="11" t="inlineStr">
        <is>
          <t>Analyst inference: Magallana gigas is a benthic suspension/deposit feeder or grazer, consistent with Chaikina 2020 Table 1 second-level benthos and its basal diet in Table 3; no species member list is supplied.</t>
        </is>
      </c>
      <c r="M154" s="10" t="n">
        <v>25.65</v>
      </c>
    </row>
    <row r="155" ht="36" customHeight="1">
      <c r="A155" s="10" t="inlineStr">
        <is>
          <t>LME_052</t>
        </is>
      </c>
      <c r="B155" s="11" t="inlineStr">
        <is>
          <t>52_1_Sea_of_Okhotsk_NE_(1980)</t>
        </is>
      </c>
      <c r="C155" s="11" t="inlineStr">
        <is>
          <t>Xiphias gladius</t>
        </is>
      </c>
      <c r="D155" s="10" t="inlineStr">
        <is>
          <t>Swordfish</t>
        </is>
      </c>
      <c r="E155" s="10" t="inlineStr">
        <is>
          <t>Large pelagics (&gt;=90 cm)</t>
        </is>
      </c>
      <c r="F155" s="10" t="inlineStr">
        <is>
          <t>Tuna &amp; billfishes</t>
        </is>
      </c>
      <c r="G155" s="11" t="inlineStr">
        <is>
          <t>Unresolved</t>
        </is>
      </c>
      <c r="H155" s="12" t="n"/>
      <c r="I155" s="10" t="inlineStr"/>
      <c r="J155" s="15" t="inlineStr">
        <is>
          <t>unresolved</t>
        </is>
      </c>
      <c r="K155" s="10" t="inlineStr">
        <is>
          <t>none</t>
        </is>
      </c>
      <c r="L155" s="11" t="inlineStr">
        <is>
          <t>Swordfish, an oceanic epipelagic predator; no matching group. Reviewed: no documented compatible group for this catch label.</t>
        </is>
      </c>
      <c r="M155" s="10" t="n">
        <v>7.067</v>
      </c>
    </row>
    <row r="156" ht="36" customHeight="1">
      <c r="A156" s="10" t="inlineStr">
        <is>
          <t>LME_052</t>
        </is>
      </c>
      <c r="B156" s="11" t="inlineStr">
        <is>
          <t>52_1_Sea_of_Okhotsk_NE_(1980)</t>
        </is>
      </c>
      <c r="C156" s="11" t="inlineStr">
        <is>
          <t>Decapterus</t>
        </is>
      </c>
      <c r="D156" s="10" t="inlineStr">
        <is>
          <t>Scads</t>
        </is>
      </c>
      <c r="E156" s="10" t="inlineStr">
        <is>
          <t>Medium pelagics (30 - 89 cm)</t>
        </is>
      </c>
      <c r="F156" s="10" t="inlineStr">
        <is>
          <t>Perch-likes</t>
        </is>
      </c>
      <c r="G156" s="11" t="inlineStr">
        <is>
          <t>Unresolved</t>
        </is>
      </c>
      <c r="H156" s="12" t="n"/>
      <c r="I156" s="10" t="inlineStr"/>
      <c r="J156" s="15" t="inlineStr">
        <is>
          <t>unresolved</t>
        </is>
      </c>
      <c r="K156" s="10" t="inlineStr">
        <is>
          <t>none</t>
        </is>
      </c>
      <c r="L156" s="11" t="inlineStr">
        <is>
          <t>Scad genus, Carangidae, epipelagic; no matching group. Reviewed: no documented compatible group for this catch label.</t>
        </is>
      </c>
      <c r="M156" s="10" t="n">
        <v>6.812</v>
      </c>
    </row>
    <row r="157" ht="36" customHeight="1">
      <c r="A157" s="10" t="inlineStr">
        <is>
          <t>LME_052</t>
        </is>
      </c>
      <c r="B157" s="11" t="inlineStr">
        <is>
          <t>52_1_Sea_of_Okhotsk_NE_(1980)</t>
        </is>
      </c>
      <c r="C157" s="11" t="inlineStr">
        <is>
          <t>Scomberomorus niphonius</t>
        </is>
      </c>
      <c r="D157" s="10" t="inlineStr">
        <is>
          <t>Japanese Spanish mackerel</t>
        </is>
      </c>
      <c r="E157" s="10" t="inlineStr">
        <is>
          <t>Large pelagics (&gt;=90 cm)</t>
        </is>
      </c>
      <c r="F157" s="10" t="inlineStr">
        <is>
          <t>Perch-likes</t>
        </is>
      </c>
      <c r="G157" s="11" t="inlineStr">
        <is>
          <t>Unresolved</t>
        </is>
      </c>
      <c r="H157" s="12" t="n"/>
      <c r="I157" s="10" t="inlineStr"/>
      <c r="J157" s="15" t="inlineStr">
        <is>
          <t>unresolved</t>
        </is>
      </c>
      <c r="K157" s="10" t="inlineStr">
        <is>
          <t>none</t>
        </is>
      </c>
      <c r="L157" s="11" t="inlineStr">
        <is>
          <t>Japanese Spanish mackerel, Scombridae, epipelagic; no matching group. Reviewed: no documented compatible group for this catch label.</t>
        </is>
      </c>
      <c r="M157" s="10" t="n">
        <v>5.272</v>
      </c>
    </row>
    <row r="158" ht="36" customHeight="1">
      <c r="A158" s="10" t="inlineStr">
        <is>
          <t>LME_052</t>
        </is>
      </c>
      <c r="B158" s="11" t="inlineStr">
        <is>
          <t>52_1_Sea_of_Okhotsk_NE_(1980)</t>
        </is>
      </c>
      <c r="C158" s="11" t="inlineStr">
        <is>
          <t>Panulirus</t>
        </is>
      </c>
      <c r="D158" s="10" t="inlineStr">
        <is>
          <t>Spiny lobsters</t>
        </is>
      </c>
      <c r="E158" s="10" t="inlineStr">
        <is>
          <t>Lobsters, crabs</t>
        </is>
      </c>
      <c r="F158" s="10" t="inlineStr">
        <is>
          <t>Crustaceans</t>
        </is>
      </c>
      <c r="G158" s="11" t="inlineStr">
        <is>
          <t>Carnivorous invertebrates</t>
        </is>
      </c>
      <c r="H158" s="12" t="n">
        <v>1</v>
      </c>
      <c r="I158" s="10" t="inlineStr">
        <is>
          <t>single</t>
        </is>
      </c>
      <c r="J158" s="16" t="inlineStr">
        <is>
          <t>low</t>
        </is>
      </c>
      <c r="K158" s="10" t="inlineStr">
        <is>
          <t>analogue</t>
        </is>
      </c>
      <c r="L158" s="11" t="inlineStr">
        <is>
          <t>Spiny lobsters are benthic carnivorous invertebrates; source Crabs and shrimps does not explicitly include lobsters. Residual feeding-guild placement is provisional.</t>
        </is>
      </c>
      <c r="M158" s="10" t="n">
        <v>4.606</v>
      </c>
    </row>
    <row r="159" ht="36" customHeight="1">
      <c r="A159" s="10" t="inlineStr">
        <is>
          <t>LME_052</t>
        </is>
      </c>
      <c r="B159" s="11" t="inlineStr">
        <is>
          <t>52_1_Sea_of_Okhotsk_NE_(1980)</t>
        </is>
      </c>
      <c r="C159" s="11" t="inlineStr">
        <is>
          <t>Rachycentron canadum</t>
        </is>
      </c>
      <c r="D159" s="10" t="inlineStr">
        <is>
          <t>Cobia</t>
        </is>
      </c>
      <c r="E159" s="10" t="inlineStr">
        <is>
          <t>Large pelagics (&gt;=90 cm)</t>
        </is>
      </c>
      <c r="F159" s="10" t="inlineStr">
        <is>
          <t>Perch-likes</t>
        </is>
      </c>
      <c r="G159" s="11" t="inlineStr">
        <is>
          <t>Unresolved</t>
        </is>
      </c>
      <c r="H159" s="12" t="n"/>
      <c r="I159" s="10" t="inlineStr"/>
      <c r="J159" s="15" t="inlineStr">
        <is>
          <t>unresolved</t>
        </is>
      </c>
      <c r="K159" s="10" t="inlineStr">
        <is>
          <t>none</t>
        </is>
      </c>
      <c r="L159" s="11" t="inlineStr">
        <is>
          <t>Cobia, a warm-water coastal/pelagic species; no matching group. Reviewed: no documented compatible group for this catch label.</t>
        </is>
      </c>
      <c r="M159" s="10" t="n">
        <v>2.341</v>
      </c>
    </row>
    <row r="160" ht="51" customHeight="1">
      <c r="A160" s="10" t="inlineStr">
        <is>
          <t>LME_052</t>
        </is>
      </c>
      <c r="B160" s="11" t="inlineStr">
        <is>
          <t>52_1_Sea_of_Okhotsk_NE_(1980)</t>
        </is>
      </c>
      <c r="C160" s="11" t="inlineStr">
        <is>
          <t>Coregonus</t>
        </is>
      </c>
      <c r="D160" s="10" t="inlineStr">
        <is>
          <t>Whitefishes</t>
        </is>
      </c>
      <c r="E160" s="10" t="inlineStr">
        <is>
          <t>Medium pelagics (30 - 89 cm)</t>
        </is>
      </c>
      <c r="F160" s="10" t="inlineStr">
        <is>
          <t>Salmon, smelts, etc</t>
        </is>
      </c>
      <c r="G160" s="11" t="inlineStr">
        <is>
          <t>Unresolved</t>
        </is>
      </c>
      <c r="H160" s="12" t="n"/>
      <c r="I160" s="10" t="inlineStr"/>
      <c r="J160" s="15" t="inlineStr">
        <is>
          <t>unresolved</t>
        </is>
      </c>
      <c r="K160" s="10" t="inlineStr">
        <is>
          <t>none</t>
        </is>
      </c>
      <c r="L160" s="11" t="inlineStr">
        <is>
          <t>The source names Salmon but does not document char or whitefish membership; their potentially anadromous/freshwater component cannot be assigned to Pacific salmon without evidence. Reviewed: no documented compatible group for this catch label.</t>
        </is>
      </c>
      <c r="M160" s="10" t="n">
        <v>1.999</v>
      </c>
    </row>
    <row r="161" ht="51" customHeight="1">
      <c r="A161" s="10" t="inlineStr">
        <is>
          <t>LME_052</t>
        </is>
      </c>
      <c r="B161" s="11" t="inlineStr">
        <is>
          <t>52_1_Sea_of_Okhotsk_NE_(1980)</t>
        </is>
      </c>
      <c r="C161" s="11" t="inlineStr">
        <is>
          <t>Haliotis</t>
        </is>
      </c>
      <c r="D161" s="10" t="inlineStr">
        <is>
          <t>Abalones</t>
        </is>
      </c>
      <c r="E161" s="10" t="inlineStr">
        <is>
          <t>Other demersal invertebrates</t>
        </is>
      </c>
      <c r="F161" s="10" t="inlineStr">
        <is>
          <t>Molluscs</t>
        </is>
      </c>
      <c r="G161" s="11" t="inlineStr">
        <is>
          <t>2nd level benthos</t>
        </is>
      </c>
      <c r="H161" s="12" t="n">
        <v>1</v>
      </c>
      <c r="I161" s="10" t="inlineStr">
        <is>
          <t>single</t>
        </is>
      </c>
      <c r="J161" s="13" t="inlineStr">
        <is>
          <t>medium</t>
        </is>
      </c>
      <c r="K161" s="10" t="inlineStr">
        <is>
          <t>habitat_size_guild</t>
        </is>
      </c>
      <c r="L161" s="11" t="inlineStr">
        <is>
          <t>Analyst inference: Haliotis is a benthic suspension/deposit feeder or grazer, consistent with Chaikina 2020 Table 1 second-level benthos and its basal diet in Table 3; no species member list is supplied.</t>
        </is>
      </c>
      <c r="M161" s="10" t="n">
        <v>1.196</v>
      </c>
    </row>
    <row r="162" ht="36" customHeight="1">
      <c r="A162" s="10" t="inlineStr">
        <is>
          <t>LME_052</t>
        </is>
      </c>
      <c r="B162" s="11" t="inlineStr">
        <is>
          <t>52_1_Sea_of_Okhotsk_NE_(1980)</t>
        </is>
      </c>
      <c r="C162" s="11" t="inlineStr">
        <is>
          <t>Seriola dumerili</t>
        </is>
      </c>
      <c r="D162" s="10" t="inlineStr">
        <is>
          <t>Greater amberjack</t>
        </is>
      </c>
      <c r="E162" s="10" t="inlineStr">
        <is>
          <t>Large reef assoc. fish (&gt;=90 cm)</t>
        </is>
      </c>
      <c r="F162" s="10" t="inlineStr">
        <is>
          <t>Perch-likes</t>
        </is>
      </c>
      <c r="G162" s="11" t="inlineStr">
        <is>
          <t>Unresolved</t>
        </is>
      </c>
      <c r="H162" s="12" t="n"/>
      <c r="I162" s="10" t="inlineStr"/>
      <c r="J162" s="15" t="inlineStr">
        <is>
          <t>unresolved</t>
        </is>
      </c>
      <c r="K162" s="10" t="inlineStr">
        <is>
          <t>none</t>
        </is>
      </c>
      <c r="L162" s="11" t="inlineStr">
        <is>
          <t>Greater amberjack, Carangidae, warm-water; no matching group. Reviewed: no documented compatible group for this catch label.</t>
        </is>
      </c>
      <c r="M162" s="10" t="n">
        <v>1.059</v>
      </c>
    </row>
    <row r="163" ht="36" customHeight="1">
      <c r="A163" s="10" t="inlineStr">
        <is>
          <t>LME_052</t>
        </is>
      </c>
      <c r="B163" s="11" t="inlineStr">
        <is>
          <t>52_1_Sea_of_Okhotsk_NE_(1980)</t>
        </is>
      </c>
      <c r="C163" s="11" t="inlineStr">
        <is>
          <t>Saurida</t>
        </is>
      </c>
      <c r="D163" s="10" t="inlineStr">
        <is>
          <t>Lizardfishes</t>
        </is>
      </c>
      <c r="E163" s="10" t="inlineStr">
        <is>
          <t>Medium demersals (30 - 89 cm)</t>
        </is>
      </c>
      <c r="F163" s="10" t="inlineStr">
        <is>
          <t>Other fishes &amp; inverts</t>
        </is>
      </c>
      <c r="G163" s="11" t="inlineStr">
        <is>
          <t>Unresolved</t>
        </is>
      </c>
      <c r="H163" s="12" t="n"/>
      <c r="I163" s="10" t="inlineStr"/>
      <c r="J163" s="15" t="inlineStr">
        <is>
          <t>unresolved</t>
        </is>
      </c>
      <c r="K163" s="10" t="inlineStr">
        <is>
          <t>none</t>
        </is>
      </c>
      <c r="L163" s="11" t="inlineStr">
        <is>
          <t>Lizardfish genus, Synodontidae, warm-water demersal; no matching group. Reviewed: no documented compatible group for this catch label.</t>
        </is>
      </c>
      <c r="M163" s="10" t="n">
        <v>1.048</v>
      </c>
    </row>
    <row r="164" ht="36" customHeight="1">
      <c r="A164" s="10" t="inlineStr">
        <is>
          <t>LME_052</t>
        </is>
      </c>
      <c r="B164" s="11" t="inlineStr">
        <is>
          <t>52_1_Sea_of_Okhotsk_NE_(1980)</t>
        </is>
      </c>
      <c r="C164" s="11" t="inlineStr">
        <is>
          <t>Prionace glauca</t>
        </is>
      </c>
      <c r="D164" s="10" t="inlineStr">
        <is>
          <t>Blue shark</t>
        </is>
      </c>
      <c r="E164" s="10" t="inlineStr">
        <is>
          <t>Large sharks (&gt;=90 cm)</t>
        </is>
      </c>
      <c r="F164" s="10" t="inlineStr">
        <is>
          <t>Sharks &amp; rays</t>
        </is>
      </c>
      <c r="G164" s="11" t="inlineStr">
        <is>
          <t>Unresolved</t>
        </is>
      </c>
      <c r="H164" s="12" t="n"/>
      <c r="I164" s="10" t="inlineStr"/>
      <c r="J164" s="15" t="inlineStr">
        <is>
          <t>unresolved</t>
        </is>
      </c>
      <c r="K164" s="10" t="inlineStr">
        <is>
          <t>none</t>
        </is>
      </c>
      <c r="L164" s="11" t="inlineStr">
        <is>
          <t>Blue shark; the Okhotsk model has no elasmobranch group. Reviewed: no documented compatible group for this catch label.</t>
        </is>
      </c>
      <c r="M164" s="10" t="n">
        <v>0.959</v>
      </c>
    </row>
    <row r="165" ht="51" customHeight="1">
      <c r="A165" s="10" t="inlineStr">
        <is>
          <t>LME_052</t>
        </is>
      </c>
      <c r="B165" s="11" t="inlineStr">
        <is>
          <t>52_1_Sea_of_Okhotsk_NE_(1980)</t>
        </is>
      </c>
      <c r="C165" s="11" t="inlineStr">
        <is>
          <t>Echinozoa</t>
        </is>
      </c>
      <c r="D165" s="10" t="inlineStr">
        <is>
          <t>Sea urchins and sea cucumbers</t>
        </is>
      </c>
      <c r="E165" s="10" t="inlineStr">
        <is>
          <t>Other demersal invertebrates</t>
        </is>
      </c>
      <c r="F165" s="10" t="inlineStr">
        <is>
          <t>Other fishes &amp; inverts</t>
        </is>
      </c>
      <c r="G165" s="11" t="inlineStr">
        <is>
          <t>2nd level benthos</t>
        </is>
      </c>
      <c r="H165" s="12" t="n">
        <v>1</v>
      </c>
      <c r="I165" s="10" t="inlineStr">
        <is>
          <t>single</t>
        </is>
      </c>
      <c r="J165" s="13" t="inlineStr">
        <is>
          <t>medium</t>
        </is>
      </c>
      <c r="K165" s="10" t="inlineStr">
        <is>
          <t>habitat_size_guild</t>
        </is>
      </c>
      <c r="L165" s="11" t="inlineStr">
        <is>
          <t>Analyst inference: Echinozoa is a benthic suspension/deposit feeder or grazer, consistent with Chaikina 2020 Table 1 second-level benthos and its basal diet in Table 3; no species member list is supplied.</t>
        </is>
      </c>
      <c r="M165" s="10" t="n">
        <v>0.092</v>
      </c>
    </row>
    <row r="166" ht="36" customHeight="1">
      <c r="A166" s="10" t="inlineStr">
        <is>
          <t>LME_052</t>
        </is>
      </c>
      <c r="B166" s="11" t="inlineStr">
        <is>
          <t>52_1_Sea_of_Okhotsk_NE_(1980)</t>
        </is>
      </c>
      <c r="C166" s="11" t="inlineStr">
        <is>
          <t>Lates calcarifer</t>
        </is>
      </c>
      <c r="D166" s="10" t="inlineStr">
        <is>
          <t>Barramundi</t>
        </is>
      </c>
      <c r="E166" s="10" t="inlineStr">
        <is>
          <t>Large demersals (&gt;=90 cm)</t>
        </is>
      </c>
      <c r="F166" s="10" t="inlineStr">
        <is>
          <t>Perch-likes</t>
        </is>
      </c>
      <c r="G166" s="11" t="inlineStr">
        <is>
          <t>Unresolved</t>
        </is>
      </c>
      <c r="H166" s="12" t="n"/>
      <c r="I166" s="10" t="inlineStr"/>
      <c r="J166" s="15" t="inlineStr">
        <is>
          <t>unresolved</t>
        </is>
      </c>
      <c r="K166" s="10" t="inlineStr">
        <is>
          <t>none</t>
        </is>
      </c>
      <c r="L166" s="11" t="inlineStr">
        <is>
          <t>Barramundi, a tropical estuarine species; no matching group. Reviewed: no documented compatible group for this catch label.</t>
        </is>
      </c>
      <c r="M166" s="10" t="n">
        <v>0.038</v>
      </c>
    </row>
    <row r="167" ht="36" customHeight="1">
      <c r="A167" s="10" t="inlineStr">
        <is>
          <t>LME_052</t>
        </is>
      </c>
      <c r="B167" s="11" t="inlineStr">
        <is>
          <t>52_1_Sea_of_Okhotsk_NE_(1980)</t>
        </is>
      </c>
      <c r="C167" s="11" t="inlineStr">
        <is>
          <t>Rhopilema hispidum</t>
        </is>
      </c>
      <c r="D167" s="10" t="inlineStr">
        <is>
          <t>Sand jellyfish</t>
        </is>
      </c>
      <c r="E167" s="10" t="inlineStr">
        <is>
          <t>Jellyfish</t>
        </is>
      </c>
      <c r="F167" s="10" t="inlineStr">
        <is>
          <t>Other fishes &amp; inverts</t>
        </is>
      </c>
      <c r="G167" s="11" t="inlineStr">
        <is>
          <t>Jellyfish</t>
        </is>
      </c>
      <c r="H167" s="12" t="n">
        <v>1</v>
      </c>
      <c r="I167" s="10" t="inlineStr">
        <is>
          <t>single</t>
        </is>
      </c>
      <c r="J167" s="14" t="inlineStr">
        <is>
          <t>high</t>
        </is>
      </c>
      <c r="K167" s="10" t="inlineStr">
        <is>
          <t>taxonomic_containment</t>
        </is>
      </c>
      <c r="L167" s="11" t="inlineStr">
        <is>
          <t>Chaikina 2020 Table 1 names Jellyfish; the catch taxon Rhopilema hispidum is within that taxonomic compartment (WoRMS taxonomy checked).</t>
        </is>
      </c>
      <c r="M167" s="10" t="n">
        <v>0.014</v>
      </c>
    </row>
    <row r="168" ht="36" customHeight="1">
      <c r="A168" s="10" t="inlineStr">
        <is>
          <t>LME_052</t>
        </is>
      </c>
      <c r="B168" s="11" t="inlineStr">
        <is>
          <t>52_1_Sea_of_Okhotsk_NE_(1980)</t>
        </is>
      </c>
      <c r="C168" s="11" t="inlineStr">
        <is>
          <t>Scaridae</t>
        </is>
      </c>
      <c r="D168" s="10" t="inlineStr">
        <is>
          <t>Parrotfishes</t>
        </is>
      </c>
      <c r="E168" s="10" t="inlineStr">
        <is>
          <t>Medium reef assoc. fish (30 - 89 cm)</t>
        </is>
      </c>
      <c r="F168" s="10" t="inlineStr">
        <is>
          <t>Perch-likes</t>
        </is>
      </c>
      <c r="G168" s="11" t="inlineStr">
        <is>
          <t>Unresolved</t>
        </is>
      </c>
      <c r="H168" s="12" t="n"/>
      <c r="I168" s="10" t="inlineStr"/>
      <c r="J168" s="15" t="inlineStr">
        <is>
          <t>unresolved</t>
        </is>
      </c>
      <c r="K168" s="10" t="inlineStr">
        <is>
          <t>none</t>
        </is>
      </c>
      <c r="L168" s="11" t="inlineStr">
        <is>
          <t>Parrotfish family, tropical reef-associated; no matching group. Reviewed: no documented compatible group for this catch label.</t>
        </is>
      </c>
      <c r="M168" s="10" t="n">
        <v>0.01</v>
      </c>
    </row>
    <row r="169" ht="36" customHeight="1">
      <c r="A169" s="10" t="inlineStr">
        <is>
          <t>LME_052</t>
        </is>
      </c>
      <c r="B169" s="11" t="inlineStr">
        <is>
          <t>52_1_Sea_of_Okhotsk_NE_(1980)</t>
        </is>
      </c>
      <c r="C169" s="11" t="inlineStr">
        <is>
          <t>Rachycentridae</t>
        </is>
      </c>
      <c r="D169" s="10" t="inlineStr">
        <is>
          <t>Cobias</t>
        </is>
      </c>
      <c r="E169" s="10" t="inlineStr">
        <is>
          <t>Large pelagics (&gt;=90 cm)</t>
        </is>
      </c>
      <c r="F169" s="10" t="inlineStr">
        <is>
          <t>Perch-likes</t>
        </is>
      </c>
      <c r="G169" s="11" t="inlineStr">
        <is>
          <t>Unresolved</t>
        </is>
      </c>
      <c r="H169" s="12" t="n"/>
      <c r="I169" s="10" t="inlineStr"/>
      <c r="J169" s="15" t="inlineStr">
        <is>
          <t>unresolved</t>
        </is>
      </c>
      <c r="K169" s="10" t="inlineStr">
        <is>
          <t>none</t>
        </is>
      </c>
      <c r="L169" s="11" t="inlineStr">
        <is>
          <t>Cobia family, warm-water; no matching group. Reviewed: no documented compatible group for this catch label.</t>
        </is>
      </c>
      <c r="M169" s="10" t="n">
        <v>0.007</v>
      </c>
    </row>
    <row r="170" ht="36" customHeight="1">
      <c r="A170" s="10" t="inlineStr">
        <is>
          <t>LME_052</t>
        </is>
      </c>
      <c r="B170" s="11" t="inlineStr">
        <is>
          <t>52_1_Sea_of_Okhotsk_NE_(1980)</t>
        </is>
      </c>
      <c r="C170" s="11" t="inlineStr">
        <is>
          <t>Chanos chanos</t>
        </is>
      </c>
      <c r="D170" s="10" t="inlineStr">
        <is>
          <t>Milkfish</t>
        </is>
      </c>
      <c r="E170" s="10" t="inlineStr">
        <is>
          <t>Large benthopelagics (&gt;=90 cm)</t>
        </is>
      </c>
      <c r="F170" s="10" t="inlineStr">
        <is>
          <t>Other fishes &amp; inverts</t>
        </is>
      </c>
      <c r="G170" s="11" t="inlineStr">
        <is>
          <t>Unresolved</t>
        </is>
      </c>
      <c r="H170" s="12" t="n"/>
      <c r="I170" s="10" t="inlineStr"/>
      <c r="J170" s="15" t="inlineStr">
        <is>
          <t>unresolved</t>
        </is>
      </c>
      <c r="K170" s="10" t="inlineStr">
        <is>
          <t>none</t>
        </is>
      </c>
      <c r="L170" s="11" t="inlineStr">
        <is>
          <t>Milkfish, a tropical species; no matching group. Reviewed: no documented compatible group for this catch label.</t>
        </is>
      </c>
      <c r="M170" s="10" t="n">
        <v>0.005</v>
      </c>
    </row>
    <row r="171" ht="51" customHeight="1">
      <c r="A171" s="10" t="inlineStr">
        <is>
          <t>LME_052</t>
        </is>
      </c>
      <c r="B171" s="11" t="inlineStr">
        <is>
          <t>52_1_Sea_of_Okhotsk_NE_(1980)</t>
        </is>
      </c>
      <c r="C171" s="11" t="inlineStr">
        <is>
          <t>Pinctada</t>
        </is>
      </c>
      <c r="D171" s="10" t="inlineStr">
        <is>
          <t>Mother of pearl oysters</t>
        </is>
      </c>
      <c r="E171" s="10" t="inlineStr">
        <is>
          <t>Other demersal invertebrates</t>
        </is>
      </c>
      <c r="F171" s="10" t="inlineStr">
        <is>
          <t>Molluscs</t>
        </is>
      </c>
      <c r="G171" s="11" t="inlineStr">
        <is>
          <t>2nd level benthos</t>
        </is>
      </c>
      <c r="H171" s="12" t="n">
        <v>1</v>
      </c>
      <c r="I171" s="10" t="inlineStr">
        <is>
          <t>single</t>
        </is>
      </c>
      <c r="J171" s="13" t="inlineStr">
        <is>
          <t>medium</t>
        </is>
      </c>
      <c r="K171" s="10" t="inlineStr">
        <is>
          <t>habitat_size_guild</t>
        </is>
      </c>
      <c r="L171" s="11" t="inlineStr">
        <is>
          <t>Analyst inference: Pinctada is a benthic suspension/deposit feeder or grazer, consistent with Chaikina 2020 Table 1 second-level benthos and its basal diet in Table 3; no species member list is supplied.</t>
        </is>
      </c>
      <c r="M171" s="10" t="n">
        <v>0.001</v>
      </c>
    </row>
    <row r="172" ht="36" customHeight="1">
      <c r="A172" s="10" t="inlineStr">
        <is>
          <t>LME_052</t>
        </is>
      </c>
      <c r="B172" s="11" t="inlineStr">
        <is>
          <t>52_1_Sea_of_Okhotsk_NE_(1980)</t>
        </is>
      </c>
      <c r="C172" s="11" t="inlineStr">
        <is>
          <t>Scombroidei</t>
        </is>
      </c>
      <c r="D172" s="10" t="inlineStr">
        <is>
          <t>Tunas, bonitos, billfishes</t>
        </is>
      </c>
      <c r="E172" s="10" t="inlineStr">
        <is>
          <t>Large pelagics (&gt;=90 cm)</t>
        </is>
      </c>
      <c r="F172" s="10" t="inlineStr">
        <is>
          <t>Tuna &amp; billfishes</t>
        </is>
      </c>
      <c r="G172" s="11" t="inlineStr">
        <is>
          <t>Unresolved</t>
        </is>
      </c>
      <c r="H172" s="12" t="n"/>
      <c r="I172" s="10" t="inlineStr"/>
      <c r="J172" s="15" t="inlineStr">
        <is>
          <t>unresolved</t>
        </is>
      </c>
      <c r="K172" s="10" t="inlineStr">
        <is>
          <t>none</t>
        </is>
      </c>
      <c r="L172" s="11" t="inlineStr">
        <is>
          <t>Tuna/bonito/billfish suborder, oceanic epipelagic; no matching group. Reviewed: no documented compatible group for this catch label.</t>
        </is>
      </c>
      <c r="M172" s="10" t="n">
        <v>0.001</v>
      </c>
    </row>
    <row r="173" ht="36" customHeight="1">
      <c r="A173" s="10" t="inlineStr">
        <is>
          <t>LME_052</t>
        </is>
      </c>
      <c r="B173" s="11" t="inlineStr">
        <is>
          <t>52_1_Sea_of_Okhotsk_NE_(1980)</t>
        </is>
      </c>
      <c r="C173" s="11" t="inlineStr">
        <is>
          <t>Sphyraena barracuda</t>
        </is>
      </c>
      <c r="D173" s="10" t="inlineStr">
        <is>
          <t>Great barracuda</t>
        </is>
      </c>
      <c r="E173" s="10" t="inlineStr">
        <is>
          <t>Large pelagics (&gt;=90 cm)</t>
        </is>
      </c>
      <c r="F173" s="10" t="inlineStr">
        <is>
          <t>Perch-likes</t>
        </is>
      </c>
      <c r="G173" s="11" t="inlineStr">
        <is>
          <t>Unresolved</t>
        </is>
      </c>
      <c r="H173" s="12" t="n"/>
      <c r="I173" s="10" t="inlineStr"/>
      <c r="J173" s="15" t="inlineStr">
        <is>
          <t>unresolved</t>
        </is>
      </c>
      <c r="K173" s="10" t="inlineStr">
        <is>
          <t>none</t>
        </is>
      </c>
      <c r="L173" s="11" t="inlineStr">
        <is>
          <t>Great barracuda, a tropical/warm-temperate species; no matching group. Reviewed: no documented compatible group for this catch label.</t>
        </is>
      </c>
      <c r="M173" s="10" t="n">
        <v>0</v>
      </c>
    </row>
    <row r="174" ht="36" customHeight="1">
      <c r="A174" s="10" t="inlineStr">
        <is>
          <t>LME_052</t>
        </is>
      </c>
      <c r="B174" s="11" t="inlineStr">
        <is>
          <t>52_1_Sea_of_Okhotsk_NE_(1980)</t>
        </is>
      </c>
      <c r="C174" s="11" t="inlineStr">
        <is>
          <t>Isurus oxyrinchus</t>
        </is>
      </c>
      <c r="D174" s="10" t="inlineStr">
        <is>
          <t>Shortfin mako</t>
        </is>
      </c>
      <c r="E174" s="10" t="inlineStr">
        <is>
          <t>Large sharks (&gt;=90 cm)</t>
        </is>
      </c>
      <c r="F174" s="10" t="inlineStr">
        <is>
          <t>Sharks &amp; rays</t>
        </is>
      </c>
      <c r="G174" s="11" t="inlineStr">
        <is>
          <t>Unresolved</t>
        </is>
      </c>
      <c r="H174" s="12" t="n"/>
      <c r="I174" s="10" t="inlineStr"/>
      <c r="J174" s="15" t="inlineStr">
        <is>
          <t>unresolved</t>
        </is>
      </c>
      <c r="K174" s="10" t="inlineStr">
        <is>
          <t>none</t>
        </is>
      </c>
      <c r="L174" s="11" t="inlineStr">
        <is>
          <t>Shortfin mako; the Okhotsk model has no elasmobranch group. Reviewed: no documented compatible group for this catch label.</t>
        </is>
      </c>
      <c r="M174" s="10" t="n">
        <v>0</v>
      </c>
    </row>
  </sheetData>
  <autoFilter ref="A4:M1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55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4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</cols>
  <sheetData>
    <row r="1">
      <c r="A1" s="1" t="inlineStr">
        <is>
          <t>Specific PPR per taxon — LME_052, model 52_1_Sea_of_Okhotsk_NE_(1980)</t>
        </is>
      </c>
    </row>
    <row r="2">
      <c r="A2" t="inlineStr">
        <is>
          <t>sppr_simple is the trophic-chain estimate (1/TE)^(TL-1) at TE=0.1, applied to the taxon's own trophic level and needing no model.</t>
        </is>
      </c>
    </row>
    <row r="3">
      <c r="A3" t="inlineStr">
        <is>
          <t>All basal sources, including imports. Blank means unavailable, not zero. sppr_simple is an unpartitioned reference.</t>
        </is>
      </c>
    </row>
    <row r="4">
      <c r="A4" s="4" t="inlineStr">
        <is>
          <t>taxon</t>
        </is>
      </c>
      <c r="B4" s="4" t="inlineStr">
        <is>
          <t>trophic_level</t>
        </is>
      </c>
      <c r="C4" s="4" t="inlineStr">
        <is>
          <t>sppr_simple</t>
        </is>
      </c>
      <c r="D4" s="4" t="inlineStr">
        <is>
          <t>Ecopath group</t>
        </is>
      </c>
      <c r="E4" s="4" t="inlineStr">
        <is>
          <t>SPPR_1986</t>
        </is>
      </c>
      <c r="F4" s="4" t="inlineStr">
        <is>
          <t>SPPR_1995_TE0.1</t>
        </is>
      </c>
      <c r="G4" s="4" t="inlineStr">
        <is>
          <t>SPPR_1995_TEmean</t>
        </is>
      </c>
      <c r="H4" s="4" t="inlineStr">
        <is>
          <t>Ulanowicz_globalTEmean</t>
        </is>
      </c>
      <c r="I4" s="4" t="inlineStr">
        <is>
          <t>Ulanowicz_TE</t>
        </is>
      </c>
      <c r="J4" s="4" t="inlineStr">
        <is>
          <t>EwE_TE_noEE</t>
        </is>
      </c>
      <c r="K4" s="4" t="inlineStr">
        <is>
          <t>EwE_TE_EE</t>
        </is>
      </c>
      <c r="L4" s="4" t="inlineStr">
        <is>
          <t>SPPR_2015</t>
        </is>
      </c>
      <c r="M4" s="4" t="inlineStr">
        <is>
          <t>new_TE_noEEfix</t>
        </is>
      </c>
      <c r="N4" s="4" t="inlineStr">
        <is>
          <t>new_TE_EEfix</t>
        </is>
      </c>
      <c r="O4" s="4" t="inlineStr">
        <is>
          <t>new_GE</t>
        </is>
      </c>
      <c r="P4" s="4" t="inlineStr">
        <is>
          <t>new_WithEgestion</t>
        </is>
      </c>
      <c r="Q4" s="4" t="inlineStr">
        <is>
          <t>sym_TE_asPP</t>
        </is>
      </c>
      <c r="R4" s="4" t="inlineStr">
        <is>
          <t>sym_TE_asDC</t>
        </is>
      </c>
      <c r="S4" s="4" t="inlineStr">
        <is>
          <t>sym_GE_asPP</t>
        </is>
      </c>
      <c r="T4" s="4" t="inlineStr">
        <is>
          <t>sym_GE_asDC</t>
        </is>
      </c>
      <c r="U4" s="4" t="inlineStr">
        <is>
          <t>sym_WithEgestion_asPP</t>
        </is>
      </c>
      <c r="V4" s="4" t="inlineStr">
        <is>
          <t>sym_WithEgestion_asDC</t>
        </is>
      </c>
      <c r="W4" s="4" t="inlineStr">
        <is>
          <t>MC_new_GE</t>
        </is>
      </c>
      <c r="X4" s="4" t="inlineStr">
        <is>
          <t>MC_new_TE_EEfix</t>
        </is>
      </c>
    </row>
    <row r="5" ht="21" customHeight="1">
      <c r="A5" t="inlineStr">
        <is>
          <t>Gadus chalcogrammus</t>
        </is>
      </c>
      <c r="B5" t="n">
        <v>3.57</v>
      </c>
      <c r="C5" t="n">
        <v>371.535229</v>
      </c>
      <c r="D5" s="11" t="inlineStr">
        <is>
          <t>Walleye pollock | Juv. pollock</t>
        </is>
      </c>
      <c r="E5" t="n">
        <v>0</v>
      </c>
      <c r="F5" t="n">
        <v>456.532042</v>
      </c>
      <c r="G5" t="n">
        <v>83.5192</v>
      </c>
      <c r="H5" t="n">
        <v>140.257508</v>
      </c>
      <c r="I5" t="n">
        <v>874.701913</v>
      </c>
      <c r="J5" t="n">
        <v>877.262755</v>
      </c>
      <c r="K5" t="n">
        <v>875.9442299999999</v>
      </c>
      <c r="L5" t="n">
        <v>2360.776945</v>
      </c>
      <c r="M5" t="n">
        <v>2360.776945</v>
      </c>
      <c r="N5" t="n">
        <v>2398.372875</v>
      </c>
      <c r="O5" t="n">
        <v>1280.348462</v>
      </c>
      <c r="P5" t="n">
        <v>394.598659</v>
      </c>
      <c r="Q5" t="n">
        <v>2398.372875</v>
      </c>
      <c r="R5" t="n">
        <v>2360.776945</v>
      </c>
      <c r="S5" t="n">
        <v>1280.348462</v>
      </c>
      <c r="T5" t="n">
        <v>1280.348462</v>
      </c>
      <c r="U5" t="n">
        <v>394.598659</v>
      </c>
      <c r="V5" t="n">
        <v>394.598659</v>
      </c>
      <c r="W5" t="n">
        <v>1718.517463</v>
      </c>
      <c r="X5" t="n">
        <v>2542.619715</v>
      </c>
    </row>
    <row r="6" ht="21" customHeight="1">
      <c r="A6" t="inlineStr">
        <is>
          <t>Clupea pallasii</t>
        </is>
      </c>
      <c r="B6" t="n">
        <v>3.16</v>
      </c>
      <c r="C6" t="n">
        <v>144.543977</v>
      </c>
      <c r="D6" s="11" t="inlineStr">
        <is>
          <t>Pacific herring</t>
        </is>
      </c>
      <c r="E6" t="n">
        <v>0</v>
      </c>
      <c r="F6" t="n">
        <v>614.061386</v>
      </c>
      <c r="G6" t="n">
        <v>103.481369</v>
      </c>
      <c r="H6" t="n">
        <v>102.762126</v>
      </c>
      <c r="I6" t="n">
        <v>206.633066</v>
      </c>
      <c r="J6" t="n">
        <v>206.633066</v>
      </c>
      <c r="K6" t="n">
        <v>166.752884</v>
      </c>
      <c r="L6" t="n">
        <v>674.695058</v>
      </c>
      <c r="M6" t="n">
        <v>674.695058</v>
      </c>
      <c r="N6" t="n">
        <v>685.237148</v>
      </c>
      <c r="O6" t="n">
        <v>543.540581</v>
      </c>
      <c r="P6" t="n">
        <v>184.067328</v>
      </c>
      <c r="Q6" t="n">
        <v>685.237148</v>
      </c>
      <c r="R6" t="n">
        <v>674.695058</v>
      </c>
      <c r="S6" t="n">
        <v>543.540581</v>
      </c>
      <c r="T6" t="n">
        <v>543.540581</v>
      </c>
      <c r="U6" t="n">
        <v>184.067328</v>
      </c>
      <c r="V6" t="n">
        <v>184.067328</v>
      </c>
      <c r="W6" t="n">
        <v>701.579329</v>
      </c>
      <c r="X6" t="n">
        <v>748.502657</v>
      </c>
    </row>
    <row r="7" ht="51" customHeight="1">
      <c r="A7" t="inlineStr">
        <is>
          <t>Marine fishes not identified</t>
        </is>
      </c>
      <c r="B7" t="n">
        <v>3.28</v>
      </c>
      <c r="C7" t="n">
        <v>190.546072</v>
      </c>
      <c r="D7" s="11" t="inlineStr">
        <is>
          <t>Other bottom fishes | Other Gadidae | Cottidae | Pleuronectidae</t>
        </is>
      </c>
      <c r="E7" t="n">
        <v>0</v>
      </c>
      <c r="F7" t="n">
        <v>543.741533</v>
      </c>
      <c r="G7" t="n">
        <v>93.693872</v>
      </c>
      <c r="H7" t="n">
        <v>233.024916</v>
      </c>
      <c r="I7" t="n">
        <v>3717.037561</v>
      </c>
      <c r="J7" t="n">
        <v>4576.95571</v>
      </c>
      <c r="K7" t="n">
        <v>1766.478285</v>
      </c>
      <c r="L7" t="n">
        <v>-220473.706559</v>
      </c>
      <c r="M7" t="n">
        <v>-220473.706559</v>
      </c>
      <c r="N7" t="n">
        <v>-224113.066944</v>
      </c>
      <c r="O7" t="n">
        <v>9426.429819000001</v>
      </c>
      <c r="P7" t="n">
        <v>1064.654543</v>
      </c>
      <c r="Q7" t="n">
        <v>-224113.066944</v>
      </c>
      <c r="R7" t="n">
        <v>-220473.706559</v>
      </c>
      <c r="S7" t="n">
        <v>9426.429819000001</v>
      </c>
      <c r="T7" t="n">
        <v>9426.429819000001</v>
      </c>
      <c r="U7" t="n">
        <v>1064.654543</v>
      </c>
      <c r="V7" t="n">
        <v>1064.654543</v>
      </c>
      <c r="W7" t="n">
        <v>33749.645741</v>
      </c>
      <c r="X7" t="n">
        <v>782832.189582</v>
      </c>
    </row>
    <row r="8" ht="21" customHeight="1">
      <c r="A8" t="inlineStr">
        <is>
          <t>Oncorhynchus gorbuscha</t>
        </is>
      </c>
      <c r="B8" t="n">
        <v>4.49</v>
      </c>
      <c r="C8" t="n">
        <v>3090.295433</v>
      </c>
      <c r="D8" s="11" t="inlineStr">
        <is>
          <t>Salmon</t>
        </is>
      </c>
      <c r="E8" t="n">
        <v>0</v>
      </c>
      <c r="F8" t="n">
        <v>537.793674</v>
      </c>
      <c r="G8" t="n">
        <v>94.02452599999999</v>
      </c>
      <c r="H8" t="n">
        <v>104.598466</v>
      </c>
      <c r="I8" t="n">
        <v>157.17606</v>
      </c>
      <c r="J8" t="n">
        <v>157.620728</v>
      </c>
      <c r="K8" t="n">
        <v>47.759081</v>
      </c>
      <c r="L8" t="n">
        <v>685.4069909999999</v>
      </c>
      <c r="M8" t="n">
        <v>685.4069909999999</v>
      </c>
      <c r="N8" t="n">
        <v>696.719298</v>
      </c>
      <c r="O8" t="n">
        <v>75.247908</v>
      </c>
      <c r="P8" t="n">
        <v>24.548027</v>
      </c>
      <c r="Q8" t="n">
        <v>696.719298</v>
      </c>
      <c r="R8" t="n">
        <v>685.4069909999999</v>
      </c>
      <c r="S8" t="n">
        <v>75.247908</v>
      </c>
      <c r="T8" t="n">
        <v>75.247908</v>
      </c>
      <c r="U8" t="n">
        <v>24.548027</v>
      </c>
      <c r="V8" t="n">
        <v>24.548027</v>
      </c>
      <c r="W8" t="n">
        <v>98.758639</v>
      </c>
      <c r="X8" t="n">
        <v>768.315028</v>
      </c>
    </row>
    <row r="9" ht="21" customHeight="1">
      <c r="A9" t="inlineStr">
        <is>
          <t>Sardinops sagax</t>
        </is>
      </c>
      <c r="B9" t="n">
        <v>2.84</v>
      </c>
      <c r="C9" t="n">
        <v>69.183097</v>
      </c>
      <c r="D9" s="11" t="inlineStr">
        <is>
          <t>Pacific Sardine</t>
        </is>
      </c>
      <c r="E9" t="n">
        <v>0</v>
      </c>
      <c r="F9" t="n">
        <v>14.256076</v>
      </c>
      <c r="G9" t="n">
        <v>6.82216</v>
      </c>
      <c r="H9" t="n">
        <v>9.974088999999999</v>
      </c>
      <c r="I9" t="n">
        <v>16.077349</v>
      </c>
      <c r="J9" t="n">
        <v>16.077349</v>
      </c>
      <c r="K9" t="n">
        <v>13.054808</v>
      </c>
      <c r="L9" t="n">
        <v>22.182506</v>
      </c>
      <c r="M9" t="n">
        <v>22.182506</v>
      </c>
      <c r="N9" t="n">
        <v>22.399947</v>
      </c>
      <c r="O9" t="n">
        <v>18.034849</v>
      </c>
      <c r="P9" t="n">
        <v>10.353095</v>
      </c>
      <c r="Q9" t="n">
        <v>22.399947</v>
      </c>
      <c r="R9" t="n">
        <v>22.182506</v>
      </c>
      <c r="S9" t="n">
        <v>18.034849</v>
      </c>
      <c r="T9" t="n">
        <v>18.034849</v>
      </c>
      <c r="U9" t="n">
        <v>10.353095</v>
      </c>
      <c r="V9" t="n">
        <v>10.353095</v>
      </c>
      <c r="W9" t="n">
        <v>20.670316</v>
      </c>
      <c r="X9" t="n">
        <v>23.720116</v>
      </c>
    </row>
    <row r="10" ht="21" customHeight="1">
      <c r="A10" t="inlineStr">
        <is>
          <t>Gadus macrocephalus</t>
        </is>
      </c>
      <c r="B10" t="n">
        <v>4.16</v>
      </c>
      <c r="C10" t="n">
        <v>1445.439771</v>
      </c>
      <c r="D10" s="11" t="inlineStr">
        <is>
          <t>Other Gadidae</t>
        </is>
      </c>
      <c r="E10" t="n">
        <v>0</v>
      </c>
      <c r="F10" t="n">
        <v>707.656366</v>
      </c>
      <c r="G10" t="n">
        <v>114.652683</v>
      </c>
      <c r="H10" t="n">
        <v>277.542915</v>
      </c>
      <c r="I10" t="n">
        <v>7317.526805</v>
      </c>
      <c r="J10" t="n">
        <v>9118.647223</v>
      </c>
      <c r="K10" t="n">
        <v>3191.526528</v>
      </c>
      <c r="L10" t="n">
        <v>-469569.202248</v>
      </c>
      <c r="M10" t="n">
        <v>-469569.202248</v>
      </c>
      <c r="N10" t="n">
        <v>-477319.412817</v>
      </c>
      <c r="O10" t="n">
        <v>17690.132028</v>
      </c>
      <c r="P10" t="n">
        <v>1835.974421</v>
      </c>
      <c r="Q10" t="n">
        <v>-477319.412817</v>
      </c>
      <c r="R10" t="n">
        <v>-469569.202248</v>
      </c>
      <c r="S10" t="n">
        <v>17690.132028</v>
      </c>
      <c r="T10" t="n">
        <v>17690.132028</v>
      </c>
      <c r="U10" t="n">
        <v>1835.974421</v>
      </c>
      <c r="V10" t="n">
        <v>1835.974421</v>
      </c>
      <c r="W10" t="n">
        <v>68000.609192</v>
      </c>
      <c r="X10" t="n">
        <v>1645094.341484</v>
      </c>
    </row>
    <row r="11" ht="21" customHeight="1">
      <c r="A11" t="inlineStr">
        <is>
          <t>Oncorhynchus</t>
        </is>
      </c>
      <c r="B11" t="n">
        <v>3.95</v>
      </c>
      <c r="C11" t="n">
        <v>891.250938</v>
      </c>
      <c r="D11" s="11" t="inlineStr">
        <is>
          <t>Salmon</t>
        </is>
      </c>
      <c r="E11" t="n">
        <v>0</v>
      </c>
      <c r="F11" t="n">
        <v>537.793674</v>
      </c>
      <c r="G11" t="n">
        <v>94.02452599999999</v>
      </c>
      <c r="H11" t="n">
        <v>104.598466</v>
      </c>
      <c r="I11" t="n">
        <v>157.17606</v>
      </c>
      <c r="J11" t="n">
        <v>157.620728</v>
      </c>
      <c r="K11" t="n">
        <v>47.759081</v>
      </c>
      <c r="L11" t="n">
        <v>685.4069909999999</v>
      </c>
      <c r="M11" t="n">
        <v>685.4069909999999</v>
      </c>
      <c r="N11" t="n">
        <v>696.719298</v>
      </c>
      <c r="O11" t="n">
        <v>75.247908</v>
      </c>
      <c r="P11" t="n">
        <v>24.548027</v>
      </c>
      <c r="Q11" t="n">
        <v>696.719298</v>
      </c>
      <c r="R11" t="n">
        <v>685.4069909999999</v>
      </c>
      <c r="S11" t="n">
        <v>75.247908</v>
      </c>
      <c r="T11" t="n">
        <v>75.247908</v>
      </c>
      <c r="U11" t="n">
        <v>24.548027</v>
      </c>
      <c r="V11" t="n">
        <v>24.548027</v>
      </c>
      <c r="W11" t="n">
        <v>98.758639</v>
      </c>
      <c r="X11" t="n">
        <v>768.315028</v>
      </c>
    </row>
    <row r="12" ht="21" customHeight="1">
      <c r="A12" t="inlineStr">
        <is>
          <t>Oncorhynchus keta</t>
        </is>
      </c>
      <c r="B12" t="n">
        <v>3.74</v>
      </c>
      <c r="C12" t="n">
        <v>549.540874</v>
      </c>
      <c r="D12" s="11" t="inlineStr">
        <is>
          <t>Salmon</t>
        </is>
      </c>
      <c r="E12" t="n">
        <v>0</v>
      </c>
      <c r="F12" t="n">
        <v>537.793674</v>
      </c>
      <c r="G12" t="n">
        <v>94.02452599999999</v>
      </c>
      <c r="H12" t="n">
        <v>104.598466</v>
      </c>
      <c r="I12" t="n">
        <v>157.17606</v>
      </c>
      <c r="J12" t="n">
        <v>157.620728</v>
      </c>
      <c r="K12" t="n">
        <v>47.759081</v>
      </c>
      <c r="L12" t="n">
        <v>685.4069909999999</v>
      </c>
      <c r="M12" t="n">
        <v>685.4069909999999</v>
      </c>
      <c r="N12" t="n">
        <v>696.719298</v>
      </c>
      <c r="O12" t="n">
        <v>75.247908</v>
      </c>
      <c r="P12" t="n">
        <v>24.548027</v>
      </c>
      <c r="Q12" t="n">
        <v>696.719298</v>
      </c>
      <c r="R12" t="n">
        <v>685.4069909999999</v>
      </c>
      <c r="S12" t="n">
        <v>75.247908</v>
      </c>
      <c r="T12" t="n">
        <v>75.247908</v>
      </c>
      <c r="U12" t="n">
        <v>24.548027</v>
      </c>
      <c r="V12" t="n">
        <v>24.548027</v>
      </c>
      <c r="W12" t="n">
        <v>98.758639</v>
      </c>
      <c r="X12" t="n">
        <v>768.315028</v>
      </c>
    </row>
    <row r="13" ht="36" customHeight="1">
      <c r="A13" t="inlineStr">
        <is>
          <t>Pleuronectiformes</t>
        </is>
      </c>
      <c r="B13" t="n">
        <v>3.57</v>
      </c>
      <c r="C13" t="n">
        <v>371.535229</v>
      </c>
      <c r="D13" s="11" t="inlineStr">
        <is>
          <t>Pleuronectidae | Other bottom fishes</t>
        </is>
      </c>
      <c r="E13" t="n">
        <v>0</v>
      </c>
      <c r="F13" t="n">
        <v>395.928999</v>
      </c>
      <c r="G13" t="n">
        <v>74.79396699999999</v>
      </c>
      <c r="H13" t="n">
        <v>192.880176</v>
      </c>
      <c r="I13" t="n">
        <v>470.245142</v>
      </c>
      <c r="J13" t="n">
        <v>481.42075</v>
      </c>
      <c r="K13" t="n">
        <v>481.42075</v>
      </c>
      <c r="L13" t="n">
        <v>4151.701848</v>
      </c>
      <c r="M13" t="n">
        <v>4151.701848</v>
      </c>
      <c r="N13" t="n">
        <v>4219.359124</v>
      </c>
      <c r="O13" t="n">
        <v>1974.518741</v>
      </c>
      <c r="P13" t="n">
        <v>369.105866</v>
      </c>
      <c r="Q13" t="n">
        <v>4219.359124</v>
      </c>
      <c r="R13" t="n">
        <v>4151.701848</v>
      </c>
      <c r="S13" t="n">
        <v>1974.518741</v>
      </c>
      <c r="T13" t="n">
        <v>1974.518741</v>
      </c>
      <c r="U13" t="n">
        <v>369.105866</v>
      </c>
      <c r="V13" t="n">
        <v>369.105866</v>
      </c>
      <c r="W13" t="n">
        <v>2863.351982</v>
      </c>
      <c r="X13" t="n">
        <v>5275.022238</v>
      </c>
    </row>
    <row r="14" ht="21" customHeight="1">
      <c r="A14" t="inlineStr">
        <is>
          <t>Paralithodes camtschaticus</t>
        </is>
      </c>
      <c r="B14" t="n">
        <v>3.7</v>
      </c>
      <c r="C14" t="n">
        <v>501.187234</v>
      </c>
      <c r="D14" s="11" t="inlineStr">
        <is>
          <t>Crabs and shrimps</t>
        </is>
      </c>
      <c r="E14" t="n">
        <v>0</v>
      </c>
      <c r="F14" t="n">
        <v>95.896642</v>
      </c>
      <c r="G14" t="n">
        <v>27.047208</v>
      </c>
      <c r="H14" t="n">
        <v>56.071592</v>
      </c>
      <c r="I14" t="n">
        <v>87.690287</v>
      </c>
      <c r="J14" t="n">
        <v>88.352076</v>
      </c>
      <c r="K14" t="n">
        <v>88.352076</v>
      </c>
      <c r="L14" t="n">
        <v>181.735308</v>
      </c>
      <c r="M14" t="n">
        <v>181.735308</v>
      </c>
      <c r="N14" t="n">
        <v>185.151605</v>
      </c>
      <c r="O14" t="n">
        <v>112.940911</v>
      </c>
      <c r="P14" t="n">
        <v>44.389715</v>
      </c>
      <c r="Q14" t="n">
        <v>185.151605</v>
      </c>
      <c r="R14" t="n">
        <v>181.735308</v>
      </c>
      <c r="S14" t="n">
        <v>112.940911</v>
      </c>
      <c r="T14" t="n">
        <v>112.940911</v>
      </c>
      <c r="U14" t="n">
        <v>44.389715</v>
      </c>
      <c r="V14" t="n">
        <v>44.389715</v>
      </c>
      <c r="W14" t="n">
        <v>155.52695</v>
      </c>
      <c r="X14" t="n">
        <v>203.433007</v>
      </c>
    </row>
    <row r="15" ht="21" customHeight="1">
      <c r="A15" t="inlineStr">
        <is>
          <t>Pleurogrammus azonus</t>
        </is>
      </c>
      <c r="B15" t="n">
        <v>3.6</v>
      </c>
      <c r="C15" t="n">
        <v>398.107171</v>
      </c>
      <c r="D15" s="11" t="inlineStr">
        <is>
          <t>Other bottom fishes</t>
        </is>
      </c>
      <c r="E15" t="n">
        <v>0</v>
      </c>
      <c r="F15" t="n">
        <v>458.549467</v>
      </c>
      <c r="G15" t="n">
        <v>83.79409699999999</v>
      </c>
      <c r="H15" t="n">
        <v>218.423557</v>
      </c>
      <c r="I15" t="n">
        <v>526.492157</v>
      </c>
      <c r="J15" t="n">
        <v>541.5331169999999</v>
      </c>
      <c r="K15" t="n">
        <v>541.5331169999999</v>
      </c>
      <c r="L15" t="n">
        <v>4898.328707</v>
      </c>
      <c r="M15" t="n">
        <v>4898.328707</v>
      </c>
      <c r="N15" t="n">
        <v>4977.981343</v>
      </c>
      <c r="O15" t="n">
        <v>2326.130383</v>
      </c>
      <c r="P15" t="n">
        <v>441.451478</v>
      </c>
      <c r="Q15" t="n">
        <v>4977.981343</v>
      </c>
      <c r="R15" t="n">
        <v>4898.328707</v>
      </c>
      <c r="S15" t="n">
        <v>2326.130383</v>
      </c>
      <c r="T15" t="n">
        <v>2326.130383</v>
      </c>
      <c r="U15" t="n">
        <v>441.451478</v>
      </c>
      <c r="V15" t="n">
        <v>441.451478</v>
      </c>
      <c r="W15" t="n">
        <v>3363.787374</v>
      </c>
      <c r="X15" t="n">
        <v>6233.03529</v>
      </c>
    </row>
    <row r="16" ht="21" customHeight="1">
      <c r="A16" t="inlineStr">
        <is>
          <t>Scomber</t>
        </is>
      </c>
      <c r="B16" t="n">
        <v>3.65</v>
      </c>
      <c r="C16" t="n">
        <v>446.683592</v>
      </c>
      <c r="D16" s="11" t="inlineStr">
        <is>
          <t>Unresolved</t>
        </is>
      </c>
    </row>
    <row r="17" ht="21" customHeight="1">
      <c r="A17" t="inlineStr">
        <is>
          <t>Teuthida</t>
        </is>
      </c>
      <c r="B17" t="n">
        <v>4.13</v>
      </c>
      <c r="C17" t="n">
        <v>1348.962883</v>
      </c>
      <c r="D17" s="11" t="inlineStr">
        <is>
          <t>Squids</t>
        </is>
      </c>
      <c r="E17" t="n">
        <v>0</v>
      </c>
      <c r="F17" t="n">
        <v>957.310082</v>
      </c>
      <c r="G17" t="n">
        <v>142.631647</v>
      </c>
      <c r="H17" t="n">
        <v>119.679026</v>
      </c>
      <c r="I17" t="n">
        <v>66.859093</v>
      </c>
      <c r="J17" t="n">
        <v>71.95407</v>
      </c>
      <c r="K17" t="n">
        <v>34.034275</v>
      </c>
      <c r="L17" t="n">
        <v>245.671067</v>
      </c>
      <c r="M17" t="n">
        <v>245.671067</v>
      </c>
      <c r="N17" t="n">
        <v>249.518872</v>
      </c>
      <c r="O17" t="n">
        <v>112.246832</v>
      </c>
      <c r="P17" t="n">
        <v>37.014939</v>
      </c>
      <c r="Q17" t="n">
        <v>249.518872</v>
      </c>
      <c r="R17" t="n">
        <v>245.671067</v>
      </c>
      <c r="S17" t="n">
        <v>112.246832</v>
      </c>
      <c r="T17" t="n">
        <v>112.246832</v>
      </c>
      <c r="U17" t="n">
        <v>37.014939</v>
      </c>
      <c r="V17" t="n">
        <v>37.014939</v>
      </c>
      <c r="W17" t="n">
        <v>147.581283</v>
      </c>
      <c r="X17" t="n">
        <v>273.218985</v>
      </c>
    </row>
    <row r="18" ht="21" customHeight="1">
      <c r="A18" t="inlineStr">
        <is>
          <t>Eleginus gracilis</t>
        </is>
      </c>
      <c r="B18" t="n">
        <v>4.1</v>
      </c>
      <c r="C18" t="n">
        <v>1258.925412</v>
      </c>
      <c r="D18" s="11" t="inlineStr">
        <is>
          <t>Other Gadidae</t>
        </is>
      </c>
      <c r="E18" t="n">
        <v>0</v>
      </c>
      <c r="F18" t="n">
        <v>707.656366</v>
      </c>
      <c r="G18" t="n">
        <v>114.652683</v>
      </c>
      <c r="H18" t="n">
        <v>277.542915</v>
      </c>
      <c r="I18" t="n">
        <v>7317.526805</v>
      </c>
      <c r="J18" t="n">
        <v>9118.647223</v>
      </c>
      <c r="K18" t="n">
        <v>3191.526528</v>
      </c>
      <c r="L18" t="n">
        <v>-469569.202248</v>
      </c>
      <c r="M18" t="n">
        <v>-469569.202248</v>
      </c>
      <c r="N18" t="n">
        <v>-477319.412817</v>
      </c>
      <c r="O18" t="n">
        <v>17690.132028</v>
      </c>
      <c r="P18" t="n">
        <v>1835.974421</v>
      </c>
      <c r="Q18" t="n">
        <v>-477319.412817</v>
      </c>
      <c r="R18" t="n">
        <v>-469569.202248</v>
      </c>
      <c r="S18" t="n">
        <v>17690.132028</v>
      </c>
      <c r="T18" t="n">
        <v>17690.132028</v>
      </c>
      <c r="U18" t="n">
        <v>1835.974421</v>
      </c>
      <c r="V18" t="n">
        <v>1835.974421</v>
      </c>
      <c r="W18" t="n">
        <v>68000.609192</v>
      </c>
      <c r="X18" t="n">
        <v>1645094.341484</v>
      </c>
    </row>
    <row r="19" ht="21" customHeight="1">
      <c r="A19" t="inlineStr">
        <is>
          <t>Ammodytes personatus</t>
        </is>
      </c>
      <c r="B19" t="n">
        <v>3</v>
      </c>
      <c r="C19" t="n">
        <v>100</v>
      </c>
      <c r="D19" s="11" t="inlineStr">
        <is>
          <t>Ammodytidae</t>
        </is>
      </c>
      <c r="E19" t="n">
        <v>0</v>
      </c>
      <c r="F19" t="n">
        <v>100.461579</v>
      </c>
      <c r="G19" t="n">
        <v>27.971595</v>
      </c>
      <c r="H19" t="n">
        <v>31.859625</v>
      </c>
      <c r="I19" t="n">
        <v>94.463189</v>
      </c>
      <c r="J19" t="n">
        <v>94.463189</v>
      </c>
      <c r="K19" t="n">
        <v>47.9873</v>
      </c>
      <c r="L19" t="n">
        <v>92.596847</v>
      </c>
      <c r="M19" t="n">
        <v>92.596847</v>
      </c>
      <c r="N19" t="n">
        <v>94.628894</v>
      </c>
      <c r="O19" t="n">
        <v>29.973178</v>
      </c>
      <c r="P19" t="n">
        <v>17.402106</v>
      </c>
      <c r="Q19" t="n">
        <v>94.628894</v>
      </c>
      <c r="R19" t="n">
        <v>92.596847</v>
      </c>
      <c r="S19" t="n">
        <v>29.973178</v>
      </c>
      <c r="T19" t="n">
        <v>29.973178</v>
      </c>
      <c r="U19" t="n">
        <v>17.402106</v>
      </c>
      <c r="V19" t="n">
        <v>17.402106</v>
      </c>
      <c r="W19" t="n">
        <v>36.807626</v>
      </c>
      <c r="X19" t="n">
        <v>94.424628</v>
      </c>
    </row>
    <row r="20" ht="21" customHeight="1">
      <c r="A20" t="inlineStr">
        <is>
          <t>Todarodes pacificus</t>
        </is>
      </c>
      <c r="B20" t="n">
        <v>4.28</v>
      </c>
      <c r="C20" t="n">
        <v>1905.460718</v>
      </c>
      <c r="D20" s="11" t="inlineStr">
        <is>
          <t>Squids</t>
        </is>
      </c>
      <c r="E20" t="n">
        <v>0</v>
      </c>
      <c r="F20" t="n">
        <v>957.310082</v>
      </c>
      <c r="G20" t="n">
        <v>142.631647</v>
      </c>
      <c r="H20" t="n">
        <v>119.679026</v>
      </c>
      <c r="I20" t="n">
        <v>66.859093</v>
      </c>
      <c r="J20" t="n">
        <v>71.95407</v>
      </c>
      <c r="K20" t="n">
        <v>34.034275</v>
      </c>
      <c r="L20" t="n">
        <v>245.671067</v>
      </c>
      <c r="M20" t="n">
        <v>245.671067</v>
      </c>
      <c r="N20" t="n">
        <v>249.518872</v>
      </c>
      <c r="O20" t="n">
        <v>112.246832</v>
      </c>
      <c r="P20" t="n">
        <v>37.014939</v>
      </c>
      <c r="Q20" t="n">
        <v>249.518872</v>
      </c>
      <c r="R20" t="n">
        <v>245.671067</v>
      </c>
      <c r="S20" t="n">
        <v>112.246832</v>
      </c>
      <c r="T20" t="n">
        <v>112.246832</v>
      </c>
      <c r="U20" t="n">
        <v>37.014939</v>
      </c>
      <c r="V20" t="n">
        <v>37.014939</v>
      </c>
      <c r="W20" t="n">
        <v>147.581283</v>
      </c>
      <c r="X20" t="n">
        <v>273.218985</v>
      </c>
    </row>
    <row r="21" ht="36" customHeight="1">
      <c r="A21" t="inlineStr">
        <is>
          <t>Mollusca</t>
        </is>
      </c>
      <c r="B21" t="n">
        <v>2.1</v>
      </c>
      <c r="C21" t="n">
        <v>12.589254</v>
      </c>
      <c r="D21" s="11" t="inlineStr">
        <is>
          <t>2nd level benthos | Carnivorous invertebrates | Squids</t>
        </is>
      </c>
      <c r="E21" t="n">
        <v>0</v>
      </c>
      <c r="F21" t="n">
        <v>613.145494</v>
      </c>
      <c r="G21" t="n">
        <v>93.49642799999999</v>
      </c>
      <c r="H21" t="n">
        <v>79.05749</v>
      </c>
      <c r="I21" t="n">
        <v>46.128964</v>
      </c>
      <c r="J21" t="n">
        <v>49.33409</v>
      </c>
      <c r="K21" t="n">
        <v>24.34442</v>
      </c>
      <c r="L21" t="n">
        <v>158.383684</v>
      </c>
      <c r="M21" t="n">
        <v>158.383684</v>
      </c>
      <c r="N21" t="n">
        <v>160.889521</v>
      </c>
      <c r="O21" t="n">
        <v>72.75165699999999</v>
      </c>
      <c r="P21" t="n">
        <v>24.743479</v>
      </c>
      <c r="Q21" t="n">
        <v>160.889521</v>
      </c>
      <c r="R21" t="n">
        <v>158.383684</v>
      </c>
      <c r="S21" t="n">
        <v>72.75165699999999</v>
      </c>
      <c r="T21" t="n">
        <v>72.75165699999999</v>
      </c>
      <c r="U21" t="n">
        <v>24.743479</v>
      </c>
      <c r="V21" t="n">
        <v>24.743479</v>
      </c>
      <c r="W21" t="n">
        <v>95.46429999999999</v>
      </c>
      <c r="X21" t="n">
        <v>175.923991</v>
      </c>
    </row>
    <row r="22" ht="21" customHeight="1">
      <c r="A22" t="inlineStr">
        <is>
          <t>Cololabis saira</t>
        </is>
      </c>
      <c r="B22" t="n">
        <v>3.71</v>
      </c>
      <c r="C22" t="n">
        <v>512.861384</v>
      </c>
      <c r="D22" s="11" t="inlineStr">
        <is>
          <t>Unresolved</t>
        </is>
      </c>
    </row>
    <row r="23" ht="21" customHeight="1">
      <c r="A23" t="inlineStr">
        <is>
          <t>Pleurogrammus monopterygius</t>
        </is>
      </c>
      <c r="B23" t="n">
        <v>3.38</v>
      </c>
      <c r="C23" t="n">
        <v>239.883292</v>
      </c>
      <c r="D23" s="11" t="inlineStr">
        <is>
          <t>Other bottom fishes</t>
        </is>
      </c>
      <c r="E23" t="n">
        <v>0</v>
      </c>
      <c r="F23" t="n">
        <v>458.549467</v>
      </c>
      <c r="G23" t="n">
        <v>83.79409699999999</v>
      </c>
      <c r="H23" t="n">
        <v>218.423557</v>
      </c>
      <c r="I23" t="n">
        <v>526.492157</v>
      </c>
      <c r="J23" t="n">
        <v>541.5331169999999</v>
      </c>
      <c r="K23" t="n">
        <v>541.5331169999999</v>
      </c>
      <c r="L23" t="n">
        <v>4898.328707</v>
      </c>
      <c r="M23" t="n">
        <v>4898.328707</v>
      </c>
      <c r="N23" t="n">
        <v>4977.981343</v>
      </c>
      <c r="O23" t="n">
        <v>2326.130383</v>
      </c>
      <c r="P23" t="n">
        <v>441.451478</v>
      </c>
      <c r="Q23" t="n">
        <v>4977.981343</v>
      </c>
      <c r="R23" t="n">
        <v>4898.328707</v>
      </c>
      <c r="S23" t="n">
        <v>2326.130383</v>
      </c>
      <c r="T23" t="n">
        <v>2326.130383</v>
      </c>
      <c r="U23" t="n">
        <v>441.451478</v>
      </c>
      <c r="V23" t="n">
        <v>441.451478</v>
      </c>
      <c r="W23" t="n">
        <v>3363.787374</v>
      </c>
      <c r="X23" t="n">
        <v>6233.03529</v>
      </c>
    </row>
    <row r="24" ht="21" customHeight="1">
      <c r="A24" t="inlineStr">
        <is>
          <t>Oncorhynchus nerka</t>
        </is>
      </c>
      <c r="B24" t="n">
        <v>3.54</v>
      </c>
      <c r="C24" t="n">
        <v>346.73685</v>
      </c>
      <c r="D24" s="11" t="inlineStr">
        <is>
          <t>Salmon</t>
        </is>
      </c>
      <c r="E24" t="n">
        <v>0</v>
      </c>
      <c r="F24" t="n">
        <v>537.793674</v>
      </c>
      <c r="G24" t="n">
        <v>94.02452599999999</v>
      </c>
      <c r="H24" t="n">
        <v>104.598466</v>
      </c>
      <c r="I24" t="n">
        <v>157.17606</v>
      </c>
      <c r="J24" t="n">
        <v>157.620728</v>
      </c>
      <c r="K24" t="n">
        <v>47.759081</v>
      </c>
      <c r="L24" t="n">
        <v>685.4069909999999</v>
      </c>
      <c r="M24" t="n">
        <v>685.4069909999999</v>
      </c>
      <c r="N24" t="n">
        <v>696.719298</v>
      </c>
      <c r="O24" t="n">
        <v>75.247908</v>
      </c>
      <c r="P24" t="n">
        <v>24.548027</v>
      </c>
      <c r="Q24" t="n">
        <v>696.719298</v>
      </c>
      <c r="R24" t="n">
        <v>685.4069909999999</v>
      </c>
      <c r="S24" t="n">
        <v>75.247908</v>
      </c>
      <c r="T24" t="n">
        <v>75.247908</v>
      </c>
      <c r="U24" t="n">
        <v>24.548027</v>
      </c>
      <c r="V24" t="n">
        <v>24.548027</v>
      </c>
      <c r="W24" t="n">
        <v>98.758639</v>
      </c>
      <c r="X24" t="n">
        <v>768.315028</v>
      </c>
    </row>
    <row r="25" ht="21" customHeight="1">
      <c r="A25" t="inlineStr">
        <is>
          <t>Pleuronectidae</t>
        </is>
      </c>
      <c r="B25" t="n">
        <v>3.49</v>
      </c>
      <c r="C25" t="n">
        <v>309.029543</v>
      </c>
      <c r="D25" s="11" t="inlineStr">
        <is>
          <t>Pleuronectidae</t>
        </is>
      </c>
      <c r="E25" t="n">
        <v>0</v>
      </c>
      <c r="F25" t="n">
        <v>233.24334</v>
      </c>
      <c r="G25" t="n">
        <v>51.41196</v>
      </c>
      <c r="H25" t="n">
        <v>126.519418</v>
      </c>
      <c r="I25" t="n">
        <v>324.117476</v>
      </c>
      <c r="J25" t="n">
        <v>325.251045</v>
      </c>
      <c r="K25" t="n">
        <v>325.251045</v>
      </c>
      <c r="L25" t="n">
        <v>2211.992883</v>
      </c>
      <c r="M25" t="n">
        <v>2211.992883</v>
      </c>
      <c r="N25" t="n">
        <v>2248.486658</v>
      </c>
      <c r="O25" t="n">
        <v>1061.044702</v>
      </c>
      <c r="P25" t="n">
        <v>181.154642</v>
      </c>
      <c r="Q25" t="n">
        <v>2248.486658</v>
      </c>
      <c r="R25" t="n">
        <v>2211.992883</v>
      </c>
      <c r="S25" t="n">
        <v>1061.044702</v>
      </c>
      <c r="T25" t="n">
        <v>1061.044702</v>
      </c>
      <c r="U25" t="n">
        <v>181.154642</v>
      </c>
      <c r="V25" t="n">
        <v>181.154642</v>
      </c>
      <c r="W25" t="n">
        <v>1563.239343</v>
      </c>
      <c r="X25" t="n">
        <v>2786.139764</v>
      </c>
    </row>
    <row r="26" ht="21" customHeight="1">
      <c r="A26" t="inlineStr">
        <is>
          <t>Mallotus villosus</t>
        </is>
      </c>
      <c r="B26" t="n">
        <v>3.15</v>
      </c>
      <c r="C26" t="n">
        <v>141.253754</v>
      </c>
      <c r="D26" s="11" t="inlineStr">
        <is>
          <t>Capelin</t>
        </is>
      </c>
      <c r="E26" t="n">
        <v>0</v>
      </c>
      <c r="F26" t="n">
        <v>260.615355</v>
      </c>
      <c r="G26" t="n">
        <v>55.704276</v>
      </c>
      <c r="H26" t="n">
        <v>66.983902</v>
      </c>
      <c r="I26" t="n">
        <v>104.246048</v>
      </c>
      <c r="J26" t="n">
        <v>104.246048</v>
      </c>
      <c r="K26" t="n">
        <v>83.501085</v>
      </c>
      <c r="L26" t="n">
        <v>284.82933</v>
      </c>
      <c r="M26" t="n">
        <v>284.82933</v>
      </c>
      <c r="N26" t="n">
        <v>289.283341</v>
      </c>
      <c r="O26" t="n">
        <v>227.729646</v>
      </c>
      <c r="P26" t="n">
        <v>82.51450199999999</v>
      </c>
      <c r="Q26" t="n">
        <v>289.283341</v>
      </c>
      <c r="R26" t="n">
        <v>284.82933</v>
      </c>
      <c r="S26" t="n">
        <v>227.729646</v>
      </c>
      <c r="T26" t="n">
        <v>227.729646</v>
      </c>
      <c r="U26" t="n">
        <v>82.51450199999999</v>
      </c>
      <c r="V26" t="n">
        <v>82.51450199999999</v>
      </c>
      <c r="W26" t="n">
        <v>299.605637</v>
      </c>
      <c r="X26" t="n">
        <v>310.178266</v>
      </c>
    </row>
    <row r="27" ht="21" customHeight="1">
      <c r="A27" t="inlineStr">
        <is>
          <t>Miscellaneous marine crustaceans</t>
        </is>
      </c>
      <c r="B27" t="n">
        <v>2.7</v>
      </c>
      <c r="C27" t="n">
        <v>50.118723</v>
      </c>
      <c r="D27" s="11" t="inlineStr">
        <is>
          <t>Crabs and shrimps</t>
        </is>
      </c>
      <c r="E27" t="n">
        <v>0</v>
      </c>
      <c r="F27" t="n">
        <v>95.896642</v>
      </c>
      <c r="G27" t="n">
        <v>27.047208</v>
      </c>
      <c r="H27" t="n">
        <v>56.071592</v>
      </c>
      <c r="I27" t="n">
        <v>87.690287</v>
      </c>
      <c r="J27" t="n">
        <v>88.352076</v>
      </c>
      <c r="K27" t="n">
        <v>88.352076</v>
      </c>
      <c r="L27" t="n">
        <v>181.735308</v>
      </c>
      <c r="M27" t="n">
        <v>181.735308</v>
      </c>
      <c r="N27" t="n">
        <v>185.151605</v>
      </c>
      <c r="O27" t="n">
        <v>112.940911</v>
      </c>
      <c r="P27" t="n">
        <v>44.389715</v>
      </c>
      <c r="Q27" t="n">
        <v>185.151605</v>
      </c>
      <c r="R27" t="n">
        <v>181.735308</v>
      </c>
      <c r="S27" t="n">
        <v>112.940911</v>
      </c>
      <c r="T27" t="n">
        <v>112.940911</v>
      </c>
      <c r="U27" t="n">
        <v>44.389715</v>
      </c>
      <c r="V27" t="n">
        <v>44.389715</v>
      </c>
      <c r="W27" t="n">
        <v>155.52695</v>
      </c>
      <c r="X27" t="n">
        <v>203.433007</v>
      </c>
    </row>
    <row r="28" ht="21" customHeight="1">
      <c r="A28" t="inlineStr">
        <is>
          <t>Scomber japonicus</t>
        </is>
      </c>
      <c r="B28" t="n">
        <v>3.38</v>
      </c>
      <c r="C28" t="n">
        <v>239.883292</v>
      </c>
      <c r="D28" s="11" t="inlineStr">
        <is>
          <t>Unresolved</t>
        </is>
      </c>
    </row>
    <row r="29" ht="21" customHeight="1">
      <c r="A29" t="inlineStr">
        <is>
          <t>Pectinidae</t>
        </is>
      </c>
      <c r="B29" t="n">
        <v>2</v>
      </c>
      <c r="C29" t="n">
        <v>10</v>
      </c>
      <c r="D29" s="11" t="inlineStr">
        <is>
          <t>2nd level benthos</t>
        </is>
      </c>
      <c r="E29" t="n">
        <v>0</v>
      </c>
      <c r="F29" t="n">
        <v>10</v>
      </c>
      <c r="G29" t="n">
        <v>5.280025</v>
      </c>
      <c r="H29" t="n">
        <v>5.280025</v>
      </c>
      <c r="I29" t="n">
        <v>4.25396</v>
      </c>
      <c r="J29" t="n">
        <v>4.25396</v>
      </c>
      <c r="K29" t="n">
        <v>2.190789</v>
      </c>
      <c r="L29" t="n">
        <v>4.011903</v>
      </c>
      <c r="M29" t="n">
        <v>4.011903</v>
      </c>
      <c r="N29" t="n">
        <v>4.101044</v>
      </c>
      <c r="O29" t="n">
        <v>2.575732</v>
      </c>
      <c r="P29" t="n">
        <v>2.017588</v>
      </c>
      <c r="Q29" t="n">
        <v>4.101044</v>
      </c>
      <c r="R29" t="n">
        <v>4.011903</v>
      </c>
      <c r="S29" t="n">
        <v>2.575732</v>
      </c>
      <c r="T29" t="n">
        <v>2.575732</v>
      </c>
      <c r="U29" t="n">
        <v>2.017588</v>
      </c>
      <c r="V29" t="n">
        <v>2.017588</v>
      </c>
      <c r="W29" t="n">
        <v>3.13337</v>
      </c>
      <c r="X29" t="n">
        <v>4.076903</v>
      </c>
    </row>
    <row r="30" ht="21" customHeight="1">
      <c r="A30" t="inlineStr">
        <is>
          <t>Moridae</t>
        </is>
      </c>
      <c r="B30" t="n">
        <v>3.87</v>
      </c>
      <c r="C30" t="n">
        <v>741.310241</v>
      </c>
      <c r="D30" s="11" t="inlineStr">
        <is>
          <t>Other bottom fishes</t>
        </is>
      </c>
      <c r="E30" t="n">
        <v>0</v>
      </c>
      <c r="F30" t="n">
        <v>458.549467</v>
      </c>
      <c r="G30" t="n">
        <v>83.79409699999999</v>
      </c>
      <c r="H30" t="n">
        <v>218.423557</v>
      </c>
      <c r="I30" t="n">
        <v>526.492157</v>
      </c>
      <c r="J30" t="n">
        <v>541.5331169999999</v>
      </c>
      <c r="K30" t="n">
        <v>541.5331169999999</v>
      </c>
      <c r="L30" t="n">
        <v>4898.328707</v>
      </c>
      <c r="M30" t="n">
        <v>4898.328707</v>
      </c>
      <c r="N30" t="n">
        <v>4977.981343</v>
      </c>
      <c r="O30" t="n">
        <v>2326.130383</v>
      </c>
      <c r="P30" t="n">
        <v>441.451478</v>
      </c>
      <c r="Q30" t="n">
        <v>4977.981343</v>
      </c>
      <c r="R30" t="n">
        <v>4898.328707</v>
      </c>
      <c r="S30" t="n">
        <v>2326.130383</v>
      </c>
      <c r="T30" t="n">
        <v>2326.130383</v>
      </c>
      <c r="U30" t="n">
        <v>441.451478</v>
      </c>
      <c r="V30" t="n">
        <v>441.451478</v>
      </c>
      <c r="W30" t="n">
        <v>3363.787374</v>
      </c>
      <c r="X30" t="n">
        <v>6233.03529</v>
      </c>
    </row>
    <row r="31" ht="21" customHeight="1">
      <c r="A31" t="inlineStr">
        <is>
          <t>Engraulis japonicus</t>
        </is>
      </c>
      <c r="B31" t="n">
        <v>3.14</v>
      </c>
      <c r="C31" t="n">
        <v>138.038426</v>
      </c>
      <c r="D31" s="11" t="inlineStr">
        <is>
          <t>Unresolved</t>
        </is>
      </c>
    </row>
    <row r="32" ht="21" customHeight="1">
      <c r="A32" t="inlineStr">
        <is>
          <t>Laemonema longipes</t>
        </is>
      </c>
      <c r="B32" t="n">
        <v>3.24</v>
      </c>
      <c r="C32" t="n">
        <v>173.780083</v>
      </c>
      <c r="D32" s="11" t="inlineStr">
        <is>
          <t>Other bottom fishes</t>
        </is>
      </c>
      <c r="E32" t="n">
        <v>0</v>
      </c>
      <c r="F32" t="n">
        <v>458.549467</v>
      </c>
      <c r="G32" t="n">
        <v>83.79409699999999</v>
      </c>
      <c r="H32" t="n">
        <v>218.423557</v>
      </c>
      <c r="I32" t="n">
        <v>526.492157</v>
      </c>
      <c r="J32" t="n">
        <v>541.5331169999999</v>
      </c>
      <c r="K32" t="n">
        <v>541.5331169999999</v>
      </c>
      <c r="L32" t="n">
        <v>4898.328707</v>
      </c>
      <c r="M32" t="n">
        <v>4898.328707</v>
      </c>
      <c r="N32" t="n">
        <v>4977.981343</v>
      </c>
      <c r="O32" t="n">
        <v>2326.130383</v>
      </c>
      <c r="P32" t="n">
        <v>441.451478</v>
      </c>
      <c r="Q32" t="n">
        <v>4977.981343</v>
      </c>
      <c r="R32" t="n">
        <v>4898.328707</v>
      </c>
      <c r="S32" t="n">
        <v>2326.130383</v>
      </c>
      <c r="T32" t="n">
        <v>2326.130383</v>
      </c>
      <c r="U32" t="n">
        <v>441.451478</v>
      </c>
      <c r="V32" t="n">
        <v>441.451478</v>
      </c>
      <c r="W32" t="n">
        <v>3363.787374</v>
      </c>
      <c r="X32" t="n">
        <v>6233.03529</v>
      </c>
    </row>
    <row r="33" ht="21" customHeight="1">
      <c r="A33" t="inlineStr">
        <is>
          <t>Chionoecetes</t>
        </is>
      </c>
      <c r="B33" t="n">
        <v>2.3</v>
      </c>
      <c r="C33" t="n">
        <v>19.952623</v>
      </c>
      <c r="D33" s="11" t="inlineStr">
        <is>
          <t>Crabs and shrimps</t>
        </is>
      </c>
      <c r="E33" t="n">
        <v>0</v>
      </c>
      <c r="F33" t="n">
        <v>95.896642</v>
      </c>
      <c r="G33" t="n">
        <v>27.047208</v>
      </c>
      <c r="H33" t="n">
        <v>56.071592</v>
      </c>
      <c r="I33" t="n">
        <v>87.690287</v>
      </c>
      <c r="J33" t="n">
        <v>88.352076</v>
      </c>
      <c r="K33" t="n">
        <v>88.352076</v>
      </c>
      <c r="L33" t="n">
        <v>181.735308</v>
      </c>
      <c r="M33" t="n">
        <v>181.735308</v>
      </c>
      <c r="N33" t="n">
        <v>185.151605</v>
      </c>
      <c r="O33" t="n">
        <v>112.940911</v>
      </c>
      <c r="P33" t="n">
        <v>44.389715</v>
      </c>
      <c r="Q33" t="n">
        <v>185.151605</v>
      </c>
      <c r="R33" t="n">
        <v>181.735308</v>
      </c>
      <c r="S33" t="n">
        <v>112.940911</v>
      </c>
      <c r="T33" t="n">
        <v>112.940911</v>
      </c>
      <c r="U33" t="n">
        <v>44.389715</v>
      </c>
      <c r="V33" t="n">
        <v>44.389715</v>
      </c>
      <c r="W33" t="n">
        <v>155.52695</v>
      </c>
      <c r="X33" t="n">
        <v>203.433007</v>
      </c>
    </row>
    <row r="34" ht="21" customHeight="1">
      <c r="A34" t="inlineStr">
        <is>
          <t>Oncorhynchus kisutch</t>
        </is>
      </c>
      <c r="B34" t="n">
        <v>4.22</v>
      </c>
      <c r="C34" t="n">
        <v>1659.586907</v>
      </c>
      <c r="D34" s="11" t="inlineStr">
        <is>
          <t>Salmon</t>
        </is>
      </c>
      <c r="E34" t="n">
        <v>0</v>
      </c>
      <c r="F34" t="n">
        <v>537.793674</v>
      </c>
      <c r="G34" t="n">
        <v>94.02452599999999</v>
      </c>
      <c r="H34" t="n">
        <v>104.598466</v>
      </c>
      <c r="I34" t="n">
        <v>157.17606</v>
      </c>
      <c r="J34" t="n">
        <v>157.620728</v>
      </c>
      <c r="K34" t="n">
        <v>47.759081</v>
      </c>
      <c r="L34" t="n">
        <v>685.4069909999999</v>
      </c>
      <c r="M34" t="n">
        <v>685.4069909999999</v>
      </c>
      <c r="N34" t="n">
        <v>696.719298</v>
      </c>
      <c r="O34" t="n">
        <v>75.247908</v>
      </c>
      <c r="P34" t="n">
        <v>24.548027</v>
      </c>
      <c r="Q34" t="n">
        <v>696.719298</v>
      </c>
      <c r="R34" t="n">
        <v>685.4069909999999</v>
      </c>
      <c r="S34" t="n">
        <v>75.247908</v>
      </c>
      <c r="T34" t="n">
        <v>75.247908</v>
      </c>
      <c r="U34" t="n">
        <v>24.548027</v>
      </c>
      <c r="V34" t="n">
        <v>24.548027</v>
      </c>
      <c r="W34" t="n">
        <v>98.758639</v>
      </c>
      <c r="X34" t="n">
        <v>768.315028</v>
      </c>
    </row>
    <row r="35" ht="21" customHeight="1">
      <c r="A35" t="inlineStr">
        <is>
          <t>Chionoecetes opilio</t>
        </is>
      </c>
      <c r="B35" t="n">
        <v>3.54</v>
      </c>
      <c r="C35" t="n">
        <v>346.73685</v>
      </c>
      <c r="D35" s="11" t="inlineStr">
        <is>
          <t>Crabs and shrimps</t>
        </is>
      </c>
      <c r="E35" t="n">
        <v>0</v>
      </c>
      <c r="F35" t="n">
        <v>95.896642</v>
      </c>
      <c r="G35" t="n">
        <v>27.047208</v>
      </c>
      <c r="H35" t="n">
        <v>56.071592</v>
      </c>
      <c r="I35" t="n">
        <v>87.690287</v>
      </c>
      <c r="J35" t="n">
        <v>88.352076</v>
      </c>
      <c r="K35" t="n">
        <v>88.352076</v>
      </c>
      <c r="L35" t="n">
        <v>181.735308</v>
      </c>
      <c r="M35" t="n">
        <v>181.735308</v>
      </c>
      <c r="N35" t="n">
        <v>185.151605</v>
      </c>
      <c r="O35" t="n">
        <v>112.940911</v>
      </c>
      <c r="P35" t="n">
        <v>44.389715</v>
      </c>
      <c r="Q35" t="n">
        <v>185.151605</v>
      </c>
      <c r="R35" t="n">
        <v>181.735308</v>
      </c>
      <c r="S35" t="n">
        <v>112.940911</v>
      </c>
      <c r="T35" t="n">
        <v>112.940911</v>
      </c>
      <c r="U35" t="n">
        <v>44.389715</v>
      </c>
      <c r="V35" t="n">
        <v>44.389715</v>
      </c>
      <c r="W35" t="n">
        <v>155.52695</v>
      </c>
      <c r="X35" t="n">
        <v>203.433007</v>
      </c>
    </row>
    <row r="36" ht="21" customHeight="1">
      <c r="A36" t="inlineStr">
        <is>
          <t>Bivalvia</t>
        </is>
      </c>
      <c r="B36" t="n">
        <v>2.23</v>
      </c>
      <c r="C36" t="n">
        <v>16.982437</v>
      </c>
      <c r="D36" s="11" t="inlineStr">
        <is>
          <t>2nd level benthos</t>
        </is>
      </c>
      <c r="E36" t="n">
        <v>0</v>
      </c>
      <c r="F36" t="n">
        <v>10</v>
      </c>
      <c r="G36" t="n">
        <v>5.280025</v>
      </c>
      <c r="H36" t="n">
        <v>5.280025</v>
      </c>
      <c r="I36" t="n">
        <v>4.25396</v>
      </c>
      <c r="J36" t="n">
        <v>4.25396</v>
      </c>
      <c r="K36" t="n">
        <v>2.190789</v>
      </c>
      <c r="L36" t="n">
        <v>4.011903</v>
      </c>
      <c r="M36" t="n">
        <v>4.011903</v>
      </c>
      <c r="N36" t="n">
        <v>4.101044</v>
      </c>
      <c r="O36" t="n">
        <v>2.575732</v>
      </c>
      <c r="P36" t="n">
        <v>2.017588</v>
      </c>
      <c r="Q36" t="n">
        <v>4.101044</v>
      </c>
      <c r="R36" t="n">
        <v>4.011903</v>
      </c>
      <c r="S36" t="n">
        <v>2.575732</v>
      </c>
      <c r="T36" t="n">
        <v>2.575732</v>
      </c>
      <c r="U36" t="n">
        <v>2.017588</v>
      </c>
      <c r="V36" t="n">
        <v>2.017588</v>
      </c>
      <c r="W36" t="n">
        <v>3.13337</v>
      </c>
      <c r="X36" t="n">
        <v>4.076903</v>
      </c>
    </row>
    <row r="37" ht="21" customHeight="1">
      <c r="A37" t="inlineStr">
        <is>
          <t>Atheresthes evermanni</t>
        </is>
      </c>
      <c r="B37" t="n">
        <v>4.3</v>
      </c>
      <c r="C37" t="n">
        <v>1995.262315</v>
      </c>
      <c r="D37" s="11" t="inlineStr">
        <is>
          <t>Pleuronectidae</t>
        </is>
      </c>
      <c r="E37" t="n">
        <v>0</v>
      </c>
      <c r="F37" t="n">
        <v>233.24334</v>
      </c>
      <c r="G37" t="n">
        <v>51.41196</v>
      </c>
      <c r="H37" t="n">
        <v>126.519418</v>
      </c>
      <c r="I37" t="n">
        <v>324.117476</v>
      </c>
      <c r="J37" t="n">
        <v>325.251045</v>
      </c>
      <c r="K37" t="n">
        <v>325.251045</v>
      </c>
      <c r="L37" t="n">
        <v>2211.992883</v>
      </c>
      <c r="M37" t="n">
        <v>2211.992883</v>
      </c>
      <c r="N37" t="n">
        <v>2248.486658</v>
      </c>
      <c r="O37" t="n">
        <v>1061.044702</v>
      </c>
      <c r="P37" t="n">
        <v>181.154642</v>
      </c>
      <c r="Q37" t="n">
        <v>2248.486658</v>
      </c>
      <c r="R37" t="n">
        <v>2211.992883</v>
      </c>
      <c r="S37" t="n">
        <v>1061.044702</v>
      </c>
      <c r="T37" t="n">
        <v>1061.044702</v>
      </c>
      <c r="U37" t="n">
        <v>181.154642</v>
      </c>
      <c r="V37" t="n">
        <v>181.154642</v>
      </c>
      <c r="W37" t="n">
        <v>1563.239343</v>
      </c>
      <c r="X37" t="n">
        <v>2786.139764</v>
      </c>
    </row>
    <row r="38" ht="21" customHeight="1">
      <c r="A38" t="inlineStr">
        <is>
          <t>Batoidea</t>
        </is>
      </c>
      <c r="B38" t="n">
        <v>3.72</v>
      </c>
      <c r="C38" t="n">
        <v>524.80746</v>
      </c>
      <c r="D38" s="11" t="inlineStr">
        <is>
          <t>Unresolved</t>
        </is>
      </c>
    </row>
    <row r="39" ht="21" customHeight="1">
      <c r="A39" t="inlineStr">
        <is>
          <t>Osmeridae</t>
        </is>
      </c>
      <c r="B39" t="n">
        <v>3.46</v>
      </c>
      <c r="C39" t="n">
        <v>288.40315</v>
      </c>
      <c r="D39" s="11" t="inlineStr">
        <is>
          <t>Unresolved</t>
        </is>
      </c>
    </row>
    <row r="40" ht="21" customHeight="1">
      <c r="A40" t="inlineStr">
        <is>
          <t>Hippoglossus stenolepis</t>
        </is>
      </c>
      <c r="B40" t="n">
        <v>4.14</v>
      </c>
      <c r="C40" t="n">
        <v>1380.384265</v>
      </c>
      <c r="D40" s="11" t="inlineStr">
        <is>
          <t>Pleuronectidae</t>
        </is>
      </c>
      <c r="E40" t="n">
        <v>0</v>
      </c>
      <c r="F40" t="n">
        <v>233.24334</v>
      </c>
      <c r="G40" t="n">
        <v>51.41196</v>
      </c>
      <c r="H40" t="n">
        <v>126.519418</v>
      </c>
      <c r="I40" t="n">
        <v>324.117476</v>
      </c>
      <c r="J40" t="n">
        <v>325.251045</v>
      </c>
      <c r="K40" t="n">
        <v>325.251045</v>
      </c>
      <c r="L40" t="n">
        <v>2211.992883</v>
      </c>
      <c r="M40" t="n">
        <v>2211.992883</v>
      </c>
      <c r="N40" t="n">
        <v>2248.486658</v>
      </c>
      <c r="O40" t="n">
        <v>1061.044702</v>
      </c>
      <c r="P40" t="n">
        <v>181.154642</v>
      </c>
      <c r="Q40" t="n">
        <v>2248.486658</v>
      </c>
      <c r="R40" t="n">
        <v>2211.992883</v>
      </c>
      <c r="S40" t="n">
        <v>1061.044702</v>
      </c>
      <c r="T40" t="n">
        <v>1061.044702</v>
      </c>
      <c r="U40" t="n">
        <v>181.154642</v>
      </c>
      <c r="V40" t="n">
        <v>181.154642</v>
      </c>
      <c r="W40" t="n">
        <v>1563.239343</v>
      </c>
      <c r="X40" t="n">
        <v>2786.139764</v>
      </c>
    </row>
    <row r="41" ht="21" customHeight="1">
      <c r="A41" t="inlineStr">
        <is>
          <t>Sebastidae</t>
        </is>
      </c>
      <c r="B41" t="n">
        <v>3.74</v>
      </c>
      <c r="C41" t="n">
        <v>549.540874</v>
      </c>
      <c r="D41" s="11" t="inlineStr">
        <is>
          <t>Other bottom fishes</t>
        </is>
      </c>
      <c r="E41" t="n">
        <v>0</v>
      </c>
      <c r="F41" t="n">
        <v>458.549467</v>
      </c>
      <c r="G41" t="n">
        <v>83.79409699999999</v>
      </c>
      <c r="H41" t="n">
        <v>218.423557</v>
      </c>
      <c r="I41" t="n">
        <v>526.492157</v>
      </c>
      <c r="J41" t="n">
        <v>541.5331169999999</v>
      </c>
      <c r="K41" t="n">
        <v>541.5331169999999</v>
      </c>
      <c r="L41" t="n">
        <v>4898.328707</v>
      </c>
      <c r="M41" t="n">
        <v>4898.328707</v>
      </c>
      <c r="N41" t="n">
        <v>4977.981343</v>
      </c>
      <c r="O41" t="n">
        <v>2326.130383</v>
      </c>
      <c r="P41" t="n">
        <v>441.451478</v>
      </c>
      <c r="Q41" t="n">
        <v>4977.981343</v>
      </c>
      <c r="R41" t="n">
        <v>4898.328707</v>
      </c>
      <c r="S41" t="n">
        <v>2326.130383</v>
      </c>
      <c r="T41" t="n">
        <v>2326.130383</v>
      </c>
      <c r="U41" t="n">
        <v>441.451478</v>
      </c>
      <c r="V41" t="n">
        <v>441.451478</v>
      </c>
      <c r="W41" t="n">
        <v>3363.787374</v>
      </c>
      <c r="X41" t="n">
        <v>6233.03529</v>
      </c>
    </row>
    <row r="42" ht="21" customHeight="1">
      <c r="A42" t="inlineStr">
        <is>
          <t>Decapoda</t>
        </is>
      </c>
      <c r="B42" t="n">
        <v>3.43</v>
      </c>
      <c r="C42" t="n">
        <v>269.15348</v>
      </c>
      <c r="D42" s="11" t="inlineStr">
        <is>
          <t>Crabs and shrimps</t>
        </is>
      </c>
      <c r="E42" t="n">
        <v>0</v>
      </c>
      <c r="F42" t="n">
        <v>95.896642</v>
      </c>
      <c r="G42" t="n">
        <v>27.047208</v>
      </c>
      <c r="H42" t="n">
        <v>56.071592</v>
      </c>
      <c r="I42" t="n">
        <v>87.690287</v>
      </c>
      <c r="J42" t="n">
        <v>88.352076</v>
      </c>
      <c r="K42" t="n">
        <v>88.352076</v>
      </c>
      <c r="L42" t="n">
        <v>181.735308</v>
      </c>
      <c r="M42" t="n">
        <v>181.735308</v>
      </c>
      <c r="N42" t="n">
        <v>185.151605</v>
      </c>
      <c r="O42" t="n">
        <v>112.940911</v>
      </c>
      <c r="P42" t="n">
        <v>44.389715</v>
      </c>
      <c r="Q42" t="n">
        <v>185.151605</v>
      </c>
      <c r="R42" t="n">
        <v>181.735308</v>
      </c>
      <c r="S42" t="n">
        <v>112.940911</v>
      </c>
      <c r="T42" t="n">
        <v>112.940911</v>
      </c>
      <c r="U42" t="n">
        <v>44.389715</v>
      </c>
      <c r="V42" t="n">
        <v>44.389715</v>
      </c>
      <c r="W42" t="n">
        <v>155.52695</v>
      </c>
      <c r="X42" t="n">
        <v>203.433007</v>
      </c>
    </row>
    <row r="43" ht="21" customHeight="1">
      <c r="A43" t="inlineStr">
        <is>
          <t>Octopoda</t>
        </is>
      </c>
      <c r="B43" t="n">
        <v>3.58</v>
      </c>
      <c r="C43" t="n">
        <v>380.189396</v>
      </c>
      <c r="D43" s="11" t="inlineStr">
        <is>
          <t>Carnivorous invertebrates</t>
        </is>
      </c>
      <c r="E43" t="n">
        <v>0</v>
      </c>
      <c r="F43" t="n">
        <v>100</v>
      </c>
      <c r="G43" t="n">
        <v>27.878664</v>
      </c>
      <c r="H43" t="n">
        <v>27.878664</v>
      </c>
      <c r="I43" t="n">
        <v>35.33173</v>
      </c>
      <c r="J43" t="n">
        <v>35.33173</v>
      </c>
      <c r="K43" t="n">
        <v>28.654033</v>
      </c>
      <c r="L43" t="n">
        <v>33.321302</v>
      </c>
      <c r="M43" t="n">
        <v>33.321302</v>
      </c>
      <c r="N43" t="n">
        <v>34.061672</v>
      </c>
      <c r="O43" t="n">
        <v>17.349743</v>
      </c>
      <c r="P43" t="n">
        <v>10.872137</v>
      </c>
      <c r="Q43" t="n">
        <v>34.061672</v>
      </c>
      <c r="R43" t="n">
        <v>33.321302</v>
      </c>
      <c r="S43" t="n">
        <v>17.349743</v>
      </c>
      <c r="T43" t="n">
        <v>17.349743</v>
      </c>
      <c r="U43" t="n">
        <v>10.872137</v>
      </c>
      <c r="V43" t="n">
        <v>10.872137</v>
      </c>
      <c r="W43" t="n">
        <v>21.371774</v>
      </c>
      <c r="X43" t="n">
        <v>35.712118</v>
      </c>
    </row>
    <row r="44" ht="21" customHeight="1">
      <c r="A44" t="inlineStr">
        <is>
          <t>Anoplopoma fimbria</t>
        </is>
      </c>
      <c r="B44" t="n">
        <v>3.84</v>
      </c>
      <c r="C44" t="n">
        <v>691.830971</v>
      </c>
      <c r="D44" s="11" t="inlineStr">
        <is>
          <t>Other bottom fishes</t>
        </is>
      </c>
      <c r="E44" t="n">
        <v>0</v>
      </c>
      <c r="F44" t="n">
        <v>458.549467</v>
      </c>
      <c r="G44" t="n">
        <v>83.79409699999999</v>
      </c>
      <c r="H44" t="n">
        <v>218.423557</v>
      </c>
      <c r="I44" t="n">
        <v>526.492157</v>
      </c>
      <c r="J44" t="n">
        <v>541.5331169999999</v>
      </c>
      <c r="K44" t="n">
        <v>541.5331169999999</v>
      </c>
      <c r="L44" t="n">
        <v>4898.328707</v>
      </c>
      <c r="M44" t="n">
        <v>4898.328707</v>
      </c>
      <c r="N44" t="n">
        <v>4977.981343</v>
      </c>
      <c r="O44" t="n">
        <v>2326.130383</v>
      </c>
      <c r="P44" t="n">
        <v>441.451478</v>
      </c>
      <c r="Q44" t="n">
        <v>4977.981343</v>
      </c>
      <c r="R44" t="n">
        <v>4898.328707</v>
      </c>
      <c r="S44" t="n">
        <v>2326.130383</v>
      </c>
      <c r="T44" t="n">
        <v>2326.130383</v>
      </c>
      <c r="U44" t="n">
        <v>441.451478</v>
      </c>
      <c r="V44" t="n">
        <v>441.451478</v>
      </c>
      <c r="W44" t="n">
        <v>3363.787374</v>
      </c>
      <c r="X44" t="n">
        <v>6233.03529</v>
      </c>
    </row>
    <row r="45" ht="21" customHeight="1">
      <c r="A45" t="inlineStr">
        <is>
          <t>Reinhardtius hippoglossoides</t>
        </is>
      </c>
      <c r="B45" t="n">
        <v>4.38</v>
      </c>
      <c r="C45" t="n">
        <v>2398.832919</v>
      </c>
      <c r="D45" s="11" t="inlineStr">
        <is>
          <t>Pleuronectidae</t>
        </is>
      </c>
      <c r="E45" t="n">
        <v>0</v>
      </c>
      <c r="F45" t="n">
        <v>233.24334</v>
      </c>
      <c r="G45" t="n">
        <v>51.41196</v>
      </c>
      <c r="H45" t="n">
        <v>126.519418</v>
      </c>
      <c r="I45" t="n">
        <v>324.117476</v>
      </c>
      <c r="J45" t="n">
        <v>325.251045</v>
      </c>
      <c r="K45" t="n">
        <v>325.251045</v>
      </c>
      <c r="L45" t="n">
        <v>2211.992883</v>
      </c>
      <c r="M45" t="n">
        <v>2211.992883</v>
      </c>
      <c r="N45" t="n">
        <v>2248.486658</v>
      </c>
      <c r="O45" t="n">
        <v>1061.044702</v>
      </c>
      <c r="P45" t="n">
        <v>181.154642</v>
      </c>
      <c r="Q45" t="n">
        <v>2248.486658</v>
      </c>
      <c r="R45" t="n">
        <v>2211.992883</v>
      </c>
      <c r="S45" t="n">
        <v>1061.044702</v>
      </c>
      <c r="T45" t="n">
        <v>1061.044702</v>
      </c>
      <c r="U45" t="n">
        <v>181.154642</v>
      </c>
      <c r="V45" t="n">
        <v>181.154642</v>
      </c>
      <c r="W45" t="n">
        <v>1563.239343</v>
      </c>
      <c r="X45" t="n">
        <v>2786.139764</v>
      </c>
    </row>
    <row r="46" ht="21" customHeight="1">
      <c r="A46" t="inlineStr">
        <is>
          <t>Salmonidae</t>
        </is>
      </c>
      <c r="B46" t="n">
        <v>3.3</v>
      </c>
      <c r="C46" t="n">
        <v>199.526231</v>
      </c>
      <c r="D46" s="11" t="inlineStr">
        <is>
          <t>Salmon</t>
        </is>
      </c>
      <c r="E46" t="n">
        <v>0</v>
      </c>
      <c r="F46" t="n">
        <v>537.793674</v>
      </c>
      <c r="G46" t="n">
        <v>94.02452599999999</v>
      </c>
      <c r="H46" t="n">
        <v>104.598466</v>
      </c>
      <c r="I46" t="n">
        <v>157.17606</v>
      </c>
      <c r="J46" t="n">
        <v>157.620728</v>
      </c>
      <c r="K46" t="n">
        <v>47.759081</v>
      </c>
      <c r="L46" t="n">
        <v>685.4069909999999</v>
      </c>
      <c r="M46" t="n">
        <v>685.4069909999999</v>
      </c>
      <c r="N46" t="n">
        <v>696.719298</v>
      </c>
      <c r="O46" t="n">
        <v>75.247908</v>
      </c>
      <c r="P46" t="n">
        <v>24.548027</v>
      </c>
      <c r="Q46" t="n">
        <v>696.719298</v>
      </c>
      <c r="R46" t="n">
        <v>685.4069909999999</v>
      </c>
      <c r="S46" t="n">
        <v>75.247908</v>
      </c>
      <c r="T46" t="n">
        <v>75.247908</v>
      </c>
      <c r="U46" t="n">
        <v>24.548027</v>
      </c>
      <c r="V46" t="n">
        <v>24.548027</v>
      </c>
      <c r="W46" t="n">
        <v>98.758639</v>
      </c>
      <c r="X46" t="n">
        <v>768.315028</v>
      </c>
    </row>
    <row r="47" ht="21" customHeight="1">
      <c r="A47" t="inlineStr">
        <is>
          <t>Arctoscopus japonicus</t>
        </is>
      </c>
      <c r="B47" t="n">
        <v>3.51</v>
      </c>
      <c r="C47" t="n">
        <v>323.593657</v>
      </c>
      <c r="D47" s="11" t="inlineStr">
        <is>
          <t>Other bottom fishes</t>
        </is>
      </c>
      <c r="E47" t="n">
        <v>0</v>
      </c>
      <c r="F47" t="n">
        <v>458.549467</v>
      </c>
      <c r="G47" t="n">
        <v>83.79409699999999</v>
      </c>
      <c r="H47" t="n">
        <v>218.423557</v>
      </c>
      <c r="I47" t="n">
        <v>526.492157</v>
      </c>
      <c r="J47" t="n">
        <v>541.5331169999999</v>
      </c>
      <c r="K47" t="n">
        <v>541.5331169999999</v>
      </c>
      <c r="L47" t="n">
        <v>4898.328707</v>
      </c>
      <c r="M47" t="n">
        <v>4898.328707</v>
      </c>
      <c r="N47" t="n">
        <v>4977.981343</v>
      </c>
      <c r="O47" t="n">
        <v>2326.130383</v>
      </c>
      <c r="P47" t="n">
        <v>441.451478</v>
      </c>
      <c r="Q47" t="n">
        <v>4977.981343</v>
      </c>
      <c r="R47" t="n">
        <v>4898.328707</v>
      </c>
      <c r="S47" t="n">
        <v>2326.130383</v>
      </c>
      <c r="T47" t="n">
        <v>2326.130383</v>
      </c>
      <c r="U47" t="n">
        <v>441.451478</v>
      </c>
      <c r="V47" t="n">
        <v>441.451478</v>
      </c>
      <c r="W47" t="n">
        <v>3363.787374</v>
      </c>
      <c r="X47" t="n">
        <v>6233.03529</v>
      </c>
    </row>
    <row r="48" ht="21" customHeight="1">
      <c r="A48" t="inlineStr">
        <is>
          <t>Trichiurus lepturus</t>
        </is>
      </c>
      <c r="B48" t="n">
        <v>4.42</v>
      </c>
      <c r="C48" t="n">
        <v>2630.267992</v>
      </c>
      <c r="D48" s="11" t="inlineStr">
        <is>
          <t>Unresolved</t>
        </is>
      </c>
    </row>
    <row r="49" ht="21" customHeight="1">
      <c r="A49" t="inlineStr">
        <is>
          <t>Brachyura</t>
        </is>
      </c>
      <c r="B49" t="n">
        <v>2.6</v>
      </c>
      <c r="C49" t="n">
        <v>39.810717</v>
      </c>
      <c r="D49" s="11" t="inlineStr">
        <is>
          <t>Crabs and shrimps</t>
        </is>
      </c>
      <c r="E49" t="n">
        <v>0</v>
      </c>
      <c r="F49" t="n">
        <v>95.896642</v>
      </c>
      <c r="G49" t="n">
        <v>27.047208</v>
      </c>
      <c r="H49" t="n">
        <v>56.071592</v>
      </c>
      <c r="I49" t="n">
        <v>87.690287</v>
      </c>
      <c r="J49" t="n">
        <v>88.352076</v>
      </c>
      <c r="K49" t="n">
        <v>88.352076</v>
      </c>
      <c r="L49" t="n">
        <v>181.735308</v>
      </c>
      <c r="M49" t="n">
        <v>181.735308</v>
      </c>
      <c r="N49" t="n">
        <v>185.151605</v>
      </c>
      <c r="O49" t="n">
        <v>112.940911</v>
      </c>
      <c r="P49" t="n">
        <v>44.389715</v>
      </c>
      <c r="Q49" t="n">
        <v>185.151605</v>
      </c>
      <c r="R49" t="n">
        <v>181.735308</v>
      </c>
      <c r="S49" t="n">
        <v>112.940911</v>
      </c>
      <c r="T49" t="n">
        <v>112.940911</v>
      </c>
      <c r="U49" t="n">
        <v>44.389715</v>
      </c>
      <c r="V49" t="n">
        <v>44.389715</v>
      </c>
      <c r="W49" t="n">
        <v>155.52695</v>
      </c>
      <c r="X49" t="n">
        <v>203.433007</v>
      </c>
    </row>
    <row r="50" ht="21" customHeight="1">
      <c r="A50" t="inlineStr">
        <is>
          <t>Pandalus borealis</t>
        </is>
      </c>
      <c r="B50" t="n">
        <v>3.07</v>
      </c>
      <c r="C50" t="n">
        <v>117.489755</v>
      </c>
      <c r="D50" s="11" t="inlineStr">
        <is>
          <t>Crabs and shrimps</t>
        </is>
      </c>
      <c r="E50" t="n">
        <v>0</v>
      </c>
      <c r="F50" t="n">
        <v>95.896642</v>
      </c>
      <c r="G50" t="n">
        <v>27.047208</v>
      </c>
      <c r="H50" t="n">
        <v>56.071592</v>
      </c>
      <c r="I50" t="n">
        <v>87.690287</v>
      </c>
      <c r="J50" t="n">
        <v>88.352076</v>
      </c>
      <c r="K50" t="n">
        <v>88.352076</v>
      </c>
      <c r="L50" t="n">
        <v>181.735308</v>
      </c>
      <c r="M50" t="n">
        <v>181.735308</v>
      </c>
      <c r="N50" t="n">
        <v>185.151605</v>
      </c>
      <c r="O50" t="n">
        <v>112.940911</v>
      </c>
      <c r="P50" t="n">
        <v>44.389715</v>
      </c>
      <c r="Q50" t="n">
        <v>185.151605</v>
      </c>
      <c r="R50" t="n">
        <v>181.735308</v>
      </c>
      <c r="S50" t="n">
        <v>112.940911</v>
      </c>
      <c r="T50" t="n">
        <v>112.940911</v>
      </c>
      <c r="U50" t="n">
        <v>44.389715</v>
      </c>
      <c r="V50" t="n">
        <v>44.389715</v>
      </c>
      <c r="W50" t="n">
        <v>155.52695</v>
      </c>
      <c r="X50" t="n">
        <v>203.433007</v>
      </c>
    </row>
    <row r="51" ht="21" customHeight="1">
      <c r="A51" t="inlineStr">
        <is>
          <t>Cephalopoda</t>
        </is>
      </c>
      <c r="B51" t="n">
        <v>3.81</v>
      </c>
      <c r="C51" t="n">
        <v>645.654229</v>
      </c>
      <c r="D51" s="11" t="inlineStr">
        <is>
          <t>Squids | Carnivorous invertebrates</t>
        </is>
      </c>
      <c r="E51" t="n">
        <v>0</v>
      </c>
      <c r="F51" t="n">
        <v>860.399224</v>
      </c>
      <c r="G51" t="n">
        <v>129.6599</v>
      </c>
      <c r="H51" t="n">
        <v>109.301857</v>
      </c>
      <c r="I51" t="n">
        <v>63.295221</v>
      </c>
      <c r="J51" t="n">
        <v>67.814258</v>
      </c>
      <c r="K51" t="n">
        <v>33.426089</v>
      </c>
      <c r="L51" t="n">
        <v>221.666919</v>
      </c>
      <c r="M51" t="n">
        <v>221.666919</v>
      </c>
      <c r="N51" t="n">
        <v>225.163458</v>
      </c>
      <c r="O51" t="n">
        <v>101.519607</v>
      </c>
      <c r="P51" t="n">
        <v>34.059741</v>
      </c>
      <c r="Q51" t="n">
        <v>225.163458</v>
      </c>
      <c r="R51" t="n">
        <v>221.666919</v>
      </c>
      <c r="S51" t="n">
        <v>101.519607</v>
      </c>
      <c r="T51" t="n">
        <v>101.519607</v>
      </c>
      <c r="U51" t="n">
        <v>34.059741</v>
      </c>
      <c r="V51" t="n">
        <v>34.059741</v>
      </c>
      <c r="W51" t="n">
        <v>133.314482</v>
      </c>
      <c r="X51" t="n">
        <v>246.371063</v>
      </c>
    </row>
    <row r="52" ht="21" customHeight="1">
      <c r="A52" t="inlineStr">
        <is>
          <t>Trachurus japonicus</t>
        </is>
      </c>
      <c r="B52" t="n">
        <v>3.4</v>
      </c>
      <c r="C52" t="n">
        <v>251.188643</v>
      </c>
      <c r="D52" s="11" t="inlineStr">
        <is>
          <t>Unresolved</t>
        </is>
      </c>
    </row>
    <row r="53" ht="21" customHeight="1">
      <c r="A53" t="inlineStr">
        <is>
          <t>Mizuhopecten yessoensis</t>
        </is>
      </c>
      <c r="B53" t="n">
        <v>2.1</v>
      </c>
      <c r="C53" t="n">
        <v>12.589254</v>
      </c>
      <c r="D53" s="11" t="inlineStr">
        <is>
          <t>2nd level benthos</t>
        </is>
      </c>
      <c r="E53" t="n">
        <v>0</v>
      </c>
      <c r="F53" t="n">
        <v>10</v>
      </c>
      <c r="G53" t="n">
        <v>5.280025</v>
      </c>
      <c r="H53" t="n">
        <v>5.280025</v>
      </c>
      <c r="I53" t="n">
        <v>4.25396</v>
      </c>
      <c r="J53" t="n">
        <v>4.25396</v>
      </c>
      <c r="K53" t="n">
        <v>2.190789</v>
      </c>
      <c r="L53" t="n">
        <v>4.011903</v>
      </c>
      <c r="M53" t="n">
        <v>4.011903</v>
      </c>
      <c r="N53" t="n">
        <v>4.101044</v>
      </c>
      <c r="O53" t="n">
        <v>2.575732</v>
      </c>
      <c r="P53" t="n">
        <v>2.017588</v>
      </c>
      <c r="Q53" t="n">
        <v>4.101044</v>
      </c>
      <c r="R53" t="n">
        <v>4.011903</v>
      </c>
      <c r="S53" t="n">
        <v>2.575732</v>
      </c>
      <c r="T53" t="n">
        <v>2.575732</v>
      </c>
      <c r="U53" t="n">
        <v>2.017588</v>
      </c>
      <c r="V53" t="n">
        <v>2.017588</v>
      </c>
      <c r="W53" t="n">
        <v>3.13337</v>
      </c>
      <c r="X53" t="n">
        <v>4.076903</v>
      </c>
    </row>
    <row r="54" ht="21" customHeight="1">
      <c r="A54" t="inlineStr">
        <is>
          <t>Octopodidae</t>
        </is>
      </c>
      <c r="B54" t="n">
        <v>3.59</v>
      </c>
      <c r="C54" t="n">
        <v>389.045145</v>
      </c>
      <c r="D54" s="11" t="inlineStr">
        <is>
          <t>Carnivorous invertebrates</t>
        </is>
      </c>
      <c r="E54" t="n">
        <v>0</v>
      </c>
      <c r="F54" t="n">
        <v>100</v>
      </c>
      <c r="G54" t="n">
        <v>27.878664</v>
      </c>
      <c r="H54" t="n">
        <v>27.878664</v>
      </c>
      <c r="I54" t="n">
        <v>35.33173</v>
      </c>
      <c r="J54" t="n">
        <v>35.33173</v>
      </c>
      <c r="K54" t="n">
        <v>28.654033</v>
      </c>
      <c r="L54" t="n">
        <v>33.321302</v>
      </c>
      <c r="M54" t="n">
        <v>33.321302</v>
      </c>
      <c r="N54" t="n">
        <v>34.061672</v>
      </c>
      <c r="O54" t="n">
        <v>17.349743</v>
      </c>
      <c r="P54" t="n">
        <v>10.872137</v>
      </c>
      <c r="Q54" t="n">
        <v>34.061672</v>
      </c>
      <c r="R54" t="n">
        <v>33.321302</v>
      </c>
      <c r="S54" t="n">
        <v>17.349743</v>
      </c>
      <c r="T54" t="n">
        <v>17.349743</v>
      </c>
      <c r="U54" t="n">
        <v>10.872137</v>
      </c>
      <c r="V54" t="n">
        <v>10.872137</v>
      </c>
      <c r="W54" t="n">
        <v>21.371774</v>
      </c>
      <c r="X54" t="n">
        <v>35.712118</v>
      </c>
    </row>
    <row r="55" ht="21" customHeight="1">
      <c r="A55" t="inlineStr">
        <is>
          <t>Sciaenidae</t>
        </is>
      </c>
      <c r="B55" t="n">
        <v>3.76</v>
      </c>
      <c r="C55" t="n">
        <v>575.439937</v>
      </c>
      <c r="D55" s="11" t="inlineStr">
        <is>
          <t>Unresolved</t>
        </is>
      </c>
    </row>
    <row r="56" ht="21" customHeight="1">
      <c r="A56" t="inlineStr">
        <is>
          <t>Carangidae</t>
        </is>
      </c>
      <c r="B56" t="n">
        <v>4.05</v>
      </c>
      <c r="C56" t="n">
        <v>1122.018454</v>
      </c>
      <c r="D56" s="11" t="inlineStr">
        <is>
          <t>Unresolved</t>
        </is>
      </c>
    </row>
    <row r="57" ht="21" customHeight="1">
      <c r="A57" t="inlineStr">
        <is>
          <t>Sebastes</t>
        </is>
      </c>
      <c r="B57" t="n">
        <v>3.79</v>
      </c>
      <c r="C57" t="n">
        <v>616.595002</v>
      </c>
      <c r="D57" s="11" t="inlineStr">
        <is>
          <t>Other bottom fishes</t>
        </is>
      </c>
      <c r="E57" t="n">
        <v>0</v>
      </c>
      <c r="F57" t="n">
        <v>458.549467</v>
      </c>
      <c r="G57" t="n">
        <v>83.79409699999999</v>
      </c>
      <c r="H57" t="n">
        <v>218.423557</v>
      </c>
      <c r="I57" t="n">
        <v>526.492157</v>
      </c>
      <c r="J57" t="n">
        <v>541.5331169999999</v>
      </c>
      <c r="K57" t="n">
        <v>541.5331169999999</v>
      </c>
      <c r="L57" t="n">
        <v>4898.328707</v>
      </c>
      <c r="M57" t="n">
        <v>4898.328707</v>
      </c>
      <c r="N57" t="n">
        <v>4977.981343</v>
      </c>
      <c r="O57" t="n">
        <v>2326.130383</v>
      </c>
      <c r="P57" t="n">
        <v>441.451478</v>
      </c>
      <c r="Q57" t="n">
        <v>4977.981343</v>
      </c>
      <c r="R57" t="n">
        <v>4898.328707</v>
      </c>
      <c r="S57" t="n">
        <v>2326.130383</v>
      </c>
      <c r="T57" t="n">
        <v>2326.130383</v>
      </c>
      <c r="U57" t="n">
        <v>441.451478</v>
      </c>
      <c r="V57" t="n">
        <v>441.451478</v>
      </c>
      <c r="W57" t="n">
        <v>3363.787374</v>
      </c>
      <c r="X57" t="n">
        <v>6233.03529</v>
      </c>
    </row>
    <row r="58" ht="21" customHeight="1">
      <c r="A58" t="inlineStr">
        <is>
          <t>Echinoidea</t>
        </is>
      </c>
      <c r="B58" t="n">
        <v>2.51</v>
      </c>
      <c r="C58" t="n">
        <v>32.359366</v>
      </c>
      <c r="D58" s="11" t="inlineStr">
        <is>
          <t>2nd level benthos</t>
        </is>
      </c>
      <c r="E58" t="n">
        <v>0</v>
      </c>
      <c r="F58" t="n">
        <v>10</v>
      </c>
      <c r="G58" t="n">
        <v>5.280025</v>
      </c>
      <c r="H58" t="n">
        <v>5.280025</v>
      </c>
      <c r="I58" t="n">
        <v>4.25396</v>
      </c>
      <c r="J58" t="n">
        <v>4.25396</v>
      </c>
      <c r="K58" t="n">
        <v>2.190789</v>
      </c>
      <c r="L58" t="n">
        <v>4.011903</v>
      </c>
      <c r="M58" t="n">
        <v>4.011903</v>
      </c>
      <c r="N58" t="n">
        <v>4.101044</v>
      </c>
      <c r="O58" t="n">
        <v>2.575732</v>
      </c>
      <c r="P58" t="n">
        <v>2.017588</v>
      </c>
      <c r="Q58" t="n">
        <v>4.101044</v>
      </c>
      <c r="R58" t="n">
        <v>4.011903</v>
      </c>
      <c r="S58" t="n">
        <v>2.575732</v>
      </c>
      <c r="T58" t="n">
        <v>2.575732</v>
      </c>
      <c r="U58" t="n">
        <v>2.017588</v>
      </c>
      <c r="V58" t="n">
        <v>2.017588</v>
      </c>
      <c r="W58" t="n">
        <v>3.13337</v>
      </c>
      <c r="X58" t="n">
        <v>4.076903</v>
      </c>
    </row>
    <row r="59" ht="21" customHeight="1">
      <c r="A59" t="inlineStr">
        <is>
          <t>Seriola lalandi</t>
        </is>
      </c>
      <c r="D59" s="11" t="inlineStr">
        <is>
          <t>Unresolved</t>
        </is>
      </c>
    </row>
    <row r="60" ht="21" customHeight="1">
      <c r="A60" t="inlineStr">
        <is>
          <t>Mugil cephalus</t>
        </is>
      </c>
      <c r="B60" t="n">
        <v>2.14</v>
      </c>
      <c r="C60" t="n">
        <v>13.803843</v>
      </c>
      <c r="D60" s="11" t="inlineStr">
        <is>
          <t>Unresolved</t>
        </is>
      </c>
    </row>
    <row r="61" ht="21" customHeight="1">
      <c r="A61" t="inlineStr">
        <is>
          <t>Chondrichthyes</t>
        </is>
      </c>
      <c r="B61" t="n">
        <v>4</v>
      </c>
      <c r="C61" t="n">
        <v>1000</v>
      </c>
      <c r="D61" s="11" t="inlineStr">
        <is>
          <t>Unresolved</t>
        </is>
      </c>
    </row>
    <row r="62" ht="21" customHeight="1">
      <c r="A62" t="inlineStr">
        <is>
          <t>Scombridae</t>
        </is>
      </c>
      <c r="B62" t="n">
        <v>4.26</v>
      </c>
      <c r="C62" t="n">
        <v>1819.700859</v>
      </c>
      <c r="D62" s="11" t="inlineStr">
        <is>
          <t>Unresolved</t>
        </is>
      </c>
    </row>
    <row r="63" ht="21" customHeight="1">
      <c r="A63" t="inlineStr">
        <is>
          <t>Sebastes alutus</t>
        </is>
      </c>
      <c r="B63" t="n">
        <v>3.48</v>
      </c>
      <c r="C63" t="n">
        <v>301.995172</v>
      </c>
      <c r="D63" s="11" t="inlineStr">
        <is>
          <t>Other bottom fishes</t>
        </is>
      </c>
      <c r="E63" t="n">
        <v>0</v>
      </c>
      <c r="F63" t="n">
        <v>458.549467</v>
      </c>
      <c r="G63" t="n">
        <v>83.79409699999999</v>
      </c>
      <c r="H63" t="n">
        <v>218.423557</v>
      </c>
      <c r="I63" t="n">
        <v>526.492157</v>
      </c>
      <c r="J63" t="n">
        <v>541.5331169999999</v>
      </c>
      <c r="K63" t="n">
        <v>541.5331169999999</v>
      </c>
      <c r="L63" t="n">
        <v>4898.328707</v>
      </c>
      <c r="M63" t="n">
        <v>4898.328707</v>
      </c>
      <c r="N63" t="n">
        <v>4977.981343</v>
      </c>
      <c r="O63" t="n">
        <v>2326.130383</v>
      </c>
      <c r="P63" t="n">
        <v>441.451478</v>
      </c>
      <c r="Q63" t="n">
        <v>4977.981343</v>
      </c>
      <c r="R63" t="n">
        <v>4898.328707</v>
      </c>
      <c r="S63" t="n">
        <v>2326.130383</v>
      </c>
      <c r="T63" t="n">
        <v>2326.130383</v>
      </c>
      <c r="U63" t="n">
        <v>441.451478</v>
      </c>
      <c r="V63" t="n">
        <v>441.451478</v>
      </c>
      <c r="W63" t="n">
        <v>3363.787374</v>
      </c>
      <c r="X63" t="n">
        <v>6233.03529</v>
      </c>
    </row>
    <row r="64" ht="21" customHeight="1">
      <c r="A64" t="inlineStr">
        <is>
          <t>Oncorhynchus tshawytscha</t>
        </is>
      </c>
      <c r="B64" t="n">
        <v>4.4</v>
      </c>
      <c r="C64" t="n">
        <v>2511.886432</v>
      </c>
      <c r="D64" s="11" t="inlineStr">
        <is>
          <t>Salmon</t>
        </is>
      </c>
      <c r="E64" t="n">
        <v>0</v>
      </c>
      <c r="F64" t="n">
        <v>537.793674</v>
      </c>
      <c r="G64" t="n">
        <v>94.02452599999999</v>
      </c>
      <c r="H64" t="n">
        <v>104.598466</v>
      </c>
      <c r="I64" t="n">
        <v>157.17606</v>
      </c>
      <c r="J64" t="n">
        <v>157.620728</v>
      </c>
      <c r="K64" t="n">
        <v>47.759081</v>
      </c>
      <c r="L64" t="n">
        <v>685.4069909999999</v>
      </c>
      <c r="M64" t="n">
        <v>685.4069909999999</v>
      </c>
      <c r="N64" t="n">
        <v>696.719298</v>
      </c>
      <c r="O64" t="n">
        <v>75.247908</v>
      </c>
      <c r="P64" t="n">
        <v>24.548027</v>
      </c>
      <c r="Q64" t="n">
        <v>696.719298</v>
      </c>
      <c r="R64" t="n">
        <v>685.4069909999999</v>
      </c>
      <c r="S64" t="n">
        <v>75.247908</v>
      </c>
      <c r="T64" t="n">
        <v>75.247908</v>
      </c>
      <c r="U64" t="n">
        <v>24.548027</v>
      </c>
      <c r="V64" t="n">
        <v>24.548027</v>
      </c>
      <c r="W64" t="n">
        <v>98.758639</v>
      </c>
      <c r="X64" t="n">
        <v>768.315028</v>
      </c>
    </row>
    <row r="65" ht="21" customHeight="1">
      <c r="A65" t="inlineStr">
        <is>
          <t>Salvelinus</t>
        </is>
      </c>
      <c r="B65" t="n">
        <v>4.1</v>
      </c>
      <c r="C65" t="n">
        <v>1258.925412</v>
      </c>
      <c r="D65" s="11" t="inlineStr">
        <is>
          <t>Unresolved</t>
        </is>
      </c>
    </row>
    <row r="66" ht="21" customHeight="1">
      <c r="A66" t="inlineStr">
        <is>
          <t>Paralithodes platypus</t>
        </is>
      </c>
      <c r="B66" t="n">
        <v>3.79</v>
      </c>
      <c r="C66" t="n">
        <v>616.595002</v>
      </c>
      <c r="D66" s="11" t="inlineStr">
        <is>
          <t>Crabs and shrimps</t>
        </is>
      </c>
      <c r="E66" t="n">
        <v>0</v>
      </c>
      <c r="F66" t="n">
        <v>95.896642</v>
      </c>
      <c r="G66" t="n">
        <v>27.047208</v>
      </c>
      <c r="H66" t="n">
        <v>56.071592</v>
      </c>
      <c r="I66" t="n">
        <v>87.690287</v>
      </c>
      <c r="J66" t="n">
        <v>88.352076</v>
      </c>
      <c r="K66" t="n">
        <v>88.352076</v>
      </c>
      <c r="L66" t="n">
        <v>181.735308</v>
      </c>
      <c r="M66" t="n">
        <v>181.735308</v>
      </c>
      <c r="N66" t="n">
        <v>185.151605</v>
      </c>
      <c r="O66" t="n">
        <v>112.940911</v>
      </c>
      <c r="P66" t="n">
        <v>44.389715</v>
      </c>
      <c r="Q66" t="n">
        <v>185.151605</v>
      </c>
      <c r="R66" t="n">
        <v>181.735308</v>
      </c>
      <c r="S66" t="n">
        <v>112.940911</v>
      </c>
      <c r="T66" t="n">
        <v>112.940911</v>
      </c>
      <c r="U66" t="n">
        <v>44.389715</v>
      </c>
      <c r="V66" t="n">
        <v>44.389715</v>
      </c>
      <c r="W66" t="n">
        <v>155.52695</v>
      </c>
      <c r="X66" t="n">
        <v>203.433007</v>
      </c>
    </row>
    <row r="67" ht="21" customHeight="1">
      <c r="A67" t="inlineStr">
        <is>
          <t>Pentaceros wheeleri</t>
        </is>
      </c>
      <c r="D67" s="11" t="inlineStr">
        <is>
          <t>Unresolved</t>
        </is>
      </c>
    </row>
    <row r="68" ht="21" customHeight="1">
      <c r="A68" t="inlineStr">
        <is>
          <t>Limanda aspera</t>
        </is>
      </c>
      <c r="D68" s="11" t="inlineStr">
        <is>
          <t>Pleuronectidae</t>
        </is>
      </c>
      <c r="E68" t="n">
        <v>0</v>
      </c>
      <c r="F68" t="n">
        <v>233.24334</v>
      </c>
      <c r="G68" t="n">
        <v>51.41196</v>
      </c>
      <c r="H68" t="n">
        <v>126.519418</v>
      </c>
      <c r="I68" t="n">
        <v>324.117476</v>
      </c>
      <c r="J68" t="n">
        <v>325.251045</v>
      </c>
      <c r="K68" t="n">
        <v>325.251045</v>
      </c>
      <c r="L68" t="n">
        <v>2211.992883</v>
      </c>
      <c r="M68" t="n">
        <v>2211.992883</v>
      </c>
      <c r="N68" t="n">
        <v>2248.486658</v>
      </c>
      <c r="O68" t="n">
        <v>1061.044702</v>
      </c>
      <c r="P68" t="n">
        <v>181.154642</v>
      </c>
      <c r="Q68" t="n">
        <v>2248.486658</v>
      </c>
      <c r="R68" t="n">
        <v>2211.992883</v>
      </c>
      <c r="S68" t="n">
        <v>1061.044702</v>
      </c>
      <c r="T68" t="n">
        <v>1061.044702</v>
      </c>
      <c r="U68" t="n">
        <v>181.154642</v>
      </c>
      <c r="V68" t="n">
        <v>181.154642</v>
      </c>
      <c r="W68" t="n">
        <v>1563.239343</v>
      </c>
      <c r="X68" t="n">
        <v>2786.139764</v>
      </c>
    </row>
    <row r="69" ht="21" customHeight="1">
      <c r="A69" t="inlineStr">
        <is>
          <t>Bathylagidae</t>
        </is>
      </c>
      <c r="B69" t="n">
        <v>3.1</v>
      </c>
      <c r="C69" t="n">
        <v>125.892541</v>
      </c>
      <c r="D69" s="11" t="inlineStr">
        <is>
          <t>Bathylagidae</t>
        </is>
      </c>
      <c r="E69" t="n">
        <v>0</v>
      </c>
      <c r="F69" t="n">
        <v>433.072664</v>
      </c>
      <c r="G69" t="n">
        <v>80.403265</v>
      </c>
      <c r="H69" t="n">
        <v>90.834756</v>
      </c>
      <c r="I69" t="n">
        <v>595.980811</v>
      </c>
      <c r="J69" t="n">
        <v>596.660103</v>
      </c>
      <c r="K69" t="n">
        <v>82.339094</v>
      </c>
      <c r="L69" t="n">
        <v>1635.350237</v>
      </c>
      <c r="M69" t="n">
        <v>1635.350237</v>
      </c>
      <c r="N69" t="n">
        <v>1661.441813</v>
      </c>
      <c r="O69" t="n">
        <v>216.520696</v>
      </c>
      <c r="P69" t="n">
        <v>75.94539899999999</v>
      </c>
      <c r="Q69" t="n">
        <v>1661.441813</v>
      </c>
      <c r="R69" t="n">
        <v>1635.350237</v>
      </c>
      <c r="S69" t="n">
        <v>216.520696</v>
      </c>
      <c r="T69" t="n">
        <v>216.520696</v>
      </c>
      <c r="U69" t="n">
        <v>75.94539899999999</v>
      </c>
      <c r="V69" t="n">
        <v>75.94539899999999</v>
      </c>
      <c r="W69" t="n">
        <v>288.590309</v>
      </c>
      <c r="X69" t="n">
        <v>1722.343841</v>
      </c>
    </row>
    <row r="70" ht="21" customHeight="1">
      <c r="A70" t="inlineStr">
        <is>
          <t>Seriola</t>
        </is>
      </c>
      <c r="B70" t="n">
        <v>4.39</v>
      </c>
      <c r="C70" t="n">
        <v>2454.708916</v>
      </c>
      <c r="D70" s="11" t="inlineStr">
        <is>
          <t>Unresolved</t>
        </is>
      </c>
    </row>
    <row r="71" ht="21" customHeight="1">
      <c r="A71" t="inlineStr">
        <is>
          <t>Thunnus alalunga</t>
        </is>
      </c>
      <c r="B71" t="n">
        <v>4.3</v>
      </c>
      <c r="C71" t="n">
        <v>1995.262315</v>
      </c>
      <c r="D71" s="11" t="inlineStr">
        <is>
          <t>Unresolved</t>
        </is>
      </c>
    </row>
    <row r="72" ht="21" customHeight="1">
      <c r="A72" t="inlineStr">
        <is>
          <t>Loliginidae</t>
        </is>
      </c>
      <c r="B72" t="n">
        <v>3.9</v>
      </c>
      <c r="C72" t="n">
        <v>794.3282349999999</v>
      </c>
      <c r="D72" s="11" t="inlineStr">
        <is>
          <t>Squids</t>
        </is>
      </c>
      <c r="E72" t="n">
        <v>0</v>
      </c>
      <c r="F72" t="n">
        <v>957.310082</v>
      </c>
      <c r="G72" t="n">
        <v>142.631647</v>
      </c>
      <c r="H72" t="n">
        <v>119.679026</v>
      </c>
      <c r="I72" t="n">
        <v>66.859093</v>
      </c>
      <c r="J72" t="n">
        <v>71.95407</v>
      </c>
      <c r="K72" t="n">
        <v>34.034275</v>
      </c>
      <c r="L72" t="n">
        <v>245.671067</v>
      </c>
      <c r="M72" t="n">
        <v>245.671067</v>
      </c>
      <c r="N72" t="n">
        <v>249.518872</v>
      </c>
      <c r="O72" t="n">
        <v>112.246832</v>
      </c>
      <c r="P72" t="n">
        <v>37.014939</v>
      </c>
      <c r="Q72" t="n">
        <v>249.518872</v>
      </c>
      <c r="R72" t="n">
        <v>245.671067</v>
      </c>
      <c r="S72" t="n">
        <v>112.246832</v>
      </c>
      <c r="T72" t="n">
        <v>112.246832</v>
      </c>
      <c r="U72" t="n">
        <v>37.014939</v>
      </c>
      <c r="V72" t="n">
        <v>37.014939</v>
      </c>
      <c r="W72" t="n">
        <v>147.581283</v>
      </c>
      <c r="X72" t="n">
        <v>273.218985</v>
      </c>
    </row>
    <row r="73" ht="21" customHeight="1">
      <c r="A73" t="inlineStr">
        <is>
          <t>Hippoglossoides elassodon</t>
        </is>
      </c>
      <c r="D73" s="11" t="inlineStr">
        <is>
          <t>Pleuronectidae</t>
        </is>
      </c>
      <c r="E73" t="n">
        <v>0</v>
      </c>
      <c r="F73" t="n">
        <v>233.24334</v>
      </c>
      <c r="G73" t="n">
        <v>51.41196</v>
      </c>
      <c r="H73" t="n">
        <v>126.519418</v>
      </c>
      <c r="I73" t="n">
        <v>324.117476</v>
      </c>
      <c r="J73" t="n">
        <v>325.251045</v>
      </c>
      <c r="K73" t="n">
        <v>325.251045</v>
      </c>
      <c r="L73" t="n">
        <v>2211.992883</v>
      </c>
      <c r="M73" t="n">
        <v>2211.992883</v>
      </c>
      <c r="N73" t="n">
        <v>2248.486658</v>
      </c>
      <c r="O73" t="n">
        <v>1061.044702</v>
      </c>
      <c r="P73" t="n">
        <v>181.154642</v>
      </c>
      <c r="Q73" t="n">
        <v>2248.486658</v>
      </c>
      <c r="R73" t="n">
        <v>2211.992883</v>
      </c>
      <c r="S73" t="n">
        <v>1061.044702</v>
      </c>
      <c r="T73" t="n">
        <v>1061.044702</v>
      </c>
      <c r="U73" t="n">
        <v>181.154642</v>
      </c>
      <c r="V73" t="n">
        <v>181.154642</v>
      </c>
      <c r="W73" t="n">
        <v>1563.239343</v>
      </c>
      <c r="X73" t="n">
        <v>2786.139764</v>
      </c>
    </row>
    <row r="74" ht="36" customHeight="1">
      <c r="A74" t="inlineStr">
        <is>
          <t>Gadidae</t>
        </is>
      </c>
      <c r="B74" t="n">
        <v>3.84</v>
      </c>
      <c r="C74" t="n">
        <v>691.830971</v>
      </c>
      <c r="D74" s="11" t="inlineStr">
        <is>
          <t>Walleye pollock | Juv. pollock | Other Gadidae</t>
        </is>
      </c>
      <c r="E74" t="n">
        <v>0</v>
      </c>
      <c r="F74" t="n">
        <v>472.2145</v>
      </c>
      <c r="G74" t="n">
        <v>85.463455</v>
      </c>
      <c r="H74" t="n">
        <v>148.830842</v>
      </c>
      <c r="I74" t="n">
        <v>1277.049753</v>
      </c>
      <c r="J74" t="n">
        <v>1391.928805</v>
      </c>
      <c r="K74" t="n">
        <v>1020.549982</v>
      </c>
      <c r="L74" t="n">
        <v>-27110.768695</v>
      </c>
      <c r="M74" t="n">
        <v>-27110.768695</v>
      </c>
      <c r="N74" t="n">
        <v>-27559.513334</v>
      </c>
      <c r="O74" t="n">
        <v>2305.122701</v>
      </c>
      <c r="P74" t="n">
        <v>484.611104</v>
      </c>
      <c r="Q74" t="n">
        <v>-27559.513334</v>
      </c>
      <c r="R74" t="n">
        <v>-27110.768695</v>
      </c>
      <c r="S74" t="n">
        <v>2305.122701</v>
      </c>
      <c r="T74" t="n">
        <v>2305.122701</v>
      </c>
      <c r="U74" t="n">
        <v>484.611104</v>
      </c>
      <c r="V74" t="n">
        <v>484.611104</v>
      </c>
      <c r="W74" t="n">
        <v>5857.766457</v>
      </c>
      <c r="X74" t="n">
        <v>105118.298666</v>
      </c>
    </row>
    <row r="75" ht="36" customHeight="1">
      <c r="A75" t="inlineStr">
        <is>
          <t>Gastropoda</t>
        </is>
      </c>
      <c r="B75" t="n">
        <v>3.06</v>
      </c>
      <c r="C75" t="n">
        <v>114.815362</v>
      </c>
      <c r="D75" s="11" t="inlineStr">
        <is>
          <t>2nd level benthos | Carnivorous invertebrates</t>
        </is>
      </c>
      <c r="E75" t="n">
        <v>0</v>
      </c>
      <c r="F75" t="n">
        <v>29.4532</v>
      </c>
      <c r="G75" t="n">
        <v>10.164646</v>
      </c>
      <c r="H75" t="n">
        <v>10.164646</v>
      </c>
      <c r="I75" t="n">
        <v>10.971317</v>
      </c>
      <c r="J75" t="n">
        <v>10.971317</v>
      </c>
      <c r="K75" t="n">
        <v>7.910732</v>
      </c>
      <c r="L75" t="n">
        <v>10.347032</v>
      </c>
      <c r="M75" t="n">
        <v>10.347032</v>
      </c>
      <c r="N75" t="n">
        <v>10.576934</v>
      </c>
      <c r="O75" t="n">
        <v>5.769085</v>
      </c>
      <c r="P75" t="n">
        <v>3.93147</v>
      </c>
      <c r="Q75" t="n">
        <v>10.576934</v>
      </c>
      <c r="R75" t="n">
        <v>10.347032</v>
      </c>
      <c r="S75" t="n">
        <v>5.769085</v>
      </c>
      <c r="T75" t="n">
        <v>5.769085</v>
      </c>
      <c r="U75" t="n">
        <v>3.93147</v>
      </c>
      <c r="V75" t="n">
        <v>3.93147</v>
      </c>
      <c r="W75" t="n">
        <v>7.07554</v>
      </c>
      <c r="X75" t="n">
        <v>10.91475</v>
      </c>
    </row>
    <row r="76" ht="21" customHeight="1">
      <c r="A76" t="inlineStr">
        <is>
          <t>Berryteuthis magister</t>
        </is>
      </c>
      <c r="D76" s="11" t="inlineStr">
        <is>
          <t>Squids</t>
        </is>
      </c>
      <c r="E76" t="n">
        <v>0</v>
      </c>
      <c r="F76" t="n">
        <v>957.310082</v>
      </c>
      <c r="G76" t="n">
        <v>142.631647</v>
      </c>
      <c r="H76" t="n">
        <v>119.679026</v>
      </c>
      <c r="I76" t="n">
        <v>66.859093</v>
      </c>
      <c r="J76" t="n">
        <v>71.95407</v>
      </c>
      <c r="K76" t="n">
        <v>34.034275</v>
      </c>
      <c r="L76" t="n">
        <v>245.671067</v>
      </c>
      <c r="M76" t="n">
        <v>245.671067</v>
      </c>
      <c r="N76" t="n">
        <v>249.518872</v>
      </c>
      <c r="O76" t="n">
        <v>112.246832</v>
      </c>
      <c r="P76" t="n">
        <v>37.014939</v>
      </c>
      <c r="Q76" t="n">
        <v>249.518872</v>
      </c>
      <c r="R76" t="n">
        <v>245.671067</v>
      </c>
      <c r="S76" t="n">
        <v>112.246832</v>
      </c>
      <c r="T76" t="n">
        <v>112.246832</v>
      </c>
      <c r="U76" t="n">
        <v>37.014939</v>
      </c>
      <c r="V76" t="n">
        <v>37.014939</v>
      </c>
      <c r="W76" t="n">
        <v>147.581283</v>
      </c>
      <c r="X76" t="n">
        <v>273.218985</v>
      </c>
    </row>
    <row r="77" ht="21" customHeight="1">
      <c r="A77" t="inlineStr">
        <is>
          <t>Lutjanidae</t>
        </is>
      </c>
      <c r="B77" t="n">
        <v>4.02</v>
      </c>
      <c r="C77" t="n">
        <v>1047.128548</v>
      </c>
      <c r="D77" s="11" t="inlineStr">
        <is>
          <t>Unresolved</t>
        </is>
      </c>
    </row>
    <row r="78" ht="21" customHeight="1">
      <c r="A78" t="inlineStr">
        <is>
          <t>Clupeidae</t>
        </is>
      </c>
      <c r="B78" t="n">
        <v>3.16</v>
      </c>
      <c r="C78" t="n">
        <v>144.543977</v>
      </c>
      <c r="D78" s="11" t="inlineStr">
        <is>
          <t>Unresolved</t>
        </is>
      </c>
    </row>
    <row r="79" ht="21" customHeight="1">
      <c r="A79" t="inlineStr">
        <is>
          <t>Holothuroidea</t>
        </is>
      </c>
      <c r="B79" t="n">
        <v>2</v>
      </c>
      <c r="C79" t="n">
        <v>10</v>
      </c>
      <c r="D79" s="11" t="inlineStr">
        <is>
          <t>2nd level benthos</t>
        </is>
      </c>
      <c r="E79" t="n">
        <v>0</v>
      </c>
      <c r="F79" t="n">
        <v>10</v>
      </c>
      <c r="G79" t="n">
        <v>5.280025</v>
      </c>
      <c r="H79" t="n">
        <v>5.280025</v>
      </c>
      <c r="I79" t="n">
        <v>4.25396</v>
      </c>
      <c r="J79" t="n">
        <v>4.25396</v>
      </c>
      <c r="K79" t="n">
        <v>2.190789</v>
      </c>
      <c r="L79" t="n">
        <v>4.011903</v>
      </c>
      <c r="M79" t="n">
        <v>4.011903</v>
      </c>
      <c r="N79" t="n">
        <v>4.101044</v>
      </c>
      <c r="O79" t="n">
        <v>2.575732</v>
      </c>
      <c r="P79" t="n">
        <v>2.017588</v>
      </c>
      <c r="Q79" t="n">
        <v>4.101044</v>
      </c>
      <c r="R79" t="n">
        <v>4.011903</v>
      </c>
      <c r="S79" t="n">
        <v>2.575732</v>
      </c>
      <c r="T79" t="n">
        <v>2.575732</v>
      </c>
      <c r="U79" t="n">
        <v>2.017588</v>
      </c>
      <c r="V79" t="n">
        <v>2.017588</v>
      </c>
      <c r="W79" t="n">
        <v>3.13337</v>
      </c>
      <c r="X79" t="n">
        <v>4.076903</v>
      </c>
    </row>
    <row r="80" ht="21" customHeight="1">
      <c r="A80" t="inlineStr">
        <is>
          <t>Dendrobranchiata</t>
        </is>
      </c>
      <c r="B80" t="n">
        <v>3.24</v>
      </c>
      <c r="C80" t="n">
        <v>173.780083</v>
      </c>
      <c r="D80" s="11" t="inlineStr">
        <is>
          <t>Crabs and shrimps</t>
        </is>
      </c>
      <c r="E80" t="n">
        <v>0</v>
      </c>
      <c r="F80" t="n">
        <v>95.896642</v>
      </c>
      <c r="G80" t="n">
        <v>27.047208</v>
      </c>
      <c r="H80" t="n">
        <v>56.071592</v>
      </c>
      <c r="I80" t="n">
        <v>87.690287</v>
      </c>
      <c r="J80" t="n">
        <v>88.352076</v>
      </c>
      <c r="K80" t="n">
        <v>88.352076</v>
      </c>
      <c r="L80" t="n">
        <v>181.735308</v>
      </c>
      <c r="M80" t="n">
        <v>181.735308</v>
      </c>
      <c r="N80" t="n">
        <v>185.151605</v>
      </c>
      <c r="O80" t="n">
        <v>112.940911</v>
      </c>
      <c r="P80" t="n">
        <v>44.389715</v>
      </c>
      <c r="Q80" t="n">
        <v>185.151605</v>
      </c>
      <c r="R80" t="n">
        <v>181.735308</v>
      </c>
      <c r="S80" t="n">
        <v>112.940911</v>
      </c>
      <c r="T80" t="n">
        <v>112.940911</v>
      </c>
      <c r="U80" t="n">
        <v>44.389715</v>
      </c>
      <c r="V80" t="n">
        <v>44.389715</v>
      </c>
      <c r="W80" t="n">
        <v>155.52695</v>
      </c>
      <c r="X80" t="n">
        <v>203.433007</v>
      </c>
    </row>
    <row r="81" ht="21" customHeight="1">
      <c r="A81" t="inlineStr">
        <is>
          <t>Pandalus</t>
        </is>
      </c>
      <c r="D81" s="11" t="inlineStr">
        <is>
          <t>Crabs and shrimps</t>
        </is>
      </c>
      <c r="E81" t="n">
        <v>0</v>
      </c>
      <c r="F81" t="n">
        <v>95.896642</v>
      </c>
      <c r="G81" t="n">
        <v>27.047208</v>
      </c>
      <c r="H81" t="n">
        <v>56.071592</v>
      </c>
      <c r="I81" t="n">
        <v>87.690287</v>
      </c>
      <c r="J81" t="n">
        <v>88.352076</v>
      </c>
      <c r="K81" t="n">
        <v>88.352076</v>
      </c>
      <c r="L81" t="n">
        <v>181.735308</v>
      </c>
      <c r="M81" t="n">
        <v>181.735308</v>
      </c>
      <c r="N81" t="n">
        <v>185.151605</v>
      </c>
      <c r="O81" t="n">
        <v>112.940911</v>
      </c>
      <c r="P81" t="n">
        <v>44.389715</v>
      </c>
      <c r="Q81" t="n">
        <v>185.151605</v>
      </c>
      <c r="R81" t="n">
        <v>181.735308</v>
      </c>
      <c r="S81" t="n">
        <v>112.940911</v>
      </c>
      <c r="T81" t="n">
        <v>112.940911</v>
      </c>
      <c r="U81" t="n">
        <v>44.389715</v>
      </c>
      <c r="V81" t="n">
        <v>44.389715</v>
      </c>
      <c r="W81" t="n">
        <v>155.52695</v>
      </c>
      <c r="X81" t="n">
        <v>203.433007</v>
      </c>
    </row>
    <row r="82" ht="21" customHeight="1">
      <c r="A82" t="inlineStr">
        <is>
          <t>Tetraodontidae</t>
        </is>
      </c>
      <c r="B82" t="n">
        <v>3.5</v>
      </c>
      <c r="C82" t="n">
        <v>316.227766</v>
      </c>
      <c r="D82" s="11" t="inlineStr">
        <is>
          <t>Unresolved</t>
        </is>
      </c>
    </row>
    <row r="83" ht="21" customHeight="1">
      <c r="A83" t="inlineStr">
        <is>
          <t>Muraenesox cinereus</t>
        </is>
      </c>
      <c r="B83" t="n">
        <v>4.38</v>
      </c>
      <c r="C83" t="n">
        <v>2398.832919</v>
      </c>
      <c r="D83" s="11" t="inlineStr">
        <is>
          <t>Unresolved</t>
        </is>
      </c>
    </row>
    <row r="84" ht="21" customHeight="1">
      <c r="A84" t="inlineStr">
        <is>
          <t>Paralichthys olivaceus</t>
        </is>
      </c>
      <c r="B84" t="n">
        <v>4.25</v>
      </c>
      <c r="C84" t="n">
        <v>1778.27941</v>
      </c>
      <c r="D84" s="11" t="inlineStr">
        <is>
          <t>Other bottom fishes</t>
        </is>
      </c>
      <c r="E84" t="n">
        <v>0</v>
      </c>
      <c r="F84" t="n">
        <v>458.549467</v>
      </c>
      <c r="G84" t="n">
        <v>83.79409699999999</v>
      </c>
      <c r="H84" t="n">
        <v>218.423557</v>
      </c>
      <c r="I84" t="n">
        <v>526.492157</v>
      </c>
      <c r="J84" t="n">
        <v>541.5331169999999</v>
      </c>
      <c r="K84" t="n">
        <v>541.5331169999999</v>
      </c>
      <c r="L84" t="n">
        <v>4898.328707</v>
      </c>
      <c r="M84" t="n">
        <v>4898.328707</v>
      </c>
      <c r="N84" t="n">
        <v>4977.981343</v>
      </c>
      <c r="O84" t="n">
        <v>2326.130383</v>
      </c>
      <c r="P84" t="n">
        <v>441.451478</v>
      </c>
      <c r="Q84" t="n">
        <v>4977.981343</v>
      </c>
      <c r="R84" t="n">
        <v>4898.328707</v>
      </c>
      <c r="S84" t="n">
        <v>2326.130383</v>
      </c>
      <c r="T84" t="n">
        <v>2326.130383</v>
      </c>
      <c r="U84" t="n">
        <v>441.451478</v>
      </c>
      <c r="V84" t="n">
        <v>441.451478</v>
      </c>
      <c r="W84" t="n">
        <v>3363.787374</v>
      </c>
      <c r="X84" t="n">
        <v>6233.03529</v>
      </c>
    </row>
    <row r="85" ht="21" customHeight="1">
      <c r="A85" t="inlineStr">
        <is>
          <t>Salvelinus malma</t>
        </is>
      </c>
      <c r="B85" t="n">
        <v>4.4</v>
      </c>
      <c r="C85" t="n">
        <v>2511.886432</v>
      </c>
      <c r="D85" s="11" t="inlineStr">
        <is>
          <t>Unresolved</t>
        </is>
      </c>
    </row>
    <row r="86" ht="21" customHeight="1">
      <c r="A86" t="inlineStr">
        <is>
          <t>Mactridae</t>
        </is>
      </c>
      <c r="B86" t="n">
        <v>2</v>
      </c>
      <c r="C86" t="n">
        <v>10</v>
      </c>
      <c r="D86" s="11" t="inlineStr">
        <is>
          <t>2nd level benthos</t>
        </is>
      </c>
      <c r="E86" t="n">
        <v>0</v>
      </c>
      <c r="F86" t="n">
        <v>10</v>
      </c>
      <c r="G86" t="n">
        <v>5.280025</v>
      </c>
      <c r="H86" t="n">
        <v>5.280025</v>
      </c>
      <c r="I86" t="n">
        <v>4.25396</v>
      </c>
      <c r="J86" t="n">
        <v>4.25396</v>
      </c>
      <c r="K86" t="n">
        <v>2.190789</v>
      </c>
      <c r="L86" t="n">
        <v>4.011903</v>
      </c>
      <c r="M86" t="n">
        <v>4.011903</v>
      </c>
      <c r="N86" t="n">
        <v>4.101044</v>
      </c>
      <c r="O86" t="n">
        <v>2.575732</v>
      </c>
      <c r="P86" t="n">
        <v>2.017588</v>
      </c>
      <c r="Q86" t="n">
        <v>4.101044</v>
      </c>
      <c r="R86" t="n">
        <v>4.011903</v>
      </c>
      <c r="S86" t="n">
        <v>2.575732</v>
      </c>
      <c r="T86" t="n">
        <v>2.575732</v>
      </c>
      <c r="U86" t="n">
        <v>2.017588</v>
      </c>
      <c r="V86" t="n">
        <v>2.017588</v>
      </c>
      <c r="W86" t="n">
        <v>3.13337</v>
      </c>
      <c r="X86" t="n">
        <v>4.076903</v>
      </c>
    </row>
    <row r="87" ht="21" customHeight="1">
      <c r="A87" t="inlineStr">
        <is>
          <t>Cyprinidae</t>
        </is>
      </c>
      <c r="B87" t="n">
        <v>2.8</v>
      </c>
      <c r="C87" t="n">
        <v>63.095734</v>
      </c>
      <c r="D87" s="11" t="inlineStr">
        <is>
          <t>Unresolved</t>
        </is>
      </c>
    </row>
    <row r="88" ht="21" customHeight="1">
      <c r="A88" t="inlineStr">
        <is>
          <t>Paralithodes</t>
        </is>
      </c>
      <c r="D88" s="11" t="inlineStr">
        <is>
          <t>Crabs and shrimps</t>
        </is>
      </c>
      <c r="E88" t="n">
        <v>0</v>
      </c>
      <c r="F88" t="n">
        <v>95.896642</v>
      </c>
      <c r="G88" t="n">
        <v>27.047208</v>
      </c>
      <c r="H88" t="n">
        <v>56.071592</v>
      </c>
      <c r="I88" t="n">
        <v>87.690287</v>
      </c>
      <c r="J88" t="n">
        <v>88.352076</v>
      </c>
      <c r="K88" t="n">
        <v>88.352076</v>
      </c>
      <c r="L88" t="n">
        <v>181.735308</v>
      </c>
      <c r="M88" t="n">
        <v>181.735308</v>
      </c>
      <c r="N88" t="n">
        <v>185.151605</v>
      </c>
      <c r="O88" t="n">
        <v>112.940911</v>
      </c>
      <c r="P88" t="n">
        <v>44.389715</v>
      </c>
      <c r="Q88" t="n">
        <v>185.151605</v>
      </c>
      <c r="R88" t="n">
        <v>181.735308</v>
      </c>
      <c r="S88" t="n">
        <v>112.940911</v>
      </c>
      <c r="T88" t="n">
        <v>112.940911</v>
      </c>
      <c r="U88" t="n">
        <v>44.389715</v>
      </c>
      <c r="V88" t="n">
        <v>44.389715</v>
      </c>
      <c r="W88" t="n">
        <v>155.52695</v>
      </c>
      <c r="X88" t="n">
        <v>203.433007</v>
      </c>
    </row>
    <row r="89" ht="21" customHeight="1">
      <c r="A89" t="inlineStr">
        <is>
          <t>Scorpaeniformes</t>
        </is>
      </c>
      <c r="B89" t="n">
        <v>3.78</v>
      </c>
      <c r="C89" t="n">
        <v>602.559586</v>
      </c>
      <c r="D89" s="11" t="inlineStr">
        <is>
          <t>Cottidae | Other bottom fishes</t>
        </is>
      </c>
      <c r="E89" t="n">
        <v>0</v>
      </c>
      <c r="F89" t="n">
        <v>458.549467</v>
      </c>
      <c r="G89" t="n">
        <v>83.79409699999999</v>
      </c>
      <c r="H89" t="n">
        <v>218.423557</v>
      </c>
      <c r="I89" t="n">
        <v>526.492157</v>
      </c>
      <c r="J89" t="n">
        <v>541.5331169999999</v>
      </c>
      <c r="K89" t="n">
        <v>541.5331169999999</v>
      </c>
      <c r="L89" t="n">
        <v>4898.328707</v>
      </c>
      <c r="M89" t="n">
        <v>4898.328707</v>
      </c>
      <c r="N89" t="n">
        <v>4977.981343</v>
      </c>
      <c r="O89" t="n">
        <v>2326.130383</v>
      </c>
      <c r="P89" t="n">
        <v>441.451478</v>
      </c>
      <c r="Q89" t="n">
        <v>4977.981343</v>
      </c>
      <c r="R89" t="n">
        <v>4898.328707</v>
      </c>
      <c r="S89" t="n">
        <v>2326.130383</v>
      </c>
      <c r="T89" t="n">
        <v>2326.130383</v>
      </c>
      <c r="U89" t="n">
        <v>441.451478</v>
      </c>
      <c r="V89" t="n">
        <v>441.451478</v>
      </c>
      <c r="W89" t="n">
        <v>3363.787374</v>
      </c>
      <c r="X89" t="n">
        <v>6233.03529</v>
      </c>
    </row>
    <row r="90" ht="21" customHeight="1">
      <c r="A90" t="inlineStr">
        <is>
          <t>Pandalus goniurus</t>
        </is>
      </c>
      <c r="B90" t="n">
        <v>2.6</v>
      </c>
      <c r="C90" t="n">
        <v>39.810717</v>
      </c>
      <c r="D90" s="11" t="inlineStr">
        <is>
          <t>Crabs and shrimps</t>
        </is>
      </c>
      <c r="E90" t="n">
        <v>0</v>
      </c>
      <c r="F90" t="n">
        <v>95.896642</v>
      </c>
      <c r="G90" t="n">
        <v>27.047208</v>
      </c>
      <c r="H90" t="n">
        <v>56.071592</v>
      </c>
      <c r="I90" t="n">
        <v>87.690287</v>
      </c>
      <c r="J90" t="n">
        <v>88.352076</v>
      </c>
      <c r="K90" t="n">
        <v>88.352076</v>
      </c>
      <c r="L90" t="n">
        <v>181.735308</v>
      </c>
      <c r="M90" t="n">
        <v>181.735308</v>
      </c>
      <c r="N90" t="n">
        <v>185.151605</v>
      </c>
      <c r="O90" t="n">
        <v>112.940911</v>
      </c>
      <c r="P90" t="n">
        <v>44.389715</v>
      </c>
      <c r="Q90" t="n">
        <v>185.151605</v>
      </c>
      <c r="R90" t="n">
        <v>181.735308</v>
      </c>
      <c r="S90" t="n">
        <v>112.940911</v>
      </c>
      <c r="T90" t="n">
        <v>112.940911</v>
      </c>
      <c r="U90" t="n">
        <v>44.389715</v>
      </c>
      <c r="V90" t="n">
        <v>44.389715</v>
      </c>
      <c r="W90" t="n">
        <v>155.52695</v>
      </c>
      <c r="X90" t="n">
        <v>203.433007</v>
      </c>
    </row>
    <row r="91" ht="21" customHeight="1">
      <c r="A91" t="inlineStr">
        <is>
          <t>Clupeiformes</t>
        </is>
      </c>
      <c r="B91" t="n">
        <v>3.24</v>
      </c>
      <c r="C91" t="n">
        <v>173.780083</v>
      </c>
      <c r="D91" s="11" t="inlineStr">
        <is>
          <t>Unresolved</t>
        </is>
      </c>
    </row>
    <row r="92" ht="21" customHeight="1">
      <c r="A92" t="inlineStr">
        <is>
          <t>Thunnus orientalis</t>
        </is>
      </c>
      <c r="B92" t="n">
        <v>4.05</v>
      </c>
      <c r="C92" t="n">
        <v>1122.018454</v>
      </c>
      <c r="D92" s="11" t="inlineStr">
        <is>
          <t>Unresolved</t>
        </is>
      </c>
    </row>
    <row r="93" ht="21" customHeight="1">
      <c r="A93" t="inlineStr">
        <is>
          <t>Chionoecetes japonicus</t>
        </is>
      </c>
      <c r="B93" t="n">
        <v>3.74</v>
      </c>
      <c r="C93" t="n">
        <v>549.540874</v>
      </c>
      <c r="D93" s="11" t="inlineStr">
        <is>
          <t>Crabs and shrimps</t>
        </is>
      </c>
      <c r="E93" t="n">
        <v>0</v>
      </c>
      <c r="F93" t="n">
        <v>95.896642</v>
      </c>
      <c r="G93" t="n">
        <v>27.047208</v>
      </c>
      <c r="H93" t="n">
        <v>56.071592</v>
      </c>
      <c r="I93" t="n">
        <v>87.690287</v>
      </c>
      <c r="J93" t="n">
        <v>88.352076</v>
      </c>
      <c r="K93" t="n">
        <v>88.352076</v>
      </c>
      <c r="L93" t="n">
        <v>181.735308</v>
      </c>
      <c r="M93" t="n">
        <v>181.735308</v>
      </c>
      <c r="N93" t="n">
        <v>185.151605</v>
      </c>
      <c r="O93" t="n">
        <v>112.940911</v>
      </c>
      <c r="P93" t="n">
        <v>44.389715</v>
      </c>
      <c r="Q93" t="n">
        <v>185.151605</v>
      </c>
      <c r="R93" t="n">
        <v>181.735308</v>
      </c>
      <c r="S93" t="n">
        <v>112.940911</v>
      </c>
      <c r="T93" t="n">
        <v>112.940911</v>
      </c>
      <c r="U93" t="n">
        <v>44.389715</v>
      </c>
      <c r="V93" t="n">
        <v>44.389715</v>
      </c>
      <c r="W93" t="n">
        <v>155.52695</v>
      </c>
      <c r="X93" t="n">
        <v>203.433007</v>
      </c>
    </row>
    <row r="94" ht="21" customHeight="1">
      <c r="A94" t="inlineStr">
        <is>
          <t>Ommastrephidae</t>
        </is>
      </c>
      <c r="B94" t="n">
        <v>4.09</v>
      </c>
      <c r="C94" t="n">
        <v>1230.268771</v>
      </c>
      <c r="D94" s="11" t="inlineStr">
        <is>
          <t>Squids</t>
        </is>
      </c>
      <c r="E94" t="n">
        <v>0</v>
      </c>
      <c r="F94" t="n">
        <v>957.310082</v>
      </c>
      <c r="G94" t="n">
        <v>142.631647</v>
      </c>
      <c r="H94" t="n">
        <v>119.679026</v>
      </c>
      <c r="I94" t="n">
        <v>66.859093</v>
      </c>
      <c r="J94" t="n">
        <v>71.95407</v>
      </c>
      <c r="K94" t="n">
        <v>34.034275</v>
      </c>
      <c r="L94" t="n">
        <v>245.671067</v>
      </c>
      <c r="M94" t="n">
        <v>245.671067</v>
      </c>
      <c r="N94" t="n">
        <v>249.518872</v>
      </c>
      <c r="O94" t="n">
        <v>112.246832</v>
      </c>
      <c r="P94" t="n">
        <v>37.014939</v>
      </c>
      <c r="Q94" t="n">
        <v>249.518872</v>
      </c>
      <c r="R94" t="n">
        <v>245.671067</v>
      </c>
      <c r="S94" t="n">
        <v>112.246832</v>
      </c>
      <c r="T94" t="n">
        <v>112.246832</v>
      </c>
      <c r="U94" t="n">
        <v>37.014939</v>
      </c>
      <c r="V94" t="n">
        <v>37.014939</v>
      </c>
      <c r="W94" t="n">
        <v>147.581283</v>
      </c>
      <c r="X94" t="n">
        <v>273.218985</v>
      </c>
    </row>
    <row r="95" ht="21" customHeight="1">
      <c r="A95" t="inlineStr">
        <is>
          <t>Sebastolobus alascanus</t>
        </is>
      </c>
      <c r="B95" t="n">
        <v>3.62</v>
      </c>
      <c r="C95" t="n">
        <v>416.869383</v>
      </c>
      <c r="D95" s="11" t="inlineStr">
        <is>
          <t>Other bottom fishes</t>
        </is>
      </c>
      <c r="E95" t="n">
        <v>0</v>
      </c>
      <c r="F95" t="n">
        <v>458.549467</v>
      </c>
      <c r="G95" t="n">
        <v>83.79409699999999</v>
      </c>
      <c r="H95" t="n">
        <v>218.423557</v>
      </c>
      <c r="I95" t="n">
        <v>526.492157</v>
      </c>
      <c r="J95" t="n">
        <v>541.5331169999999</v>
      </c>
      <c r="K95" t="n">
        <v>541.5331169999999</v>
      </c>
      <c r="L95" t="n">
        <v>4898.328707</v>
      </c>
      <c r="M95" t="n">
        <v>4898.328707</v>
      </c>
      <c r="N95" t="n">
        <v>4977.981343</v>
      </c>
      <c r="O95" t="n">
        <v>2326.130383</v>
      </c>
      <c r="P95" t="n">
        <v>441.451478</v>
      </c>
      <c r="Q95" t="n">
        <v>4977.981343</v>
      </c>
      <c r="R95" t="n">
        <v>4898.328707</v>
      </c>
      <c r="S95" t="n">
        <v>2326.130383</v>
      </c>
      <c r="T95" t="n">
        <v>2326.130383</v>
      </c>
      <c r="U95" t="n">
        <v>441.451478</v>
      </c>
      <c r="V95" t="n">
        <v>441.451478</v>
      </c>
      <c r="W95" t="n">
        <v>3363.787374</v>
      </c>
      <c r="X95" t="n">
        <v>6233.03529</v>
      </c>
    </row>
    <row r="96" ht="21" customHeight="1">
      <c r="A96" t="inlineStr">
        <is>
          <t>Octopus</t>
        </is>
      </c>
      <c r="B96" t="n">
        <v>3.8</v>
      </c>
      <c r="C96" t="n">
        <v>630.957344</v>
      </c>
      <c r="D96" s="11" t="inlineStr">
        <is>
          <t>Carnivorous invertebrates</t>
        </is>
      </c>
      <c r="E96" t="n">
        <v>0</v>
      </c>
      <c r="F96" t="n">
        <v>100</v>
      </c>
      <c r="G96" t="n">
        <v>27.878664</v>
      </c>
      <c r="H96" t="n">
        <v>27.878664</v>
      </c>
      <c r="I96" t="n">
        <v>35.33173</v>
      </c>
      <c r="J96" t="n">
        <v>35.33173</v>
      </c>
      <c r="K96" t="n">
        <v>28.654033</v>
      </c>
      <c r="L96" t="n">
        <v>33.321302</v>
      </c>
      <c r="M96" t="n">
        <v>33.321302</v>
      </c>
      <c r="N96" t="n">
        <v>34.061672</v>
      </c>
      <c r="O96" t="n">
        <v>17.349743</v>
      </c>
      <c r="P96" t="n">
        <v>10.872137</v>
      </c>
      <c r="Q96" t="n">
        <v>34.061672</v>
      </c>
      <c r="R96" t="n">
        <v>33.321302</v>
      </c>
      <c r="S96" t="n">
        <v>17.349743</v>
      </c>
      <c r="T96" t="n">
        <v>17.349743</v>
      </c>
      <c r="U96" t="n">
        <v>10.872137</v>
      </c>
      <c r="V96" t="n">
        <v>10.872137</v>
      </c>
      <c r="W96" t="n">
        <v>21.371774</v>
      </c>
      <c r="X96" t="n">
        <v>35.712118</v>
      </c>
    </row>
    <row r="97" ht="21" customHeight="1">
      <c r="A97" t="inlineStr">
        <is>
          <t>Pandalus hypsinotus</t>
        </is>
      </c>
      <c r="B97" t="n">
        <v>2.6</v>
      </c>
      <c r="C97" t="n">
        <v>39.810717</v>
      </c>
      <c r="D97" s="11" t="inlineStr">
        <is>
          <t>Crabs and shrimps</t>
        </is>
      </c>
      <c r="E97" t="n">
        <v>0</v>
      </c>
      <c r="F97" t="n">
        <v>95.896642</v>
      </c>
      <c r="G97" t="n">
        <v>27.047208</v>
      </c>
      <c r="H97" t="n">
        <v>56.071592</v>
      </c>
      <c r="I97" t="n">
        <v>87.690287</v>
      </c>
      <c r="J97" t="n">
        <v>88.352076</v>
      </c>
      <c r="K97" t="n">
        <v>88.352076</v>
      </c>
      <c r="L97" t="n">
        <v>181.735308</v>
      </c>
      <c r="M97" t="n">
        <v>181.735308</v>
      </c>
      <c r="N97" t="n">
        <v>185.151605</v>
      </c>
      <c r="O97" t="n">
        <v>112.940911</v>
      </c>
      <c r="P97" t="n">
        <v>44.389715</v>
      </c>
      <c r="Q97" t="n">
        <v>185.151605</v>
      </c>
      <c r="R97" t="n">
        <v>181.735308</v>
      </c>
      <c r="S97" t="n">
        <v>112.940911</v>
      </c>
      <c r="T97" t="n">
        <v>112.940911</v>
      </c>
      <c r="U97" t="n">
        <v>44.389715</v>
      </c>
      <c r="V97" t="n">
        <v>44.389715</v>
      </c>
      <c r="W97" t="n">
        <v>155.52695</v>
      </c>
      <c r="X97" t="n">
        <v>203.433007</v>
      </c>
    </row>
    <row r="98" ht="21" customHeight="1">
      <c r="A98" t="inlineStr">
        <is>
          <t>Squillidae</t>
        </is>
      </c>
      <c r="B98" t="n">
        <v>3.5</v>
      </c>
      <c r="C98" t="n">
        <v>316.227766</v>
      </c>
      <c r="D98" s="11" t="inlineStr">
        <is>
          <t>Carnivorous invertebrates</t>
        </is>
      </c>
      <c r="E98" t="n">
        <v>0</v>
      </c>
      <c r="F98" t="n">
        <v>100</v>
      </c>
      <c r="G98" t="n">
        <v>27.878664</v>
      </c>
      <c r="H98" t="n">
        <v>27.878664</v>
      </c>
      <c r="I98" t="n">
        <v>35.33173</v>
      </c>
      <c r="J98" t="n">
        <v>35.33173</v>
      </c>
      <c r="K98" t="n">
        <v>28.654033</v>
      </c>
      <c r="L98" t="n">
        <v>33.321302</v>
      </c>
      <c r="M98" t="n">
        <v>33.321302</v>
      </c>
      <c r="N98" t="n">
        <v>34.061672</v>
      </c>
      <c r="O98" t="n">
        <v>17.349743</v>
      </c>
      <c r="P98" t="n">
        <v>10.872137</v>
      </c>
      <c r="Q98" t="n">
        <v>34.061672</v>
      </c>
      <c r="R98" t="n">
        <v>33.321302</v>
      </c>
      <c r="S98" t="n">
        <v>17.349743</v>
      </c>
      <c r="T98" t="n">
        <v>17.349743</v>
      </c>
      <c r="U98" t="n">
        <v>10.872137</v>
      </c>
      <c r="V98" t="n">
        <v>10.872137</v>
      </c>
      <c r="W98" t="n">
        <v>21.371774</v>
      </c>
      <c r="X98" t="n">
        <v>35.712118</v>
      </c>
    </row>
    <row r="99" ht="21" customHeight="1">
      <c r="A99" t="inlineStr">
        <is>
          <t>Elasmobranchii</t>
        </is>
      </c>
      <c r="B99" t="n">
        <v>4.05</v>
      </c>
      <c r="C99" t="n">
        <v>1122.018454</v>
      </c>
      <c r="D99" s="11" t="inlineStr">
        <is>
          <t>Unresolved</t>
        </is>
      </c>
    </row>
    <row r="100" ht="21" customHeight="1">
      <c r="A100" t="inlineStr">
        <is>
          <t>Trachurus</t>
        </is>
      </c>
      <c r="B100" t="n">
        <v>3.69</v>
      </c>
      <c r="C100" t="n">
        <v>489.778819</v>
      </c>
      <c r="D100" s="11" t="inlineStr">
        <is>
          <t>Unresolved</t>
        </is>
      </c>
    </row>
    <row r="101" ht="21" customHeight="1">
      <c r="A101" t="inlineStr">
        <is>
          <t>Haliotidae</t>
        </is>
      </c>
      <c r="B101" t="n">
        <v>2</v>
      </c>
      <c r="C101" t="n">
        <v>10</v>
      </c>
      <c r="D101" s="11" t="inlineStr">
        <is>
          <t>2nd level benthos</t>
        </is>
      </c>
      <c r="E101" t="n">
        <v>0</v>
      </c>
      <c r="F101" t="n">
        <v>10</v>
      </c>
      <c r="G101" t="n">
        <v>5.280025</v>
      </c>
      <c r="H101" t="n">
        <v>5.280025</v>
      </c>
      <c r="I101" t="n">
        <v>4.25396</v>
      </c>
      <c r="J101" t="n">
        <v>4.25396</v>
      </c>
      <c r="K101" t="n">
        <v>2.190789</v>
      </c>
      <c r="L101" t="n">
        <v>4.011903</v>
      </c>
      <c r="M101" t="n">
        <v>4.011903</v>
      </c>
      <c r="N101" t="n">
        <v>4.101044</v>
      </c>
      <c r="O101" t="n">
        <v>2.575732</v>
      </c>
      <c r="P101" t="n">
        <v>2.017588</v>
      </c>
      <c r="Q101" t="n">
        <v>4.101044</v>
      </c>
      <c r="R101" t="n">
        <v>4.011903</v>
      </c>
      <c r="S101" t="n">
        <v>2.575732</v>
      </c>
      <c r="T101" t="n">
        <v>2.575732</v>
      </c>
      <c r="U101" t="n">
        <v>2.017588</v>
      </c>
      <c r="V101" t="n">
        <v>2.017588</v>
      </c>
      <c r="W101" t="n">
        <v>3.13337</v>
      </c>
      <c r="X101" t="n">
        <v>4.076903</v>
      </c>
    </row>
    <row r="102" ht="21" customHeight="1">
      <c r="A102" t="inlineStr">
        <is>
          <t>Corbicula japonica</t>
        </is>
      </c>
      <c r="B102" t="n">
        <v>2.05</v>
      </c>
      <c r="C102" t="n">
        <v>11.220185</v>
      </c>
      <c r="D102" s="11" t="inlineStr">
        <is>
          <t>2nd level benthos</t>
        </is>
      </c>
      <c r="E102" t="n">
        <v>0</v>
      </c>
      <c r="F102" t="n">
        <v>10</v>
      </c>
      <c r="G102" t="n">
        <v>5.280025</v>
      </c>
      <c r="H102" t="n">
        <v>5.280025</v>
      </c>
      <c r="I102" t="n">
        <v>4.25396</v>
      </c>
      <c r="J102" t="n">
        <v>4.25396</v>
      </c>
      <c r="K102" t="n">
        <v>2.190789</v>
      </c>
      <c r="L102" t="n">
        <v>4.011903</v>
      </c>
      <c r="M102" t="n">
        <v>4.011903</v>
      </c>
      <c r="N102" t="n">
        <v>4.101044</v>
      </c>
      <c r="O102" t="n">
        <v>2.575732</v>
      </c>
      <c r="P102" t="n">
        <v>2.017588</v>
      </c>
      <c r="Q102" t="n">
        <v>4.101044</v>
      </c>
      <c r="R102" t="n">
        <v>4.011903</v>
      </c>
      <c r="S102" t="n">
        <v>2.575732</v>
      </c>
      <c r="T102" t="n">
        <v>2.575732</v>
      </c>
      <c r="U102" t="n">
        <v>2.017588</v>
      </c>
      <c r="V102" t="n">
        <v>2.017588</v>
      </c>
      <c r="W102" t="n">
        <v>3.13337</v>
      </c>
      <c r="X102" t="n">
        <v>4.076903</v>
      </c>
    </row>
    <row r="103" ht="51" customHeight="1">
      <c r="A103" t="inlineStr">
        <is>
          <t>Gadiformes</t>
        </is>
      </c>
      <c r="D103" s="11" t="inlineStr">
        <is>
          <t>Walleye pollock | Juv. pollock | Other Gadidae | Other bottom fishes</t>
        </is>
      </c>
      <c r="E103" t="n">
        <v>0</v>
      </c>
      <c r="F103" t="n">
        <v>470.914871</v>
      </c>
      <c r="G103" t="n">
        <v>85.304688</v>
      </c>
      <c r="H103" t="n">
        <v>155.44954</v>
      </c>
      <c r="I103" t="n">
        <v>1205.667083</v>
      </c>
      <c r="J103" t="n">
        <v>1311.050914</v>
      </c>
      <c r="K103" t="n">
        <v>974.992515</v>
      </c>
      <c r="L103" t="n">
        <v>-24066.505507</v>
      </c>
      <c r="M103" t="n">
        <v>-24066.505507</v>
      </c>
      <c r="N103" t="n">
        <v>-24464.996296</v>
      </c>
      <c r="O103" t="n">
        <v>2307.120661</v>
      </c>
      <c r="P103" t="n">
        <v>480.506357</v>
      </c>
      <c r="Q103" t="n">
        <v>-24464.996296</v>
      </c>
      <c r="R103" t="n">
        <v>-24066.505507</v>
      </c>
      <c r="S103" t="n">
        <v>2307.120661</v>
      </c>
      <c r="T103" t="n">
        <v>2307.120661</v>
      </c>
      <c r="U103" t="n">
        <v>480.506357</v>
      </c>
      <c r="V103" t="n">
        <v>480.506357</v>
      </c>
      <c r="W103" t="n">
        <v>5620.573617</v>
      </c>
      <c r="X103" t="n">
        <v>95713.698364</v>
      </c>
    </row>
    <row r="104" ht="21" customHeight="1">
      <c r="A104" t="inlineStr">
        <is>
          <t>Lycodes</t>
        </is>
      </c>
      <c r="B104" t="n">
        <v>3.3</v>
      </c>
      <c r="C104" t="n">
        <v>199.526231</v>
      </c>
      <c r="D104" s="11" t="inlineStr">
        <is>
          <t>Other bottom fishes</t>
        </is>
      </c>
      <c r="E104" t="n">
        <v>0</v>
      </c>
      <c r="F104" t="n">
        <v>458.549467</v>
      </c>
      <c r="G104" t="n">
        <v>83.79409699999999</v>
      </c>
      <c r="H104" t="n">
        <v>218.423557</v>
      </c>
      <c r="I104" t="n">
        <v>526.492157</v>
      </c>
      <c r="J104" t="n">
        <v>541.5331169999999</v>
      </c>
      <c r="K104" t="n">
        <v>541.5331169999999</v>
      </c>
      <c r="L104" t="n">
        <v>4898.328707</v>
      </c>
      <c r="M104" t="n">
        <v>4898.328707</v>
      </c>
      <c r="N104" t="n">
        <v>4977.981343</v>
      </c>
      <c r="O104" t="n">
        <v>2326.130383</v>
      </c>
      <c r="P104" t="n">
        <v>441.451478</v>
      </c>
      <c r="Q104" t="n">
        <v>4977.981343</v>
      </c>
      <c r="R104" t="n">
        <v>4898.328707</v>
      </c>
      <c r="S104" t="n">
        <v>2326.130383</v>
      </c>
      <c r="T104" t="n">
        <v>2326.130383</v>
      </c>
      <c r="U104" t="n">
        <v>441.451478</v>
      </c>
      <c r="V104" t="n">
        <v>441.451478</v>
      </c>
      <c r="W104" t="n">
        <v>3363.787374</v>
      </c>
      <c r="X104" t="n">
        <v>6233.03529</v>
      </c>
    </row>
    <row r="105" ht="51" customHeight="1">
      <c r="A105" t="inlineStr">
        <is>
          <t>Actinopterygii</t>
        </is>
      </c>
      <c r="B105" t="n">
        <v>3.79</v>
      </c>
      <c r="C105" t="n">
        <v>616.595002</v>
      </c>
      <c r="D105" s="11" t="inlineStr">
        <is>
          <t>Other bottom fishes | Other Gadidae | Cottidae | Pleuronectidae</t>
        </is>
      </c>
      <c r="E105" t="n">
        <v>0</v>
      </c>
      <c r="F105" t="n">
        <v>543.741533</v>
      </c>
      <c r="G105" t="n">
        <v>93.693872</v>
      </c>
      <c r="H105" t="n">
        <v>233.024916</v>
      </c>
      <c r="I105" t="n">
        <v>3717.037561</v>
      </c>
      <c r="J105" t="n">
        <v>4576.95571</v>
      </c>
      <c r="K105" t="n">
        <v>1766.478285</v>
      </c>
      <c r="L105" t="n">
        <v>-220473.706559</v>
      </c>
      <c r="M105" t="n">
        <v>-220473.706559</v>
      </c>
      <c r="N105" t="n">
        <v>-224113.066944</v>
      </c>
      <c r="O105" t="n">
        <v>9426.429819000001</v>
      </c>
      <c r="P105" t="n">
        <v>1064.654543</v>
      </c>
      <c r="Q105" t="n">
        <v>-224113.066944</v>
      </c>
      <c r="R105" t="n">
        <v>-220473.706559</v>
      </c>
      <c r="S105" t="n">
        <v>9426.429819000001</v>
      </c>
      <c r="T105" t="n">
        <v>9426.429819000001</v>
      </c>
      <c r="U105" t="n">
        <v>1064.654543</v>
      </c>
      <c r="V105" t="n">
        <v>1064.654543</v>
      </c>
      <c r="W105" t="n">
        <v>33749.645741</v>
      </c>
      <c r="X105" t="n">
        <v>782832.189582</v>
      </c>
    </row>
    <row r="106" ht="36" customHeight="1">
      <c r="A106" t="inlineStr">
        <is>
          <t>Miscellaneous aquatic invertebrates</t>
        </is>
      </c>
      <c r="B106" t="n">
        <v>2.43</v>
      </c>
      <c r="C106" t="n">
        <v>26.915348</v>
      </c>
      <c r="D106" s="11" t="inlineStr">
        <is>
          <t>2nd level benthos | Carnivorous invertebrates</t>
        </is>
      </c>
      <c r="E106" t="n">
        <v>0</v>
      </c>
      <c r="F106" t="n">
        <v>29.4532</v>
      </c>
      <c r="G106" t="n">
        <v>10.164646</v>
      </c>
      <c r="H106" t="n">
        <v>10.164646</v>
      </c>
      <c r="I106" t="n">
        <v>10.971317</v>
      </c>
      <c r="J106" t="n">
        <v>10.971317</v>
      </c>
      <c r="K106" t="n">
        <v>7.910732</v>
      </c>
      <c r="L106" t="n">
        <v>10.347032</v>
      </c>
      <c r="M106" t="n">
        <v>10.347032</v>
      </c>
      <c r="N106" t="n">
        <v>10.576934</v>
      </c>
      <c r="O106" t="n">
        <v>5.769085</v>
      </c>
      <c r="P106" t="n">
        <v>3.93147</v>
      </c>
      <c r="Q106" t="n">
        <v>10.576934</v>
      </c>
      <c r="R106" t="n">
        <v>10.347032</v>
      </c>
      <c r="S106" t="n">
        <v>5.769085</v>
      </c>
      <c r="T106" t="n">
        <v>5.769085</v>
      </c>
      <c r="U106" t="n">
        <v>3.93147</v>
      </c>
      <c r="V106" t="n">
        <v>3.93147</v>
      </c>
      <c r="W106" t="n">
        <v>7.07554</v>
      </c>
      <c r="X106" t="n">
        <v>10.91475</v>
      </c>
    </row>
    <row r="107" ht="21" customHeight="1">
      <c r="A107" t="inlineStr">
        <is>
          <t>Erimacrus isenbeckii</t>
        </is>
      </c>
      <c r="B107" t="n">
        <v>2.6</v>
      </c>
      <c r="C107" t="n">
        <v>39.810717</v>
      </c>
      <c r="D107" s="11" t="inlineStr">
        <is>
          <t>Crabs and shrimps</t>
        </is>
      </c>
      <c r="E107" t="n">
        <v>0</v>
      </c>
      <c r="F107" t="n">
        <v>95.896642</v>
      </c>
      <c r="G107" t="n">
        <v>27.047208</v>
      </c>
      <c r="H107" t="n">
        <v>56.071592</v>
      </c>
      <c r="I107" t="n">
        <v>87.690287</v>
      </c>
      <c r="J107" t="n">
        <v>88.352076</v>
      </c>
      <c r="K107" t="n">
        <v>88.352076</v>
      </c>
      <c r="L107" t="n">
        <v>181.735308</v>
      </c>
      <c r="M107" t="n">
        <v>181.735308</v>
      </c>
      <c r="N107" t="n">
        <v>185.151605</v>
      </c>
      <c r="O107" t="n">
        <v>112.940911</v>
      </c>
      <c r="P107" t="n">
        <v>44.389715</v>
      </c>
      <c r="Q107" t="n">
        <v>185.151605</v>
      </c>
      <c r="R107" t="n">
        <v>181.735308</v>
      </c>
      <c r="S107" t="n">
        <v>112.940911</v>
      </c>
      <c r="T107" t="n">
        <v>112.940911</v>
      </c>
      <c r="U107" t="n">
        <v>44.389715</v>
      </c>
      <c r="V107" t="n">
        <v>44.389715</v>
      </c>
      <c r="W107" t="n">
        <v>155.52695</v>
      </c>
      <c r="X107" t="n">
        <v>203.433007</v>
      </c>
    </row>
    <row r="108" ht="21" customHeight="1">
      <c r="A108" t="inlineStr">
        <is>
          <t>Mytilidae</t>
        </is>
      </c>
      <c r="B108" t="n">
        <v>2</v>
      </c>
      <c r="C108" t="n">
        <v>10</v>
      </c>
      <c r="D108" s="11" t="inlineStr">
        <is>
          <t>2nd level benthos</t>
        </is>
      </c>
      <c r="E108" t="n">
        <v>0</v>
      </c>
      <c r="F108" t="n">
        <v>10</v>
      </c>
      <c r="G108" t="n">
        <v>5.280025</v>
      </c>
      <c r="H108" t="n">
        <v>5.280025</v>
      </c>
      <c r="I108" t="n">
        <v>4.25396</v>
      </c>
      <c r="J108" t="n">
        <v>4.25396</v>
      </c>
      <c r="K108" t="n">
        <v>2.190789</v>
      </c>
      <c r="L108" t="n">
        <v>4.011903</v>
      </c>
      <c r="M108" t="n">
        <v>4.011903</v>
      </c>
      <c r="N108" t="n">
        <v>4.101044</v>
      </c>
      <c r="O108" t="n">
        <v>2.575732</v>
      </c>
      <c r="P108" t="n">
        <v>2.017588</v>
      </c>
      <c r="Q108" t="n">
        <v>4.101044</v>
      </c>
      <c r="R108" t="n">
        <v>4.011903</v>
      </c>
      <c r="S108" t="n">
        <v>2.575732</v>
      </c>
      <c r="T108" t="n">
        <v>2.575732</v>
      </c>
      <c r="U108" t="n">
        <v>2.017588</v>
      </c>
      <c r="V108" t="n">
        <v>2.017588</v>
      </c>
      <c r="W108" t="n">
        <v>3.13337</v>
      </c>
      <c r="X108" t="n">
        <v>4.076903</v>
      </c>
    </row>
    <row r="109" ht="21" customHeight="1">
      <c r="A109" t="inlineStr">
        <is>
          <t>Penaeus chinensis</t>
        </is>
      </c>
      <c r="B109" t="n">
        <v>2</v>
      </c>
      <c r="C109" t="n">
        <v>10</v>
      </c>
      <c r="D109" s="11" t="inlineStr">
        <is>
          <t>Crabs and shrimps</t>
        </is>
      </c>
      <c r="E109" t="n">
        <v>0</v>
      </c>
      <c r="F109" t="n">
        <v>95.896642</v>
      </c>
      <c r="G109" t="n">
        <v>27.047208</v>
      </c>
      <c r="H109" t="n">
        <v>56.071592</v>
      </c>
      <c r="I109" t="n">
        <v>87.690287</v>
      </c>
      <c r="J109" t="n">
        <v>88.352076</v>
      </c>
      <c r="K109" t="n">
        <v>88.352076</v>
      </c>
      <c r="L109" t="n">
        <v>181.735308</v>
      </c>
      <c r="M109" t="n">
        <v>181.735308</v>
      </c>
      <c r="N109" t="n">
        <v>185.151605</v>
      </c>
      <c r="O109" t="n">
        <v>112.940911</v>
      </c>
      <c r="P109" t="n">
        <v>44.389715</v>
      </c>
      <c r="Q109" t="n">
        <v>185.151605</v>
      </c>
      <c r="R109" t="n">
        <v>181.735308</v>
      </c>
      <c r="S109" t="n">
        <v>112.940911</v>
      </c>
      <c r="T109" t="n">
        <v>112.940911</v>
      </c>
      <c r="U109" t="n">
        <v>44.389715</v>
      </c>
      <c r="V109" t="n">
        <v>44.389715</v>
      </c>
      <c r="W109" t="n">
        <v>155.52695</v>
      </c>
      <c r="X109" t="n">
        <v>203.433007</v>
      </c>
    </row>
    <row r="110" ht="21" customHeight="1">
      <c r="A110" t="inlineStr">
        <is>
          <t>Congridae</t>
        </is>
      </c>
      <c r="B110" t="n">
        <v>4.18</v>
      </c>
      <c r="C110" t="n">
        <v>1513.561248</v>
      </c>
      <c r="D110" s="11" t="inlineStr">
        <is>
          <t>Unresolved</t>
        </is>
      </c>
    </row>
    <row r="111" ht="21" customHeight="1">
      <c r="A111" t="inlineStr">
        <is>
          <t>Serranidae</t>
        </is>
      </c>
      <c r="B111" t="n">
        <v>3.98</v>
      </c>
      <c r="C111" t="n">
        <v>954.992586</v>
      </c>
      <c r="D111" s="11" t="inlineStr">
        <is>
          <t>Unresolved</t>
        </is>
      </c>
    </row>
    <row r="112" ht="21" customHeight="1">
      <c r="A112" t="inlineStr">
        <is>
          <t>Synodontidae</t>
        </is>
      </c>
      <c r="B112" t="n">
        <v>4.3</v>
      </c>
      <c r="C112" t="n">
        <v>1995.262315</v>
      </c>
      <c r="D112" s="11" t="inlineStr">
        <is>
          <t>Unresolved</t>
        </is>
      </c>
    </row>
    <row r="113" ht="21" customHeight="1">
      <c r="A113" t="inlineStr">
        <is>
          <t>Perciformes</t>
        </is>
      </c>
      <c r="B113" t="n">
        <v>3.53</v>
      </c>
      <c r="C113" t="n">
        <v>338.844156</v>
      </c>
      <c r="D113" s="11" t="inlineStr">
        <is>
          <t>Unresolved</t>
        </is>
      </c>
    </row>
    <row r="114" ht="21" customHeight="1">
      <c r="A114" t="inlineStr">
        <is>
          <t>Ommastrephes bartramii</t>
        </is>
      </c>
      <c r="B114" t="n">
        <v>4.37</v>
      </c>
      <c r="C114" t="n">
        <v>2344.228815</v>
      </c>
      <c r="D114" s="11" t="inlineStr">
        <is>
          <t>Squids</t>
        </is>
      </c>
      <c r="E114" t="n">
        <v>0</v>
      </c>
      <c r="F114" t="n">
        <v>957.310082</v>
      </c>
      <c r="G114" t="n">
        <v>142.631647</v>
      </c>
      <c r="H114" t="n">
        <v>119.679026</v>
      </c>
      <c r="I114" t="n">
        <v>66.859093</v>
      </c>
      <c r="J114" t="n">
        <v>71.95407</v>
      </c>
      <c r="K114" t="n">
        <v>34.034275</v>
      </c>
      <c r="L114" t="n">
        <v>245.671067</v>
      </c>
      <c r="M114" t="n">
        <v>245.671067</v>
      </c>
      <c r="N114" t="n">
        <v>249.518872</v>
      </c>
      <c r="O114" t="n">
        <v>112.246832</v>
      </c>
      <c r="P114" t="n">
        <v>37.014939</v>
      </c>
      <c r="Q114" t="n">
        <v>249.518872</v>
      </c>
      <c r="R114" t="n">
        <v>245.671067</v>
      </c>
      <c r="S114" t="n">
        <v>112.246832</v>
      </c>
      <c r="T114" t="n">
        <v>112.246832</v>
      </c>
      <c r="U114" t="n">
        <v>37.014939</v>
      </c>
      <c r="V114" t="n">
        <v>37.014939</v>
      </c>
      <c r="W114" t="n">
        <v>147.581283</v>
      </c>
      <c r="X114" t="n">
        <v>273.218985</v>
      </c>
    </row>
    <row r="115" ht="21" customHeight="1">
      <c r="A115" t="inlineStr">
        <is>
          <t>Sclerocrangon</t>
        </is>
      </c>
      <c r="B115" t="n">
        <v>2.2</v>
      </c>
      <c r="C115" t="n">
        <v>15.848932</v>
      </c>
      <c r="D115" s="11" t="inlineStr">
        <is>
          <t>Crabs and shrimps</t>
        </is>
      </c>
      <c r="E115" t="n">
        <v>0</v>
      </c>
      <c r="F115" t="n">
        <v>95.896642</v>
      </c>
      <c r="G115" t="n">
        <v>27.047208</v>
      </c>
      <c r="H115" t="n">
        <v>56.071592</v>
      </c>
      <c r="I115" t="n">
        <v>87.690287</v>
      </c>
      <c r="J115" t="n">
        <v>88.352076</v>
      </c>
      <c r="K115" t="n">
        <v>88.352076</v>
      </c>
      <c r="L115" t="n">
        <v>181.735308</v>
      </c>
      <c r="M115" t="n">
        <v>181.735308</v>
      </c>
      <c r="N115" t="n">
        <v>185.151605</v>
      </c>
      <c r="O115" t="n">
        <v>112.940911</v>
      </c>
      <c r="P115" t="n">
        <v>44.389715</v>
      </c>
      <c r="Q115" t="n">
        <v>185.151605</v>
      </c>
      <c r="R115" t="n">
        <v>181.735308</v>
      </c>
      <c r="S115" t="n">
        <v>112.940911</v>
      </c>
      <c r="T115" t="n">
        <v>112.940911</v>
      </c>
      <c r="U115" t="n">
        <v>44.389715</v>
      </c>
      <c r="V115" t="n">
        <v>44.389715</v>
      </c>
      <c r="W115" t="n">
        <v>155.52695</v>
      </c>
      <c r="X115" t="n">
        <v>203.433007</v>
      </c>
    </row>
    <row r="116" ht="21" customHeight="1">
      <c r="A116" t="inlineStr">
        <is>
          <t>Mugilidae</t>
        </is>
      </c>
      <c r="B116" t="n">
        <v>2.53</v>
      </c>
      <c r="C116" t="n">
        <v>33.884416</v>
      </c>
      <c r="D116" s="11" t="inlineStr">
        <is>
          <t>Unresolved</t>
        </is>
      </c>
    </row>
    <row r="117" ht="21" customHeight="1">
      <c r="A117" t="inlineStr">
        <is>
          <t>Hexagrammos otakii</t>
        </is>
      </c>
      <c r="D117" s="11" t="inlineStr">
        <is>
          <t>Other bottom fishes</t>
        </is>
      </c>
      <c r="E117" t="n">
        <v>0</v>
      </c>
      <c r="F117" t="n">
        <v>458.549467</v>
      </c>
      <c r="G117" t="n">
        <v>83.79409699999999</v>
      </c>
      <c r="H117" t="n">
        <v>218.423557</v>
      </c>
      <c r="I117" t="n">
        <v>526.492157</v>
      </c>
      <c r="J117" t="n">
        <v>541.5331169999999</v>
      </c>
      <c r="K117" t="n">
        <v>541.5331169999999</v>
      </c>
      <c r="L117" t="n">
        <v>4898.328707</v>
      </c>
      <c r="M117" t="n">
        <v>4898.328707</v>
      </c>
      <c r="N117" t="n">
        <v>4977.981343</v>
      </c>
      <c r="O117" t="n">
        <v>2326.130383</v>
      </c>
      <c r="P117" t="n">
        <v>441.451478</v>
      </c>
      <c r="Q117" t="n">
        <v>4977.981343</v>
      </c>
      <c r="R117" t="n">
        <v>4898.328707</v>
      </c>
      <c r="S117" t="n">
        <v>2326.130383</v>
      </c>
      <c r="T117" t="n">
        <v>2326.130383</v>
      </c>
      <c r="U117" t="n">
        <v>441.451478</v>
      </c>
      <c r="V117" t="n">
        <v>441.451478</v>
      </c>
      <c r="W117" t="n">
        <v>3363.787374</v>
      </c>
      <c r="X117" t="n">
        <v>6233.03529</v>
      </c>
    </row>
    <row r="118" ht="21" customHeight="1">
      <c r="A118" t="inlineStr">
        <is>
          <t>Hexagrammidae</t>
        </is>
      </c>
      <c r="B118" t="n">
        <v>3.72</v>
      </c>
      <c r="C118" t="n">
        <v>524.80746</v>
      </c>
      <c r="D118" s="11" t="inlineStr">
        <is>
          <t>Other bottom fishes</t>
        </is>
      </c>
      <c r="E118" t="n">
        <v>0</v>
      </c>
      <c r="F118" t="n">
        <v>458.549467</v>
      </c>
      <c r="G118" t="n">
        <v>83.79409699999999</v>
      </c>
      <c r="H118" t="n">
        <v>218.423557</v>
      </c>
      <c r="I118" t="n">
        <v>526.492157</v>
      </c>
      <c r="J118" t="n">
        <v>541.5331169999999</v>
      </c>
      <c r="K118" t="n">
        <v>541.5331169999999</v>
      </c>
      <c r="L118" t="n">
        <v>4898.328707</v>
      </c>
      <c r="M118" t="n">
        <v>4898.328707</v>
      </c>
      <c r="N118" t="n">
        <v>4977.981343</v>
      </c>
      <c r="O118" t="n">
        <v>2326.130383</v>
      </c>
      <c r="P118" t="n">
        <v>441.451478</v>
      </c>
      <c r="Q118" t="n">
        <v>4977.981343</v>
      </c>
      <c r="R118" t="n">
        <v>4898.328707</v>
      </c>
      <c r="S118" t="n">
        <v>2326.130383</v>
      </c>
      <c r="T118" t="n">
        <v>2326.130383</v>
      </c>
      <c r="U118" t="n">
        <v>441.451478</v>
      </c>
      <c r="V118" t="n">
        <v>441.451478</v>
      </c>
      <c r="W118" t="n">
        <v>3363.787374</v>
      </c>
      <c r="X118" t="n">
        <v>6233.03529</v>
      </c>
    </row>
    <row r="119" ht="21" customHeight="1">
      <c r="A119" t="inlineStr">
        <is>
          <t>Marine pelagic fishes not identified</t>
        </is>
      </c>
      <c r="B119" t="n">
        <v>3.35</v>
      </c>
      <c r="C119" t="n">
        <v>223.872114</v>
      </c>
      <c r="D119" s="11" t="inlineStr">
        <is>
          <t>Unresolved</t>
        </is>
      </c>
    </row>
    <row r="120" ht="21" customHeight="1">
      <c r="A120" t="inlineStr">
        <is>
          <t>Beryx</t>
        </is>
      </c>
      <c r="B120" t="n">
        <v>3.97</v>
      </c>
      <c r="C120" t="n">
        <v>933.2543010000001</v>
      </c>
      <c r="D120" s="11" t="inlineStr">
        <is>
          <t>Unresolved</t>
        </is>
      </c>
    </row>
    <row r="121" ht="21" customHeight="1">
      <c r="A121" t="inlineStr">
        <is>
          <t>Apostichopus japonicus</t>
        </is>
      </c>
      <c r="B121" t="n">
        <v>2.3</v>
      </c>
      <c r="C121" t="n">
        <v>19.952623</v>
      </c>
      <c r="D121" s="11" t="inlineStr">
        <is>
          <t>2nd level benthos</t>
        </is>
      </c>
      <c r="E121" t="n">
        <v>0</v>
      </c>
      <c r="F121" t="n">
        <v>10</v>
      </c>
      <c r="G121" t="n">
        <v>5.280025</v>
      </c>
      <c r="H121" t="n">
        <v>5.280025</v>
      </c>
      <c r="I121" t="n">
        <v>4.25396</v>
      </c>
      <c r="J121" t="n">
        <v>4.25396</v>
      </c>
      <c r="K121" t="n">
        <v>2.190789</v>
      </c>
      <c r="L121" t="n">
        <v>4.011903</v>
      </c>
      <c r="M121" t="n">
        <v>4.011903</v>
      </c>
      <c r="N121" t="n">
        <v>4.101044</v>
      </c>
      <c r="O121" t="n">
        <v>2.575732</v>
      </c>
      <c r="P121" t="n">
        <v>2.017588</v>
      </c>
      <c r="Q121" t="n">
        <v>4.101044</v>
      </c>
      <c r="R121" t="n">
        <v>4.011903</v>
      </c>
      <c r="S121" t="n">
        <v>2.575732</v>
      </c>
      <c r="T121" t="n">
        <v>2.575732</v>
      </c>
      <c r="U121" t="n">
        <v>2.017588</v>
      </c>
      <c r="V121" t="n">
        <v>2.017588</v>
      </c>
      <c r="W121" t="n">
        <v>3.13337</v>
      </c>
      <c r="X121" t="n">
        <v>4.076903</v>
      </c>
    </row>
    <row r="122" ht="21" customHeight="1">
      <c r="A122" t="inlineStr">
        <is>
          <t>Crassostrea</t>
        </is>
      </c>
      <c r="B122" t="n">
        <v>2</v>
      </c>
      <c r="C122" t="n">
        <v>10</v>
      </c>
      <c r="D122" s="11" t="inlineStr">
        <is>
          <t>2nd level benthos</t>
        </is>
      </c>
      <c r="E122" t="n">
        <v>0</v>
      </c>
      <c r="F122" t="n">
        <v>10</v>
      </c>
      <c r="G122" t="n">
        <v>5.280025</v>
      </c>
      <c r="H122" t="n">
        <v>5.280025</v>
      </c>
      <c r="I122" t="n">
        <v>4.25396</v>
      </c>
      <c r="J122" t="n">
        <v>4.25396</v>
      </c>
      <c r="K122" t="n">
        <v>2.190789</v>
      </c>
      <c r="L122" t="n">
        <v>4.011903</v>
      </c>
      <c r="M122" t="n">
        <v>4.011903</v>
      </c>
      <c r="N122" t="n">
        <v>4.101044</v>
      </c>
      <c r="O122" t="n">
        <v>2.575732</v>
      </c>
      <c r="P122" t="n">
        <v>2.017588</v>
      </c>
      <c r="Q122" t="n">
        <v>4.101044</v>
      </c>
      <c r="R122" t="n">
        <v>4.011903</v>
      </c>
      <c r="S122" t="n">
        <v>2.575732</v>
      </c>
      <c r="T122" t="n">
        <v>2.575732</v>
      </c>
      <c r="U122" t="n">
        <v>2.017588</v>
      </c>
      <c r="V122" t="n">
        <v>2.017588</v>
      </c>
      <c r="W122" t="n">
        <v>3.13337</v>
      </c>
      <c r="X122" t="n">
        <v>4.076903</v>
      </c>
    </row>
    <row r="123" ht="21" customHeight="1">
      <c r="A123" t="inlineStr">
        <is>
          <t>Stromateidae</t>
        </is>
      </c>
      <c r="B123" t="n">
        <v>3.62</v>
      </c>
      <c r="C123" t="n">
        <v>416.869383</v>
      </c>
      <c r="D123" s="11" t="inlineStr">
        <is>
          <t>Unresolved</t>
        </is>
      </c>
    </row>
    <row r="124" ht="21" customHeight="1">
      <c r="A124" t="inlineStr">
        <is>
          <t>Bramidae</t>
        </is>
      </c>
      <c r="B124" t="n">
        <v>4.14</v>
      </c>
      <c r="C124" t="n">
        <v>1380.384265</v>
      </c>
      <c r="D124" s="11" t="inlineStr">
        <is>
          <t>Unresolved</t>
        </is>
      </c>
    </row>
    <row r="125" ht="21" customHeight="1">
      <c r="A125" t="inlineStr">
        <is>
          <t>Cephea</t>
        </is>
      </c>
      <c r="D125" s="11" t="inlineStr">
        <is>
          <t>Jellyfish</t>
        </is>
      </c>
      <c r="E125" t="n">
        <v>0</v>
      </c>
      <c r="F125" t="n">
        <v>192.167837</v>
      </c>
      <c r="G125" t="n">
        <v>44.696122</v>
      </c>
      <c r="H125" t="n">
        <v>82.346732</v>
      </c>
      <c r="I125" t="n">
        <v>2095.248026</v>
      </c>
      <c r="J125" t="n">
        <v>2102.656168</v>
      </c>
      <c r="K125" t="n">
        <v>52.566404</v>
      </c>
      <c r="L125" t="n">
        <v>13084.005263</v>
      </c>
      <c r="M125" t="n">
        <v>13084.005263</v>
      </c>
      <c r="N125" t="n">
        <v>13306.933792</v>
      </c>
      <c r="O125" t="n">
        <v>79.878041</v>
      </c>
      <c r="P125" t="n">
        <v>25.489001</v>
      </c>
      <c r="Q125" t="n">
        <v>13306.933792</v>
      </c>
      <c r="R125" t="n">
        <v>13084.005263</v>
      </c>
      <c r="S125" t="n">
        <v>79.878041</v>
      </c>
      <c r="T125" t="n">
        <v>79.878041</v>
      </c>
      <c r="U125" t="n">
        <v>25.489001</v>
      </c>
      <c r="V125" t="n">
        <v>25.489001</v>
      </c>
      <c r="W125" t="n">
        <v>106.21969</v>
      </c>
      <c r="X125" t="n">
        <v>14877.937413</v>
      </c>
    </row>
    <row r="126" ht="21" customHeight="1">
      <c r="A126" t="inlineStr">
        <is>
          <t>Scorpaenidae</t>
        </is>
      </c>
      <c r="D126" s="11" t="inlineStr">
        <is>
          <t>Other bottom fishes</t>
        </is>
      </c>
      <c r="E126" t="n">
        <v>0</v>
      </c>
      <c r="F126" t="n">
        <v>458.549467</v>
      </c>
      <c r="G126" t="n">
        <v>83.79409699999999</v>
      </c>
      <c r="H126" t="n">
        <v>218.423557</v>
      </c>
      <c r="I126" t="n">
        <v>526.492157</v>
      </c>
      <c r="J126" t="n">
        <v>541.5331169999999</v>
      </c>
      <c r="K126" t="n">
        <v>541.5331169999999</v>
      </c>
      <c r="L126" t="n">
        <v>4898.328707</v>
      </c>
      <c r="M126" t="n">
        <v>4898.328707</v>
      </c>
      <c r="N126" t="n">
        <v>4977.981343</v>
      </c>
      <c r="O126" t="n">
        <v>2326.130383</v>
      </c>
      <c r="P126" t="n">
        <v>441.451478</v>
      </c>
      <c r="Q126" t="n">
        <v>4977.981343</v>
      </c>
      <c r="R126" t="n">
        <v>4898.328707</v>
      </c>
      <c r="S126" t="n">
        <v>2326.130383</v>
      </c>
      <c r="T126" t="n">
        <v>2326.130383</v>
      </c>
      <c r="U126" t="n">
        <v>441.451478</v>
      </c>
      <c r="V126" t="n">
        <v>441.451478</v>
      </c>
      <c r="W126" t="n">
        <v>3363.787374</v>
      </c>
      <c r="X126" t="n">
        <v>6233.03529</v>
      </c>
    </row>
    <row r="127" ht="21" customHeight="1">
      <c r="A127" t="inlineStr">
        <is>
          <t>Scyphozoa</t>
        </is>
      </c>
      <c r="B127" t="n">
        <v>3.46</v>
      </c>
      <c r="C127" t="n">
        <v>288.40315</v>
      </c>
      <c r="D127" s="11" t="inlineStr">
        <is>
          <t>Jellyfish</t>
        </is>
      </c>
      <c r="E127" t="n">
        <v>0</v>
      </c>
      <c r="F127" t="n">
        <v>192.167837</v>
      </c>
      <c r="G127" t="n">
        <v>44.696122</v>
      </c>
      <c r="H127" t="n">
        <v>82.346732</v>
      </c>
      <c r="I127" t="n">
        <v>2095.248026</v>
      </c>
      <c r="J127" t="n">
        <v>2102.656168</v>
      </c>
      <c r="K127" t="n">
        <v>52.566404</v>
      </c>
      <c r="L127" t="n">
        <v>13084.005263</v>
      </c>
      <c r="M127" t="n">
        <v>13084.005263</v>
      </c>
      <c r="N127" t="n">
        <v>13306.933792</v>
      </c>
      <c r="O127" t="n">
        <v>79.878041</v>
      </c>
      <c r="P127" t="n">
        <v>25.489001</v>
      </c>
      <c r="Q127" t="n">
        <v>13306.933792</v>
      </c>
      <c r="R127" t="n">
        <v>13084.005263</v>
      </c>
      <c r="S127" t="n">
        <v>79.878041</v>
      </c>
      <c r="T127" t="n">
        <v>79.878041</v>
      </c>
      <c r="U127" t="n">
        <v>25.489001</v>
      </c>
      <c r="V127" t="n">
        <v>25.489001</v>
      </c>
      <c r="W127" t="n">
        <v>106.21969</v>
      </c>
      <c r="X127" t="n">
        <v>14877.937413</v>
      </c>
    </row>
    <row r="128" ht="21" customHeight="1">
      <c r="A128" t="inlineStr">
        <is>
          <t>Pandalopsis japonica</t>
        </is>
      </c>
      <c r="D128" s="11" t="inlineStr">
        <is>
          <t>Crabs and shrimps</t>
        </is>
      </c>
      <c r="E128" t="n">
        <v>0</v>
      </c>
      <c r="F128" t="n">
        <v>95.896642</v>
      </c>
      <c r="G128" t="n">
        <v>27.047208</v>
      </c>
      <c r="H128" t="n">
        <v>56.071592</v>
      </c>
      <c r="I128" t="n">
        <v>87.690287</v>
      </c>
      <c r="J128" t="n">
        <v>88.352076</v>
      </c>
      <c r="K128" t="n">
        <v>88.352076</v>
      </c>
      <c r="L128" t="n">
        <v>181.735308</v>
      </c>
      <c r="M128" t="n">
        <v>181.735308</v>
      </c>
      <c r="N128" t="n">
        <v>185.151605</v>
      </c>
      <c r="O128" t="n">
        <v>112.940911</v>
      </c>
      <c r="P128" t="n">
        <v>44.389715</v>
      </c>
      <c r="Q128" t="n">
        <v>185.151605</v>
      </c>
      <c r="R128" t="n">
        <v>181.735308</v>
      </c>
      <c r="S128" t="n">
        <v>112.940911</v>
      </c>
      <c r="T128" t="n">
        <v>112.940911</v>
      </c>
      <c r="U128" t="n">
        <v>44.389715</v>
      </c>
      <c r="V128" t="n">
        <v>44.389715</v>
      </c>
      <c r="W128" t="n">
        <v>155.52695</v>
      </c>
      <c r="X128" t="n">
        <v>203.433007</v>
      </c>
    </row>
    <row r="129" ht="21" customHeight="1">
      <c r="A129" t="inlineStr">
        <is>
          <t>Pandalus kessleri</t>
        </is>
      </c>
      <c r="B129" t="n">
        <v>2.6</v>
      </c>
      <c r="C129" t="n">
        <v>39.810717</v>
      </c>
      <c r="D129" s="11" t="inlineStr">
        <is>
          <t>Crabs and shrimps</t>
        </is>
      </c>
      <c r="E129" t="n">
        <v>0</v>
      </c>
      <c r="F129" t="n">
        <v>95.896642</v>
      </c>
      <c r="G129" t="n">
        <v>27.047208</v>
      </c>
      <c r="H129" t="n">
        <v>56.071592</v>
      </c>
      <c r="I129" t="n">
        <v>87.690287</v>
      </c>
      <c r="J129" t="n">
        <v>88.352076</v>
      </c>
      <c r="K129" t="n">
        <v>88.352076</v>
      </c>
      <c r="L129" t="n">
        <v>181.735308</v>
      </c>
      <c r="M129" t="n">
        <v>181.735308</v>
      </c>
      <c r="N129" t="n">
        <v>185.151605</v>
      </c>
      <c r="O129" t="n">
        <v>112.940911</v>
      </c>
      <c r="P129" t="n">
        <v>44.389715</v>
      </c>
      <c r="Q129" t="n">
        <v>185.151605</v>
      </c>
      <c r="R129" t="n">
        <v>181.735308</v>
      </c>
      <c r="S129" t="n">
        <v>112.940911</v>
      </c>
      <c r="T129" t="n">
        <v>112.940911</v>
      </c>
      <c r="U129" t="n">
        <v>44.389715</v>
      </c>
      <c r="V129" t="n">
        <v>44.389715</v>
      </c>
      <c r="W129" t="n">
        <v>155.52695</v>
      </c>
      <c r="X129" t="n">
        <v>203.433007</v>
      </c>
    </row>
    <row r="130" ht="21" customHeight="1">
      <c r="A130" t="inlineStr">
        <is>
          <t>Oncorhynchus masou</t>
        </is>
      </c>
      <c r="B130" t="n">
        <v>3.6</v>
      </c>
      <c r="C130" t="n">
        <v>398.107171</v>
      </c>
      <c r="D130" s="11" t="inlineStr">
        <is>
          <t>Salmon</t>
        </is>
      </c>
      <c r="E130" t="n">
        <v>0</v>
      </c>
      <c r="F130" t="n">
        <v>537.793674</v>
      </c>
      <c r="G130" t="n">
        <v>94.02452599999999</v>
      </c>
      <c r="H130" t="n">
        <v>104.598466</v>
      </c>
      <c r="I130" t="n">
        <v>157.17606</v>
      </c>
      <c r="J130" t="n">
        <v>157.620728</v>
      </c>
      <c r="K130" t="n">
        <v>47.759081</v>
      </c>
      <c r="L130" t="n">
        <v>685.4069909999999</v>
      </c>
      <c r="M130" t="n">
        <v>685.4069909999999</v>
      </c>
      <c r="N130" t="n">
        <v>696.719298</v>
      </c>
      <c r="O130" t="n">
        <v>75.247908</v>
      </c>
      <c r="P130" t="n">
        <v>24.548027</v>
      </c>
      <c r="Q130" t="n">
        <v>696.719298</v>
      </c>
      <c r="R130" t="n">
        <v>685.4069909999999</v>
      </c>
      <c r="S130" t="n">
        <v>75.247908</v>
      </c>
      <c r="T130" t="n">
        <v>75.247908</v>
      </c>
      <c r="U130" t="n">
        <v>24.548027</v>
      </c>
      <c r="V130" t="n">
        <v>24.548027</v>
      </c>
      <c r="W130" t="n">
        <v>98.758639</v>
      </c>
      <c r="X130" t="n">
        <v>768.315028</v>
      </c>
    </row>
    <row r="131" ht="21" customHeight="1">
      <c r="A131" t="inlineStr">
        <is>
          <t>Isurus</t>
        </is>
      </c>
      <c r="B131" t="n">
        <v>4.5</v>
      </c>
      <c r="C131" t="n">
        <v>3162.27766</v>
      </c>
      <c r="D131" s="11" t="inlineStr">
        <is>
          <t>Unresolved</t>
        </is>
      </c>
    </row>
    <row r="132" ht="21" customHeight="1">
      <c r="A132" t="inlineStr">
        <is>
          <t>Paralithodes brevipes</t>
        </is>
      </c>
      <c r="B132" t="n">
        <v>2</v>
      </c>
      <c r="C132" t="n">
        <v>10</v>
      </c>
      <c r="D132" s="11" t="inlineStr">
        <is>
          <t>Crabs and shrimps</t>
        </is>
      </c>
      <c r="E132" t="n">
        <v>0</v>
      </c>
      <c r="F132" t="n">
        <v>95.896642</v>
      </c>
      <c r="G132" t="n">
        <v>27.047208</v>
      </c>
      <c r="H132" t="n">
        <v>56.071592</v>
      </c>
      <c r="I132" t="n">
        <v>87.690287</v>
      </c>
      <c r="J132" t="n">
        <v>88.352076</v>
      </c>
      <c r="K132" t="n">
        <v>88.352076</v>
      </c>
      <c r="L132" t="n">
        <v>181.735308</v>
      </c>
      <c r="M132" t="n">
        <v>181.735308</v>
      </c>
      <c r="N132" t="n">
        <v>185.151605</v>
      </c>
      <c r="O132" t="n">
        <v>112.940911</v>
      </c>
      <c r="P132" t="n">
        <v>44.389715</v>
      </c>
      <c r="Q132" t="n">
        <v>185.151605</v>
      </c>
      <c r="R132" t="n">
        <v>181.735308</v>
      </c>
      <c r="S132" t="n">
        <v>112.940911</v>
      </c>
      <c r="T132" t="n">
        <v>112.940911</v>
      </c>
      <c r="U132" t="n">
        <v>44.389715</v>
      </c>
      <c r="V132" t="n">
        <v>44.389715</v>
      </c>
      <c r="W132" t="n">
        <v>155.52695</v>
      </c>
      <c r="X132" t="n">
        <v>203.433007</v>
      </c>
    </row>
    <row r="133" ht="21" customHeight="1">
      <c r="A133" t="inlineStr">
        <is>
          <t>Metapenaeus</t>
        </is>
      </c>
      <c r="B133" t="n">
        <v>2.7</v>
      </c>
      <c r="C133" t="n">
        <v>50.118723</v>
      </c>
      <c r="D133" s="11" t="inlineStr">
        <is>
          <t>Crabs and shrimps</t>
        </is>
      </c>
      <c r="E133" t="n">
        <v>0</v>
      </c>
      <c r="F133" t="n">
        <v>95.896642</v>
      </c>
      <c r="G133" t="n">
        <v>27.047208</v>
      </c>
      <c r="H133" t="n">
        <v>56.071592</v>
      </c>
      <c r="I133" t="n">
        <v>87.690287</v>
      </c>
      <c r="J133" t="n">
        <v>88.352076</v>
      </c>
      <c r="K133" t="n">
        <v>88.352076</v>
      </c>
      <c r="L133" t="n">
        <v>181.735308</v>
      </c>
      <c r="M133" t="n">
        <v>181.735308</v>
      </c>
      <c r="N133" t="n">
        <v>185.151605</v>
      </c>
      <c r="O133" t="n">
        <v>112.940911</v>
      </c>
      <c r="P133" t="n">
        <v>44.389715</v>
      </c>
      <c r="Q133" t="n">
        <v>185.151605</v>
      </c>
      <c r="R133" t="n">
        <v>181.735308</v>
      </c>
      <c r="S133" t="n">
        <v>112.940911</v>
      </c>
      <c r="T133" t="n">
        <v>112.940911</v>
      </c>
      <c r="U133" t="n">
        <v>44.389715</v>
      </c>
      <c r="V133" t="n">
        <v>44.389715</v>
      </c>
      <c r="W133" t="n">
        <v>155.52695</v>
      </c>
      <c r="X133" t="n">
        <v>203.433007</v>
      </c>
    </row>
    <row r="134" ht="21" customHeight="1">
      <c r="A134" t="inlineStr">
        <is>
          <t>Mola mola</t>
        </is>
      </c>
      <c r="B134" t="n">
        <v>3.68</v>
      </c>
      <c r="C134" t="n">
        <v>478.630092</v>
      </c>
      <c r="D134" s="11" t="inlineStr">
        <is>
          <t>Unresolved</t>
        </is>
      </c>
    </row>
    <row r="135" ht="21" customHeight="1">
      <c r="A135" t="inlineStr">
        <is>
          <t>Magallana gigas</t>
        </is>
      </c>
      <c r="B135" t="n">
        <v>2</v>
      </c>
      <c r="C135" t="n">
        <v>10</v>
      </c>
      <c r="D135" s="11" t="inlineStr">
        <is>
          <t>2nd level benthos</t>
        </is>
      </c>
      <c r="E135" t="n">
        <v>0</v>
      </c>
      <c r="F135" t="n">
        <v>10</v>
      </c>
      <c r="G135" t="n">
        <v>5.280025</v>
      </c>
      <c r="H135" t="n">
        <v>5.280025</v>
      </c>
      <c r="I135" t="n">
        <v>4.25396</v>
      </c>
      <c r="J135" t="n">
        <v>4.25396</v>
      </c>
      <c r="K135" t="n">
        <v>2.190789</v>
      </c>
      <c r="L135" t="n">
        <v>4.011903</v>
      </c>
      <c r="M135" t="n">
        <v>4.011903</v>
      </c>
      <c r="N135" t="n">
        <v>4.101044</v>
      </c>
      <c r="O135" t="n">
        <v>2.575732</v>
      </c>
      <c r="P135" t="n">
        <v>2.017588</v>
      </c>
      <c r="Q135" t="n">
        <v>4.101044</v>
      </c>
      <c r="R135" t="n">
        <v>4.011903</v>
      </c>
      <c r="S135" t="n">
        <v>2.575732</v>
      </c>
      <c r="T135" t="n">
        <v>2.575732</v>
      </c>
      <c r="U135" t="n">
        <v>2.017588</v>
      </c>
      <c r="V135" t="n">
        <v>2.017588</v>
      </c>
      <c r="W135" t="n">
        <v>3.13337</v>
      </c>
      <c r="X135" t="n">
        <v>4.076903</v>
      </c>
    </row>
    <row r="136" ht="21" customHeight="1">
      <c r="A136" t="inlineStr">
        <is>
          <t>Xiphias gladius</t>
        </is>
      </c>
      <c r="B136" t="n">
        <v>4.53</v>
      </c>
      <c r="C136" t="n">
        <v>3388.441561</v>
      </c>
      <c r="D136" s="11" t="inlineStr">
        <is>
          <t>Unresolved</t>
        </is>
      </c>
    </row>
    <row r="137" ht="21" customHeight="1">
      <c r="A137" t="inlineStr">
        <is>
          <t>Decapterus</t>
        </is>
      </c>
      <c r="B137" t="n">
        <v>3.63</v>
      </c>
      <c r="C137" t="n">
        <v>426.579519</v>
      </c>
      <c r="D137" s="11" t="inlineStr">
        <is>
          <t>Unresolved</t>
        </is>
      </c>
    </row>
    <row r="138" ht="21" customHeight="1">
      <c r="A138" t="inlineStr">
        <is>
          <t>Scomberomorus niphonius</t>
        </is>
      </c>
      <c r="B138" t="n">
        <v>4.5</v>
      </c>
      <c r="C138" t="n">
        <v>3162.27766</v>
      </c>
      <c r="D138" s="11" t="inlineStr">
        <is>
          <t>Unresolved</t>
        </is>
      </c>
    </row>
    <row r="139" ht="21" customHeight="1">
      <c r="A139" t="inlineStr">
        <is>
          <t>Panulirus</t>
        </is>
      </c>
      <c r="D139" s="11" t="inlineStr">
        <is>
          <t>Carnivorous invertebrates</t>
        </is>
      </c>
      <c r="E139" t="n">
        <v>0</v>
      </c>
      <c r="F139" t="n">
        <v>100</v>
      </c>
      <c r="G139" t="n">
        <v>27.878664</v>
      </c>
      <c r="H139" t="n">
        <v>27.878664</v>
      </c>
      <c r="I139" t="n">
        <v>35.33173</v>
      </c>
      <c r="J139" t="n">
        <v>35.33173</v>
      </c>
      <c r="K139" t="n">
        <v>28.654033</v>
      </c>
      <c r="L139" t="n">
        <v>33.321302</v>
      </c>
      <c r="M139" t="n">
        <v>33.321302</v>
      </c>
      <c r="N139" t="n">
        <v>34.061672</v>
      </c>
      <c r="O139" t="n">
        <v>17.349743</v>
      </c>
      <c r="P139" t="n">
        <v>10.872137</v>
      </c>
      <c r="Q139" t="n">
        <v>34.061672</v>
      </c>
      <c r="R139" t="n">
        <v>33.321302</v>
      </c>
      <c r="S139" t="n">
        <v>17.349743</v>
      </c>
      <c r="T139" t="n">
        <v>17.349743</v>
      </c>
      <c r="U139" t="n">
        <v>10.872137</v>
      </c>
      <c r="V139" t="n">
        <v>10.872137</v>
      </c>
      <c r="W139" t="n">
        <v>21.371774</v>
      </c>
      <c r="X139" t="n">
        <v>35.712118</v>
      </c>
    </row>
    <row r="140" ht="21" customHeight="1">
      <c r="A140" t="inlineStr">
        <is>
          <t>Rachycentron canadum</t>
        </is>
      </c>
      <c r="B140" t="n">
        <v>3.96</v>
      </c>
      <c r="C140" t="n">
        <v>912.010839</v>
      </c>
      <c r="D140" s="11" t="inlineStr">
        <is>
          <t>Unresolved</t>
        </is>
      </c>
    </row>
    <row r="141" ht="21" customHeight="1">
      <c r="A141" t="inlineStr">
        <is>
          <t>Coregonus</t>
        </is>
      </c>
      <c r="D141" s="11" t="inlineStr">
        <is>
          <t>Unresolved</t>
        </is>
      </c>
    </row>
    <row r="142" ht="21" customHeight="1">
      <c r="A142" t="inlineStr">
        <is>
          <t>Haliotis</t>
        </is>
      </c>
      <c r="D142" s="11" t="inlineStr">
        <is>
          <t>2nd level benthos</t>
        </is>
      </c>
      <c r="E142" t="n">
        <v>0</v>
      </c>
      <c r="F142" t="n">
        <v>10</v>
      </c>
      <c r="G142" t="n">
        <v>5.280025</v>
      </c>
      <c r="H142" t="n">
        <v>5.280025</v>
      </c>
      <c r="I142" t="n">
        <v>4.25396</v>
      </c>
      <c r="J142" t="n">
        <v>4.25396</v>
      </c>
      <c r="K142" t="n">
        <v>2.190789</v>
      </c>
      <c r="L142" t="n">
        <v>4.011903</v>
      </c>
      <c r="M142" t="n">
        <v>4.011903</v>
      </c>
      <c r="N142" t="n">
        <v>4.101044</v>
      </c>
      <c r="O142" t="n">
        <v>2.575732</v>
      </c>
      <c r="P142" t="n">
        <v>2.017588</v>
      </c>
      <c r="Q142" t="n">
        <v>4.101044</v>
      </c>
      <c r="R142" t="n">
        <v>4.011903</v>
      </c>
      <c r="S142" t="n">
        <v>2.575732</v>
      </c>
      <c r="T142" t="n">
        <v>2.575732</v>
      </c>
      <c r="U142" t="n">
        <v>2.017588</v>
      </c>
      <c r="V142" t="n">
        <v>2.017588</v>
      </c>
      <c r="W142" t="n">
        <v>3.13337</v>
      </c>
      <c r="X142" t="n">
        <v>4.076903</v>
      </c>
    </row>
    <row r="143" ht="21" customHeight="1">
      <c r="A143" t="inlineStr">
        <is>
          <t>Seriola dumerili</t>
        </is>
      </c>
      <c r="B143" t="n">
        <v>4.5</v>
      </c>
      <c r="C143" t="n">
        <v>3162.27766</v>
      </c>
      <c r="D143" s="11" t="inlineStr">
        <is>
          <t>Unresolved</t>
        </is>
      </c>
    </row>
    <row r="144" ht="21" customHeight="1">
      <c r="A144" t="inlineStr">
        <is>
          <t>Saurida</t>
        </is>
      </c>
      <c r="B144" t="n">
        <v>4.35</v>
      </c>
      <c r="C144" t="n">
        <v>2238.721139</v>
      </c>
      <c r="D144" s="11" t="inlineStr">
        <is>
          <t>Unresolved</t>
        </is>
      </c>
    </row>
    <row r="145" ht="21" customHeight="1">
      <c r="A145" t="inlineStr">
        <is>
          <t>Prionace glauca</t>
        </is>
      </c>
      <c r="B145" t="n">
        <v>4.35</v>
      </c>
      <c r="C145" t="n">
        <v>2238.721139</v>
      </c>
      <c r="D145" s="11" t="inlineStr">
        <is>
          <t>Unresolved</t>
        </is>
      </c>
    </row>
    <row r="146" ht="21" customHeight="1">
      <c r="A146" t="inlineStr">
        <is>
          <t>Echinozoa</t>
        </is>
      </c>
      <c r="D146" s="11" t="inlineStr">
        <is>
          <t>2nd level benthos</t>
        </is>
      </c>
      <c r="E146" t="n">
        <v>0</v>
      </c>
      <c r="F146" t="n">
        <v>10</v>
      </c>
      <c r="G146" t="n">
        <v>5.280025</v>
      </c>
      <c r="H146" t="n">
        <v>5.280025</v>
      </c>
      <c r="I146" t="n">
        <v>4.25396</v>
      </c>
      <c r="J146" t="n">
        <v>4.25396</v>
      </c>
      <c r="K146" t="n">
        <v>2.190789</v>
      </c>
      <c r="L146" t="n">
        <v>4.011903</v>
      </c>
      <c r="M146" t="n">
        <v>4.011903</v>
      </c>
      <c r="N146" t="n">
        <v>4.101044</v>
      </c>
      <c r="O146" t="n">
        <v>2.575732</v>
      </c>
      <c r="P146" t="n">
        <v>2.017588</v>
      </c>
      <c r="Q146" t="n">
        <v>4.101044</v>
      </c>
      <c r="R146" t="n">
        <v>4.011903</v>
      </c>
      <c r="S146" t="n">
        <v>2.575732</v>
      </c>
      <c r="T146" t="n">
        <v>2.575732</v>
      </c>
      <c r="U146" t="n">
        <v>2.017588</v>
      </c>
      <c r="V146" t="n">
        <v>2.017588</v>
      </c>
      <c r="W146" t="n">
        <v>3.13337</v>
      </c>
      <c r="X146" t="n">
        <v>4.076903</v>
      </c>
    </row>
    <row r="147" ht="21" customHeight="1">
      <c r="A147" t="inlineStr">
        <is>
          <t>Lates calcarifer</t>
        </is>
      </c>
      <c r="B147" t="n">
        <v>4.35</v>
      </c>
      <c r="C147" t="n">
        <v>2238.721139</v>
      </c>
      <c r="D147" s="11" t="inlineStr">
        <is>
          <t>Unresolved</t>
        </is>
      </c>
    </row>
    <row r="148" ht="21" customHeight="1">
      <c r="A148" t="inlineStr">
        <is>
          <t>Rhopilema hispidum</t>
        </is>
      </c>
      <c r="B148" t="n">
        <v>3.46</v>
      </c>
      <c r="C148" t="n">
        <v>288.40315</v>
      </c>
      <c r="D148" s="11" t="inlineStr">
        <is>
          <t>Jellyfish</t>
        </is>
      </c>
      <c r="E148" t="n">
        <v>0</v>
      </c>
      <c r="F148" t="n">
        <v>192.167837</v>
      </c>
      <c r="G148" t="n">
        <v>44.696122</v>
      </c>
      <c r="H148" t="n">
        <v>82.346732</v>
      </c>
      <c r="I148" t="n">
        <v>2095.248026</v>
      </c>
      <c r="J148" t="n">
        <v>2102.656168</v>
      </c>
      <c r="K148" t="n">
        <v>52.566404</v>
      </c>
      <c r="L148" t="n">
        <v>13084.005263</v>
      </c>
      <c r="M148" t="n">
        <v>13084.005263</v>
      </c>
      <c r="N148" t="n">
        <v>13306.933792</v>
      </c>
      <c r="O148" t="n">
        <v>79.878041</v>
      </c>
      <c r="P148" t="n">
        <v>25.489001</v>
      </c>
      <c r="Q148" t="n">
        <v>13306.933792</v>
      </c>
      <c r="R148" t="n">
        <v>13084.005263</v>
      </c>
      <c r="S148" t="n">
        <v>79.878041</v>
      </c>
      <c r="T148" t="n">
        <v>79.878041</v>
      </c>
      <c r="U148" t="n">
        <v>25.489001</v>
      </c>
      <c r="V148" t="n">
        <v>25.489001</v>
      </c>
      <c r="W148" t="n">
        <v>106.21969</v>
      </c>
      <c r="X148" t="n">
        <v>14877.937413</v>
      </c>
    </row>
    <row r="149" ht="21" customHeight="1">
      <c r="A149" t="inlineStr">
        <is>
          <t>Scaridae</t>
        </is>
      </c>
      <c r="B149" t="n">
        <v>2</v>
      </c>
      <c r="C149" t="n">
        <v>10</v>
      </c>
      <c r="D149" s="11" t="inlineStr">
        <is>
          <t>Unresolved</t>
        </is>
      </c>
    </row>
    <row r="150" ht="21" customHeight="1">
      <c r="A150" t="inlineStr">
        <is>
          <t>Rachycentridae</t>
        </is>
      </c>
      <c r="D150" s="11" t="inlineStr">
        <is>
          <t>Unresolved</t>
        </is>
      </c>
    </row>
    <row r="151" ht="21" customHeight="1">
      <c r="A151" t="inlineStr">
        <is>
          <t>Chanos chanos</t>
        </is>
      </c>
      <c r="B151" t="n">
        <v>2.03</v>
      </c>
      <c r="C151" t="n">
        <v>10.715193</v>
      </c>
      <c r="D151" s="11" t="inlineStr">
        <is>
          <t>Unresolved</t>
        </is>
      </c>
    </row>
    <row r="152" ht="21" customHeight="1">
      <c r="A152" t="inlineStr">
        <is>
          <t>Pinctada</t>
        </is>
      </c>
      <c r="D152" s="11" t="inlineStr">
        <is>
          <t>2nd level benthos</t>
        </is>
      </c>
      <c r="E152" t="n">
        <v>0</v>
      </c>
      <c r="F152" t="n">
        <v>10</v>
      </c>
      <c r="G152" t="n">
        <v>5.280025</v>
      </c>
      <c r="H152" t="n">
        <v>5.280025</v>
      </c>
      <c r="I152" t="n">
        <v>4.25396</v>
      </c>
      <c r="J152" t="n">
        <v>4.25396</v>
      </c>
      <c r="K152" t="n">
        <v>2.190789</v>
      </c>
      <c r="L152" t="n">
        <v>4.011903</v>
      </c>
      <c r="M152" t="n">
        <v>4.011903</v>
      </c>
      <c r="N152" t="n">
        <v>4.101044</v>
      </c>
      <c r="O152" t="n">
        <v>2.575732</v>
      </c>
      <c r="P152" t="n">
        <v>2.017588</v>
      </c>
      <c r="Q152" t="n">
        <v>4.101044</v>
      </c>
      <c r="R152" t="n">
        <v>4.011903</v>
      </c>
      <c r="S152" t="n">
        <v>2.575732</v>
      </c>
      <c r="T152" t="n">
        <v>2.575732</v>
      </c>
      <c r="U152" t="n">
        <v>2.017588</v>
      </c>
      <c r="V152" t="n">
        <v>2.017588</v>
      </c>
      <c r="W152" t="n">
        <v>3.13337</v>
      </c>
      <c r="X152" t="n">
        <v>4.076903</v>
      </c>
    </row>
    <row r="153" ht="21" customHeight="1">
      <c r="A153" t="inlineStr">
        <is>
          <t>Scombroidei</t>
        </is>
      </c>
      <c r="D153" s="11" t="inlineStr">
        <is>
          <t>Unresolved</t>
        </is>
      </c>
    </row>
    <row r="154" ht="21" customHeight="1">
      <c r="A154" t="inlineStr">
        <is>
          <t>Sphyraena barracuda</t>
        </is>
      </c>
      <c r="B154" t="n">
        <v>4.49</v>
      </c>
      <c r="C154" t="n">
        <v>3090.295433</v>
      </c>
      <c r="D154" s="11" t="inlineStr">
        <is>
          <t>Unresolved</t>
        </is>
      </c>
    </row>
    <row r="155" ht="21" customHeight="1">
      <c r="A155" t="inlineStr">
        <is>
          <t>Isurus oxyrinchus</t>
        </is>
      </c>
      <c r="D155" s="11" t="inlineStr">
        <is>
          <t>Unresolved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T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1" t="inlineStr">
        <is>
          <t>Total PPR by method and year — every taxon summed, tonnes wet weight equivalent of primary production.</t>
        </is>
      </c>
    </row>
    <row r="2">
      <c r="A2" t="inlineStr">
        <is>
          <t>All basal sources, including imports. The simple chain rows are unpartitioned references; model rows use this scope.</t>
        </is>
      </c>
    </row>
    <row r="3">
      <c r="A3" t="inlineStr">
        <is>
          <t>Methods are not alternatives to be averaged. They rest on different assumptions and the spread between them is the result.</t>
        </is>
      </c>
    </row>
    <row r="4">
      <c r="A4" t="inlineStr">
        <is>
          <t>The two grey rows aggregate the catch to a group before exponentiating, which understates the total: SPPR is convex in trophic level, so they measure the Jensen effect rather than the PPR.</t>
        </is>
      </c>
    </row>
    <row r="5">
      <c r="A5" s="4" t="inlineStr">
        <is>
          <t>method</t>
        </is>
      </c>
      <c r="B5" s="4" t="inlineStr">
        <is>
          <t>status</t>
        </is>
      </c>
      <c r="C5" s="4" t="n">
        <v>1950</v>
      </c>
      <c r="D5" s="4" t="n">
        <v>1951</v>
      </c>
      <c r="E5" s="4" t="n">
        <v>1952</v>
      </c>
      <c r="F5" s="4" t="n">
        <v>1953</v>
      </c>
      <c r="G5" s="4" t="n">
        <v>1954</v>
      </c>
      <c r="H5" s="4" t="n">
        <v>1955</v>
      </c>
      <c r="I5" s="4" t="n">
        <v>1956</v>
      </c>
      <c r="J5" s="4" t="n">
        <v>1957</v>
      </c>
      <c r="K5" s="4" t="n">
        <v>1958</v>
      </c>
      <c r="L5" s="4" t="n">
        <v>1959</v>
      </c>
      <c r="M5" s="4" t="n">
        <v>1960</v>
      </c>
      <c r="N5" s="4" t="n">
        <v>1961</v>
      </c>
      <c r="O5" s="4" t="n">
        <v>1962</v>
      </c>
      <c r="P5" s="4" t="n">
        <v>1963</v>
      </c>
      <c r="Q5" s="4" t="n">
        <v>1964</v>
      </c>
      <c r="R5" s="4" t="n">
        <v>1965</v>
      </c>
      <c r="S5" s="4" t="n">
        <v>1966</v>
      </c>
      <c r="T5" s="4" t="n">
        <v>1967</v>
      </c>
      <c r="U5" s="4" t="n">
        <v>1968</v>
      </c>
      <c r="V5" s="4" t="n">
        <v>1969</v>
      </c>
      <c r="W5" s="4" t="n">
        <v>1970</v>
      </c>
      <c r="X5" s="4" t="n">
        <v>1971</v>
      </c>
      <c r="Y5" s="4" t="n">
        <v>1972</v>
      </c>
      <c r="Z5" s="4" t="n">
        <v>1973</v>
      </c>
      <c r="AA5" s="4" t="n">
        <v>1974</v>
      </c>
      <c r="AB5" s="4" t="n">
        <v>1975</v>
      </c>
      <c r="AC5" s="4" t="n">
        <v>1976</v>
      </c>
      <c r="AD5" s="4" t="n">
        <v>1977</v>
      </c>
      <c r="AE5" s="4" t="n">
        <v>1978</v>
      </c>
      <c r="AF5" s="4" t="n">
        <v>1979</v>
      </c>
      <c r="AG5" s="4" t="n">
        <v>1980</v>
      </c>
      <c r="AH5" s="4" t="n">
        <v>1981</v>
      </c>
      <c r="AI5" s="4" t="n">
        <v>1982</v>
      </c>
      <c r="AJ5" s="4" t="n">
        <v>1983</v>
      </c>
      <c r="AK5" s="4" t="n">
        <v>1984</v>
      </c>
      <c r="AL5" s="4" t="n">
        <v>1985</v>
      </c>
      <c r="AM5" s="4" t="n">
        <v>1986</v>
      </c>
      <c r="AN5" s="4" t="n">
        <v>1987</v>
      </c>
      <c r="AO5" s="4" t="n">
        <v>1988</v>
      </c>
      <c r="AP5" s="4" t="n">
        <v>1989</v>
      </c>
      <c r="AQ5" s="4" t="n">
        <v>1990</v>
      </c>
      <c r="AR5" s="4" t="n">
        <v>1991</v>
      </c>
      <c r="AS5" s="4" t="n">
        <v>1992</v>
      </c>
      <c r="AT5" s="4" t="n">
        <v>1993</v>
      </c>
      <c r="AU5" s="4" t="n">
        <v>1994</v>
      </c>
      <c r="AV5" s="4" t="n">
        <v>1995</v>
      </c>
      <c r="AW5" s="4" t="n">
        <v>1996</v>
      </c>
      <c r="AX5" s="4" t="n">
        <v>1997</v>
      </c>
      <c r="AY5" s="4" t="n">
        <v>1998</v>
      </c>
      <c r="AZ5" s="4" t="n">
        <v>1999</v>
      </c>
      <c r="BA5" s="4" t="n">
        <v>2000</v>
      </c>
      <c r="BB5" s="4" t="n">
        <v>2001</v>
      </c>
      <c r="BC5" s="4" t="n">
        <v>2002</v>
      </c>
      <c r="BD5" s="4" t="n">
        <v>2003</v>
      </c>
      <c r="BE5" s="4" t="n">
        <v>2004</v>
      </c>
      <c r="BF5" s="4" t="n">
        <v>2005</v>
      </c>
      <c r="BG5" s="4" t="n">
        <v>2006</v>
      </c>
      <c r="BH5" s="4" t="n">
        <v>2007</v>
      </c>
      <c r="BI5" s="4" t="n">
        <v>2008</v>
      </c>
      <c r="BJ5" s="4" t="n">
        <v>2009</v>
      </c>
      <c r="BK5" s="4" t="n">
        <v>2010</v>
      </c>
      <c r="BL5" s="4" t="n">
        <v>2011</v>
      </c>
      <c r="BM5" s="4" t="n">
        <v>2012</v>
      </c>
      <c r="BN5" s="4" t="n">
        <v>2013</v>
      </c>
      <c r="BO5" s="4" t="n">
        <v>2014</v>
      </c>
      <c r="BP5" s="4" t="n">
        <v>2015</v>
      </c>
      <c r="BQ5" s="4" t="n">
        <v>2016</v>
      </c>
      <c r="BR5" s="4" t="n">
        <v>2017</v>
      </c>
      <c r="BS5" s="4" t="n">
        <v>2018</v>
      </c>
      <c r="BT5" s="4" t="n">
        <v>2019</v>
      </c>
    </row>
    <row r="6">
      <c r="A6" s="3" t="inlineStr">
        <is>
          <t>simple trophic chain, per taxon</t>
        </is>
      </c>
      <c r="B6" t="inlineStr">
        <is>
          <t>ok</t>
        </is>
      </c>
      <c r="C6" t="n">
        <v>538447225.896</v>
      </c>
      <c r="D6" t="n">
        <v>824868979.284</v>
      </c>
      <c r="E6" t="n">
        <v>648640399.201</v>
      </c>
      <c r="F6" t="n">
        <v>854938460.352</v>
      </c>
      <c r="G6" t="n">
        <v>726525927.198</v>
      </c>
      <c r="H6" t="n">
        <v>886972672.151</v>
      </c>
      <c r="I6" t="n">
        <v>909609221.6339999</v>
      </c>
      <c r="J6" t="n">
        <v>1034075139.513</v>
      </c>
      <c r="K6" t="n">
        <v>498794105.483</v>
      </c>
      <c r="L6" t="n">
        <v>549316829.0140001</v>
      </c>
      <c r="M6" t="n">
        <v>466008693.149</v>
      </c>
      <c r="N6" t="n">
        <v>517069944.85</v>
      </c>
      <c r="O6" t="n">
        <v>487268320.398</v>
      </c>
      <c r="P6" t="n">
        <v>584800261.02</v>
      </c>
      <c r="Q6" t="n">
        <v>496547339.437</v>
      </c>
      <c r="R6" t="n">
        <v>659761572.352</v>
      </c>
      <c r="S6" t="n">
        <v>602906920.008</v>
      </c>
      <c r="T6" t="n">
        <v>733040407.224</v>
      </c>
      <c r="U6" t="n">
        <v>730558103.414</v>
      </c>
      <c r="V6" t="n">
        <v>829348282.799</v>
      </c>
      <c r="W6" t="n">
        <v>681753955.103</v>
      </c>
      <c r="X6" t="n">
        <v>831382943.976</v>
      </c>
      <c r="Y6" t="n">
        <v>726962048.467</v>
      </c>
      <c r="Z6" t="n">
        <v>1056630934.456</v>
      </c>
      <c r="AA6" t="n">
        <v>999822157.251</v>
      </c>
      <c r="AB6" t="n">
        <v>1262493251.302</v>
      </c>
      <c r="AC6" t="n">
        <v>1204347559.537</v>
      </c>
      <c r="AD6" t="n">
        <v>1363367810.432</v>
      </c>
      <c r="AE6" t="n">
        <v>1185259895.003</v>
      </c>
      <c r="AF6" t="n">
        <v>1326991255.859</v>
      </c>
      <c r="AG6" t="n">
        <v>1359057632.076</v>
      </c>
      <c r="AH6" t="n">
        <v>1451930523.354</v>
      </c>
      <c r="AI6" t="n">
        <v>1557186722.244</v>
      </c>
      <c r="AJ6" t="n">
        <v>1789666929.727</v>
      </c>
      <c r="AK6" t="n">
        <v>2222465009.103</v>
      </c>
      <c r="AL6" t="n">
        <v>2432114918.185</v>
      </c>
      <c r="AM6" t="n">
        <v>2532339048.286</v>
      </c>
      <c r="AN6" t="n">
        <v>2595868086.644</v>
      </c>
      <c r="AO6" t="n">
        <v>2433206458.038</v>
      </c>
      <c r="AP6" t="n">
        <v>2932307484.528</v>
      </c>
      <c r="AQ6" t="n">
        <v>3055456345.439</v>
      </c>
      <c r="AR6" t="n">
        <v>3252190514.293</v>
      </c>
      <c r="AS6" t="n">
        <v>2916379671.355</v>
      </c>
      <c r="AT6" t="n">
        <v>2768892101.395</v>
      </c>
      <c r="AU6" t="n">
        <v>2486069921.598</v>
      </c>
      <c r="AV6" t="n">
        <v>3040275972.008</v>
      </c>
      <c r="AW6" t="n">
        <v>3295307219.845</v>
      </c>
      <c r="AX6" t="n">
        <v>3386502557.004</v>
      </c>
      <c r="AY6" t="n">
        <v>3025887386.808</v>
      </c>
      <c r="AZ6" t="n">
        <v>2869129506.549</v>
      </c>
      <c r="BA6" t="n">
        <v>2505816807.485</v>
      </c>
      <c r="BB6" t="n">
        <v>2545971959.947</v>
      </c>
      <c r="BC6" t="n">
        <v>1915973389.515</v>
      </c>
      <c r="BD6" t="n">
        <v>2307468182.39</v>
      </c>
      <c r="BE6" t="n">
        <v>1878414809.388</v>
      </c>
      <c r="BF6" t="n">
        <v>2234069749.265</v>
      </c>
      <c r="BG6" t="n">
        <v>2215642053.79</v>
      </c>
      <c r="BH6" t="n">
        <v>2513590305.755</v>
      </c>
      <c r="BI6" t="n">
        <v>2196739234.261</v>
      </c>
      <c r="BJ6" t="n">
        <v>2688961343.23</v>
      </c>
      <c r="BK6" t="n">
        <v>2498602894.136</v>
      </c>
      <c r="BL6" t="n">
        <v>3061549193.456</v>
      </c>
      <c r="BM6" t="n">
        <v>2809538353.54</v>
      </c>
      <c r="BN6" t="n">
        <v>2725016867.582</v>
      </c>
      <c r="BO6" t="n">
        <v>2504736826.23</v>
      </c>
      <c r="BP6" t="n">
        <v>2508969769.23</v>
      </c>
      <c r="BQ6" t="n">
        <v>2683229419.329</v>
      </c>
      <c r="BR6" t="n">
        <v>2555357731.152</v>
      </c>
      <c r="BS6" t="n">
        <v>3156910928.104</v>
      </c>
      <c r="BT6" t="n">
        <v>2799543442.983</v>
      </c>
    </row>
    <row r="7">
      <c r="A7" s="17" t="inlineStr">
        <is>
          <t>simple, aggregated to SAU functional group</t>
        </is>
      </c>
      <c r="B7" t="inlineStr">
        <is>
          <t>Jensen comparison, not a PPR estimate</t>
        </is>
      </c>
      <c r="C7" t="n">
        <v>385996526.057</v>
      </c>
      <c r="D7" t="n">
        <v>567431487.632</v>
      </c>
      <c r="E7" t="n">
        <v>457232477.894</v>
      </c>
      <c r="F7" t="n">
        <v>582377484.266</v>
      </c>
      <c r="G7" t="n">
        <v>507651367.178</v>
      </c>
      <c r="H7" t="n">
        <v>609364218.281</v>
      </c>
      <c r="I7" t="n">
        <v>635416553.641</v>
      </c>
      <c r="J7" t="n">
        <v>719046088.409</v>
      </c>
      <c r="K7" t="n">
        <v>403961764.576</v>
      </c>
      <c r="L7" t="n">
        <v>437429684.69</v>
      </c>
      <c r="M7" t="n">
        <v>399796613.189</v>
      </c>
      <c r="N7" t="n">
        <v>435009872.024</v>
      </c>
      <c r="O7" t="n">
        <v>421204130.748</v>
      </c>
      <c r="P7" t="n">
        <v>475705183.365</v>
      </c>
      <c r="Q7" t="n">
        <v>424884371.35</v>
      </c>
      <c r="R7" t="n">
        <v>538679329.3430001</v>
      </c>
      <c r="S7" t="n">
        <v>524820653.827</v>
      </c>
      <c r="T7" t="n">
        <v>612405410.98</v>
      </c>
      <c r="U7" t="n">
        <v>655841949.803</v>
      </c>
      <c r="V7" t="n">
        <v>689985559.766</v>
      </c>
      <c r="W7" t="n">
        <v>612459568.415</v>
      </c>
      <c r="X7" t="n">
        <v>704375504.085</v>
      </c>
      <c r="Y7" t="n">
        <v>650423722.952</v>
      </c>
      <c r="Z7" t="n">
        <v>906133632.526</v>
      </c>
      <c r="AA7" t="n">
        <v>898543506.7130001</v>
      </c>
      <c r="AB7" t="n">
        <v>1083705379.122</v>
      </c>
      <c r="AC7" t="n">
        <v>1070439532.873</v>
      </c>
      <c r="AD7" t="n">
        <v>1164209114.907</v>
      </c>
      <c r="AE7" t="n">
        <v>1051519816.413</v>
      </c>
      <c r="AF7" t="n">
        <v>1133647785.314</v>
      </c>
      <c r="AG7" t="n">
        <v>1179842711.035</v>
      </c>
      <c r="AH7" t="n">
        <v>1250914282.534</v>
      </c>
      <c r="AI7" t="n">
        <v>1396006560.313</v>
      </c>
      <c r="AJ7" t="n">
        <v>1549372012.571</v>
      </c>
      <c r="AK7" t="n">
        <v>2014375701.227</v>
      </c>
      <c r="AL7" t="n">
        <v>2166204273.793</v>
      </c>
      <c r="AM7" t="n">
        <v>2317007977.968</v>
      </c>
      <c r="AN7" t="n">
        <v>2299608089.596</v>
      </c>
      <c r="AO7" t="n">
        <v>2214093519.253</v>
      </c>
      <c r="AP7" t="n">
        <v>2565098942.826</v>
      </c>
      <c r="AQ7" t="n">
        <v>2741300031.666</v>
      </c>
      <c r="AR7" t="n">
        <v>2830172478.623</v>
      </c>
      <c r="AS7" t="n">
        <v>2585808406.281</v>
      </c>
      <c r="AT7" t="n">
        <v>2343488426.928</v>
      </c>
      <c r="AU7" t="n">
        <v>2098379473.476</v>
      </c>
      <c r="AV7" t="n">
        <v>2589214991.849</v>
      </c>
      <c r="AW7" t="n">
        <v>2873934143.517</v>
      </c>
      <c r="AX7" t="n">
        <v>2887490039.546</v>
      </c>
      <c r="AY7" t="n">
        <v>2543567140.704</v>
      </c>
      <c r="AZ7" t="n">
        <v>2357231544.991</v>
      </c>
      <c r="BA7" t="n">
        <v>1999881087.25</v>
      </c>
      <c r="BB7" t="n">
        <v>2022915197.168</v>
      </c>
      <c r="BC7" t="n">
        <v>1498307614.799</v>
      </c>
      <c r="BD7" t="n">
        <v>1788833208.771</v>
      </c>
      <c r="BE7" t="n">
        <v>1435468445.474</v>
      </c>
      <c r="BF7" t="n">
        <v>1672079581.24</v>
      </c>
      <c r="BG7" t="n">
        <v>1686491620.552</v>
      </c>
      <c r="BH7" t="n">
        <v>1920107664.152</v>
      </c>
      <c r="BI7" t="n">
        <v>1682504309.195</v>
      </c>
      <c r="BJ7" t="n">
        <v>1963627410.635</v>
      </c>
      <c r="BK7" t="n">
        <v>1903394361.324</v>
      </c>
      <c r="BL7" t="n">
        <v>2208534996.641</v>
      </c>
      <c r="BM7" t="n">
        <v>2060223032.665</v>
      </c>
      <c r="BN7" t="n">
        <v>2019540392.731</v>
      </c>
      <c r="BO7" t="n">
        <v>1884101688.877</v>
      </c>
      <c r="BP7" t="n">
        <v>1920402152.639</v>
      </c>
      <c r="BQ7" t="n">
        <v>2007365281.028</v>
      </c>
      <c r="BR7" t="n">
        <v>1957346967.425</v>
      </c>
      <c r="BS7" t="n">
        <v>2323100056.765</v>
      </c>
      <c r="BT7" t="n">
        <v>2131158645.148</v>
      </c>
    </row>
    <row r="8">
      <c r="A8" s="17" t="inlineStr">
        <is>
          <t>simple, aggregated to SAU commercial group</t>
        </is>
      </c>
      <c r="B8" t="inlineStr">
        <is>
          <t>Jensen comparison, not a PPR estimate</t>
        </is>
      </c>
      <c r="C8" t="n">
        <v>407568869.949</v>
      </c>
      <c r="D8" t="n">
        <v>630257223.777</v>
      </c>
      <c r="E8" t="n">
        <v>498793486.493</v>
      </c>
      <c r="F8" t="n">
        <v>669226412.086</v>
      </c>
      <c r="G8" t="n">
        <v>563339006.523</v>
      </c>
      <c r="H8" t="n">
        <v>686765452.706</v>
      </c>
      <c r="I8" t="n">
        <v>706141341.651</v>
      </c>
      <c r="J8" t="n">
        <v>810398179.098</v>
      </c>
      <c r="K8" t="n">
        <v>388906695.358</v>
      </c>
      <c r="L8" t="n">
        <v>419590773.683</v>
      </c>
      <c r="M8" t="n">
        <v>360392740.222</v>
      </c>
      <c r="N8" t="n">
        <v>400335629.598</v>
      </c>
      <c r="O8" t="n">
        <v>376400850.961</v>
      </c>
      <c r="P8" t="n">
        <v>449690220.024</v>
      </c>
      <c r="Q8" t="n">
        <v>401140028.665</v>
      </c>
      <c r="R8" t="n">
        <v>521388749.352</v>
      </c>
      <c r="S8" t="n">
        <v>496114805.853</v>
      </c>
      <c r="T8" t="n">
        <v>590995399.9960001</v>
      </c>
      <c r="U8" t="n">
        <v>605975258.173</v>
      </c>
      <c r="V8" t="n">
        <v>671614291.589</v>
      </c>
      <c r="W8" t="n">
        <v>581793909.52</v>
      </c>
      <c r="X8" t="n">
        <v>693224880.8839999</v>
      </c>
      <c r="Y8" t="n">
        <v>616495069.863</v>
      </c>
      <c r="Z8" t="n">
        <v>892566254.851</v>
      </c>
      <c r="AA8" t="n">
        <v>865872971.692</v>
      </c>
      <c r="AB8" t="n">
        <v>1083605155.938</v>
      </c>
      <c r="AC8" t="n">
        <v>1059353245.299</v>
      </c>
      <c r="AD8" t="n">
        <v>1169818516.33</v>
      </c>
      <c r="AE8" t="n">
        <v>1037102117.025</v>
      </c>
      <c r="AF8" t="n">
        <v>1135345866.57</v>
      </c>
      <c r="AG8" t="n">
        <v>1163580802.776</v>
      </c>
      <c r="AH8" t="n">
        <v>1243294922.407</v>
      </c>
      <c r="AI8" t="n">
        <v>1354218131.236</v>
      </c>
      <c r="AJ8" t="n">
        <v>1547158222.21</v>
      </c>
      <c r="AK8" t="n">
        <v>1926341929.373</v>
      </c>
      <c r="AL8" t="n">
        <v>2071915233.792</v>
      </c>
      <c r="AM8" t="n">
        <v>2208923402.412</v>
      </c>
      <c r="AN8" t="n">
        <v>2236694870.369</v>
      </c>
      <c r="AO8" t="n">
        <v>2149918051.385</v>
      </c>
      <c r="AP8" t="n">
        <v>2563523016.658</v>
      </c>
      <c r="AQ8" t="n">
        <v>2701245897.901</v>
      </c>
      <c r="AR8" t="n">
        <v>2864326748.303</v>
      </c>
      <c r="AS8" t="n">
        <v>2574278946.506</v>
      </c>
      <c r="AT8" t="n">
        <v>2427799635.014</v>
      </c>
      <c r="AU8" t="n">
        <v>2165440814.421</v>
      </c>
      <c r="AV8" t="n">
        <v>2656873856.795</v>
      </c>
      <c r="AW8" t="n">
        <v>2909232957.874</v>
      </c>
      <c r="AX8" t="n">
        <v>2984581136.241</v>
      </c>
      <c r="AY8" t="n">
        <v>2630368465.524</v>
      </c>
      <c r="AZ8" t="n">
        <v>2440960379.78</v>
      </c>
      <c r="BA8" t="n">
        <v>2084430745.296</v>
      </c>
      <c r="BB8" t="n">
        <v>2141949023.75</v>
      </c>
      <c r="BC8" t="n">
        <v>1538546174.013</v>
      </c>
      <c r="BD8" t="n">
        <v>1922892516.05</v>
      </c>
      <c r="BE8" t="n">
        <v>1522974798.962</v>
      </c>
      <c r="BF8" t="n">
        <v>1822894930.861</v>
      </c>
      <c r="BG8" t="n">
        <v>1806345600.355</v>
      </c>
      <c r="BH8" t="n">
        <v>2064261514.18</v>
      </c>
      <c r="BI8" t="n">
        <v>1780661428.873</v>
      </c>
      <c r="BJ8" t="n">
        <v>2185098615.537</v>
      </c>
      <c r="BK8" t="n">
        <v>2031074715.949</v>
      </c>
      <c r="BL8" t="n">
        <v>2505998795.856</v>
      </c>
      <c r="BM8" t="n">
        <v>2262505277.825</v>
      </c>
      <c r="BN8" t="n">
        <v>2176275147.601</v>
      </c>
      <c r="BO8" t="n">
        <v>1997807797.624</v>
      </c>
      <c r="BP8" t="n">
        <v>2012564340.847</v>
      </c>
      <c r="BQ8" t="n">
        <v>2148468352.836</v>
      </c>
      <c r="BR8" t="n">
        <v>2054636240.924</v>
      </c>
      <c r="BS8" t="n">
        <v>2536809348.029</v>
      </c>
      <c r="BT8" t="n">
        <v>2242784197.927</v>
      </c>
    </row>
    <row r="9">
      <c r="A9" s="18" t="inlineStr">
        <is>
          <t>SPPR_1986</t>
        </is>
      </c>
      <c r="B9" s="8" t="inlineStr">
        <is>
          <t>returned zero for every mapped group - check the method upstream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</row>
    <row r="10">
      <c r="A10" t="inlineStr">
        <is>
          <t>SPPR_1995_TE0.1</t>
        </is>
      </c>
      <c r="B10" t="inlineStr">
        <is>
          <t>ok</t>
        </is>
      </c>
      <c r="C10" t="n">
        <v>353480466.413</v>
      </c>
      <c r="D10" t="n">
        <v>432150246.737</v>
      </c>
      <c r="E10" t="n">
        <v>396991645.429</v>
      </c>
      <c r="F10" t="n">
        <v>439118761.881</v>
      </c>
      <c r="G10" t="n">
        <v>424434779.473</v>
      </c>
      <c r="H10" t="n">
        <v>498491111.915</v>
      </c>
      <c r="I10" t="n">
        <v>530132828.37</v>
      </c>
      <c r="J10" t="n">
        <v>636122729.976</v>
      </c>
      <c r="K10" t="n">
        <v>486499111.21</v>
      </c>
      <c r="L10" t="n">
        <v>455810553.665</v>
      </c>
      <c r="M10" t="n">
        <v>394668583.096</v>
      </c>
      <c r="N10" t="n">
        <v>451763827.135</v>
      </c>
      <c r="O10" t="n">
        <v>407444215.676</v>
      </c>
      <c r="P10" t="n">
        <v>526019637.982</v>
      </c>
      <c r="Q10" t="n">
        <v>534421855.834</v>
      </c>
      <c r="R10" t="n">
        <v>639553982.2539999</v>
      </c>
      <c r="S10" t="n">
        <v>632433122.2920001</v>
      </c>
      <c r="T10" t="n">
        <v>707097469.3559999</v>
      </c>
      <c r="U10" t="n">
        <v>780145874.633</v>
      </c>
      <c r="V10" t="n">
        <v>798655195.766</v>
      </c>
      <c r="W10" t="n">
        <v>751946678.812</v>
      </c>
      <c r="X10" t="n">
        <v>829860507.836</v>
      </c>
      <c r="Y10" t="n">
        <v>778228063.7359999</v>
      </c>
      <c r="Z10" t="n">
        <v>1076097281.844</v>
      </c>
      <c r="AA10" t="n">
        <v>1089851535.6</v>
      </c>
      <c r="AB10" t="n">
        <v>1290517987.015</v>
      </c>
      <c r="AC10" t="n">
        <v>1274432491.203</v>
      </c>
      <c r="AD10" t="n">
        <v>1318910212.553</v>
      </c>
      <c r="AE10" t="n">
        <v>1133537871.031</v>
      </c>
      <c r="AF10" t="n">
        <v>1217218024.173</v>
      </c>
      <c r="AG10" t="n">
        <v>1266734430.27</v>
      </c>
      <c r="AH10" t="n">
        <v>1388672517.548</v>
      </c>
      <c r="AI10" t="n">
        <v>1565635713.752</v>
      </c>
      <c r="AJ10" t="n">
        <v>1722728466.575</v>
      </c>
      <c r="AK10" t="n">
        <v>2291305382.941</v>
      </c>
      <c r="AL10" t="n">
        <v>2424130964.248</v>
      </c>
      <c r="AM10" t="n">
        <v>2652088207.405</v>
      </c>
      <c r="AN10" t="n">
        <v>2614460188.086</v>
      </c>
      <c r="AO10" t="n">
        <v>2571795195.669</v>
      </c>
      <c r="AP10" t="n">
        <v>2800698406.938</v>
      </c>
      <c r="AQ10" t="n">
        <v>3094411946.322</v>
      </c>
      <c r="AR10" t="n">
        <v>2988182674.207</v>
      </c>
      <c r="AS10" t="n">
        <v>2913242124.127</v>
      </c>
      <c r="AT10" t="n">
        <v>2535492959.194</v>
      </c>
      <c r="AU10" t="n">
        <v>2159870915.2</v>
      </c>
      <c r="AV10" t="n">
        <v>2678828044.356</v>
      </c>
      <c r="AW10" t="n">
        <v>3138110464.077</v>
      </c>
      <c r="AX10" t="n">
        <v>3133949501.276</v>
      </c>
      <c r="AY10" t="n">
        <v>2821640253.494</v>
      </c>
      <c r="AZ10" t="n">
        <v>2522745967.075</v>
      </c>
      <c r="BA10" t="n">
        <v>2186003531.171</v>
      </c>
      <c r="BB10" t="n">
        <v>2168460751.988</v>
      </c>
      <c r="BC10" t="n">
        <v>1520894774.865</v>
      </c>
      <c r="BD10" t="n">
        <v>1888655208.112</v>
      </c>
      <c r="BE10" t="n">
        <v>1536334611.278</v>
      </c>
      <c r="BF10" t="n">
        <v>1696946848.467</v>
      </c>
      <c r="BG10" t="n">
        <v>1732349690.441</v>
      </c>
      <c r="BH10" t="n">
        <v>1894987538.815</v>
      </c>
      <c r="BI10" t="n">
        <v>1712987563.074</v>
      </c>
      <c r="BJ10" t="n">
        <v>1868501330.111</v>
      </c>
      <c r="BK10" t="n">
        <v>2013494686.975</v>
      </c>
      <c r="BL10" t="n">
        <v>2124888446.478</v>
      </c>
      <c r="BM10" t="n">
        <v>2148508280.963</v>
      </c>
      <c r="BN10" t="n">
        <v>2099756148.062</v>
      </c>
      <c r="BO10" t="n">
        <v>2113960265.329</v>
      </c>
      <c r="BP10" t="n">
        <v>2085112508.95</v>
      </c>
      <c r="BQ10" t="n">
        <v>2190625167.14</v>
      </c>
      <c r="BR10" t="n">
        <v>2186313570.33</v>
      </c>
      <c r="BS10" t="n">
        <v>2308118697.174</v>
      </c>
      <c r="BT10" t="n">
        <v>2263983372.904</v>
      </c>
    </row>
    <row r="11">
      <c r="A11" t="inlineStr">
        <is>
          <t>SPPR_1995_TEmean</t>
        </is>
      </c>
      <c r="B11" t="inlineStr">
        <is>
          <t>ok</t>
        </is>
      </c>
      <c r="C11" t="n">
        <v>61557349.436</v>
      </c>
      <c r="D11" t="n">
        <v>75390786.895</v>
      </c>
      <c r="E11" t="n">
        <v>69265615.87800001</v>
      </c>
      <c r="F11" t="n">
        <v>76542487.04000001</v>
      </c>
      <c r="G11" t="n">
        <v>74123348.514</v>
      </c>
      <c r="H11" t="n">
        <v>87307678.097</v>
      </c>
      <c r="I11" t="n">
        <v>93425923.78</v>
      </c>
      <c r="J11" t="n">
        <v>111533834.733</v>
      </c>
      <c r="K11" t="n">
        <v>85616767.417</v>
      </c>
      <c r="L11" t="n">
        <v>80398483.854</v>
      </c>
      <c r="M11" t="n">
        <v>69620773.698</v>
      </c>
      <c r="N11" t="n">
        <v>79597471.083</v>
      </c>
      <c r="O11" t="n">
        <v>71717675.53</v>
      </c>
      <c r="P11" t="n">
        <v>92245981.92299999</v>
      </c>
      <c r="Q11" t="n">
        <v>94006099.70100001</v>
      </c>
      <c r="R11" t="n">
        <v>112990736.113</v>
      </c>
      <c r="S11" t="n">
        <v>112175512.541</v>
      </c>
      <c r="T11" t="n">
        <v>125380012.982</v>
      </c>
      <c r="U11" t="n">
        <v>138508921.235</v>
      </c>
      <c r="V11" t="n">
        <v>141570438.735</v>
      </c>
      <c r="W11" t="n">
        <v>134056500.625</v>
      </c>
      <c r="X11" t="n">
        <v>148169542.189</v>
      </c>
      <c r="Y11" t="n">
        <v>138990805.552</v>
      </c>
      <c r="Z11" t="n">
        <v>192911570.475</v>
      </c>
      <c r="AA11" t="n">
        <v>195683795.796</v>
      </c>
      <c r="AB11" t="n">
        <v>231551525.963</v>
      </c>
      <c r="AC11" t="n">
        <v>229826031.16</v>
      </c>
      <c r="AD11" t="n">
        <v>237032963.729</v>
      </c>
      <c r="AE11" t="n">
        <v>205773922.38</v>
      </c>
      <c r="AF11" t="n">
        <v>220297702.43</v>
      </c>
      <c r="AG11" t="n">
        <v>229122654.837</v>
      </c>
      <c r="AH11" t="n">
        <v>251189954.561</v>
      </c>
      <c r="AI11" t="n">
        <v>283260693.991</v>
      </c>
      <c r="AJ11" t="n">
        <v>311659235.188</v>
      </c>
      <c r="AK11" t="n">
        <v>415183493.943</v>
      </c>
      <c r="AL11" t="n">
        <v>437597666.734</v>
      </c>
      <c r="AM11" t="n">
        <v>479725017.829</v>
      </c>
      <c r="AN11" t="n">
        <v>472089627.659</v>
      </c>
      <c r="AO11" t="n">
        <v>464870034.218</v>
      </c>
      <c r="AP11" t="n">
        <v>506903068.69</v>
      </c>
      <c r="AQ11" t="n">
        <v>560122313.477</v>
      </c>
      <c r="AR11" t="n">
        <v>541082110.576</v>
      </c>
      <c r="AS11" t="n">
        <v>524781989.994</v>
      </c>
      <c r="AT11" t="n">
        <v>456640629.126</v>
      </c>
      <c r="AU11" t="n">
        <v>389214066.543</v>
      </c>
      <c r="AV11" t="n">
        <v>482738969.015</v>
      </c>
      <c r="AW11" t="n">
        <v>566260066.507</v>
      </c>
      <c r="AX11" t="n">
        <v>562992395.114</v>
      </c>
      <c r="AY11" t="n">
        <v>505352382</v>
      </c>
      <c r="AZ11" t="n">
        <v>450449981.682</v>
      </c>
      <c r="BA11" t="n">
        <v>389027425.892</v>
      </c>
      <c r="BB11" t="n">
        <v>387306340.844</v>
      </c>
      <c r="BC11" t="n">
        <v>270067327.358</v>
      </c>
      <c r="BD11" t="n">
        <v>337414031.572</v>
      </c>
      <c r="BE11" t="n">
        <v>272871313.518</v>
      </c>
      <c r="BF11" t="n">
        <v>301451051.534</v>
      </c>
      <c r="BG11" t="n">
        <v>307953993.992</v>
      </c>
      <c r="BH11" t="n">
        <v>337874041.181</v>
      </c>
      <c r="BI11" t="n">
        <v>304427946.601</v>
      </c>
      <c r="BJ11" t="n">
        <v>331449724.438</v>
      </c>
      <c r="BK11" t="n">
        <v>357633498.826</v>
      </c>
      <c r="BL11" t="n">
        <v>377599342.681</v>
      </c>
      <c r="BM11" t="n">
        <v>381455626.832</v>
      </c>
      <c r="BN11" t="n">
        <v>372349711.571</v>
      </c>
      <c r="BO11" t="n">
        <v>375010789.399</v>
      </c>
      <c r="BP11" t="n">
        <v>371067916.824</v>
      </c>
      <c r="BQ11" t="n">
        <v>389697915.229</v>
      </c>
      <c r="BR11" t="n">
        <v>388970947.092</v>
      </c>
      <c r="BS11" t="n">
        <v>410316525.309</v>
      </c>
      <c r="BT11" t="n">
        <v>402818246.337</v>
      </c>
    </row>
    <row r="12">
      <c r="A12" t="inlineStr">
        <is>
          <t>Ulanowicz_globalTEmean</t>
        </is>
      </c>
      <c r="B12" t="inlineStr">
        <is>
          <t>ok</t>
        </is>
      </c>
      <c r="C12" t="n">
        <v>92412532.579</v>
      </c>
      <c r="D12" t="n">
        <v>109501677.316</v>
      </c>
      <c r="E12" t="n">
        <v>102666529.618</v>
      </c>
      <c r="F12" t="n">
        <v>113614958.633</v>
      </c>
      <c r="G12" t="n">
        <v>116172290.216</v>
      </c>
      <c r="H12" t="n">
        <v>137329229.606</v>
      </c>
      <c r="I12" t="n">
        <v>149257392.19</v>
      </c>
      <c r="J12" t="n">
        <v>170494819.572</v>
      </c>
      <c r="K12" t="n">
        <v>135557482.047</v>
      </c>
      <c r="L12" t="n">
        <v>131329521.57</v>
      </c>
      <c r="M12" t="n">
        <v>117341065.336</v>
      </c>
      <c r="N12" t="n">
        <v>134552449.528</v>
      </c>
      <c r="O12" t="n">
        <v>121184207.167</v>
      </c>
      <c r="P12" t="n">
        <v>149088024.305</v>
      </c>
      <c r="Q12" t="n">
        <v>150518513.67</v>
      </c>
      <c r="R12" t="n">
        <v>180795957.804</v>
      </c>
      <c r="S12" t="n">
        <v>176852252.288</v>
      </c>
      <c r="T12" t="n">
        <v>195862104.194</v>
      </c>
      <c r="U12" t="n">
        <v>217302241.024</v>
      </c>
      <c r="V12" t="n">
        <v>224047753.047</v>
      </c>
      <c r="W12" t="n">
        <v>216907943.567</v>
      </c>
      <c r="X12" t="n">
        <v>246320234.845</v>
      </c>
      <c r="Y12" t="n">
        <v>231756138.22</v>
      </c>
      <c r="Z12" t="n">
        <v>319862447.188</v>
      </c>
      <c r="AA12" t="n">
        <v>326725527.354</v>
      </c>
      <c r="AB12" t="n">
        <v>384243180.875</v>
      </c>
      <c r="AC12" t="n">
        <v>391376400.625</v>
      </c>
      <c r="AD12" t="n">
        <v>401065224.515</v>
      </c>
      <c r="AE12" t="n">
        <v>358139594.087</v>
      </c>
      <c r="AF12" t="n">
        <v>380076651.606</v>
      </c>
      <c r="AG12" t="n">
        <v>392832857.924</v>
      </c>
      <c r="AH12" t="n">
        <v>437228765.373</v>
      </c>
      <c r="AI12" t="n">
        <v>492628365.883</v>
      </c>
      <c r="AJ12" t="n">
        <v>535163479.674</v>
      </c>
      <c r="AK12" t="n">
        <v>714793662.948</v>
      </c>
      <c r="AL12" t="n">
        <v>752172122.568</v>
      </c>
      <c r="AM12" t="n">
        <v>830509916.286</v>
      </c>
      <c r="AN12" t="n">
        <v>808333285.748</v>
      </c>
      <c r="AO12" t="n">
        <v>800684977.5930001</v>
      </c>
      <c r="AP12" t="n">
        <v>860389761.3839999</v>
      </c>
      <c r="AQ12" t="n">
        <v>953769133.965</v>
      </c>
      <c r="AR12" t="n">
        <v>905198651.664</v>
      </c>
      <c r="AS12" t="n">
        <v>894971193.327</v>
      </c>
      <c r="AT12" t="n">
        <v>764859197.975</v>
      </c>
      <c r="AU12" t="n">
        <v>644828197.628</v>
      </c>
      <c r="AV12" t="n">
        <v>797918309.969</v>
      </c>
      <c r="AW12" t="n">
        <v>935457502.568</v>
      </c>
      <c r="AX12" t="n">
        <v>912619249.964</v>
      </c>
      <c r="AY12" t="n">
        <v>815658522.4450001</v>
      </c>
      <c r="AZ12" t="n">
        <v>724875509.809</v>
      </c>
      <c r="BA12" t="n">
        <v>624279714.02</v>
      </c>
      <c r="BB12" t="n">
        <v>628718703.799</v>
      </c>
      <c r="BC12" t="n">
        <v>433486234.733</v>
      </c>
      <c r="BD12" t="n">
        <v>553112281.925</v>
      </c>
      <c r="BE12" t="n">
        <v>447121745.261</v>
      </c>
      <c r="BF12" t="n">
        <v>488194514.587</v>
      </c>
      <c r="BG12" t="n">
        <v>494681001.165</v>
      </c>
      <c r="BH12" t="n">
        <v>547353953.4</v>
      </c>
      <c r="BI12" t="n">
        <v>497899662</v>
      </c>
      <c r="BJ12" t="n">
        <v>531960574.138</v>
      </c>
      <c r="BK12" t="n">
        <v>582173959.569</v>
      </c>
      <c r="BL12" t="n">
        <v>600534432.414</v>
      </c>
      <c r="BM12" t="n">
        <v>608655649.6720001</v>
      </c>
      <c r="BN12" t="n">
        <v>587823146.1210001</v>
      </c>
      <c r="BO12" t="n">
        <v>607051146.02</v>
      </c>
      <c r="BP12" t="n">
        <v>594544936.15</v>
      </c>
      <c r="BQ12" t="n">
        <v>628241541.881</v>
      </c>
      <c r="BR12" t="n">
        <v>629532541.677</v>
      </c>
      <c r="BS12" t="n">
        <v>658229303.357</v>
      </c>
      <c r="BT12" t="n">
        <v>652363799.187</v>
      </c>
    </row>
    <row r="13">
      <c r="A13" t="inlineStr">
        <is>
          <t>Ulanowicz_TE</t>
        </is>
      </c>
      <c r="B13" t="inlineStr">
        <is>
          <t>ok</t>
        </is>
      </c>
      <c r="C13" t="n">
        <v>645028500.756</v>
      </c>
      <c r="D13" t="n">
        <v>708999734.814</v>
      </c>
      <c r="E13" t="n">
        <v>684733532.763</v>
      </c>
      <c r="F13" t="n">
        <v>734812700.382</v>
      </c>
      <c r="G13" t="n">
        <v>889457508.664</v>
      </c>
      <c r="H13" t="n">
        <v>1021079827.15</v>
      </c>
      <c r="I13" t="n">
        <v>1107503965.9</v>
      </c>
      <c r="J13" t="n">
        <v>1191873975.319</v>
      </c>
      <c r="K13" t="n">
        <v>934767128.911</v>
      </c>
      <c r="L13" t="n">
        <v>948469597.052</v>
      </c>
      <c r="M13" t="n">
        <v>1013965574.902</v>
      </c>
      <c r="N13" t="n">
        <v>1171503736.364</v>
      </c>
      <c r="O13" t="n">
        <v>1083258347.401</v>
      </c>
      <c r="P13" t="n">
        <v>1207228256.831</v>
      </c>
      <c r="Q13" t="n">
        <v>1169415639.359</v>
      </c>
      <c r="R13" t="n">
        <v>1344276041.592</v>
      </c>
      <c r="S13" t="n">
        <v>1182253907.267</v>
      </c>
      <c r="T13" t="n">
        <v>1336963065.736</v>
      </c>
      <c r="U13" t="n">
        <v>1473515600.098</v>
      </c>
      <c r="V13" t="n">
        <v>1624670304.762</v>
      </c>
      <c r="W13" t="n">
        <v>1567875554.328</v>
      </c>
      <c r="X13" t="n">
        <v>1836418869.528</v>
      </c>
      <c r="Y13" t="n">
        <v>1672089644.753</v>
      </c>
      <c r="Z13" t="n">
        <v>2294546387.067</v>
      </c>
      <c r="AA13" t="n">
        <v>2343752057.768</v>
      </c>
      <c r="AB13" t="n">
        <v>2700780532.098</v>
      </c>
      <c r="AC13" t="n">
        <v>2794279433.653</v>
      </c>
      <c r="AD13" t="n">
        <v>2851809849.724</v>
      </c>
      <c r="AE13" t="n">
        <v>2565317391.57</v>
      </c>
      <c r="AF13" t="n">
        <v>2763855452.417</v>
      </c>
      <c r="AG13" t="n">
        <v>2882736440.047</v>
      </c>
      <c r="AH13" t="n">
        <v>3454351174.599</v>
      </c>
      <c r="AI13" t="n">
        <v>3949824717.759</v>
      </c>
      <c r="AJ13" t="n">
        <v>4215355806.778</v>
      </c>
      <c r="AK13" t="n">
        <v>5698884302.593</v>
      </c>
      <c r="AL13" t="n">
        <v>6110172534.382</v>
      </c>
      <c r="AM13" t="n">
        <v>6660567260.836</v>
      </c>
      <c r="AN13" t="n">
        <v>6462980834.091</v>
      </c>
      <c r="AO13" t="n">
        <v>6338058435.611</v>
      </c>
      <c r="AP13" t="n">
        <v>6485730436.355</v>
      </c>
      <c r="AQ13" t="n">
        <v>7186975992.706</v>
      </c>
      <c r="AR13" t="n">
        <v>6443961871.375</v>
      </c>
      <c r="AS13" t="n">
        <v>7044898034.901</v>
      </c>
      <c r="AT13" t="n">
        <v>5702401150.678</v>
      </c>
      <c r="AU13" t="n">
        <v>4589019813.776</v>
      </c>
      <c r="AV13" t="n">
        <v>5675524487.786</v>
      </c>
      <c r="AW13" t="n">
        <v>6521162571.808</v>
      </c>
      <c r="AX13" t="n">
        <v>6210486225.811</v>
      </c>
      <c r="AY13" t="n">
        <v>5655151634.226</v>
      </c>
      <c r="AZ13" t="n">
        <v>5108111534.178</v>
      </c>
      <c r="BA13" t="n">
        <v>4355753186.409</v>
      </c>
      <c r="BB13" t="n">
        <v>4425077064.804</v>
      </c>
      <c r="BC13" t="n">
        <v>3050458773.457</v>
      </c>
      <c r="BD13" t="n">
        <v>3971285268.332</v>
      </c>
      <c r="BE13" t="n">
        <v>3369366540.829</v>
      </c>
      <c r="BF13" t="n">
        <v>3552682368.427</v>
      </c>
      <c r="BG13" t="n">
        <v>3537081959.209</v>
      </c>
      <c r="BH13" t="n">
        <v>3901449790.535</v>
      </c>
      <c r="BI13" t="n">
        <v>3781602670.651</v>
      </c>
      <c r="BJ13" t="n">
        <v>3957660971.625</v>
      </c>
      <c r="BK13" t="n">
        <v>4492796940.984</v>
      </c>
      <c r="BL13" t="n">
        <v>4348257532.175</v>
      </c>
      <c r="BM13" t="n">
        <v>4453000094.139</v>
      </c>
      <c r="BN13" t="n">
        <v>4262301063.089</v>
      </c>
      <c r="BO13" t="n">
        <v>4675855807.755</v>
      </c>
      <c r="BP13" t="n">
        <v>4420763880.534</v>
      </c>
      <c r="BQ13" t="n">
        <v>4781459010.978</v>
      </c>
      <c r="BR13" t="n">
        <v>4872812973.284</v>
      </c>
      <c r="BS13" t="n">
        <v>5085929616.24</v>
      </c>
      <c r="BT13" t="n">
        <v>5167970598.019</v>
      </c>
    </row>
    <row r="14">
      <c r="A14" t="inlineStr">
        <is>
          <t>EwE_TE_noEE</t>
        </is>
      </c>
      <c r="B14" t="inlineStr">
        <is>
          <t>ok</t>
        </is>
      </c>
      <c r="C14" t="n">
        <v>755825584.154</v>
      </c>
      <c r="D14" t="n">
        <v>828148920.8329999</v>
      </c>
      <c r="E14" t="n">
        <v>800668476.143</v>
      </c>
      <c r="F14" t="n">
        <v>859032145.852</v>
      </c>
      <c r="G14" t="n">
        <v>1051716006.814</v>
      </c>
      <c r="H14" t="n">
        <v>1204856223.124</v>
      </c>
      <c r="I14" t="n">
        <v>1304454967.382</v>
      </c>
      <c r="J14" t="n">
        <v>1393542779.442</v>
      </c>
      <c r="K14" t="n">
        <v>1078218699.818</v>
      </c>
      <c r="L14" t="n">
        <v>1096386800.185</v>
      </c>
      <c r="M14" t="n">
        <v>1185591506.582</v>
      </c>
      <c r="N14" t="n">
        <v>1374422845.314</v>
      </c>
      <c r="O14" t="n">
        <v>1269731922.575</v>
      </c>
      <c r="P14" t="n">
        <v>1402615572.832</v>
      </c>
      <c r="Q14" t="n">
        <v>1351380778.794</v>
      </c>
      <c r="R14" t="n">
        <v>1530946980.968</v>
      </c>
      <c r="S14" t="n">
        <v>1315884209.709</v>
      </c>
      <c r="T14" t="n">
        <v>1487344731.033</v>
      </c>
      <c r="U14" t="n">
        <v>1635952923.841</v>
      </c>
      <c r="V14" t="n">
        <v>1823720979.343</v>
      </c>
      <c r="W14" t="n">
        <v>1743160109.032</v>
      </c>
      <c r="X14" t="n">
        <v>2050387668.547</v>
      </c>
      <c r="Y14" t="n">
        <v>1856742268.331</v>
      </c>
      <c r="Z14" t="n">
        <v>2519216777.421</v>
      </c>
      <c r="AA14" t="n">
        <v>2564357193.173</v>
      </c>
      <c r="AB14" t="n">
        <v>2936089857.837</v>
      </c>
      <c r="AC14" t="n">
        <v>3028508243.135</v>
      </c>
      <c r="AD14" t="n">
        <v>3105801005.85</v>
      </c>
      <c r="AE14" t="n">
        <v>2772813162.177</v>
      </c>
      <c r="AF14" t="n">
        <v>3006678521.346</v>
      </c>
      <c r="AG14" t="n">
        <v>3134200300.644</v>
      </c>
      <c r="AH14" t="n">
        <v>3812469541.969</v>
      </c>
      <c r="AI14" t="n">
        <v>4355102260.704</v>
      </c>
      <c r="AJ14" t="n">
        <v>4632455466.436</v>
      </c>
      <c r="AK14" t="n">
        <v>6253020855.007</v>
      </c>
      <c r="AL14" t="n">
        <v>6747467105.975</v>
      </c>
      <c r="AM14" t="n">
        <v>7329650179.072</v>
      </c>
      <c r="AN14" t="n">
        <v>7113382601.904</v>
      </c>
      <c r="AO14" t="n">
        <v>6954950601.106</v>
      </c>
      <c r="AP14" t="n">
        <v>7031190771.982</v>
      </c>
      <c r="AQ14" t="n">
        <v>7776369959.067</v>
      </c>
      <c r="AR14" t="n">
        <v>6891335167.854</v>
      </c>
      <c r="AS14" t="n">
        <v>7694717153.012</v>
      </c>
      <c r="AT14" t="n">
        <v>6182306260.605</v>
      </c>
      <c r="AU14" t="n">
        <v>4932332538.277</v>
      </c>
      <c r="AV14" t="n">
        <v>6088688839.121</v>
      </c>
      <c r="AW14" t="n">
        <v>6942116509.533</v>
      </c>
      <c r="AX14" t="n">
        <v>6614095893.001</v>
      </c>
      <c r="AY14" t="n">
        <v>6090227312.062</v>
      </c>
      <c r="AZ14" t="n">
        <v>5555383117.843</v>
      </c>
      <c r="BA14" t="n">
        <v>4770216395.718</v>
      </c>
      <c r="BB14" t="n">
        <v>4830336666.692</v>
      </c>
      <c r="BC14" t="n">
        <v>3368250299.284</v>
      </c>
      <c r="BD14" t="n">
        <v>4363695580.727</v>
      </c>
      <c r="BE14" t="n">
        <v>3764163920.94</v>
      </c>
      <c r="BF14" t="n">
        <v>3945932852.836</v>
      </c>
      <c r="BG14" t="n">
        <v>3907639670.305</v>
      </c>
      <c r="BH14" t="n">
        <v>4290121395.364</v>
      </c>
      <c r="BI14" t="n">
        <v>4219510030.148</v>
      </c>
      <c r="BJ14" t="n">
        <v>4429902986.415</v>
      </c>
      <c r="BK14" t="n">
        <v>5026033267.207</v>
      </c>
      <c r="BL14" t="n">
        <v>4824612159.699</v>
      </c>
      <c r="BM14" t="n">
        <v>4948763452.5</v>
      </c>
      <c r="BN14" t="n">
        <v>4735851248.335</v>
      </c>
      <c r="BO14" t="n">
        <v>5255376659.242</v>
      </c>
      <c r="BP14" t="n">
        <v>4917168315.628</v>
      </c>
      <c r="BQ14" t="n">
        <v>5333614764.538</v>
      </c>
      <c r="BR14" t="n">
        <v>5445657852.277</v>
      </c>
      <c r="BS14" t="n">
        <v>5697220904.376</v>
      </c>
      <c r="BT14" t="n">
        <v>5795587574.772</v>
      </c>
    </row>
    <row r="15">
      <c r="A15" t="inlineStr">
        <is>
          <t>EwE_TE_EE</t>
        </is>
      </c>
      <c r="B15" t="inlineStr">
        <is>
          <t>ok</t>
        </is>
      </c>
      <c r="C15" t="n">
        <v>366743985.429</v>
      </c>
      <c r="D15" t="n">
        <v>399719901.391</v>
      </c>
      <c r="E15" t="n">
        <v>390004582.932</v>
      </c>
      <c r="F15" t="n">
        <v>415655509.576</v>
      </c>
      <c r="G15" t="n">
        <v>488026756.496</v>
      </c>
      <c r="H15" t="n">
        <v>564304932.9680001</v>
      </c>
      <c r="I15" t="n">
        <v>619468724.579</v>
      </c>
      <c r="J15" t="n">
        <v>687770601.1059999</v>
      </c>
      <c r="K15" t="n">
        <v>592151883.8200001</v>
      </c>
      <c r="L15" t="n">
        <v>596956532.182</v>
      </c>
      <c r="M15" t="n">
        <v>611985163.931</v>
      </c>
      <c r="N15" t="n">
        <v>696533639.273</v>
      </c>
      <c r="O15" t="n">
        <v>648441026.544</v>
      </c>
      <c r="P15" t="n">
        <v>746438256.813</v>
      </c>
      <c r="Q15" t="n">
        <v>741740110.973</v>
      </c>
      <c r="R15" t="n">
        <v>903599850.6569999</v>
      </c>
      <c r="S15" t="n">
        <v>865352119.707</v>
      </c>
      <c r="T15" t="n">
        <v>978580383.2589999</v>
      </c>
      <c r="U15" t="n">
        <v>1089946364.28</v>
      </c>
      <c r="V15" t="n">
        <v>1154582063.289</v>
      </c>
      <c r="W15" t="n">
        <v>1158087597.807</v>
      </c>
      <c r="X15" t="n">
        <v>1338178220.871</v>
      </c>
      <c r="Y15" t="n">
        <v>1245619481.889</v>
      </c>
      <c r="Z15" t="n">
        <v>1774298341.882</v>
      </c>
      <c r="AA15" t="n">
        <v>1836499978.283</v>
      </c>
      <c r="AB15" t="n">
        <v>2157648538.983</v>
      </c>
      <c r="AC15" t="n">
        <v>2262105046.839</v>
      </c>
      <c r="AD15" t="n">
        <v>2269281923.119</v>
      </c>
      <c r="AE15" t="n">
        <v>2098060956.327</v>
      </c>
      <c r="AF15" t="n">
        <v>2211276232.895</v>
      </c>
      <c r="AG15" t="n">
        <v>2310641781.845</v>
      </c>
      <c r="AH15" t="n">
        <v>2638770848.246</v>
      </c>
      <c r="AI15" t="n">
        <v>3030402609.57</v>
      </c>
      <c r="AJ15" t="n">
        <v>3262455142.976</v>
      </c>
      <c r="AK15" t="n">
        <v>4441032599.214</v>
      </c>
      <c r="AL15" t="n">
        <v>4657598540.72</v>
      </c>
      <c r="AM15" t="n">
        <v>5144307054.497</v>
      </c>
      <c r="AN15" t="n">
        <v>4980392020.921</v>
      </c>
      <c r="AO15" t="n">
        <v>4939230746.234</v>
      </c>
      <c r="AP15" t="n">
        <v>5243412804.898</v>
      </c>
      <c r="AQ15" t="n">
        <v>5851329384.784</v>
      </c>
      <c r="AR15" t="n">
        <v>5416464429.603</v>
      </c>
      <c r="AS15" t="n">
        <v>5565278349.342</v>
      </c>
      <c r="AT15" t="n">
        <v>4592716640.504</v>
      </c>
      <c r="AU15" t="n">
        <v>3786817879.165</v>
      </c>
      <c r="AV15" t="n">
        <v>4711601516.951</v>
      </c>
      <c r="AW15" t="n">
        <v>5548161309.002</v>
      </c>
      <c r="AX15" t="n">
        <v>5260718987.741</v>
      </c>
      <c r="AY15" t="n">
        <v>4628178008.944</v>
      </c>
      <c r="AZ15" t="n">
        <v>4047505944.748</v>
      </c>
      <c r="BA15" t="n">
        <v>3370332982.268</v>
      </c>
      <c r="BB15" t="n">
        <v>3462758055.596</v>
      </c>
      <c r="BC15" t="n">
        <v>2288697195.798</v>
      </c>
      <c r="BD15" t="n">
        <v>3039632914.365</v>
      </c>
      <c r="BE15" t="n">
        <v>2435321678.023</v>
      </c>
      <c r="BF15" t="n">
        <v>2610729209.605</v>
      </c>
      <c r="BG15" t="n">
        <v>2645828153.301</v>
      </c>
      <c r="BH15" t="n">
        <v>2966255112.371</v>
      </c>
      <c r="BI15" t="n">
        <v>2739176248.882</v>
      </c>
      <c r="BJ15" t="n">
        <v>2811412297.329</v>
      </c>
      <c r="BK15" t="n">
        <v>3221842713.793</v>
      </c>
      <c r="BL15" t="n">
        <v>3189217491.25</v>
      </c>
      <c r="BM15" t="n">
        <v>3255090887.366</v>
      </c>
      <c r="BN15" t="n">
        <v>3111733227.689</v>
      </c>
      <c r="BO15" t="n">
        <v>3291493070.577</v>
      </c>
      <c r="BP15" t="n">
        <v>3225390015.373</v>
      </c>
      <c r="BQ15" t="n">
        <v>3461523588.873</v>
      </c>
      <c r="BR15" t="n">
        <v>3509871829.752</v>
      </c>
      <c r="BS15" t="n">
        <v>3615886541.086</v>
      </c>
      <c r="BT15" t="n">
        <v>3673697762.853</v>
      </c>
    </row>
    <row r="16">
      <c r="A16" s="18" t="inlineStr">
        <is>
          <t>SPPR_2015</t>
        </is>
      </c>
      <c r="B16" s="8" t="inlineStr">
        <is>
          <t>DIVERGED - negative SPPR in a source-model group</t>
        </is>
      </c>
      <c r="C16" t="n">
        <v>-27496975965.649</v>
      </c>
      <c r="D16" t="n">
        <v>-29513909551.075</v>
      </c>
      <c r="E16" t="n">
        <v>-28709761996.64</v>
      </c>
      <c r="F16" t="n">
        <v>-30660103615.079</v>
      </c>
      <c r="G16" t="n">
        <v>-40541963664.678</v>
      </c>
      <c r="H16" t="n">
        <v>-45788439865.49</v>
      </c>
      <c r="I16" t="n">
        <v>-49008555997.364</v>
      </c>
      <c r="J16" t="n">
        <v>-49981419197.003</v>
      </c>
      <c r="K16" t="n">
        <v>-35080783391.095</v>
      </c>
      <c r="L16" t="n">
        <v>-36257032574.983</v>
      </c>
      <c r="M16" t="n">
        <v>-42831242471.654</v>
      </c>
      <c r="N16" t="n">
        <v>-50694535685.361</v>
      </c>
      <c r="O16" t="n">
        <v>-46666130298.197</v>
      </c>
      <c r="P16" t="n">
        <v>-48494484072.214</v>
      </c>
      <c r="Q16" t="n">
        <v>-44963052876.6</v>
      </c>
      <c r="R16" t="n">
        <v>-45591868204.33</v>
      </c>
      <c r="S16" t="n">
        <v>-31705977718.743</v>
      </c>
      <c r="T16" t="n">
        <v>-35838868690.637</v>
      </c>
      <c r="U16" t="n">
        <v>-38556236279.159</v>
      </c>
      <c r="V16" t="n">
        <v>-48087262725.948</v>
      </c>
      <c r="W16" t="n">
        <v>-41777000606.303</v>
      </c>
      <c r="X16" t="n">
        <v>-51187645736.558</v>
      </c>
      <c r="Y16" t="n">
        <v>-43688979937.609</v>
      </c>
      <c r="Z16" t="n">
        <v>-52478057016.296</v>
      </c>
      <c r="AA16" t="n">
        <v>-51157381212.005</v>
      </c>
      <c r="AB16" t="n">
        <v>-53817924299.117</v>
      </c>
      <c r="AC16" t="n">
        <v>-53145199660.725</v>
      </c>
      <c r="AD16" t="n">
        <v>-58162023880.98</v>
      </c>
      <c r="AE16" t="n">
        <v>-46656424908.236</v>
      </c>
      <c r="AF16" t="n">
        <v>-55566728294.578</v>
      </c>
      <c r="AG16" t="n">
        <v>-57655372429.3</v>
      </c>
      <c r="AH16" t="n">
        <v>-84792900646.75999</v>
      </c>
      <c r="AI16" t="n">
        <v>-96068781619.47701</v>
      </c>
      <c r="AJ16" t="n">
        <v>-98456186090.16901</v>
      </c>
      <c r="AK16" t="n">
        <v>-130738599280.58</v>
      </c>
      <c r="AL16" t="n">
        <v>-151891343183.672</v>
      </c>
      <c r="AM16" t="n">
        <v>-158365785094.847</v>
      </c>
      <c r="AN16" t="n">
        <v>-154170745180.052</v>
      </c>
      <c r="AO16" t="n">
        <v>-145303627491.9</v>
      </c>
      <c r="AP16" t="n">
        <v>-125432330645.447</v>
      </c>
      <c r="AQ16" t="n">
        <v>-134892239402.4</v>
      </c>
      <c r="AR16" t="n">
        <v>-98800007194.73</v>
      </c>
      <c r="AS16" t="n">
        <v>-152173419457.104</v>
      </c>
      <c r="AT16" t="n">
        <v>-110428381136.496</v>
      </c>
      <c r="AU16" t="n">
        <v>-77041638369.14</v>
      </c>
      <c r="AV16" t="n">
        <v>-92340205075.94299</v>
      </c>
      <c r="AW16" t="n">
        <v>-91471789902.886</v>
      </c>
      <c r="AX16" t="n">
        <v>-87653792970.94099</v>
      </c>
      <c r="AY16" t="n">
        <v>-98061306756.957</v>
      </c>
      <c r="AZ16" t="n">
        <v>-103204000632.781</v>
      </c>
      <c r="BA16" t="n">
        <v>-96547148103.72</v>
      </c>
      <c r="BB16" t="n">
        <v>-93900905049.965</v>
      </c>
      <c r="BC16" t="n">
        <v>-74931016557.901</v>
      </c>
      <c r="BD16" t="n">
        <v>-91901023437.823</v>
      </c>
      <c r="BE16" t="n">
        <v>-94762671955.765</v>
      </c>
      <c r="BF16" t="n">
        <v>-93618188019.545</v>
      </c>
      <c r="BG16" t="n">
        <v>-87616348385.674</v>
      </c>
      <c r="BH16" t="n">
        <v>-91239719266.53</v>
      </c>
      <c r="BI16" t="n">
        <v>-105173662235.386</v>
      </c>
      <c r="BJ16" t="n">
        <v>-113828438601.681</v>
      </c>
      <c r="BK16" t="n">
        <v>-128727513359.204</v>
      </c>
      <c r="BL16" t="n">
        <v>-113722282836.759</v>
      </c>
      <c r="BM16" t="n">
        <v>-118559217309.529</v>
      </c>
      <c r="BN16" t="n">
        <v>-113306931344.167</v>
      </c>
      <c r="BO16" t="n">
        <v>-140568202711.034</v>
      </c>
      <c r="BP16" t="n">
        <v>-119091826251.261</v>
      </c>
      <c r="BQ16" t="n">
        <v>-133056812725.295</v>
      </c>
      <c r="BR16" t="n">
        <v>-138462516950.911</v>
      </c>
      <c r="BS16" t="n">
        <v>-148247332465.766</v>
      </c>
      <c r="BT16" t="n">
        <v>-152537729742.305</v>
      </c>
    </row>
    <row r="17">
      <c r="A17" s="18" t="inlineStr">
        <is>
          <t>new_TE_noEEfix</t>
        </is>
      </c>
      <c r="B17" s="8" t="inlineStr">
        <is>
          <t>DIVERGED - negative SPPR in a source-model group</t>
        </is>
      </c>
      <c r="C17" t="n">
        <v>-27496975965.649</v>
      </c>
      <c r="D17" t="n">
        <v>-29513909551.075</v>
      </c>
      <c r="E17" t="n">
        <v>-28709761996.64</v>
      </c>
      <c r="F17" t="n">
        <v>-30660103615.079</v>
      </c>
      <c r="G17" t="n">
        <v>-40541963664.678</v>
      </c>
      <c r="H17" t="n">
        <v>-45788439865.49</v>
      </c>
      <c r="I17" t="n">
        <v>-49008555997.364</v>
      </c>
      <c r="J17" t="n">
        <v>-49981419197.003</v>
      </c>
      <c r="K17" t="n">
        <v>-35080783391.095</v>
      </c>
      <c r="L17" t="n">
        <v>-36257032574.983</v>
      </c>
      <c r="M17" t="n">
        <v>-42831242471.654</v>
      </c>
      <c r="N17" t="n">
        <v>-50694535685.361</v>
      </c>
      <c r="O17" t="n">
        <v>-46666130298.197</v>
      </c>
      <c r="P17" t="n">
        <v>-48494484072.214</v>
      </c>
      <c r="Q17" t="n">
        <v>-44963052876.6</v>
      </c>
      <c r="R17" t="n">
        <v>-45591868204.33</v>
      </c>
      <c r="S17" t="n">
        <v>-31705977718.743</v>
      </c>
      <c r="T17" t="n">
        <v>-35838868690.637</v>
      </c>
      <c r="U17" t="n">
        <v>-38556236279.159</v>
      </c>
      <c r="V17" t="n">
        <v>-48087262725.948</v>
      </c>
      <c r="W17" t="n">
        <v>-41777000606.303</v>
      </c>
      <c r="X17" t="n">
        <v>-51187645736.558</v>
      </c>
      <c r="Y17" t="n">
        <v>-43688979937.609</v>
      </c>
      <c r="Z17" t="n">
        <v>-52478057016.296</v>
      </c>
      <c r="AA17" t="n">
        <v>-51157381212.005</v>
      </c>
      <c r="AB17" t="n">
        <v>-53817924299.117</v>
      </c>
      <c r="AC17" t="n">
        <v>-53145199660.725</v>
      </c>
      <c r="AD17" t="n">
        <v>-58162023880.98</v>
      </c>
      <c r="AE17" t="n">
        <v>-46656424908.236</v>
      </c>
      <c r="AF17" t="n">
        <v>-55566728294.578</v>
      </c>
      <c r="AG17" t="n">
        <v>-57655372429.3</v>
      </c>
      <c r="AH17" t="n">
        <v>-84792900646.75999</v>
      </c>
      <c r="AI17" t="n">
        <v>-96068781619.47701</v>
      </c>
      <c r="AJ17" t="n">
        <v>-98456186090.16901</v>
      </c>
      <c r="AK17" t="n">
        <v>-130738599280.58</v>
      </c>
      <c r="AL17" t="n">
        <v>-151891343183.672</v>
      </c>
      <c r="AM17" t="n">
        <v>-158365785094.847</v>
      </c>
      <c r="AN17" t="n">
        <v>-154170745180.052</v>
      </c>
      <c r="AO17" t="n">
        <v>-145303627491.9</v>
      </c>
      <c r="AP17" t="n">
        <v>-125432330645.447</v>
      </c>
      <c r="AQ17" t="n">
        <v>-134892239402.4</v>
      </c>
      <c r="AR17" t="n">
        <v>-98800007194.73</v>
      </c>
      <c r="AS17" t="n">
        <v>-152173419457.104</v>
      </c>
      <c r="AT17" t="n">
        <v>-110428381136.496</v>
      </c>
      <c r="AU17" t="n">
        <v>-77041638369.14</v>
      </c>
      <c r="AV17" t="n">
        <v>-92340205075.94299</v>
      </c>
      <c r="AW17" t="n">
        <v>-91471789902.886</v>
      </c>
      <c r="AX17" t="n">
        <v>-87653792970.94099</v>
      </c>
      <c r="AY17" t="n">
        <v>-98061306756.957</v>
      </c>
      <c r="AZ17" t="n">
        <v>-103204000632.781</v>
      </c>
      <c r="BA17" t="n">
        <v>-96547148103.72</v>
      </c>
      <c r="BB17" t="n">
        <v>-93900905049.965</v>
      </c>
      <c r="BC17" t="n">
        <v>-74931016557.901</v>
      </c>
      <c r="BD17" t="n">
        <v>-91901023437.823</v>
      </c>
      <c r="BE17" t="n">
        <v>-94762671955.765</v>
      </c>
      <c r="BF17" t="n">
        <v>-93618188019.545</v>
      </c>
      <c r="BG17" t="n">
        <v>-87616348385.674</v>
      </c>
      <c r="BH17" t="n">
        <v>-91239719266.53</v>
      </c>
      <c r="BI17" t="n">
        <v>-105173662235.386</v>
      </c>
      <c r="BJ17" t="n">
        <v>-113828438601.681</v>
      </c>
      <c r="BK17" t="n">
        <v>-128727513359.204</v>
      </c>
      <c r="BL17" t="n">
        <v>-113722282836.759</v>
      </c>
      <c r="BM17" t="n">
        <v>-118559217309.529</v>
      </c>
      <c r="BN17" t="n">
        <v>-113306931344.167</v>
      </c>
      <c r="BO17" t="n">
        <v>-140568202711.034</v>
      </c>
      <c r="BP17" t="n">
        <v>-119091826251.261</v>
      </c>
      <c r="BQ17" t="n">
        <v>-133056812725.295</v>
      </c>
      <c r="BR17" t="n">
        <v>-138462516950.911</v>
      </c>
      <c r="BS17" t="n">
        <v>-148247332465.766</v>
      </c>
      <c r="BT17" t="n">
        <v>-152537729742.305</v>
      </c>
    </row>
    <row r="18">
      <c r="A18" s="18" t="inlineStr">
        <is>
          <t>new_TE_EEfix</t>
        </is>
      </c>
      <c r="B18" s="8" t="inlineStr">
        <is>
          <t>FAILED diagnostic for this SPPR_new configuration</t>
        </is>
      </c>
      <c r="C18" t="n">
        <v>-27951111535.891</v>
      </c>
      <c r="D18" t="n">
        <v>-30001355228.215</v>
      </c>
      <c r="E18" t="n">
        <v>-29183934964.018</v>
      </c>
      <c r="F18" t="n">
        <v>-31166483685.668</v>
      </c>
      <c r="G18" t="n">
        <v>-41211437067.928</v>
      </c>
      <c r="H18" t="n">
        <v>-46544565276.409</v>
      </c>
      <c r="I18" t="n">
        <v>-49817869705.818</v>
      </c>
      <c r="J18" t="n">
        <v>-50806929463.556</v>
      </c>
      <c r="K18" t="n">
        <v>-35660394363.449</v>
      </c>
      <c r="L18" t="n">
        <v>-36856022145.51</v>
      </c>
      <c r="M18" t="n">
        <v>-43538664906.596</v>
      </c>
      <c r="N18" t="n">
        <v>-51531807968.271</v>
      </c>
      <c r="O18" t="n">
        <v>-47436865618.085</v>
      </c>
      <c r="P18" t="n">
        <v>-49295572064.285</v>
      </c>
      <c r="Q18" t="n">
        <v>-45705895269.434</v>
      </c>
      <c r="R18" t="n">
        <v>-46345315049.895</v>
      </c>
      <c r="S18" t="n">
        <v>-32230327941.906</v>
      </c>
      <c r="T18" t="n">
        <v>-36431559087.83</v>
      </c>
      <c r="U18" t="n">
        <v>-39193932203.197</v>
      </c>
      <c r="V18" t="n">
        <v>-48882267413.877</v>
      </c>
      <c r="W18" t="n">
        <v>-42467914171.799</v>
      </c>
      <c r="X18" t="n">
        <v>-52034058322.907</v>
      </c>
      <c r="Y18" t="n">
        <v>-44411572504.183</v>
      </c>
      <c r="Z18" t="n">
        <v>-53346443369.908</v>
      </c>
      <c r="AA18" t="n">
        <v>-52004075147.259</v>
      </c>
      <c r="AB18" t="n">
        <v>-54709016195.26</v>
      </c>
      <c r="AC18" t="n">
        <v>-54025327936.858</v>
      </c>
      <c r="AD18" t="n">
        <v>-59124945243.197</v>
      </c>
      <c r="AE18" t="n">
        <v>-47429257407.49</v>
      </c>
      <c r="AF18" t="n">
        <v>-56486724135.446</v>
      </c>
      <c r="AG18" t="n">
        <v>-58609968059.91</v>
      </c>
      <c r="AH18" t="n">
        <v>-86195633853.039</v>
      </c>
      <c r="AI18" t="n">
        <v>-97658121633.07201</v>
      </c>
      <c r="AJ18" t="n">
        <v>-100085265111.715</v>
      </c>
      <c r="AK18" t="n">
        <v>-132901997642.453</v>
      </c>
      <c r="AL18" t="n">
        <v>-154403992068.602</v>
      </c>
      <c r="AM18" t="n">
        <v>-160985983441.57</v>
      </c>
      <c r="AN18" t="n">
        <v>-156721499507.966</v>
      </c>
      <c r="AO18" t="n">
        <v>-147708061520.945</v>
      </c>
      <c r="AP18" t="n">
        <v>-127509415249.932</v>
      </c>
      <c r="AQ18" t="n">
        <v>-137126312450.47</v>
      </c>
      <c r="AR18" t="n">
        <v>-100438055460.463</v>
      </c>
      <c r="AS18" t="n">
        <v>-154692037314.165</v>
      </c>
      <c r="AT18" t="n">
        <v>-112256902682.775</v>
      </c>
      <c r="AU18" t="n">
        <v>-78318203594.408</v>
      </c>
      <c r="AV18" t="n">
        <v>-93870525910.80901</v>
      </c>
      <c r="AW18" t="n">
        <v>-92989094993.89101</v>
      </c>
      <c r="AX18" t="n">
        <v>-89107772399.286</v>
      </c>
      <c r="AY18" t="n">
        <v>-99686012394.927</v>
      </c>
      <c r="AZ18" t="n">
        <v>-104912614775.828</v>
      </c>
      <c r="BA18" t="n">
        <v>-98144922954.228</v>
      </c>
      <c r="BB18" t="n">
        <v>-95455145422.30299</v>
      </c>
      <c r="BC18" t="n">
        <v>-76170529706.37601</v>
      </c>
      <c r="BD18" t="n">
        <v>-93421584755.27</v>
      </c>
      <c r="BE18" t="n">
        <v>-96329516160.19</v>
      </c>
      <c r="BF18" t="n">
        <v>-95166422299.032</v>
      </c>
      <c r="BG18" t="n">
        <v>-89065642682.543</v>
      </c>
      <c r="BH18" t="n">
        <v>-92749246914.55099</v>
      </c>
      <c r="BI18" t="n">
        <v>-106912689578.709</v>
      </c>
      <c r="BJ18" t="n">
        <v>-115710326414.747</v>
      </c>
      <c r="BK18" t="n">
        <v>-130855809068.238</v>
      </c>
      <c r="BL18" t="n">
        <v>-115603009150.867</v>
      </c>
      <c r="BM18" t="n">
        <v>-120519868002.215</v>
      </c>
      <c r="BN18" t="n">
        <v>-115180727206.265</v>
      </c>
      <c r="BO18" t="n">
        <v>-142891924967.829</v>
      </c>
      <c r="BP18" t="n">
        <v>-121061201770.827</v>
      </c>
      <c r="BQ18" t="n">
        <v>-135256904380.452</v>
      </c>
      <c r="BR18" t="n">
        <v>-140751854786.362</v>
      </c>
      <c r="BS18" t="n">
        <v>-150698211651.744</v>
      </c>
      <c r="BT18" t="n">
        <v>-155059481868.161</v>
      </c>
    </row>
    <row r="19">
      <c r="A19" t="inlineStr">
        <is>
          <t>new_GE</t>
        </is>
      </c>
      <c r="B19" t="inlineStr">
        <is>
          <t>ok</t>
        </is>
      </c>
      <c r="C19" t="n">
        <v>1507939021.929</v>
      </c>
      <c r="D19" t="n">
        <v>1628560774.841</v>
      </c>
      <c r="E19" t="n">
        <v>1596731419.885</v>
      </c>
      <c r="F19" t="n">
        <v>1716457036.831</v>
      </c>
      <c r="G19" t="n">
        <v>2097591696.616</v>
      </c>
      <c r="H19" t="n">
        <v>2410510412.861</v>
      </c>
      <c r="I19" t="n">
        <v>2616755655.95</v>
      </c>
      <c r="J19" t="n">
        <v>2793283121.543</v>
      </c>
      <c r="K19" t="n">
        <v>2214163621.471</v>
      </c>
      <c r="L19" t="n">
        <v>2222829719.868</v>
      </c>
      <c r="M19" t="n">
        <v>2340013299.938</v>
      </c>
      <c r="N19" t="n">
        <v>2744265353.002</v>
      </c>
      <c r="O19" t="n">
        <v>2500683489.892</v>
      </c>
      <c r="P19" t="n">
        <v>2769617746.371</v>
      </c>
      <c r="Q19" t="n">
        <v>2683191350.089</v>
      </c>
      <c r="R19" t="n">
        <v>2954968119.905</v>
      </c>
      <c r="S19" t="n">
        <v>2491588223.374</v>
      </c>
      <c r="T19" t="n">
        <v>2767666608.067</v>
      </c>
      <c r="U19" t="n">
        <v>3059580419.562</v>
      </c>
      <c r="V19" t="n">
        <v>3418551880.849</v>
      </c>
      <c r="W19" t="n">
        <v>3216630770.202</v>
      </c>
      <c r="X19" t="n">
        <v>3807822027.515</v>
      </c>
      <c r="Y19" t="n">
        <v>3463372037.859</v>
      </c>
      <c r="Z19" t="n">
        <v>4547999199.201</v>
      </c>
      <c r="AA19" t="n">
        <v>4599831288.444</v>
      </c>
      <c r="AB19" t="n">
        <v>5202001000.295</v>
      </c>
      <c r="AC19" t="n">
        <v>5325093060.613</v>
      </c>
      <c r="AD19" t="n">
        <v>5535493742.422</v>
      </c>
      <c r="AE19" t="n">
        <v>4845100138.694</v>
      </c>
      <c r="AF19" t="n">
        <v>5286376160.294</v>
      </c>
      <c r="AG19" t="n">
        <v>5468847172.221</v>
      </c>
      <c r="AH19" t="n">
        <v>6764460399.155</v>
      </c>
      <c r="AI19" t="n">
        <v>7665745136.818</v>
      </c>
      <c r="AJ19" t="n">
        <v>8086567297.401</v>
      </c>
      <c r="AK19" t="n">
        <v>10836457079.407</v>
      </c>
      <c r="AL19" t="n">
        <v>11813272440.396</v>
      </c>
      <c r="AM19" t="n">
        <v>12817358663.861</v>
      </c>
      <c r="AN19" t="n">
        <v>12400028218.35</v>
      </c>
      <c r="AO19" t="n">
        <v>12106289440.672</v>
      </c>
      <c r="AP19" t="n">
        <v>11927499554.059</v>
      </c>
      <c r="AQ19" t="n">
        <v>13160987665.185</v>
      </c>
      <c r="AR19" t="n">
        <v>11422518119.734</v>
      </c>
      <c r="AS19" t="n">
        <v>13152625298.195</v>
      </c>
      <c r="AT19" t="n">
        <v>10451678488.735</v>
      </c>
      <c r="AU19" t="n">
        <v>8226385228.616</v>
      </c>
      <c r="AV19" t="n">
        <v>10096005360.229</v>
      </c>
      <c r="AW19" t="n">
        <v>11399547809.545</v>
      </c>
      <c r="AX19" t="n">
        <v>10938589237.552</v>
      </c>
      <c r="AY19" t="n">
        <v>10328509438.207</v>
      </c>
      <c r="AZ19" t="n">
        <v>9582577354.253</v>
      </c>
      <c r="BA19" t="n">
        <v>8424921881.966</v>
      </c>
      <c r="BB19" t="n">
        <v>8440027920.683</v>
      </c>
      <c r="BC19" t="n">
        <v>6021231913.002</v>
      </c>
      <c r="BD19" t="n">
        <v>7714265743.091</v>
      </c>
      <c r="BE19" t="n">
        <v>6840117382.817</v>
      </c>
      <c r="BF19" t="n">
        <v>7092567592.627</v>
      </c>
      <c r="BG19" t="n">
        <v>6947011552.339</v>
      </c>
      <c r="BH19" t="n">
        <v>7533486867.878</v>
      </c>
      <c r="BI19" t="n">
        <v>7576340906.204</v>
      </c>
      <c r="BJ19" t="n">
        <v>7967258122.496</v>
      </c>
      <c r="BK19" t="n">
        <v>9027416604.836</v>
      </c>
      <c r="BL19" t="n">
        <v>8553555985.838</v>
      </c>
      <c r="BM19" t="n">
        <v>8829659913.76</v>
      </c>
      <c r="BN19" t="n">
        <v>8429091444.61</v>
      </c>
      <c r="BO19" t="n">
        <v>9547700631.198999</v>
      </c>
      <c r="BP19" t="n">
        <v>8757160444.172001</v>
      </c>
      <c r="BQ19" t="n">
        <v>9530035550.594999</v>
      </c>
      <c r="BR19" t="n">
        <v>9749624087.964001</v>
      </c>
      <c r="BS19" t="n">
        <v>10175657718.276</v>
      </c>
      <c r="BT19" t="n">
        <v>10366721748.124</v>
      </c>
    </row>
    <row r="20">
      <c r="A20" t="inlineStr">
        <is>
          <t>new_WithEgestion</t>
        </is>
      </c>
      <c r="B20" t="inlineStr">
        <is>
          <t>ok</t>
        </is>
      </c>
      <c r="C20" t="n">
        <v>222277838.815</v>
      </c>
      <c r="D20" t="n">
        <v>242358485.285</v>
      </c>
      <c r="E20" t="n">
        <v>238014507.888</v>
      </c>
      <c r="F20" t="n">
        <v>253489112.125</v>
      </c>
      <c r="G20" t="n">
        <v>292069124.29</v>
      </c>
      <c r="H20" t="n">
        <v>338412172.018</v>
      </c>
      <c r="I20" t="n">
        <v>370627240.761</v>
      </c>
      <c r="J20" t="n">
        <v>416988660.769</v>
      </c>
      <c r="K20" t="n">
        <v>359935669.053</v>
      </c>
      <c r="L20" t="n">
        <v>352835439.481</v>
      </c>
      <c r="M20" t="n">
        <v>350014887.039</v>
      </c>
      <c r="N20" t="n">
        <v>405483214.226</v>
      </c>
      <c r="O20" t="n">
        <v>370396622.623</v>
      </c>
      <c r="P20" t="n">
        <v>432252280.653</v>
      </c>
      <c r="Q20" t="n">
        <v>433099476.542</v>
      </c>
      <c r="R20" t="n">
        <v>506705365.937</v>
      </c>
      <c r="S20" t="n">
        <v>474794185.198</v>
      </c>
      <c r="T20" t="n">
        <v>529815463.386</v>
      </c>
      <c r="U20" t="n">
        <v>592749931.154</v>
      </c>
      <c r="V20" t="n">
        <v>628528506.171</v>
      </c>
      <c r="W20" t="n">
        <v>615915486.438</v>
      </c>
      <c r="X20" t="n">
        <v>709401008.812</v>
      </c>
      <c r="Y20" t="n">
        <v>661359923.0930001</v>
      </c>
      <c r="Z20" t="n">
        <v>915632754.075</v>
      </c>
      <c r="AA20" t="n">
        <v>940353786.529</v>
      </c>
      <c r="AB20" t="n">
        <v>1094224257.402</v>
      </c>
      <c r="AC20" t="n">
        <v>1130992833.583</v>
      </c>
      <c r="AD20" t="n">
        <v>1149115169.848</v>
      </c>
      <c r="AE20" t="n">
        <v>1036697941.543</v>
      </c>
      <c r="AF20" t="n">
        <v>1100069908.113</v>
      </c>
      <c r="AG20" t="n">
        <v>1144260362.483</v>
      </c>
      <c r="AH20" t="n">
        <v>1322190773.512</v>
      </c>
      <c r="AI20" t="n">
        <v>1509231217.854</v>
      </c>
      <c r="AJ20" t="n">
        <v>1619146795.367</v>
      </c>
      <c r="AK20" t="n">
        <v>2190720720.613</v>
      </c>
      <c r="AL20" t="n">
        <v>2317329805.194</v>
      </c>
      <c r="AM20" t="n">
        <v>2552659157.657</v>
      </c>
      <c r="AN20" t="n">
        <v>2471880770.882</v>
      </c>
      <c r="AO20" t="n">
        <v>2444570358.852</v>
      </c>
      <c r="AP20" t="n">
        <v>2548866431.882</v>
      </c>
      <c r="AQ20" t="n">
        <v>2837616940.573</v>
      </c>
      <c r="AR20" t="n">
        <v>2600947742.42</v>
      </c>
      <c r="AS20" t="n">
        <v>2716845435.834</v>
      </c>
      <c r="AT20" t="n">
        <v>2233303128.168</v>
      </c>
      <c r="AU20" t="n">
        <v>1828078051.072</v>
      </c>
      <c r="AV20" t="n">
        <v>2267285701.664</v>
      </c>
      <c r="AW20" t="n">
        <v>2656978376.55</v>
      </c>
      <c r="AX20" t="n">
        <v>2546491022.392</v>
      </c>
      <c r="AY20" t="n">
        <v>2284968417.365</v>
      </c>
      <c r="AZ20" t="n">
        <v>2023500308.807</v>
      </c>
      <c r="BA20" t="n">
        <v>1718013985.05</v>
      </c>
      <c r="BB20" t="n">
        <v>1743449949.659</v>
      </c>
      <c r="BC20" t="n">
        <v>1176745401.227</v>
      </c>
      <c r="BD20" t="n">
        <v>1538986385.112</v>
      </c>
      <c r="BE20" t="n">
        <v>1264595476.11</v>
      </c>
      <c r="BF20" t="n">
        <v>1344920847.403</v>
      </c>
      <c r="BG20" t="n">
        <v>1353328593.774</v>
      </c>
      <c r="BH20" t="n">
        <v>1496618817.889</v>
      </c>
      <c r="BI20" t="n">
        <v>1407089207.761</v>
      </c>
      <c r="BJ20" t="n">
        <v>1455143086.064</v>
      </c>
      <c r="BK20" t="n">
        <v>1660315456.486</v>
      </c>
      <c r="BL20" t="n">
        <v>1633616870.618</v>
      </c>
      <c r="BM20" t="n">
        <v>1677566120.315</v>
      </c>
      <c r="BN20" t="n">
        <v>1605512813.908</v>
      </c>
      <c r="BO20" t="n">
        <v>1720252247.897</v>
      </c>
      <c r="BP20" t="n">
        <v>1660367501.452</v>
      </c>
      <c r="BQ20" t="n">
        <v>1783804808.065</v>
      </c>
      <c r="BR20" t="n">
        <v>1811082726.405</v>
      </c>
      <c r="BS20" t="n">
        <v>1865928513.091</v>
      </c>
      <c r="BT20" t="n">
        <v>1894251251.581</v>
      </c>
    </row>
    <row r="21">
      <c r="A21" s="18" t="inlineStr">
        <is>
          <t>sym_TE_asPP</t>
        </is>
      </c>
      <c r="B21" s="8" t="inlineStr">
        <is>
          <t>DIVERGED - negative SPPR in a source-model group</t>
        </is>
      </c>
      <c r="C21" t="n">
        <v>-27951111535.891</v>
      </c>
      <c r="D21" t="n">
        <v>-30001355228.215</v>
      </c>
      <c r="E21" t="n">
        <v>-29183934964.018</v>
      </c>
      <c r="F21" t="n">
        <v>-31166483685.668</v>
      </c>
      <c r="G21" t="n">
        <v>-41211437067.928</v>
      </c>
      <c r="H21" t="n">
        <v>-46544565276.409</v>
      </c>
      <c r="I21" t="n">
        <v>-49817869705.818</v>
      </c>
      <c r="J21" t="n">
        <v>-50806929463.556</v>
      </c>
      <c r="K21" t="n">
        <v>-35660394363.449</v>
      </c>
      <c r="L21" t="n">
        <v>-36856022145.51</v>
      </c>
      <c r="M21" t="n">
        <v>-43538664906.596</v>
      </c>
      <c r="N21" t="n">
        <v>-51531807968.271</v>
      </c>
      <c r="O21" t="n">
        <v>-47436865618.085</v>
      </c>
      <c r="P21" t="n">
        <v>-49295572064.285</v>
      </c>
      <c r="Q21" t="n">
        <v>-45705895269.434</v>
      </c>
      <c r="R21" t="n">
        <v>-46345315049.895</v>
      </c>
      <c r="S21" t="n">
        <v>-32230327941.906</v>
      </c>
      <c r="T21" t="n">
        <v>-36431559087.83</v>
      </c>
      <c r="U21" t="n">
        <v>-39193932203.197</v>
      </c>
      <c r="V21" t="n">
        <v>-48882267413.877</v>
      </c>
      <c r="W21" t="n">
        <v>-42467914171.799</v>
      </c>
      <c r="X21" t="n">
        <v>-52034058322.907</v>
      </c>
      <c r="Y21" t="n">
        <v>-44411572504.183</v>
      </c>
      <c r="Z21" t="n">
        <v>-53346443369.908</v>
      </c>
      <c r="AA21" t="n">
        <v>-52004075147.259</v>
      </c>
      <c r="AB21" t="n">
        <v>-54709016195.26</v>
      </c>
      <c r="AC21" t="n">
        <v>-54025327936.858</v>
      </c>
      <c r="AD21" t="n">
        <v>-59124945243.197</v>
      </c>
      <c r="AE21" t="n">
        <v>-47429257407.49</v>
      </c>
      <c r="AF21" t="n">
        <v>-56486724135.446</v>
      </c>
      <c r="AG21" t="n">
        <v>-58609968059.91</v>
      </c>
      <c r="AH21" t="n">
        <v>-86195633853.039</v>
      </c>
      <c r="AI21" t="n">
        <v>-97658121633.07201</v>
      </c>
      <c r="AJ21" t="n">
        <v>-100085265111.715</v>
      </c>
      <c r="AK21" t="n">
        <v>-132901997642.453</v>
      </c>
      <c r="AL21" t="n">
        <v>-154403992068.602</v>
      </c>
      <c r="AM21" t="n">
        <v>-160985983441.57</v>
      </c>
      <c r="AN21" t="n">
        <v>-156721499507.966</v>
      </c>
      <c r="AO21" t="n">
        <v>-147708061520.945</v>
      </c>
      <c r="AP21" t="n">
        <v>-127509415249.932</v>
      </c>
      <c r="AQ21" t="n">
        <v>-137126312450.47</v>
      </c>
      <c r="AR21" t="n">
        <v>-100438055460.463</v>
      </c>
      <c r="AS21" t="n">
        <v>-154692037314.165</v>
      </c>
      <c r="AT21" t="n">
        <v>-112256902682.775</v>
      </c>
      <c r="AU21" t="n">
        <v>-78318203594.408</v>
      </c>
      <c r="AV21" t="n">
        <v>-93870525910.80901</v>
      </c>
      <c r="AW21" t="n">
        <v>-92989094993.89101</v>
      </c>
      <c r="AX21" t="n">
        <v>-89107772399.286</v>
      </c>
      <c r="AY21" t="n">
        <v>-99686012394.927</v>
      </c>
      <c r="AZ21" t="n">
        <v>-104912614775.828</v>
      </c>
      <c r="BA21" t="n">
        <v>-98144922954.228</v>
      </c>
      <c r="BB21" t="n">
        <v>-95455145422.30299</v>
      </c>
      <c r="BC21" t="n">
        <v>-76170529706.37601</v>
      </c>
      <c r="BD21" t="n">
        <v>-93421584755.27</v>
      </c>
      <c r="BE21" t="n">
        <v>-96329516160.19</v>
      </c>
      <c r="BF21" t="n">
        <v>-95166422299.032</v>
      </c>
      <c r="BG21" t="n">
        <v>-89065642682.543</v>
      </c>
      <c r="BH21" t="n">
        <v>-92749246914.55099</v>
      </c>
      <c r="BI21" t="n">
        <v>-106912689578.709</v>
      </c>
      <c r="BJ21" t="n">
        <v>-115710326414.747</v>
      </c>
      <c r="BK21" t="n">
        <v>-130855809068.238</v>
      </c>
      <c r="BL21" t="n">
        <v>-115603009150.867</v>
      </c>
      <c r="BM21" t="n">
        <v>-120519868002.215</v>
      </c>
      <c r="BN21" t="n">
        <v>-115180727206.265</v>
      </c>
      <c r="BO21" t="n">
        <v>-142891924967.829</v>
      </c>
      <c r="BP21" t="n">
        <v>-121061201770.827</v>
      </c>
      <c r="BQ21" t="n">
        <v>-135256904380.452</v>
      </c>
      <c r="BR21" t="n">
        <v>-140751854786.362</v>
      </c>
      <c r="BS21" t="n">
        <v>-150698211651.744</v>
      </c>
      <c r="BT21" t="n">
        <v>-155059481868.161</v>
      </c>
    </row>
    <row r="22">
      <c r="A22" s="18" t="inlineStr">
        <is>
          <t>sym_TE_asDC</t>
        </is>
      </c>
      <c r="B22" s="8" t="inlineStr">
        <is>
          <t>DIVERGED - negative SPPR in a source-model group</t>
        </is>
      </c>
      <c r="C22" t="n">
        <v>-27496975965.649</v>
      </c>
      <c r="D22" t="n">
        <v>-29513909551.075</v>
      </c>
      <c r="E22" t="n">
        <v>-28709761996.64</v>
      </c>
      <c r="F22" t="n">
        <v>-30660103615.079</v>
      </c>
      <c r="G22" t="n">
        <v>-40541963664.678</v>
      </c>
      <c r="H22" t="n">
        <v>-45788439865.49</v>
      </c>
      <c r="I22" t="n">
        <v>-49008555997.364</v>
      </c>
      <c r="J22" t="n">
        <v>-49981419197.003</v>
      </c>
      <c r="K22" t="n">
        <v>-35080783391.095</v>
      </c>
      <c r="L22" t="n">
        <v>-36257032574.983</v>
      </c>
      <c r="M22" t="n">
        <v>-42831242471.654</v>
      </c>
      <c r="N22" t="n">
        <v>-50694535685.361</v>
      </c>
      <c r="O22" t="n">
        <v>-46666130298.197</v>
      </c>
      <c r="P22" t="n">
        <v>-48494484072.214</v>
      </c>
      <c r="Q22" t="n">
        <v>-44963052876.6</v>
      </c>
      <c r="R22" t="n">
        <v>-45591868204.33</v>
      </c>
      <c r="S22" t="n">
        <v>-31705977718.743</v>
      </c>
      <c r="T22" t="n">
        <v>-35838868690.637</v>
      </c>
      <c r="U22" t="n">
        <v>-38556236279.159</v>
      </c>
      <c r="V22" t="n">
        <v>-48087262725.948</v>
      </c>
      <c r="W22" t="n">
        <v>-41777000606.303</v>
      </c>
      <c r="X22" t="n">
        <v>-51187645736.558</v>
      </c>
      <c r="Y22" t="n">
        <v>-43688979937.609</v>
      </c>
      <c r="Z22" t="n">
        <v>-52478057016.296</v>
      </c>
      <c r="AA22" t="n">
        <v>-51157381212.005</v>
      </c>
      <c r="AB22" t="n">
        <v>-53817924299.117</v>
      </c>
      <c r="AC22" t="n">
        <v>-53145199660.725</v>
      </c>
      <c r="AD22" t="n">
        <v>-58162023880.98</v>
      </c>
      <c r="AE22" t="n">
        <v>-46656424908.236</v>
      </c>
      <c r="AF22" t="n">
        <v>-55566728294.578</v>
      </c>
      <c r="AG22" t="n">
        <v>-57655372429.3</v>
      </c>
      <c r="AH22" t="n">
        <v>-84792900646.75999</v>
      </c>
      <c r="AI22" t="n">
        <v>-96068781619.47701</v>
      </c>
      <c r="AJ22" t="n">
        <v>-98456186090.16901</v>
      </c>
      <c r="AK22" t="n">
        <v>-130738599280.58</v>
      </c>
      <c r="AL22" t="n">
        <v>-151891343183.672</v>
      </c>
      <c r="AM22" t="n">
        <v>-158365785094.847</v>
      </c>
      <c r="AN22" t="n">
        <v>-154170745180.052</v>
      </c>
      <c r="AO22" t="n">
        <v>-145303627491.9</v>
      </c>
      <c r="AP22" t="n">
        <v>-125432330645.447</v>
      </c>
      <c r="AQ22" t="n">
        <v>-134892239402.4</v>
      </c>
      <c r="AR22" t="n">
        <v>-98800007194.73</v>
      </c>
      <c r="AS22" t="n">
        <v>-152173419457.104</v>
      </c>
      <c r="AT22" t="n">
        <v>-110428381136.496</v>
      </c>
      <c r="AU22" t="n">
        <v>-77041638369.14</v>
      </c>
      <c r="AV22" t="n">
        <v>-92340205075.94299</v>
      </c>
      <c r="AW22" t="n">
        <v>-91471789902.886</v>
      </c>
      <c r="AX22" t="n">
        <v>-87653792970.94099</v>
      </c>
      <c r="AY22" t="n">
        <v>-98061306756.957</v>
      </c>
      <c r="AZ22" t="n">
        <v>-103204000632.781</v>
      </c>
      <c r="BA22" t="n">
        <v>-96547148103.72</v>
      </c>
      <c r="BB22" t="n">
        <v>-93900905049.965</v>
      </c>
      <c r="BC22" t="n">
        <v>-74931016557.901</v>
      </c>
      <c r="BD22" t="n">
        <v>-91901023437.823</v>
      </c>
      <c r="BE22" t="n">
        <v>-94762671955.765</v>
      </c>
      <c r="BF22" t="n">
        <v>-93618188019.545</v>
      </c>
      <c r="BG22" t="n">
        <v>-87616348385.674</v>
      </c>
      <c r="BH22" t="n">
        <v>-91239719266.53</v>
      </c>
      <c r="BI22" t="n">
        <v>-105173662235.386</v>
      </c>
      <c r="BJ22" t="n">
        <v>-113828438601.681</v>
      </c>
      <c r="BK22" t="n">
        <v>-128727513359.204</v>
      </c>
      <c r="BL22" t="n">
        <v>-113722282836.759</v>
      </c>
      <c r="BM22" t="n">
        <v>-118559217309.529</v>
      </c>
      <c r="BN22" t="n">
        <v>-113306931344.167</v>
      </c>
      <c r="BO22" t="n">
        <v>-140568202711.034</v>
      </c>
      <c r="BP22" t="n">
        <v>-119091826251.261</v>
      </c>
      <c r="BQ22" t="n">
        <v>-133056812725.295</v>
      </c>
      <c r="BR22" t="n">
        <v>-138462516950.911</v>
      </c>
      <c r="BS22" t="n">
        <v>-148247332465.766</v>
      </c>
      <c r="BT22" t="n">
        <v>-152537729742.305</v>
      </c>
    </row>
    <row r="23">
      <c r="A23" t="inlineStr">
        <is>
          <t>sym_GE_asPP</t>
        </is>
      </c>
      <c r="B23" t="inlineStr">
        <is>
          <t>ok</t>
        </is>
      </c>
      <c r="C23" t="n">
        <v>1507939021.929</v>
      </c>
      <c r="D23" t="n">
        <v>1628560774.841</v>
      </c>
      <c r="E23" t="n">
        <v>1596731419.885</v>
      </c>
      <c r="F23" t="n">
        <v>1716457036.831</v>
      </c>
      <c r="G23" t="n">
        <v>2097591696.616</v>
      </c>
      <c r="H23" t="n">
        <v>2410510412.861</v>
      </c>
      <c r="I23" t="n">
        <v>2616755655.95</v>
      </c>
      <c r="J23" t="n">
        <v>2793283121.543</v>
      </c>
      <c r="K23" t="n">
        <v>2214163621.471</v>
      </c>
      <c r="L23" t="n">
        <v>2222829719.868</v>
      </c>
      <c r="M23" t="n">
        <v>2340013299.938</v>
      </c>
      <c r="N23" t="n">
        <v>2744265353.002</v>
      </c>
      <c r="O23" t="n">
        <v>2500683489.892</v>
      </c>
      <c r="P23" t="n">
        <v>2769617746.371</v>
      </c>
      <c r="Q23" t="n">
        <v>2683191350.089</v>
      </c>
      <c r="R23" t="n">
        <v>2954968119.905</v>
      </c>
      <c r="S23" t="n">
        <v>2491588223.374</v>
      </c>
      <c r="T23" t="n">
        <v>2767666608.067</v>
      </c>
      <c r="U23" t="n">
        <v>3059580419.562</v>
      </c>
      <c r="V23" t="n">
        <v>3418551880.849</v>
      </c>
      <c r="W23" t="n">
        <v>3216630770.202</v>
      </c>
      <c r="X23" t="n">
        <v>3807822027.515</v>
      </c>
      <c r="Y23" t="n">
        <v>3463372037.859</v>
      </c>
      <c r="Z23" t="n">
        <v>4547999199.201</v>
      </c>
      <c r="AA23" t="n">
        <v>4599831288.444</v>
      </c>
      <c r="AB23" t="n">
        <v>5202001000.295</v>
      </c>
      <c r="AC23" t="n">
        <v>5325093060.613</v>
      </c>
      <c r="AD23" t="n">
        <v>5535493742.422</v>
      </c>
      <c r="AE23" t="n">
        <v>4845100138.694</v>
      </c>
      <c r="AF23" t="n">
        <v>5286376160.294</v>
      </c>
      <c r="AG23" t="n">
        <v>5468847172.221</v>
      </c>
      <c r="AH23" t="n">
        <v>6764460399.155</v>
      </c>
      <c r="AI23" t="n">
        <v>7665745136.818</v>
      </c>
      <c r="AJ23" t="n">
        <v>8086567297.401</v>
      </c>
      <c r="AK23" t="n">
        <v>10836457079.407</v>
      </c>
      <c r="AL23" t="n">
        <v>11813272440.396</v>
      </c>
      <c r="AM23" t="n">
        <v>12817358663.861</v>
      </c>
      <c r="AN23" t="n">
        <v>12400028218.35</v>
      </c>
      <c r="AO23" t="n">
        <v>12106289440.672</v>
      </c>
      <c r="AP23" t="n">
        <v>11927499554.059</v>
      </c>
      <c r="AQ23" t="n">
        <v>13160987665.185</v>
      </c>
      <c r="AR23" t="n">
        <v>11422518119.734</v>
      </c>
      <c r="AS23" t="n">
        <v>13152625298.195</v>
      </c>
      <c r="AT23" t="n">
        <v>10451678488.735</v>
      </c>
      <c r="AU23" t="n">
        <v>8226385228.616</v>
      </c>
      <c r="AV23" t="n">
        <v>10096005360.229</v>
      </c>
      <c r="AW23" t="n">
        <v>11399547809.545</v>
      </c>
      <c r="AX23" t="n">
        <v>10938589237.552</v>
      </c>
      <c r="AY23" t="n">
        <v>10328509438.207</v>
      </c>
      <c r="AZ23" t="n">
        <v>9582577354.253</v>
      </c>
      <c r="BA23" t="n">
        <v>8424921881.966</v>
      </c>
      <c r="BB23" t="n">
        <v>8440027920.683</v>
      </c>
      <c r="BC23" t="n">
        <v>6021231913.002</v>
      </c>
      <c r="BD23" t="n">
        <v>7714265743.091</v>
      </c>
      <c r="BE23" t="n">
        <v>6840117382.817</v>
      </c>
      <c r="BF23" t="n">
        <v>7092567592.627</v>
      </c>
      <c r="BG23" t="n">
        <v>6947011552.339</v>
      </c>
      <c r="BH23" t="n">
        <v>7533486867.878</v>
      </c>
      <c r="BI23" t="n">
        <v>7576340906.204</v>
      </c>
      <c r="BJ23" t="n">
        <v>7967258122.496</v>
      </c>
      <c r="BK23" t="n">
        <v>9027416604.836</v>
      </c>
      <c r="BL23" t="n">
        <v>8553555985.838</v>
      </c>
      <c r="BM23" t="n">
        <v>8829659913.76</v>
      </c>
      <c r="BN23" t="n">
        <v>8429091444.61</v>
      </c>
      <c r="BO23" t="n">
        <v>9547700631.198999</v>
      </c>
      <c r="BP23" t="n">
        <v>8757160444.172001</v>
      </c>
      <c r="BQ23" t="n">
        <v>9530035550.594999</v>
      </c>
      <c r="BR23" t="n">
        <v>9749624087.964001</v>
      </c>
      <c r="BS23" t="n">
        <v>10175657718.276</v>
      </c>
      <c r="BT23" t="n">
        <v>10366721748.124</v>
      </c>
    </row>
    <row r="24">
      <c r="A24" t="inlineStr">
        <is>
          <t>sym_GE_asDC</t>
        </is>
      </c>
      <c r="B24" t="inlineStr">
        <is>
          <t>ok</t>
        </is>
      </c>
      <c r="C24" t="n">
        <v>1507939021.929</v>
      </c>
      <c r="D24" t="n">
        <v>1628560774.841</v>
      </c>
      <c r="E24" t="n">
        <v>1596731419.885</v>
      </c>
      <c r="F24" t="n">
        <v>1716457036.831</v>
      </c>
      <c r="G24" t="n">
        <v>2097591696.616</v>
      </c>
      <c r="H24" t="n">
        <v>2410510412.861</v>
      </c>
      <c r="I24" t="n">
        <v>2616755655.95</v>
      </c>
      <c r="J24" t="n">
        <v>2793283121.543</v>
      </c>
      <c r="K24" t="n">
        <v>2214163621.471</v>
      </c>
      <c r="L24" t="n">
        <v>2222829719.868</v>
      </c>
      <c r="M24" t="n">
        <v>2340013299.938</v>
      </c>
      <c r="N24" t="n">
        <v>2744265353.002</v>
      </c>
      <c r="O24" t="n">
        <v>2500683489.892</v>
      </c>
      <c r="P24" t="n">
        <v>2769617746.371</v>
      </c>
      <c r="Q24" t="n">
        <v>2683191350.089</v>
      </c>
      <c r="R24" t="n">
        <v>2954968119.905</v>
      </c>
      <c r="S24" t="n">
        <v>2491588223.374</v>
      </c>
      <c r="T24" t="n">
        <v>2767666608.067</v>
      </c>
      <c r="U24" t="n">
        <v>3059580419.562</v>
      </c>
      <c r="V24" t="n">
        <v>3418551880.849</v>
      </c>
      <c r="W24" t="n">
        <v>3216630770.202</v>
      </c>
      <c r="X24" t="n">
        <v>3807822027.515</v>
      </c>
      <c r="Y24" t="n">
        <v>3463372037.859</v>
      </c>
      <c r="Z24" t="n">
        <v>4547999199.201</v>
      </c>
      <c r="AA24" t="n">
        <v>4599831288.444</v>
      </c>
      <c r="AB24" t="n">
        <v>5202001000.295</v>
      </c>
      <c r="AC24" t="n">
        <v>5325093060.613</v>
      </c>
      <c r="AD24" t="n">
        <v>5535493742.422</v>
      </c>
      <c r="AE24" t="n">
        <v>4845100138.694</v>
      </c>
      <c r="AF24" t="n">
        <v>5286376160.294</v>
      </c>
      <c r="AG24" t="n">
        <v>5468847172.221</v>
      </c>
      <c r="AH24" t="n">
        <v>6764460399.155</v>
      </c>
      <c r="AI24" t="n">
        <v>7665745136.818</v>
      </c>
      <c r="AJ24" t="n">
        <v>8086567297.401</v>
      </c>
      <c r="AK24" t="n">
        <v>10836457079.407</v>
      </c>
      <c r="AL24" t="n">
        <v>11813272440.396</v>
      </c>
      <c r="AM24" t="n">
        <v>12817358663.861</v>
      </c>
      <c r="AN24" t="n">
        <v>12400028218.35</v>
      </c>
      <c r="AO24" t="n">
        <v>12106289440.672</v>
      </c>
      <c r="AP24" t="n">
        <v>11927499554.059</v>
      </c>
      <c r="AQ24" t="n">
        <v>13160987665.185</v>
      </c>
      <c r="AR24" t="n">
        <v>11422518119.734</v>
      </c>
      <c r="AS24" t="n">
        <v>13152625298.195</v>
      </c>
      <c r="AT24" t="n">
        <v>10451678488.735</v>
      </c>
      <c r="AU24" t="n">
        <v>8226385228.616</v>
      </c>
      <c r="AV24" t="n">
        <v>10096005360.229</v>
      </c>
      <c r="AW24" t="n">
        <v>11399547809.545</v>
      </c>
      <c r="AX24" t="n">
        <v>10938589237.552</v>
      </c>
      <c r="AY24" t="n">
        <v>10328509438.207</v>
      </c>
      <c r="AZ24" t="n">
        <v>9582577354.253</v>
      </c>
      <c r="BA24" t="n">
        <v>8424921881.966</v>
      </c>
      <c r="BB24" t="n">
        <v>8440027920.683</v>
      </c>
      <c r="BC24" t="n">
        <v>6021231913.002</v>
      </c>
      <c r="BD24" t="n">
        <v>7714265743.091</v>
      </c>
      <c r="BE24" t="n">
        <v>6840117382.817</v>
      </c>
      <c r="BF24" t="n">
        <v>7092567592.627</v>
      </c>
      <c r="BG24" t="n">
        <v>6947011552.339</v>
      </c>
      <c r="BH24" t="n">
        <v>7533486867.878</v>
      </c>
      <c r="BI24" t="n">
        <v>7576340906.204</v>
      </c>
      <c r="BJ24" t="n">
        <v>7967258122.496</v>
      </c>
      <c r="BK24" t="n">
        <v>9027416604.836</v>
      </c>
      <c r="BL24" t="n">
        <v>8553555985.838</v>
      </c>
      <c r="BM24" t="n">
        <v>8829659913.76</v>
      </c>
      <c r="BN24" t="n">
        <v>8429091444.61</v>
      </c>
      <c r="BO24" t="n">
        <v>9547700631.198999</v>
      </c>
      <c r="BP24" t="n">
        <v>8757160444.172001</v>
      </c>
      <c r="BQ24" t="n">
        <v>9530035550.594999</v>
      </c>
      <c r="BR24" t="n">
        <v>9749624087.964001</v>
      </c>
      <c r="BS24" t="n">
        <v>10175657718.276</v>
      </c>
      <c r="BT24" t="n">
        <v>10366721748.124</v>
      </c>
    </row>
    <row r="25">
      <c r="A25" t="inlineStr">
        <is>
          <t>sym_WithEgestion_asPP</t>
        </is>
      </c>
      <c r="B25" t="inlineStr">
        <is>
          <t>ok</t>
        </is>
      </c>
      <c r="C25" t="n">
        <v>222277838.815</v>
      </c>
      <c r="D25" t="n">
        <v>242358485.285</v>
      </c>
      <c r="E25" t="n">
        <v>238014507.888</v>
      </c>
      <c r="F25" t="n">
        <v>253489112.125</v>
      </c>
      <c r="G25" t="n">
        <v>292069124.29</v>
      </c>
      <c r="H25" t="n">
        <v>338412172.018</v>
      </c>
      <c r="I25" t="n">
        <v>370627240.761</v>
      </c>
      <c r="J25" t="n">
        <v>416988660.769</v>
      </c>
      <c r="K25" t="n">
        <v>359935669.053</v>
      </c>
      <c r="L25" t="n">
        <v>352835439.481</v>
      </c>
      <c r="M25" t="n">
        <v>350014887.039</v>
      </c>
      <c r="N25" t="n">
        <v>405483214.226</v>
      </c>
      <c r="O25" t="n">
        <v>370396622.623</v>
      </c>
      <c r="P25" t="n">
        <v>432252280.653</v>
      </c>
      <c r="Q25" t="n">
        <v>433099476.542</v>
      </c>
      <c r="R25" t="n">
        <v>506705365.937</v>
      </c>
      <c r="S25" t="n">
        <v>474794185.198</v>
      </c>
      <c r="T25" t="n">
        <v>529815463.386</v>
      </c>
      <c r="U25" t="n">
        <v>592749931.154</v>
      </c>
      <c r="V25" t="n">
        <v>628528506.171</v>
      </c>
      <c r="W25" t="n">
        <v>615915486.438</v>
      </c>
      <c r="X25" t="n">
        <v>709401008.812</v>
      </c>
      <c r="Y25" t="n">
        <v>661359923.0930001</v>
      </c>
      <c r="Z25" t="n">
        <v>915632754.075</v>
      </c>
      <c r="AA25" t="n">
        <v>940353786.529</v>
      </c>
      <c r="AB25" t="n">
        <v>1094224257.402</v>
      </c>
      <c r="AC25" t="n">
        <v>1130992833.583</v>
      </c>
      <c r="AD25" t="n">
        <v>1149115169.848</v>
      </c>
      <c r="AE25" t="n">
        <v>1036697941.543</v>
      </c>
      <c r="AF25" t="n">
        <v>1100069908.113</v>
      </c>
      <c r="AG25" t="n">
        <v>1144260362.483</v>
      </c>
      <c r="AH25" t="n">
        <v>1322190773.512</v>
      </c>
      <c r="AI25" t="n">
        <v>1509231217.854</v>
      </c>
      <c r="AJ25" t="n">
        <v>1619146795.367</v>
      </c>
      <c r="AK25" t="n">
        <v>2190720720.613</v>
      </c>
      <c r="AL25" t="n">
        <v>2317329805.194</v>
      </c>
      <c r="AM25" t="n">
        <v>2552659157.657</v>
      </c>
      <c r="AN25" t="n">
        <v>2471880770.882</v>
      </c>
      <c r="AO25" t="n">
        <v>2444570358.852</v>
      </c>
      <c r="AP25" t="n">
        <v>2548866431.882</v>
      </c>
      <c r="AQ25" t="n">
        <v>2837616940.573</v>
      </c>
      <c r="AR25" t="n">
        <v>2600947742.42</v>
      </c>
      <c r="AS25" t="n">
        <v>2716845435.834</v>
      </c>
      <c r="AT25" t="n">
        <v>2233303128.168</v>
      </c>
      <c r="AU25" t="n">
        <v>1828078051.072</v>
      </c>
      <c r="AV25" t="n">
        <v>2267285701.664</v>
      </c>
      <c r="AW25" t="n">
        <v>2656978376.55</v>
      </c>
      <c r="AX25" t="n">
        <v>2546491022.392</v>
      </c>
      <c r="AY25" t="n">
        <v>2284968417.365</v>
      </c>
      <c r="AZ25" t="n">
        <v>2023500308.807</v>
      </c>
      <c r="BA25" t="n">
        <v>1718013985.05</v>
      </c>
      <c r="BB25" t="n">
        <v>1743449949.659</v>
      </c>
      <c r="BC25" t="n">
        <v>1176745401.227</v>
      </c>
      <c r="BD25" t="n">
        <v>1538986385.112</v>
      </c>
      <c r="BE25" t="n">
        <v>1264595476.11</v>
      </c>
      <c r="BF25" t="n">
        <v>1344920847.403</v>
      </c>
      <c r="BG25" t="n">
        <v>1353328593.774</v>
      </c>
      <c r="BH25" t="n">
        <v>1496618817.889</v>
      </c>
      <c r="BI25" t="n">
        <v>1407089207.761</v>
      </c>
      <c r="BJ25" t="n">
        <v>1455143086.064</v>
      </c>
      <c r="BK25" t="n">
        <v>1660315456.486</v>
      </c>
      <c r="BL25" t="n">
        <v>1633616870.618</v>
      </c>
      <c r="BM25" t="n">
        <v>1677566120.315</v>
      </c>
      <c r="BN25" t="n">
        <v>1605512813.908</v>
      </c>
      <c r="BO25" t="n">
        <v>1720252247.897</v>
      </c>
      <c r="BP25" t="n">
        <v>1660367501.452</v>
      </c>
      <c r="BQ25" t="n">
        <v>1783804808.065</v>
      </c>
      <c r="BR25" t="n">
        <v>1811082726.405</v>
      </c>
      <c r="BS25" t="n">
        <v>1865928513.091</v>
      </c>
      <c r="BT25" t="n">
        <v>1894251251.581</v>
      </c>
    </row>
    <row r="26">
      <c r="A26" t="inlineStr">
        <is>
          <t>sym_WithEgestion_asDC</t>
        </is>
      </c>
      <c r="B26" t="inlineStr">
        <is>
          <t>ok</t>
        </is>
      </c>
      <c r="C26" t="n">
        <v>222277838.815</v>
      </c>
      <c r="D26" t="n">
        <v>242358485.285</v>
      </c>
      <c r="E26" t="n">
        <v>238014507.888</v>
      </c>
      <c r="F26" t="n">
        <v>253489112.125</v>
      </c>
      <c r="G26" t="n">
        <v>292069124.29</v>
      </c>
      <c r="H26" t="n">
        <v>338412172.018</v>
      </c>
      <c r="I26" t="n">
        <v>370627240.761</v>
      </c>
      <c r="J26" t="n">
        <v>416988660.769</v>
      </c>
      <c r="K26" t="n">
        <v>359935669.053</v>
      </c>
      <c r="L26" t="n">
        <v>352835439.481</v>
      </c>
      <c r="M26" t="n">
        <v>350014887.039</v>
      </c>
      <c r="N26" t="n">
        <v>405483214.226</v>
      </c>
      <c r="O26" t="n">
        <v>370396622.623</v>
      </c>
      <c r="P26" t="n">
        <v>432252280.653</v>
      </c>
      <c r="Q26" t="n">
        <v>433099476.542</v>
      </c>
      <c r="R26" t="n">
        <v>506705365.937</v>
      </c>
      <c r="S26" t="n">
        <v>474794185.198</v>
      </c>
      <c r="T26" t="n">
        <v>529815463.386</v>
      </c>
      <c r="U26" t="n">
        <v>592749931.154</v>
      </c>
      <c r="V26" t="n">
        <v>628528506.171</v>
      </c>
      <c r="W26" t="n">
        <v>615915486.438</v>
      </c>
      <c r="X26" t="n">
        <v>709401008.812</v>
      </c>
      <c r="Y26" t="n">
        <v>661359923.0930001</v>
      </c>
      <c r="Z26" t="n">
        <v>915632754.075</v>
      </c>
      <c r="AA26" t="n">
        <v>940353786.529</v>
      </c>
      <c r="AB26" t="n">
        <v>1094224257.402</v>
      </c>
      <c r="AC26" t="n">
        <v>1130992833.583</v>
      </c>
      <c r="AD26" t="n">
        <v>1149115169.848</v>
      </c>
      <c r="AE26" t="n">
        <v>1036697941.543</v>
      </c>
      <c r="AF26" t="n">
        <v>1100069908.113</v>
      </c>
      <c r="AG26" t="n">
        <v>1144260362.483</v>
      </c>
      <c r="AH26" t="n">
        <v>1322190773.512</v>
      </c>
      <c r="AI26" t="n">
        <v>1509231217.854</v>
      </c>
      <c r="AJ26" t="n">
        <v>1619146795.367</v>
      </c>
      <c r="AK26" t="n">
        <v>2190720720.613</v>
      </c>
      <c r="AL26" t="n">
        <v>2317329805.194</v>
      </c>
      <c r="AM26" t="n">
        <v>2552659157.657</v>
      </c>
      <c r="AN26" t="n">
        <v>2471880770.882</v>
      </c>
      <c r="AO26" t="n">
        <v>2444570358.852</v>
      </c>
      <c r="AP26" t="n">
        <v>2548866431.882</v>
      </c>
      <c r="AQ26" t="n">
        <v>2837616940.573</v>
      </c>
      <c r="AR26" t="n">
        <v>2600947742.42</v>
      </c>
      <c r="AS26" t="n">
        <v>2716845435.834</v>
      </c>
      <c r="AT26" t="n">
        <v>2233303128.168</v>
      </c>
      <c r="AU26" t="n">
        <v>1828078051.072</v>
      </c>
      <c r="AV26" t="n">
        <v>2267285701.664</v>
      </c>
      <c r="AW26" t="n">
        <v>2656978376.55</v>
      </c>
      <c r="AX26" t="n">
        <v>2546491022.392</v>
      </c>
      <c r="AY26" t="n">
        <v>2284968417.365</v>
      </c>
      <c r="AZ26" t="n">
        <v>2023500308.807</v>
      </c>
      <c r="BA26" t="n">
        <v>1718013985.05</v>
      </c>
      <c r="BB26" t="n">
        <v>1743449949.659</v>
      </c>
      <c r="BC26" t="n">
        <v>1176745401.227</v>
      </c>
      <c r="BD26" t="n">
        <v>1538986385.112</v>
      </c>
      <c r="BE26" t="n">
        <v>1264595476.11</v>
      </c>
      <c r="BF26" t="n">
        <v>1344920847.403</v>
      </c>
      <c r="BG26" t="n">
        <v>1353328593.774</v>
      </c>
      <c r="BH26" t="n">
        <v>1496618817.889</v>
      </c>
      <c r="BI26" t="n">
        <v>1407089207.761</v>
      </c>
      <c r="BJ26" t="n">
        <v>1455143086.064</v>
      </c>
      <c r="BK26" t="n">
        <v>1660315456.486</v>
      </c>
      <c r="BL26" t="n">
        <v>1633616870.618</v>
      </c>
      <c r="BM26" t="n">
        <v>1677566120.315</v>
      </c>
      <c r="BN26" t="n">
        <v>1605512813.908</v>
      </c>
      <c r="BO26" t="n">
        <v>1720252247.897</v>
      </c>
      <c r="BP26" t="n">
        <v>1660367501.452</v>
      </c>
      <c r="BQ26" t="n">
        <v>1783804808.065</v>
      </c>
      <c r="BR26" t="n">
        <v>1811082726.405</v>
      </c>
      <c r="BS26" t="n">
        <v>1865928513.091</v>
      </c>
      <c r="BT26" t="n">
        <v>1894251251.581</v>
      </c>
    </row>
    <row r="27">
      <c r="A27" t="inlineStr">
        <is>
          <t>MC_new_GE</t>
        </is>
      </c>
      <c r="B27" t="inlineStr">
        <is>
          <t>ok</t>
        </is>
      </c>
      <c r="C27" t="n">
        <v>4722969558.567</v>
      </c>
      <c r="D27" t="n">
        <v>5087174246.44</v>
      </c>
      <c r="E27" t="n">
        <v>4966243719.058</v>
      </c>
      <c r="F27" t="n">
        <v>5327560249.598</v>
      </c>
      <c r="G27" t="n">
        <v>6774800549.422</v>
      </c>
      <c r="H27" t="n">
        <v>7718899753.307</v>
      </c>
      <c r="I27" t="n">
        <v>8318990221.443</v>
      </c>
      <c r="J27" t="n">
        <v>8664557444.629999</v>
      </c>
      <c r="K27" t="n">
        <v>6460107297.846</v>
      </c>
      <c r="L27" t="n">
        <v>6582336705.683</v>
      </c>
      <c r="M27" t="n">
        <v>7328589372.989</v>
      </c>
      <c r="N27" t="n">
        <v>8635940057.375999</v>
      </c>
      <c r="O27" t="n">
        <v>7907039299.255</v>
      </c>
      <c r="P27" t="n">
        <v>8475043654.987</v>
      </c>
      <c r="Q27" t="n">
        <v>8029117187.103</v>
      </c>
      <c r="R27" t="n">
        <v>8497664092.918</v>
      </c>
      <c r="S27" t="n">
        <v>6570405029.913</v>
      </c>
      <c r="T27" t="n">
        <v>7346664237.297</v>
      </c>
      <c r="U27" t="n">
        <v>8025814912.831</v>
      </c>
      <c r="V27" t="n">
        <v>9409079226.288</v>
      </c>
      <c r="W27" t="n">
        <v>8549127984.416</v>
      </c>
      <c r="X27" t="n">
        <v>10284319951.687</v>
      </c>
      <c r="Y27" t="n">
        <v>9104081873.485001</v>
      </c>
      <c r="Z27" t="n">
        <v>11512383703.099</v>
      </c>
      <c r="AA27" t="n">
        <v>11474292854.114</v>
      </c>
      <c r="AB27" t="n">
        <v>12620187780.314</v>
      </c>
      <c r="AC27" t="n">
        <v>12753484988.314</v>
      </c>
      <c r="AD27" t="n">
        <v>13520450437.18</v>
      </c>
      <c r="AE27" t="n">
        <v>11463424011.226</v>
      </c>
      <c r="AF27" t="n">
        <v>12916545822.46</v>
      </c>
      <c r="AG27" t="n">
        <v>13368546005.961</v>
      </c>
      <c r="AH27" t="n">
        <v>17719037697.934</v>
      </c>
      <c r="AI27" t="n">
        <v>20064961152.311</v>
      </c>
      <c r="AJ27" t="n">
        <v>20906257398.667</v>
      </c>
      <c r="AK27" t="n">
        <v>27894270120.269</v>
      </c>
      <c r="AL27" t="n">
        <v>31238477542.056</v>
      </c>
      <c r="AM27" t="n">
        <v>33333778190.63</v>
      </c>
      <c r="AN27" t="n">
        <v>32323820461.95</v>
      </c>
      <c r="AO27" t="n">
        <v>31104537311.399</v>
      </c>
      <c r="AP27" t="n">
        <v>29077072287.026</v>
      </c>
      <c r="AQ27" t="n">
        <v>31772593295.566</v>
      </c>
      <c r="AR27" t="n">
        <v>25964032564.166</v>
      </c>
      <c r="AS27" t="n">
        <v>33276610418.507</v>
      </c>
      <c r="AT27" t="n">
        <v>25525823726.182</v>
      </c>
      <c r="AU27" t="n">
        <v>19225840025.259</v>
      </c>
      <c r="AV27" t="n">
        <v>23390591202.505</v>
      </c>
      <c r="AW27" t="n">
        <v>25271204970.366</v>
      </c>
      <c r="AX27" t="n">
        <v>24239158681.802</v>
      </c>
      <c r="AY27" t="n">
        <v>24240935154.811</v>
      </c>
      <c r="AZ27" t="n">
        <v>23579975626.781</v>
      </c>
      <c r="BA27" t="n">
        <v>21263139910.164</v>
      </c>
      <c r="BB27" t="n">
        <v>21055021186.188</v>
      </c>
      <c r="BC27" t="n">
        <v>15734576019.569</v>
      </c>
      <c r="BD27" t="n">
        <v>19795468769.311</v>
      </c>
      <c r="BE27" t="n">
        <v>18724929887.324</v>
      </c>
      <c r="BF27" t="n">
        <v>19011299713.643</v>
      </c>
      <c r="BG27" t="n">
        <v>18253952041.907</v>
      </c>
      <c r="BH27" t="n">
        <v>19465141950.319</v>
      </c>
      <c r="BI27" t="n">
        <v>20755938201.16</v>
      </c>
      <c r="BJ27" t="n">
        <v>22120437726.595</v>
      </c>
      <c r="BK27" t="n">
        <v>25020813065.378</v>
      </c>
      <c r="BL27" t="n">
        <v>22985134801.603</v>
      </c>
      <c r="BM27" t="n">
        <v>23825032998.11</v>
      </c>
      <c r="BN27" t="n">
        <v>22750146681.769</v>
      </c>
      <c r="BO27" t="n">
        <v>26854474896.839</v>
      </c>
      <c r="BP27" t="n">
        <v>23751946181.137</v>
      </c>
      <c r="BQ27" t="n">
        <v>26148229940.156</v>
      </c>
      <c r="BR27" t="n">
        <v>26951096851.656</v>
      </c>
      <c r="BS27" t="n">
        <v>28463352128.909</v>
      </c>
      <c r="BT27" t="n">
        <v>29120421654.671</v>
      </c>
    </row>
    <row r="28">
      <c r="A28" s="18" t="inlineStr">
        <is>
          <t>MC_new_TE_EEfix</t>
        </is>
      </c>
      <c r="B28" s="8" t="inlineStr">
        <is>
          <t>IMPLAUSIBLE - up to 357x the trophic-chain estimate; the solve is near-singular for this model</t>
        </is>
      </c>
      <c r="C28" t="n">
        <v>100711628708.9</v>
      </c>
      <c r="D28" t="n">
        <v>108363057173.427</v>
      </c>
      <c r="E28" t="n">
        <v>105384421421.843</v>
      </c>
      <c r="F28" t="n">
        <v>112817182714.669</v>
      </c>
      <c r="G28" t="n">
        <v>147508430718.327</v>
      </c>
      <c r="H28" t="n">
        <v>167027232755.076</v>
      </c>
      <c r="I28" t="n">
        <v>179053228954.03</v>
      </c>
      <c r="J28" t="n">
        <v>183419674532.019</v>
      </c>
      <c r="K28" t="n">
        <v>130312661659.151</v>
      </c>
      <c r="L28" t="n">
        <v>134321111543.506</v>
      </c>
      <c r="M28" t="n">
        <v>156203122638.771</v>
      </c>
      <c r="N28" t="n">
        <v>184655402657.091</v>
      </c>
      <c r="O28" t="n">
        <v>169728470919.287</v>
      </c>
      <c r="P28" t="n">
        <v>177733437811.647</v>
      </c>
      <c r="Q28" t="n">
        <v>165553004065.156</v>
      </c>
      <c r="R28" t="n">
        <v>169831206709.516</v>
      </c>
      <c r="S28" t="n">
        <v>121533459470.659</v>
      </c>
      <c r="T28" t="n">
        <v>136942259289.92</v>
      </c>
      <c r="U28" t="n">
        <v>147857966809.864</v>
      </c>
      <c r="V28" t="n">
        <v>181351730721.104</v>
      </c>
      <c r="W28" t="n">
        <v>159548742798.95</v>
      </c>
      <c r="X28" t="n">
        <v>194658628888.432</v>
      </c>
      <c r="Y28" t="n">
        <v>167820023522.646</v>
      </c>
      <c r="Z28" t="n">
        <v>204589906892.786</v>
      </c>
      <c r="AA28" t="n">
        <v>200761837993.294</v>
      </c>
      <c r="AB28" t="n">
        <v>214165337590.116</v>
      </c>
      <c r="AC28" t="n">
        <v>213095161514.437</v>
      </c>
      <c r="AD28" t="n">
        <v>230981726200.061</v>
      </c>
      <c r="AE28" t="n">
        <v>188643118631.542</v>
      </c>
      <c r="AF28" t="n">
        <v>220802177210.905</v>
      </c>
      <c r="AG28" t="n">
        <v>228830524715.865</v>
      </c>
      <c r="AH28" t="n">
        <v>326177060365.64</v>
      </c>
      <c r="AI28" t="n">
        <v>369347084661.331</v>
      </c>
      <c r="AJ28" t="n">
        <v>380363867195.153</v>
      </c>
      <c r="AK28" t="n">
        <v>505550358013.112</v>
      </c>
      <c r="AL28" t="n">
        <v>581255335364.453</v>
      </c>
      <c r="AM28" t="n">
        <v>610043483360.218</v>
      </c>
      <c r="AN28" t="n">
        <v>593217634170.533</v>
      </c>
      <c r="AO28" t="n">
        <v>562473528338.24</v>
      </c>
      <c r="AP28" t="n">
        <v>497511414496.91</v>
      </c>
      <c r="AQ28" t="n">
        <v>537601625018.791</v>
      </c>
      <c r="AR28" t="n">
        <v>408254773577.905</v>
      </c>
      <c r="AS28" t="n">
        <v>592890415349.157</v>
      </c>
      <c r="AT28" t="n">
        <v>437860631196.721</v>
      </c>
      <c r="AU28" t="n">
        <v>313196518178.203</v>
      </c>
      <c r="AV28" t="n">
        <v>377114244560.272</v>
      </c>
      <c r="AW28" t="n">
        <v>384410473571.14</v>
      </c>
      <c r="AX28" t="n">
        <v>368519783846.236</v>
      </c>
      <c r="AY28" t="n">
        <v>396978182907.029</v>
      </c>
      <c r="AZ28" t="n">
        <v>407762437516.439</v>
      </c>
      <c r="BA28" t="n">
        <v>377362034073.326</v>
      </c>
      <c r="BB28" t="n">
        <v>369144594312.433</v>
      </c>
      <c r="BC28" t="n">
        <v>289107234681.65</v>
      </c>
      <c r="BD28" t="n">
        <v>357176996822.939</v>
      </c>
      <c r="BE28" t="n">
        <v>359226703896.691</v>
      </c>
      <c r="BF28" t="n">
        <v>357852936794.772</v>
      </c>
      <c r="BG28" t="n">
        <v>337336267950.145</v>
      </c>
      <c r="BH28" t="n">
        <v>353875557485.214</v>
      </c>
      <c r="BI28" t="n">
        <v>398726450604.554</v>
      </c>
      <c r="BJ28" t="n">
        <v>430101657693.828</v>
      </c>
      <c r="BK28" t="n">
        <v>485847957353.481</v>
      </c>
      <c r="BL28" t="n">
        <v>434226224579.881</v>
      </c>
      <c r="BM28" t="n">
        <v>451756382081.242</v>
      </c>
      <c r="BN28" t="n">
        <v>431637663409.213</v>
      </c>
      <c r="BO28" t="n">
        <v>527994585677.629</v>
      </c>
      <c r="BP28" t="n">
        <v>452651185342.711</v>
      </c>
      <c r="BQ28" t="n">
        <v>503496746179.923</v>
      </c>
      <c r="BR28" t="n">
        <v>522420911338.563</v>
      </c>
      <c r="BS28" t="n">
        <v>557604709467.29</v>
      </c>
      <c r="BT28" t="n">
        <v>572540882202.438</v>
      </c>
    </row>
    <row r="30">
      <c r="A30" t="inlineStr">
        <is>
          <t>Catch tonnage on a named group: 235,876,743 of 242,338,606 (97.3 %). Unresolved taxa contribute nothing to the model rows and everything to the simple row, so the two are not directly comparable until coverage is 100 %.</t>
        </is>
      </c>
    </row>
    <row r="31">
      <c r="A31" s="18" t="inlineStr">
        <is>
          <t>7 of 20 methods are flagged above. A flagged row is a property of this model under that method, not of the mapping; see model_health in the SPPR workbook.</t>
        </is>
      </c>
    </row>
    <row r="32">
      <c r="A32" t="inlineStr">
        <is>
          <t>Coverage by year, %:</t>
        </is>
      </c>
    </row>
    <row r="33">
      <c r="A33" t="inlineStr">
        <is>
          <t>catch on a named group, %</t>
        </is>
      </c>
      <c r="B33" t="inlineStr"/>
      <c r="C33" t="n">
        <v>93.87</v>
      </c>
      <c r="D33" t="n">
        <v>94.84</v>
      </c>
      <c r="E33" t="n">
        <v>94.55</v>
      </c>
      <c r="F33" t="n">
        <v>94.75</v>
      </c>
      <c r="G33" t="n">
        <v>93.43000000000001</v>
      </c>
      <c r="H33" t="n">
        <v>93.51000000000001</v>
      </c>
      <c r="I33" t="n">
        <v>94.66</v>
      </c>
      <c r="J33" t="n">
        <v>95</v>
      </c>
      <c r="K33" t="n">
        <v>93.17</v>
      </c>
      <c r="L33" t="n">
        <v>93.23999999999999</v>
      </c>
      <c r="M33" t="n">
        <v>92.93000000000001</v>
      </c>
      <c r="N33" t="n">
        <v>92.98</v>
      </c>
      <c r="O33" t="n">
        <v>91.70999999999999</v>
      </c>
      <c r="P33" t="n">
        <v>93.05</v>
      </c>
      <c r="Q33" t="n">
        <v>94.67</v>
      </c>
      <c r="R33" t="n">
        <v>94.59999999999999</v>
      </c>
      <c r="S33" t="n">
        <v>94.75</v>
      </c>
      <c r="T33" t="n">
        <v>94.98</v>
      </c>
      <c r="U33" t="n">
        <v>94.81</v>
      </c>
      <c r="V33" t="n">
        <v>94.59999999999999</v>
      </c>
      <c r="W33" t="n">
        <v>93.81</v>
      </c>
      <c r="X33" t="n">
        <v>94.42</v>
      </c>
      <c r="Y33" t="n">
        <v>92.93000000000001</v>
      </c>
      <c r="Z33" t="n">
        <v>93.63</v>
      </c>
      <c r="AA33" t="n">
        <v>93.87</v>
      </c>
      <c r="AB33" t="n">
        <v>95.26000000000001</v>
      </c>
      <c r="AC33" t="n">
        <v>95.78</v>
      </c>
      <c r="AD33" t="n">
        <v>95.56</v>
      </c>
      <c r="AE33" t="n">
        <v>94.11</v>
      </c>
      <c r="AF33" t="n">
        <v>95.37</v>
      </c>
      <c r="AG33" t="n">
        <v>95.54000000000001</v>
      </c>
      <c r="AH33" t="n">
        <v>96.3</v>
      </c>
      <c r="AI33" t="n">
        <v>96.87</v>
      </c>
      <c r="AJ33" t="n">
        <v>97.77</v>
      </c>
      <c r="AK33" t="n">
        <v>97.55</v>
      </c>
      <c r="AL33" t="n">
        <v>97.65000000000001</v>
      </c>
      <c r="AM33" t="n">
        <v>97.75</v>
      </c>
      <c r="AN33" t="n">
        <v>98.5</v>
      </c>
      <c r="AO33" t="n">
        <v>98.81</v>
      </c>
      <c r="AP33" t="n">
        <v>98.94</v>
      </c>
      <c r="AQ33" t="n">
        <v>99.05</v>
      </c>
      <c r="AR33" t="n">
        <v>98.94</v>
      </c>
      <c r="AS33" t="n">
        <v>98.76000000000001</v>
      </c>
      <c r="AT33" t="n">
        <v>98.37</v>
      </c>
      <c r="AU33" t="n">
        <v>98.25</v>
      </c>
      <c r="AV33" t="n">
        <v>98.52</v>
      </c>
      <c r="AW33" t="n">
        <v>98.29000000000001</v>
      </c>
      <c r="AX33" t="n">
        <v>98.54000000000001</v>
      </c>
      <c r="AY33" t="n">
        <v>98.66</v>
      </c>
      <c r="AZ33" t="n">
        <v>98.47</v>
      </c>
      <c r="BA33" t="n">
        <v>98.20999999999999</v>
      </c>
      <c r="BB33" t="n">
        <v>98.12</v>
      </c>
      <c r="BC33" t="n">
        <v>97.40000000000001</v>
      </c>
      <c r="BD33" t="n">
        <v>97.78</v>
      </c>
      <c r="BE33" t="n">
        <v>97.09</v>
      </c>
      <c r="BF33" t="n">
        <v>97.17</v>
      </c>
      <c r="BG33" t="n">
        <v>97.25</v>
      </c>
      <c r="BH33" t="n">
        <v>97.38</v>
      </c>
      <c r="BI33" t="n">
        <v>97.09999999999999</v>
      </c>
      <c r="BJ33" t="n">
        <v>97.88</v>
      </c>
      <c r="BK33" t="n">
        <v>98.06</v>
      </c>
      <c r="BL33" t="n">
        <v>97.91</v>
      </c>
      <c r="BM33" t="n">
        <v>97.97</v>
      </c>
      <c r="BN33" t="n">
        <v>98.02</v>
      </c>
      <c r="BO33" t="n">
        <v>97.58</v>
      </c>
      <c r="BP33" t="n">
        <v>98.08</v>
      </c>
      <c r="BQ33" t="n">
        <v>98.22</v>
      </c>
      <c r="BR33" t="n">
        <v>98.13</v>
      </c>
      <c r="BS33" t="n">
        <v>98.04000000000001</v>
      </c>
      <c r="BT33" t="n">
        <v>98.05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55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40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</cols>
  <sheetData>
    <row r="1">
      <c r="A1" s="1" t="inlineStr">
        <is>
          <t>Specific PPR per taxon — LME_052, model 52_1_Sea_of_Okhotsk_NE_(1980)</t>
        </is>
      </c>
    </row>
    <row r="2">
      <c r="A2" t="inlineStr">
        <is>
          <t>sppr_simple is the trophic-chain estimate (1/TE)^(TL-1) at TE=0.1, applied to the taxon's own trophic level and needing no model.</t>
        </is>
      </c>
    </row>
    <row r="3">
      <c r="A3" t="inlineStr">
        <is>
          <t>Internal sources: primary producers and detritus; excludes imports. Blank means unavailable, not zero. sppr_simple is an unpartitioned reference.</t>
        </is>
      </c>
    </row>
    <row r="4" ht="42" customHeight="1">
      <c r="A4" s="19" t="inlineStr">
        <is>
          <t>taxon</t>
        </is>
      </c>
      <c r="B4" s="19" t="inlineStr">
        <is>
          <t>trophic_level</t>
        </is>
      </c>
      <c r="C4" s="19" t="inlineStr">
        <is>
          <t>sppr_simple</t>
        </is>
      </c>
      <c r="D4" s="19" t="inlineStr">
        <is>
          <t>Ecopath group</t>
        </is>
      </c>
      <c r="E4" s="19" t="inlineStr">
        <is>
          <t>SPPR_1986</t>
        </is>
      </c>
      <c r="F4" s="19" t="inlineStr">
        <is>
          <t>SPPR_1995_TE0.1</t>
        </is>
      </c>
      <c r="G4" s="19" t="inlineStr">
        <is>
          <t>SPPR_1995_TEmean</t>
        </is>
      </c>
      <c r="H4" s="19" t="inlineStr">
        <is>
          <t>Ulanowicz_globalTEmean</t>
        </is>
      </c>
      <c r="I4" s="19" t="inlineStr">
        <is>
          <t>Ulanowicz_TE</t>
        </is>
      </c>
      <c r="J4" s="19" t="inlineStr">
        <is>
          <t>EwE_TE_noEE</t>
        </is>
      </c>
      <c r="K4" s="19" t="inlineStr">
        <is>
          <t>EwE_TE_EE</t>
        </is>
      </c>
      <c r="L4" s="19" t="inlineStr">
        <is>
          <t>SPPR_2015</t>
        </is>
      </c>
      <c r="M4" s="19" t="inlineStr">
        <is>
          <t>new_TE_noEEfix</t>
        </is>
      </c>
      <c r="N4" s="19" t="inlineStr">
        <is>
          <t>new_TE_EEfix</t>
        </is>
      </c>
      <c r="O4" s="19" t="inlineStr">
        <is>
          <t>new_GE</t>
        </is>
      </c>
      <c r="P4" s="19" t="inlineStr">
        <is>
          <t>new_WithEgestion</t>
        </is>
      </c>
      <c r="Q4" s="19" t="inlineStr">
        <is>
          <t>sym_TE_asPP</t>
        </is>
      </c>
      <c r="R4" s="19" t="inlineStr">
        <is>
          <t>sym_TE_asDC</t>
        </is>
      </c>
      <c r="S4" s="19" t="inlineStr">
        <is>
          <t>sym_GE_asPP</t>
        </is>
      </c>
      <c r="T4" s="19" t="inlineStr">
        <is>
          <t>sym_GE_asDC</t>
        </is>
      </c>
      <c r="U4" s="19" t="inlineStr">
        <is>
          <t>sym_WithEgestion_asPP</t>
        </is>
      </c>
      <c r="V4" s="19" t="inlineStr">
        <is>
          <t>sym_WithEgestion_asDC</t>
        </is>
      </c>
      <c r="W4" s="19" t="inlineStr">
        <is>
          <t>MC_new_GE</t>
        </is>
      </c>
      <c r="X4" s="19" t="inlineStr">
        <is>
          <t>MC_new_TE_EEfix</t>
        </is>
      </c>
    </row>
    <row r="5" ht="21" customHeight="1">
      <c r="A5" t="inlineStr">
        <is>
          <t>Gadus chalcogrammus</t>
        </is>
      </c>
      <c r="B5" t="n">
        <v>3.57</v>
      </c>
      <c r="C5" t="n">
        <v>371.535229</v>
      </c>
      <c r="D5" s="11" t="inlineStr">
        <is>
          <t>Walleye pollock | Juv. pollock</t>
        </is>
      </c>
      <c r="E5" t="n">
        <v>0</v>
      </c>
      <c r="F5" t="n">
        <v>456.532042</v>
      </c>
      <c r="G5" t="n">
        <v>83.5192</v>
      </c>
      <c r="H5" t="n">
        <v>140.257508</v>
      </c>
      <c r="I5" t="n">
        <v>874.701913</v>
      </c>
      <c r="J5" t="n">
        <v>877.262755</v>
      </c>
      <c r="K5" t="n">
        <v>875.9442299999999</v>
      </c>
      <c r="L5" t="n">
        <v>2360.776945</v>
      </c>
      <c r="M5" t="n">
        <v>2360.776945</v>
      </c>
      <c r="N5" t="n">
        <v>2398.372875</v>
      </c>
      <c r="O5" t="n">
        <v>1280.348462</v>
      </c>
      <c r="P5" t="n">
        <v>394.598659</v>
      </c>
      <c r="Q5" t="n">
        <v>2398.372875</v>
      </c>
      <c r="R5" t="n">
        <v>2360.776945</v>
      </c>
      <c r="S5" t="n">
        <v>1280.348462</v>
      </c>
      <c r="T5" t="n">
        <v>1280.348462</v>
      </c>
      <c r="U5" t="n">
        <v>394.598659</v>
      </c>
      <c r="V5" t="n">
        <v>394.598659</v>
      </c>
      <c r="W5" t="n">
        <v>1718.517463</v>
      </c>
      <c r="X5" t="n">
        <v>2542.619715</v>
      </c>
    </row>
    <row r="6" ht="21" customHeight="1">
      <c r="A6" t="inlineStr">
        <is>
          <t>Clupea pallasii</t>
        </is>
      </c>
      <c r="B6" t="n">
        <v>3.16</v>
      </c>
      <c r="C6" t="n">
        <v>144.543977</v>
      </c>
      <c r="D6" s="11" t="inlineStr">
        <is>
          <t>Pacific herring</t>
        </is>
      </c>
      <c r="E6" t="n">
        <v>0</v>
      </c>
      <c r="F6" t="n">
        <v>614.061386</v>
      </c>
      <c r="G6" t="n">
        <v>103.481369</v>
      </c>
      <c r="H6" t="n">
        <v>102.762126</v>
      </c>
      <c r="I6" t="n">
        <v>206.633066</v>
      </c>
      <c r="J6" t="n">
        <v>206.633066</v>
      </c>
      <c r="K6" t="n">
        <v>166.752884</v>
      </c>
      <c r="L6" t="n">
        <v>674.695058</v>
      </c>
      <c r="M6" t="n">
        <v>674.695058</v>
      </c>
      <c r="N6" t="n">
        <v>685.237148</v>
      </c>
      <c r="O6" t="n">
        <v>543.540581</v>
      </c>
      <c r="P6" t="n">
        <v>184.067328</v>
      </c>
      <c r="Q6" t="n">
        <v>685.237148</v>
      </c>
      <c r="R6" t="n">
        <v>674.695058</v>
      </c>
      <c r="S6" t="n">
        <v>543.540581</v>
      </c>
      <c r="T6" t="n">
        <v>543.540581</v>
      </c>
      <c r="U6" t="n">
        <v>184.067328</v>
      </c>
      <c r="V6" t="n">
        <v>184.067328</v>
      </c>
      <c r="W6" t="n">
        <v>701.579329</v>
      </c>
      <c r="X6" t="n">
        <v>748.502657</v>
      </c>
    </row>
    <row r="7" ht="51" customHeight="1">
      <c r="A7" t="inlineStr">
        <is>
          <t>Marine fishes not identified</t>
        </is>
      </c>
      <c r="B7" t="n">
        <v>3.28</v>
      </c>
      <c r="C7" t="n">
        <v>190.546072</v>
      </c>
      <c r="D7" s="11" t="inlineStr">
        <is>
          <t>Other bottom fishes | Other Gadidae | Cottidae | Pleuronectidae</t>
        </is>
      </c>
      <c r="E7" t="n">
        <v>0</v>
      </c>
      <c r="F7" t="n">
        <v>543.741533</v>
      </c>
      <c r="G7" t="n">
        <v>93.693872</v>
      </c>
      <c r="H7" t="n">
        <v>233.024916</v>
      </c>
      <c r="I7" t="n">
        <v>3717.037561</v>
      </c>
      <c r="J7" t="n">
        <v>4576.95571</v>
      </c>
      <c r="K7" t="n">
        <v>1766.478285</v>
      </c>
      <c r="L7" t="n">
        <v>-220473.706559</v>
      </c>
      <c r="M7" t="n">
        <v>-220473.706559</v>
      </c>
      <c r="N7" t="n">
        <v>-224113.066944</v>
      </c>
      <c r="O7" t="n">
        <v>9426.429819000001</v>
      </c>
      <c r="P7" t="n">
        <v>1064.654543</v>
      </c>
      <c r="Q7" t="n">
        <v>-224113.066944</v>
      </c>
      <c r="R7" t="n">
        <v>-220473.706559</v>
      </c>
      <c r="S7" t="n">
        <v>9426.429819000001</v>
      </c>
      <c r="T7" t="n">
        <v>9426.429819000001</v>
      </c>
      <c r="U7" t="n">
        <v>1064.654543</v>
      </c>
      <c r="V7" t="n">
        <v>1064.654543</v>
      </c>
      <c r="W7" t="n">
        <v>33749.645741</v>
      </c>
      <c r="X7" t="n">
        <v>782832.189582</v>
      </c>
    </row>
    <row r="8" ht="21" customHeight="1">
      <c r="A8" t="inlineStr">
        <is>
          <t>Oncorhynchus gorbuscha</t>
        </is>
      </c>
      <c r="B8" t="n">
        <v>4.49</v>
      </c>
      <c r="C8" t="n">
        <v>3090.295433</v>
      </c>
      <c r="D8" s="11" t="inlineStr">
        <is>
          <t>Salmon</t>
        </is>
      </c>
      <c r="E8" t="n">
        <v>0</v>
      </c>
      <c r="F8" t="n">
        <v>537.793674</v>
      </c>
      <c r="G8" t="n">
        <v>94.02452599999999</v>
      </c>
      <c r="H8" t="n">
        <v>104.598466</v>
      </c>
      <c r="I8" t="n">
        <v>157.17606</v>
      </c>
      <c r="J8" t="n">
        <v>157.620728</v>
      </c>
      <c r="K8" t="n">
        <v>47.759081</v>
      </c>
      <c r="L8" t="n">
        <v>685.4069909999999</v>
      </c>
      <c r="M8" t="n">
        <v>685.4069909999999</v>
      </c>
      <c r="N8" t="n">
        <v>696.719298</v>
      </c>
      <c r="O8" t="n">
        <v>75.247908</v>
      </c>
      <c r="P8" t="n">
        <v>24.548027</v>
      </c>
      <c r="Q8" t="n">
        <v>696.719298</v>
      </c>
      <c r="R8" t="n">
        <v>685.4069909999999</v>
      </c>
      <c r="S8" t="n">
        <v>75.247908</v>
      </c>
      <c r="T8" t="n">
        <v>75.247908</v>
      </c>
      <c r="U8" t="n">
        <v>24.548027</v>
      </c>
      <c r="V8" t="n">
        <v>24.548027</v>
      </c>
      <c r="W8" t="n">
        <v>98.758639</v>
      </c>
      <c r="X8" t="n">
        <v>768.315028</v>
      </c>
    </row>
    <row r="9" ht="21" customHeight="1">
      <c r="A9" t="inlineStr">
        <is>
          <t>Sardinops sagax</t>
        </is>
      </c>
      <c r="B9" t="n">
        <v>2.84</v>
      </c>
      <c r="C9" t="n">
        <v>69.183097</v>
      </c>
      <c r="D9" s="11" t="inlineStr">
        <is>
          <t>Pacific Sardine</t>
        </is>
      </c>
      <c r="E9" t="n">
        <v>0</v>
      </c>
      <c r="F9" t="n">
        <v>14.256076</v>
      </c>
      <c r="G9" t="n">
        <v>6.82216</v>
      </c>
      <c r="H9" t="n">
        <v>9.974088999999999</v>
      </c>
      <c r="I9" t="n">
        <v>16.077349</v>
      </c>
      <c r="J9" t="n">
        <v>16.077349</v>
      </c>
      <c r="K9" t="n">
        <v>13.054808</v>
      </c>
      <c r="L9" t="n">
        <v>22.182506</v>
      </c>
      <c r="M9" t="n">
        <v>22.182506</v>
      </c>
      <c r="N9" t="n">
        <v>22.399947</v>
      </c>
      <c r="O9" t="n">
        <v>18.034849</v>
      </c>
      <c r="P9" t="n">
        <v>10.353095</v>
      </c>
      <c r="Q9" t="n">
        <v>22.399947</v>
      </c>
      <c r="R9" t="n">
        <v>22.182506</v>
      </c>
      <c r="S9" t="n">
        <v>18.034849</v>
      </c>
      <c r="T9" t="n">
        <v>18.034849</v>
      </c>
      <c r="U9" t="n">
        <v>10.353095</v>
      </c>
      <c r="V9" t="n">
        <v>10.353095</v>
      </c>
      <c r="W9" t="n">
        <v>20.670316</v>
      </c>
      <c r="X9" t="n">
        <v>23.720116</v>
      </c>
    </row>
    <row r="10" ht="21" customHeight="1">
      <c r="A10" t="inlineStr">
        <is>
          <t>Gadus macrocephalus</t>
        </is>
      </c>
      <c r="B10" t="n">
        <v>4.16</v>
      </c>
      <c r="C10" t="n">
        <v>1445.439771</v>
      </c>
      <c r="D10" s="11" t="inlineStr">
        <is>
          <t>Other Gadidae</t>
        </is>
      </c>
      <c r="E10" t="n">
        <v>0</v>
      </c>
      <c r="F10" t="n">
        <v>707.656366</v>
      </c>
      <c r="G10" t="n">
        <v>114.652683</v>
      </c>
      <c r="H10" t="n">
        <v>277.542915</v>
      </c>
      <c r="I10" t="n">
        <v>7317.526805</v>
      </c>
      <c r="J10" t="n">
        <v>9118.647223</v>
      </c>
      <c r="K10" t="n">
        <v>3191.526528</v>
      </c>
      <c r="L10" t="n">
        <v>-469569.202248</v>
      </c>
      <c r="M10" t="n">
        <v>-469569.202248</v>
      </c>
      <c r="N10" t="n">
        <v>-477319.412817</v>
      </c>
      <c r="O10" t="n">
        <v>17690.132028</v>
      </c>
      <c r="P10" t="n">
        <v>1835.974421</v>
      </c>
      <c r="Q10" t="n">
        <v>-477319.412817</v>
      </c>
      <c r="R10" t="n">
        <v>-469569.202248</v>
      </c>
      <c r="S10" t="n">
        <v>17690.132028</v>
      </c>
      <c r="T10" t="n">
        <v>17690.132028</v>
      </c>
      <c r="U10" t="n">
        <v>1835.974421</v>
      </c>
      <c r="V10" t="n">
        <v>1835.974421</v>
      </c>
      <c r="W10" t="n">
        <v>68000.609192</v>
      </c>
      <c r="X10" t="n">
        <v>1645094.341484</v>
      </c>
    </row>
    <row r="11" ht="21" customHeight="1">
      <c r="A11" t="inlineStr">
        <is>
          <t>Oncorhynchus</t>
        </is>
      </c>
      <c r="B11" t="n">
        <v>3.95</v>
      </c>
      <c r="C11" t="n">
        <v>891.250938</v>
      </c>
      <c r="D11" s="11" t="inlineStr">
        <is>
          <t>Salmon</t>
        </is>
      </c>
      <c r="E11" t="n">
        <v>0</v>
      </c>
      <c r="F11" t="n">
        <v>537.793674</v>
      </c>
      <c r="G11" t="n">
        <v>94.02452599999999</v>
      </c>
      <c r="H11" t="n">
        <v>104.598466</v>
      </c>
      <c r="I11" t="n">
        <v>157.17606</v>
      </c>
      <c r="J11" t="n">
        <v>157.620728</v>
      </c>
      <c r="K11" t="n">
        <v>47.759081</v>
      </c>
      <c r="L11" t="n">
        <v>685.4069909999999</v>
      </c>
      <c r="M11" t="n">
        <v>685.4069909999999</v>
      </c>
      <c r="N11" t="n">
        <v>696.719298</v>
      </c>
      <c r="O11" t="n">
        <v>75.247908</v>
      </c>
      <c r="P11" t="n">
        <v>24.548027</v>
      </c>
      <c r="Q11" t="n">
        <v>696.719298</v>
      </c>
      <c r="R11" t="n">
        <v>685.4069909999999</v>
      </c>
      <c r="S11" t="n">
        <v>75.247908</v>
      </c>
      <c r="T11" t="n">
        <v>75.247908</v>
      </c>
      <c r="U11" t="n">
        <v>24.548027</v>
      </c>
      <c r="V11" t="n">
        <v>24.548027</v>
      </c>
      <c r="W11" t="n">
        <v>98.758639</v>
      </c>
      <c r="X11" t="n">
        <v>768.315028</v>
      </c>
    </row>
    <row r="12" ht="21" customHeight="1">
      <c r="A12" t="inlineStr">
        <is>
          <t>Oncorhynchus keta</t>
        </is>
      </c>
      <c r="B12" t="n">
        <v>3.74</v>
      </c>
      <c r="C12" t="n">
        <v>549.540874</v>
      </c>
      <c r="D12" s="11" t="inlineStr">
        <is>
          <t>Salmon</t>
        </is>
      </c>
      <c r="E12" t="n">
        <v>0</v>
      </c>
      <c r="F12" t="n">
        <v>537.793674</v>
      </c>
      <c r="G12" t="n">
        <v>94.02452599999999</v>
      </c>
      <c r="H12" t="n">
        <v>104.598466</v>
      </c>
      <c r="I12" t="n">
        <v>157.17606</v>
      </c>
      <c r="J12" t="n">
        <v>157.620728</v>
      </c>
      <c r="K12" t="n">
        <v>47.759081</v>
      </c>
      <c r="L12" t="n">
        <v>685.4069909999999</v>
      </c>
      <c r="M12" t="n">
        <v>685.4069909999999</v>
      </c>
      <c r="N12" t="n">
        <v>696.719298</v>
      </c>
      <c r="O12" t="n">
        <v>75.247908</v>
      </c>
      <c r="P12" t="n">
        <v>24.548027</v>
      </c>
      <c r="Q12" t="n">
        <v>696.719298</v>
      </c>
      <c r="R12" t="n">
        <v>685.4069909999999</v>
      </c>
      <c r="S12" t="n">
        <v>75.247908</v>
      </c>
      <c r="T12" t="n">
        <v>75.247908</v>
      </c>
      <c r="U12" t="n">
        <v>24.548027</v>
      </c>
      <c r="V12" t="n">
        <v>24.548027</v>
      </c>
      <c r="W12" t="n">
        <v>98.758639</v>
      </c>
      <c r="X12" t="n">
        <v>768.315028</v>
      </c>
    </row>
    <row r="13" ht="36" customHeight="1">
      <c r="A13" t="inlineStr">
        <is>
          <t>Pleuronectiformes</t>
        </is>
      </c>
      <c r="B13" t="n">
        <v>3.57</v>
      </c>
      <c r="C13" t="n">
        <v>371.535229</v>
      </c>
      <c r="D13" s="11" t="inlineStr">
        <is>
          <t>Pleuronectidae | Other bottom fishes</t>
        </is>
      </c>
      <c r="E13" t="n">
        <v>0</v>
      </c>
      <c r="F13" t="n">
        <v>395.928999</v>
      </c>
      <c r="G13" t="n">
        <v>74.79396699999999</v>
      </c>
      <c r="H13" t="n">
        <v>192.880176</v>
      </c>
      <c r="I13" t="n">
        <v>470.245142</v>
      </c>
      <c r="J13" t="n">
        <v>481.42075</v>
      </c>
      <c r="K13" t="n">
        <v>481.42075</v>
      </c>
      <c r="L13" t="n">
        <v>4151.701848</v>
      </c>
      <c r="M13" t="n">
        <v>4151.701848</v>
      </c>
      <c r="N13" t="n">
        <v>4219.359124</v>
      </c>
      <c r="O13" t="n">
        <v>1974.518741</v>
      </c>
      <c r="P13" t="n">
        <v>369.105866</v>
      </c>
      <c r="Q13" t="n">
        <v>4219.359124</v>
      </c>
      <c r="R13" t="n">
        <v>4151.701848</v>
      </c>
      <c r="S13" t="n">
        <v>1974.518741</v>
      </c>
      <c r="T13" t="n">
        <v>1974.518741</v>
      </c>
      <c r="U13" t="n">
        <v>369.105866</v>
      </c>
      <c r="V13" t="n">
        <v>369.105866</v>
      </c>
      <c r="W13" t="n">
        <v>2863.351982</v>
      </c>
      <c r="X13" t="n">
        <v>5275.022238</v>
      </c>
    </row>
    <row r="14" ht="21" customHeight="1">
      <c r="A14" t="inlineStr">
        <is>
          <t>Paralithodes camtschaticus</t>
        </is>
      </c>
      <c r="B14" t="n">
        <v>3.7</v>
      </c>
      <c r="C14" t="n">
        <v>501.187234</v>
      </c>
      <c r="D14" s="11" t="inlineStr">
        <is>
          <t>Crabs and shrimps</t>
        </is>
      </c>
      <c r="E14" t="n">
        <v>0</v>
      </c>
      <c r="F14" t="n">
        <v>95.896642</v>
      </c>
      <c r="G14" t="n">
        <v>27.047208</v>
      </c>
      <c r="H14" t="n">
        <v>56.071592</v>
      </c>
      <c r="I14" t="n">
        <v>87.690287</v>
      </c>
      <c r="J14" t="n">
        <v>88.352076</v>
      </c>
      <c r="K14" t="n">
        <v>88.352076</v>
      </c>
      <c r="L14" t="n">
        <v>181.735308</v>
      </c>
      <c r="M14" t="n">
        <v>181.735308</v>
      </c>
      <c r="N14" t="n">
        <v>185.151605</v>
      </c>
      <c r="O14" t="n">
        <v>112.940911</v>
      </c>
      <c r="P14" t="n">
        <v>44.389715</v>
      </c>
      <c r="Q14" t="n">
        <v>185.151605</v>
      </c>
      <c r="R14" t="n">
        <v>181.735308</v>
      </c>
      <c r="S14" t="n">
        <v>112.940911</v>
      </c>
      <c r="T14" t="n">
        <v>112.940911</v>
      </c>
      <c r="U14" t="n">
        <v>44.389715</v>
      </c>
      <c r="V14" t="n">
        <v>44.389715</v>
      </c>
      <c r="W14" t="n">
        <v>155.52695</v>
      </c>
      <c r="X14" t="n">
        <v>203.433007</v>
      </c>
    </row>
    <row r="15" ht="21" customHeight="1">
      <c r="A15" t="inlineStr">
        <is>
          <t>Pleurogrammus azonus</t>
        </is>
      </c>
      <c r="B15" t="n">
        <v>3.6</v>
      </c>
      <c r="C15" t="n">
        <v>398.107171</v>
      </c>
      <c r="D15" s="11" t="inlineStr">
        <is>
          <t>Other bottom fishes</t>
        </is>
      </c>
      <c r="E15" t="n">
        <v>0</v>
      </c>
      <c r="F15" t="n">
        <v>458.549467</v>
      </c>
      <c r="G15" t="n">
        <v>83.79409699999999</v>
      </c>
      <c r="H15" t="n">
        <v>218.423557</v>
      </c>
      <c r="I15" t="n">
        <v>526.492157</v>
      </c>
      <c r="J15" t="n">
        <v>541.5331169999999</v>
      </c>
      <c r="K15" t="n">
        <v>541.5331169999999</v>
      </c>
      <c r="L15" t="n">
        <v>4898.328707</v>
      </c>
      <c r="M15" t="n">
        <v>4898.328707</v>
      </c>
      <c r="N15" t="n">
        <v>4977.981343</v>
      </c>
      <c r="O15" t="n">
        <v>2326.130383</v>
      </c>
      <c r="P15" t="n">
        <v>441.451478</v>
      </c>
      <c r="Q15" t="n">
        <v>4977.981343</v>
      </c>
      <c r="R15" t="n">
        <v>4898.328707</v>
      </c>
      <c r="S15" t="n">
        <v>2326.130383</v>
      </c>
      <c r="T15" t="n">
        <v>2326.130383</v>
      </c>
      <c r="U15" t="n">
        <v>441.451478</v>
      </c>
      <c r="V15" t="n">
        <v>441.451478</v>
      </c>
      <c r="W15" t="n">
        <v>3363.787374</v>
      </c>
      <c r="X15" t="n">
        <v>6233.03529</v>
      </c>
    </row>
    <row r="16" ht="21" customHeight="1">
      <c r="A16" t="inlineStr">
        <is>
          <t>Scomber</t>
        </is>
      </c>
      <c r="B16" t="n">
        <v>3.65</v>
      </c>
      <c r="C16" t="n">
        <v>446.683592</v>
      </c>
      <c r="D16" s="11" t="inlineStr">
        <is>
          <t>Unresolved</t>
        </is>
      </c>
    </row>
    <row r="17" ht="21" customHeight="1">
      <c r="A17" t="inlineStr">
        <is>
          <t>Teuthida</t>
        </is>
      </c>
      <c r="B17" t="n">
        <v>4.13</v>
      </c>
      <c r="C17" t="n">
        <v>1348.962883</v>
      </c>
      <c r="D17" s="11" t="inlineStr">
        <is>
          <t>Squids</t>
        </is>
      </c>
      <c r="E17" t="n">
        <v>0</v>
      </c>
      <c r="F17" t="n">
        <v>957.310082</v>
      </c>
      <c r="G17" t="n">
        <v>142.631647</v>
      </c>
      <c r="H17" t="n">
        <v>119.679026</v>
      </c>
      <c r="I17" t="n">
        <v>66.859093</v>
      </c>
      <c r="J17" t="n">
        <v>71.95407</v>
      </c>
      <c r="K17" t="n">
        <v>34.034275</v>
      </c>
      <c r="L17" t="n">
        <v>245.671067</v>
      </c>
      <c r="M17" t="n">
        <v>245.671067</v>
      </c>
      <c r="N17" t="n">
        <v>249.518872</v>
      </c>
      <c r="O17" t="n">
        <v>112.246832</v>
      </c>
      <c r="P17" t="n">
        <v>37.014939</v>
      </c>
      <c r="Q17" t="n">
        <v>249.518872</v>
      </c>
      <c r="R17" t="n">
        <v>245.671067</v>
      </c>
      <c r="S17" t="n">
        <v>112.246832</v>
      </c>
      <c r="T17" t="n">
        <v>112.246832</v>
      </c>
      <c r="U17" t="n">
        <v>37.014939</v>
      </c>
      <c r="V17" t="n">
        <v>37.014939</v>
      </c>
      <c r="W17" t="n">
        <v>147.581283</v>
      </c>
      <c r="X17" t="n">
        <v>273.218985</v>
      </c>
    </row>
    <row r="18" ht="21" customHeight="1">
      <c r="A18" t="inlineStr">
        <is>
          <t>Eleginus gracilis</t>
        </is>
      </c>
      <c r="B18" t="n">
        <v>4.1</v>
      </c>
      <c r="C18" t="n">
        <v>1258.925412</v>
      </c>
      <c r="D18" s="11" t="inlineStr">
        <is>
          <t>Other Gadidae</t>
        </is>
      </c>
      <c r="E18" t="n">
        <v>0</v>
      </c>
      <c r="F18" t="n">
        <v>707.656366</v>
      </c>
      <c r="G18" t="n">
        <v>114.652683</v>
      </c>
      <c r="H18" t="n">
        <v>277.542915</v>
      </c>
      <c r="I18" t="n">
        <v>7317.526805</v>
      </c>
      <c r="J18" t="n">
        <v>9118.647223</v>
      </c>
      <c r="K18" t="n">
        <v>3191.526528</v>
      </c>
      <c r="L18" t="n">
        <v>-469569.202248</v>
      </c>
      <c r="M18" t="n">
        <v>-469569.202248</v>
      </c>
      <c r="N18" t="n">
        <v>-477319.412817</v>
      </c>
      <c r="O18" t="n">
        <v>17690.132028</v>
      </c>
      <c r="P18" t="n">
        <v>1835.974421</v>
      </c>
      <c r="Q18" t="n">
        <v>-477319.412817</v>
      </c>
      <c r="R18" t="n">
        <v>-469569.202248</v>
      </c>
      <c r="S18" t="n">
        <v>17690.132028</v>
      </c>
      <c r="T18" t="n">
        <v>17690.132028</v>
      </c>
      <c r="U18" t="n">
        <v>1835.974421</v>
      </c>
      <c r="V18" t="n">
        <v>1835.974421</v>
      </c>
      <c r="W18" t="n">
        <v>68000.609192</v>
      </c>
      <c r="X18" t="n">
        <v>1645094.341484</v>
      </c>
    </row>
    <row r="19" ht="21" customHeight="1">
      <c r="A19" t="inlineStr">
        <is>
          <t>Ammodytes personatus</t>
        </is>
      </c>
      <c r="B19" t="n">
        <v>3</v>
      </c>
      <c r="C19" t="n">
        <v>100</v>
      </c>
      <c r="D19" s="11" t="inlineStr">
        <is>
          <t>Ammodytidae</t>
        </is>
      </c>
      <c r="E19" t="n">
        <v>0</v>
      </c>
      <c r="F19" t="n">
        <v>100.461579</v>
      </c>
      <c r="G19" t="n">
        <v>27.971595</v>
      </c>
      <c r="H19" t="n">
        <v>31.859625</v>
      </c>
      <c r="I19" t="n">
        <v>94.463189</v>
      </c>
      <c r="J19" t="n">
        <v>94.463189</v>
      </c>
      <c r="K19" t="n">
        <v>47.9873</v>
      </c>
      <c r="L19" t="n">
        <v>92.596847</v>
      </c>
      <c r="M19" t="n">
        <v>92.596847</v>
      </c>
      <c r="N19" t="n">
        <v>94.628894</v>
      </c>
      <c r="O19" t="n">
        <v>29.973178</v>
      </c>
      <c r="P19" t="n">
        <v>17.402106</v>
      </c>
      <c r="Q19" t="n">
        <v>94.628894</v>
      </c>
      <c r="R19" t="n">
        <v>92.596847</v>
      </c>
      <c r="S19" t="n">
        <v>29.973178</v>
      </c>
      <c r="T19" t="n">
        <v>29.973178</v>
      </c>
      <c r="U19" t="n">
        <v>17.402106</v>
      </c>
      <c r="V19" t="n">
        <v>17.402106</v>
      </c>
      <c r="W19" t="n">
        <v>36.807626</v>
      </c>
      <c r="X19" t="n">
        <v>94.424628</v>
      </c>
    </row>
    <row r="20" ht="21" customHeight="1">
      <c r="A20" t="inlineStr">
        <is>
          <t>Todarodes pacificus</t>
        </is>
      </c>
      <c r="B20" t="n">
        <v>4.28</v>
      </c>
      <c r="C20" t="n">
        <v>1905.460718</v>
      </c>
      <c r="D20" s="11" t="inlineStr">
        <is>
          <t>Squids</t>
        </is>
      </c>
      <c r="E20" t="n">
        <v>0</v>
      </c>
      <c r="F20" t="n">
        <v>957.310082</v>
      </c>
      <c r="G20" t="n">
        <v>142.631647</v>
      </c>
      <c r="H20" t="n">
        <v>119.679026</v>
      </c>
      <c r="I20" t="n">
        <v>66.859093</v>
      </c>
      <c r="J20" t="n">
        <v>71.95407</v>
      </c>
      <c r="K20" t="n">
        <v>34.034275</v>
      </c>
      <c r="L20" t="n">
        <v>245.671067</v>
      </c>
      <c r="M20" t="n">
        <v>245.671067</v>
      </c>
      <c r="N20" t="n">
        <v>249.518872</v>
      </c>
      <c r="O20" t="n">
        <v>112.246832</v>
      </c>
      <c r="P20" t="n">
        <v>37.014939</v>
      </c>
      <c r="Q20" t="n">
        <v>249.518872</v>
      </c>
      <c r="R20" t="n">
        <v>245.671067</v>
      </c>
      <c r="S20" t="n">
        <v>112.246832</v>
      </c>
      <c r="T20" t="n">
        <v>112.246832</v>
      </c>
      <c r="U20" t="n">
        <v>37.014939</v>
      </c>
      <c r="V20" t="n">
        <v>37.014939</v>
      </c>
      <c r="W20" t="n">
        <v>147.581283</v>
      </c>
      <c r="X20" t="n">
        <v>273.218985</v>
      </c>
    </row>
    <row r="21" ht="36" customHeight="1">
      <c r="A21" t="inlineStr">
        <is>
          <t>Mollusca</t>
        </is>
      </c>
      <c r="B21" t="n">
        <v>2.1</v>
      </c>
      <c r="C21" t="n">
        <v>12.589254</v>
      </c>
      <c r="D21" s="11" t="inlineStr">
        <is>
          <t>2nd level benthos | Carnivorous invertebrates | Squids</t>
        </is>
      </c>
      <c r="E21" t="n">
        <v>0</v>
      </c>
      <c r="F21" t="n">
        <v>613.145494</v>
      </c>
      <c r="G21" t="n">
        <v>93.49642799999999</v>
      </c>
      <c r="H21" t="n">
        <v>79.05749</v>
      </c>
      <c r="I21" t="n">
        <v>46.128964</v>
      </c>
      <c r="J21" t="n">
        <v>49.33409</v>
      </c>
      <c r="K21" t="n">
        <v>24.34442</v>
      </c>
      <c r="L21" t="n">
        <v>158.383684</v>
      </c>
      <c r="M21" t="n">
        <v>158.383684</v>
      </c>
      <c r="N21" t="n">
        <v>160.889521</v>
      </c>
      <c r="O21" t="n">
        <v>72.75165699999999</v>
      </c>
      <c r="P21" t="n">
        <v>24.743479</v>
      </c>
      <c r="Q21" t="n">
        <v>160.889521</v>
      </c>
      <c r="R21" t="n">
        <v>158.383684</v>
      </c>
      <c r="S21" t="n">
        <v>72.75165699999999</v>
      </c>
      <c r="T21" t="n">
        <v>72.75165699999999</v>
      </c>
      <c r="U21" t="n">
        <v>24.743479</v>
      </c>
      <c r="V21" t="n">
        <v>24.743479</v>
      </c>
      <c r="W21" t="n">
        <v>95.46429999999999</v>
      </c>
      <c r="X21" t="n">
        <v>175.923991</v>
      </c>
    </row>
    <row r="22" ht="21" customHeight="1">
      <c r="A22" t="inlineStr">
        <is>
          <t>Cololabis saira</t>
        </is>
      </c>
      <c r="B22" t="n">
        <v>3.71</v>
      </c>
      <c r="C22" t="n">
        <v>512.861384</v>
      </c>
      <c r="D22" s="11" t="inlineStr">
        <is>
          <t>Unresolved</t>
        </is>
      </c>
    </row>
    <row r="23" ht="21" customHeight="1">
      <c r="A23" t="inlineStr">
        <is>
          <t>Pleurogrammus monopterygius</t>
        </is>
      </c>
      <c r="B23" t="n">
        <v>3.38</v>
      </c>
      <c r="C23" t="n">
        <v>239.883292</v>
      </c>
      <c r="D23" s="11" t="inlineStr">
        <is>
          <t>Other bottom fishes</t>
        </is>
      </c>
      <c r="E23" t="n">
        <v>0</v>
      </c>
      <c r="F23" t="n">
        <v>458.549467</v>
      </c>
      <c r="G23" t="n">
        <v>83.79409699999999</v>
      </c>
      <c r="H23" t="n">
        <v>218.423557</v>
      </c>
      <c r="I23" t="n">
        <v>526.492157</v>
      </c>
      <c r="J23" t="n">
        <v>541.5331169999999</v>
      </c>
      <c r="K23" t="n">
        <v>541.5331169999999</v>
      </c>
      <c r="L23" t="n">
        <v>4898.328707</v>
      </c>
      <c r="M23" t="n">
        <v>4898.328707</v>
      </c>
      <c r="N23" t="n">
        <v>4977.981343</v>
      </c>
      <c r="O23" t="n">
        <v>2326.130383</v>
      </c>
      <c r="P23" t="n">
        <v>441.451478</v>
      </c>
      <c r="Q23" t="n">
        <v>4977.981343</v>
      </c>
      <c r="R23" t="n">
        <v>4898.328707</v>
      </c>
      <c r="S23" t="n">
        <v>2326.130383</v>
      </c>
      <c r="T23" t="n">
        <v>2326.130383</v>
      </c>
      <c r="U23" t="n">
        <v>441.451478</v>
      </c>
      <c r="V23" t="n">
        <v>441.451478</v>
      </c>
      <c r="W23" t="n">
        <v>3363.787374</v>
      </c>
      <c r="X23" t="n">
        <v>6233.03529</v>
      </c>
    </row>
    <row r="24" ht="21" customHeight="1">
      <c r="A24" t="inlineStr">
        <is>
          <t>Oncorhynchus nerka</t>
        </is>
      </c>
      <c r="B24" t="n">
        <v>3.54</v>
      </c>
      <c r="C24" t="n">
        <v>346.73685</v>
      </c>
      <c r="D24" s="11" t="inlineStr">
        <is>
          <t>Salmon</t>
        </is>
      </c>
      <c r="E24" t="n">
        <v>0</v>
      </c>
      <c r="F24" t="n">
        <v>537.793674</v>
      </c>
      <c r="G24" t="n">
        <v>94.02452599999999</v>
      </c>
      <c r="H24" t="n">
        <v>104.598466</v>
      </c>
      <c r="I24" t="n">
        <v>157.17606</v>
      </c>
      <c r="J24" t="n">
        <v>157.620728</v>
      </c>
      <c r="K24" t="n">
        <v>47.759081</v>
      </c>
      <c r="L24" t="n">
        <v>685.4069909999999</v>
      </c>
      <c r="M24" t="n">
        <v>685.4069909999999</v>
      </c>
      <c r="N24" t="n">
        <v>696.719298</v>
      </c>
      <c r="O24" t="n">
        <v>75.247908</v>
      </c>
      <c r="P24" t="n">
        <v>24.548027</v>
      </c>
      <c r="Q24" t="n">
        <v>696.719298</v>
      </c>
      <c r="R24" t="n">
        <v>685.4069909999999</v>
      </c>
      <c r="S24" t="n">
        <v>75.247908</v>
      </c>
      <c r="T24" t="n">
        <v>75.247908</v>
      </c>
      <c r="U24" t="n">
        <v>24.548027</v>
      </c>
      <c r="V24" t="n">
        <v>24.548027</v>
      </c>
      <c r="W24" t="n">
        <v>98.758639</v>
      </c>
      <c r="X24" t="n">
        <v>768.315028</v>
      </c>
    </row>
    <row r="25" ht="21" customHeight="1">
      <c r="A25" t="inlineStr">
        <is>
          <t>Pleuronectidae</t>
        </is>
      </c>
      <c r="B25" t="n">
        <v>3.49</v>
      </c>
      <c r="C25" t="n">
        <v>309.029543</v>
      </c>
      <c r="D25" s="11" t="inlineStr">
        <is>
          <t>Pleuronectidae</t>
        </is>
      </c>
      <c r="E25" t="n">
        <v>0</v>
      </c>
      <c r="F25" t="n">
        <v>233.24334</v>
      </c>
      <c r="G25" t="n">
        <v>51.41196</v>
      </c>
      <c r="H25" t="n">
        <v>126.519418</v>
      </c>
      <c r="I25" t="n">
        <v>324.117476</v>
      </c>
      <c r="J25" t="n">
        <v>325.251045</v>
      </c>
      <c r="K25" t="n">
        <v>325.251045</v>
      </c>
      <c r="L25" t="n">
        <v>2211.992883</v>
      </c>
      <c r="M25" t="n">
        <v>2211.992883</v>
      </c>
      <c r="N25" t="n">
        <v>2248.486658</v>
      </c>
      <c r="O25" t="n">
        <v>1061.044702</v>
      </c>
      <c r="P25" t="n">
        <v>181.154642</v>
      </c>
      <c r="Q25" t="n">
        <v>2248.486658</v>
      </c>
      <c r="R25" t="n">
        <v>2211.992883</v>
      </c>
      <c r="S25" t="n">
        <v>1061.044702</v>
      </c>
      <c r="T25" t="n">
        <v>1061.044702</v>
      </c>
      <c r="U25" t="n">
        <v>181.154642</v>
      </c>
      <c r="V25" t="n">
        <v>181.154642</v>
      </c>
      <c r="W25" t="n">
        <v>1563.239343</v>
      </c>
      <c r="X25" t="n">
        <v>2786.139764</v>
      </c>
    </row>
    <row r="26" ht="21" customHeight="1">
      <c r="A26" t="inlineStr">
        <is>
          <t>Mallotus villosus</t>
        </is>
      </c>
      <c r="B26" t="n">
        <v>3.15</v>
      </c>
      <c r="C26" t="n">
        <v>141.253754</v>
      </c>
      <c r="D26" s="11" t="inlineStr">
        <is>
          <t>Capelin</t>
        </is>
      </c>
      <c r="E26" t="n">
        <v>0</v>
      </c>
      <c r="F26" t="n">
        <v>260.615355</v>
      </c>
      <c r="G26" t="n">
        <v>55.704276</v>
      </c>
      <c r="H26" t="n">
        <v>66.983902</v>
      </c>
      <c r="I26" t="n">
        <v>104.246048</v>
      </c>
      <c r="J26" t="n">
        <v>104.246048</v>
      </c>
      <c r="K26" t="n">
        <v>83.501085</v>
      </c>
      <c r="L26" t="n">
        <v>284.82933</v>
      </c>
      <c r="M26" t="n">
        <v>284.82933</v>
      </c>
      <c r="N26" t="n">
        <v>289.283341</v>
      </c>
      <c r="O26" t="n">
        <v>227.729646</v>
      </c>
      <c r="P26" t="n">
        <v>82.51450199999999</v>
      </c>
      <c r="Q26" t="n">
        <v>289.283341</v>
      </c>
      <c r="R26" t="n">
        <v>284.82933</v>
      </c>
      <c r="S26" t="n">
        <v>227.729646</v>
      </c>
      <c r="T26" t="n">
        <v>227.729646</v>
      </c>
      <c r="U26" t="n">
        <v>82.51450199999999</v>
      </c>
      <c r="V26" t="n">
        <v>82.51450199999999</v>
      </c>
      <c r="W26" t="n">
        <v>299.605637</v>
      </c>
      <c r="X26" t="n">
        <v>310.178266</v>
      </c>
    </row>
    <row r="27" ht="21" customHeight="1">
      <c r="A27" t="inlineStr">
        <is>
          <t>Miscellaneous marine crustaceans</t>
        </is>
      </c>
      <c r="B27" t="n">
        <v>2.7</v>
      </c>
      <c r="C27" t="n">
        <v>50.118723</v>
      </c>
      <c r="D27" s="11" t="inlineStr">
        <is>
          <t>Crabs and shrimps</t>
        </is>
      </c>
      <c r="E27" t="n">
        <v>0</v>
      </c>
      <c r="F27" t="n">
        <v>95.896642</v>
      </c>
      <c r="G27" t="n">
        <v>27.047208</v>
      </c>
      <c r="H27" t="n">
        <v>56.071592</v>
      </c>
      <c r="I27" t="n">
        <v>87.690287</v>
      </c>
      <c r="J27" t="n">
        <v>88.352076</v>
      </c>
      <c r="K27" t="n">
        <v>88.352076</v>
      </c>
      <c r="L27" t="n">
        <v>181.735308</v>
      </c>
      <c r="M27" t="n">
        <v>181.735308</v>
      </c>
      <c r="N27" t="n">
        <v>185.151605</v>
      </c>
      <c r="O27" t="n">
        <v>112.940911</v>
      </c>
      <c r="P27" t="n">
        <v>44.389715</v>
      </c>
      <c r="Q27" t="n">
        <v>185.151605</v>
      </c>
      <c r="R27" t="n">
        <v>181.735308</v>
      </c>
      <c r="S27" t="n">
        <v>112.940911</v>
      </c>
      <c r="T27" t="n">
        <v>112.940911</v>
      </c>
      <c r="U27" t="n">
        <v>44.389715</v>
      </c>
      <c r="V27" t="n">
        <v>44.389715</v>
      </c>
      <c r="W27" t="n">
        <v>155.52695</v>
      </c>
      <c r="X27" t="n">
        <v>203.433007</v>
      </c>
    </row>
    <row r="28" ht="21" customHeight="1">
      <c r="A28" t="inlineStr">
        <is>
          <t>Scomber japonicus</t>
        </is>
      </c>
      <c r="B28" t="n">
        <v>3.38</v>
      </c>
      <c r="C28" t="n">
        <v>239.883292</v>
      </c>
      <c r="D28" s="11" t="inlineStr">
        <is>
          <t>Unresolved</t>
        </is>
      </c>
    </row>
    <row r="29" ht="21" customHeight="1">
      <c r="A29" t="inlineStr">
        <is>
          <t>Pectinidae</t>
        </is>
      </c>
      <c r="B29" t="n">
        <v>2</v>
      </c>
      <c r="C29" t="n">
        <v>10</v>
      </c>
      <c r="D29" s="11" t="inlineStr">
        <is>
          <t>2nd level benthos</t>
        </is>
      </c>
      <c r="E29" t="n">
        <v>0</v>
      </c>
      <c r="F29" t="n">
        <v>10</v>
      </c>
      <c r="G29" t="n">
        <v>5.280025</v>
      </c>
      <c r="H29" t="n">
        <v>5.280025</v>
      </c>
      <c r="I29" t="n">
        <v>4.25396</v>
      </c>
      <c r="J29" t="n">
        <v>4.25396</v>
      </c>
      <c r="K29" t="n">
        <v>2.190789</v>
      </c>
      <c r="L29" t="n">
        <v>4.011903</v>
      </c>
      <c r="M29" t="n">
        <v>4.011903</v>
      </c>
      <c r="N29" t="n">
        <v>4.101044</v>
      </c>
      <c r="O29" t="n">
        <v>2.575732</v>
      </c>
      <c r="P29" t="n">
        <v>2.017588</v>
      </c>
      <c r="Q29" t="n">
        <v>4.101044</v>
      </c>
      <c r="R29" t="n">
        <v>4.011903</v>
      </c>
      <c r="S29" t="n">
        <v>2.575732</v>
      </c>
      <c r="T29" t="n">
        <v>2.575732</v>
      </c>
      <c r="U29" t="n">
        <v>2.017588</v>
      </c>
      <c r="V29" t="n">
        <v>2.017588</v>
      </c>
      <c r="W29" t="n">
        <v>3.13337</v>
      </c>
      <c r="X29" t="n">
        <v>4.076903</v>
      </c>
    </row>
    <row r="30" ht="21" customHeight="1">
      <c r="A30" t="inlineStr">
        <is>
          <t>Moridae</t>
        </is>
      </c>
      <c r="B30" t="n">
        <v>3.87</v>
      </c>
      <c r="C30" t="n">
        <v>741.310241</v>
      </c>
      <c r="D30" s="11" t="inlineStr">
        <is>
          <t>Other bottom fishes</t>
        </is>
      </c>
      <c r="E30" t="n">
        <v>0</v>
      </c>
      <c r="F30" t="n">
        <v>458.549467</v>
      </c>
      <c r="G30" t="n">
        <v>83.79409699999999</v>
      </c>
      <c r="H30" t="n">
        <v>218.423557</v>
      </c>
      <c r="I30" t="n">
        <v>526.492157</v>
      </c>
      <c r="J30" t="n">
        <v>541.5331169999999</v>
      </c>
      <c r="K30" t="n">
        <v>541.5331169999999</v>
      </c>
      <c r="L30" t="n">
        <v>4898.328707</v>
      </c>
      <c r="M30" t="n">
        <v>4898.328707</v>
      </c>
      <c r="N30" t="n">
        <v>4977.981343</v>
      </c>
      <c r="O30" t="n">
        <v>2326.130383</v>
      </c>
      <c r="P30" t="n">
        <v>441.451478</v>
      </c>
      <c r="Q30" t="n">
        <v>4977.981343</v>
      </c>
      <c r="R30" t="n">
        <v>4898.328707</v>
      </c>
      <c r="S30" t="n">
        <v>2326.130383</v>
      </c>
      <c r="T30" t="n">
        <v>2326.130383</v>
      </c>
      <c r="U30" t="n">
        <v>441.451478</v>
      </c>
      <c r="V30" t="n">
        <v>441.451478</v>
      </c>
      <c r="W30" t="n">
        <v>3363.787374</v>
      </c>
      <c r="X30" t="n">
        <v>6233.03529</v>
      </c>
    </row>
    <row r="31" ht="21" customHeight="1">
      <c r="A31" t="inlineStr">
        <is>
          <t>Engraulis japonicus</t>
        </is>
      </c>
      <c r="B31" t="n">
        <v>3.14</v>
      </c>
      <c r="C31" t="n">
        <v>138.038426</v>
      </c>
      <c r="D31" s="11" t="inlineStr">
        <is>
          <t>Unresolved</t>
        </is>
      </c>
    </row>
    <row r="32" ht="21" customHeight="1">
      <c r="A32" t="inlineStr">
        <is>
          <t>Laemonema longipes</t>
        </is>
      </c>
      <c r="B32" t="n">
        <v>3.24</v>
      </c>
      <c r="C32" t="n">
        <v>173.780083</v>
      </c>
      <c r="D32" s="11" t="inlineStr">
        <is>
          <t>Other bottom fishes</t>
        </is>
      </c>
      <c r="E32" t="n">
        <v>0</v>
      </c>
      <c r="F32" t="n">
        <v>458.549467</v>
      </c>
      <c r="G32" t="n">
        <v>83.79409699999999</v>
      </c>
      <c r="H32" t="n">
        <v>218.423557</v>
      </c>
      <c r="I32" t="n">
        <v>526.492157</v>
      </c>
      <c r="J32" t="n">
        <v>541.5331169999999</v>
      </c>
      <c r="K32" t="n">
        <v>541.5331169999999</v>
      </c>
      <c r="L32" t="n">
        <v>4898.328707</v>
      </c>
      <c r="M32" t="n">
        <v>4898.328707</v>
      </c>
      <c r="N32" t="n">
        <v>4977.981343</v>
      </c>
      <c r="O32" t="n">
        <v>2326.130383</v>
      </c>
      <c r="P32" t="n">
        <v>441.451478</v>
      </c>
      <c r="Q32" t="n">
        <v>4977.981343</v>
      </c>
      <c r="R32" t="n">
        <v>4898.328707</v>
      </c>
      <c r="S32" t="n">
        <v>2326.130383</v>
      </c>
      <c r="T32" t="n">
        <v>2326.130383</v>
      </c>
      <c r="U32" t="n">
        <v>441.451478</v>
      </c>
      <c r="V32" t="n">
        <v>441.451478</v>
      </c>
      <c r="W32" t="n">
        <v>3363.787374</v>
      </c>
      <c r="X32" t="n">
        <v>6233.03529</v>
      </c>
    </row>
    <row r="33" ht="21" customHeight="1">
      <c r="A33" t="inlineStr">
        <is>
          <t>Chionoecetes</t>
        </is>
      </c>
      <c r="B33" t="n">
        <v>2.3</v>
      </c>
      <c r="C33" t="n">
        <v>19.952623</v>
      </c>
      <c r="D33" s="11" t="inlineStr">
        <is>
          <t>Crabs and shrimps</t>
        </is>
      </c>
      <c r="E33" t="n">
        <v>0</v>
      </c>
      <c r="F33" t="n">
        <v>95.896642</v>
      </c>
      <c r="G33" t="n">
        <v>27.047208</v>
      </c>
      <c r="H33" t="n">
        <v>56.071592</v>
      </c>
      <c r="I33" t="n">
        <v>87.690287</v>
      </c>
      <c r="J33" t="n">
        <v>88.352076</v>
      </c>
      <c r="K33" t="n">
        <v>88.352076</v>
      </c>
      <c r="L33" t="n">
        <v>181.735308</v>
      </c>
      <c r="M33" t="n">
        <v>181.735308</v>
      </c>
      <c r="N33" t="n">
        <v>185.151605</v>
      </c>
      <c r="O33" t="n">
        <v>112.940911</v>
      </c>
      <c r="P33" t="n">
        <v>44.389715</v>
      </c>
      <c r="Q33" t="n">
        <v>185.151605</v>
      </c>
      <c r="R33" t="n">
        <v>181.735308</v>
      </c>
      <c r="S33" t="n">
        <v>112.940911</v>
      </c>
      <c r="T33" t="n">
        <v>112.940911</v>
      </c>
      <c r="U33" t="n">
        <v>44.389715</v>
      </c>
      <c r="V33" t="n">
        <v>44.389715</v>
      </c>
      <c r="W33" t="n">
        <v>155.52695</v>
      </c>
      <c r="X33" t="n">
        <v>203.433007</v>
      </c>
    </row>
    <row r="34" ht="21" customHeight="1">
      <c r="A34" t="inlineStr">
        <is>
          <t>Oncorhynchus kisutch</t>
        </is>
      </c>
      <c r="B34" t="n">
        <v>4.22</v>
      </c>
      <c r="C34" t="n">
        <v>1659.586907</v>
      </c>
      <c r="D34" s="11" t="inlineStr">
        <is>
          <t>Salmon</t>
        </is>
      </c>
      <c r="E34" t="n">
        <v>0</v>
      </c>
      <c r="F34" t="n">
        <v>537.793674</v>
      </c>
      <c r="G34" t="n">
        <v>94.02452599999999</v>
      </c>
      <c r="H34" t="n">
        <v>104.598466</v>
      </c>
      <c r="I34" t="n">
        <v>157.17606</v>
      </c>
      <c r="J34" t="n">
        <v>157.620728</v>
      </c>
      <c r="K34" t="n">
        <v>47.759081</v>
      </c>
      <c r="L34" t="n">
        <v>685.4069909999999</v>
      </c>
      <c r="M34" t="n">
        <v>685.4069909999999</v>
      </c>
      <c r="N34" t="n">
        <v>696.719298</v>
      </c>
      <c r="O34" t="n">
        <v>75.247908</v>
      </c>
      <c r="P34" t="n">
        <v>24.548027</v>
      </c>
      <c r="Q34" t="n">
        <v>696.719298</v>
      </c>
      <c r="R34" t="n">
        <v>685.4069909999999</v>
      </c>
      <c r="S34" t="n">
        <v>75.247908</v>
      </c>
      <c r="T34" t="n">
        <v>75.247908</v>
      </c>
      <c r="U34" t="n">
        <v>24.548027</v>
      </c>
      <c r="V34" t="n">
        <v>24.548027</v>
      </c>
      <c r="W34" t="n">
        <v>98.758639</v>
      </c>
      <c r="X34" t="n">
        <v>768.315028</v>
      </c>
    </row>
    <row r="35" ht="21" customHeight="1">
      <c r="A35" t="inlineStr">
        <is>
          <t>Chionoecetes opilio</t>
        </is>
      </c>
      <c r="B35" t="n">
        <v>3.54</v>
      </c>
      <c r="C35" t="n">
        <v>346.73685</v>
      </c>
      <c r="D35" s="11" t="inlineStr">
        <is>
          <t>Crabs and shrimps</t>
        </is>
      </c>
      <c r="E35" t="n">
        <v>0</v>
      </c>
      <c r="F35" t="n">
        <v>95.896642</v>
      </c>
      <c r="G35" t="n">
        <v>27.047208</v>
      </c>
      <c r="H35" t="n">
        <v>56.071592</v>
      </c>
      <c r="I35" t="n">
        <v>87.690287</v>
      </c>
      <c r="J35" t="n">
        <v>88.352076</v>
      </c>
      <c r="K35" t="n">
        <v>88.352076</v>
      </c>
      <c r="L35" t="n">
        <v>181.735308</v>
      </c>
      <c r="M35" t="n">
        <v>181.735308</v>
      </c>
      <c r="N35" t="n">
        <v>185.151605</v>
      </c>
      <c r="O35" t="n">
        <v>112.940911</v>
      </c>
      <c r="P35" t="n">
        <v>44.389715</v>
      </c>
      <c r="Q35" t="n">
        <v>185.151605</v>
      </c>
      <c r="R35" t="n">
        <v>181.735308</v>
      </c>
      <c r="S35" t="n">
        <v>112.940911</v>
      </c>
      <c r="T35" t="n">
        <v>112.940911</v>
      </c>
      <c r="U35" t="n">
        <v>44.389715</v>
      </c>
      <c r="V35" t="n">
        <v>44.389715</v>
      </c>
      <c r="W35" t="n">
        <v>155.52695</v>
      </c>
      <c r="X35" t="n">
        <v>203.433007</v>
      </c>
    </row>
    <row r="36" ht="21" customHeight="1">
      <c r="A36" t="inlineStr">
        <is>
          <t>Bivalvia</t>
        </is>
      </c>
      <c r="B36" t="n">
        <v>2.23</v>
      </c>
      <c r="C36" t="n">
        <v>16.982437</v>
      </c>
      <c r="D36" s="11" t="inlineStr">
        <is>
          <t>2nd level benthos</t>
        </is>
      </c>
      <c r="E36" t="n">
        <v>0</v>
      </c>
      <c r="F36" t="n">
        <v>10</v>
      </c>
      <c r="G36" t="n">
        <v>5.280025</v>
      </c>
      <c r="H36" t="n">
        <v>5.280025</v>
      </c>
      <c r="I36" t="n">
        <v>4.25396</v>
      </c>
      <c r="J36" t="n">
        <v>4.25396</v>
      </c>
      <c r="K36" t="n">
        <v>2.190789</v>
      </c>
      <c r="L36" t="n">
        <v>4.011903</v>
      </c>
      <c r="M36" t="n">
        <v>4.011903</v>
      </c>
      <c r="N36" t="n">
        <v>4.101044</v>
      </c>
      <c r="O36" t="n">
        <v>2.575732</v>
      </c>
      <c r="P36" t="n">
        <v>2.017588</v>
      </c>
      <c r="Q36" t="n">
        <v>4.101044</v>
      </c>
      <c r="R36" t="n">
        <v>4.011903</v>
      </c>
      <c r="S36" t="n">
        <v>2.575732</v>
      </c>
      <c r="T36" t="n">
        <v>2.575732</v>
      </c>
      <c r="U36" t="n">
        <v>2.017588</v>
      </c>
      <c r="V36" t="n">
        <v>2.017588</v>
      </c>
      <c r="W36" t="n">
        <v>3.13337</v>
      </c>
      <c r="X36" t="n">
        <v>4.076903</v>
      </c>
    </row>
    <row r="37" ht="21" customHeight="1">
      <c r="A37" t="inlineStr">
        <is>
          <t>Atheresthes evermanni</t>
        </is>
      </c>
      <c r="B37" t="n">
        <v>4.3</v>
      </c>
      <c r="C37" t="n">
        <v>1995.262315</v>
      </c>
      <c r="D37" s="11" t="inlineStr">
        <is>
          <t>Pleuronectidae</t>
        </is>
      </c>
      <c r="E37" t="n">
        <v>0</v>
      </c>
      <c r="F37" t="n">
        <v>233.24334</v>
      </c>
      <c r="G37" t="n">
        <v>51.41196</v>
      </c>
      <c r="H37" t="n">
        <v>126.519418</v>
      </c>
      <c r="I37" t="n">
        <v>324.117476</v>
      </c>
      <c r="J37" t="n">
        <v>325.251045</v>
      </c>
      <c r="K37" t="n">
        <v>325.251045</v>
      </c>
      <c r="L37" t="n">
        <v>2211.992883</v>
      </c>
      <c r="M37" t="n">
        <v>2211.992883</v>
      </c>
      <c r="N37" t="n">
        <v>2248.486658</v>
      </c>
      <c r="O37" t="n">
        <v>1061.044702</v>
      </c>
      <c r="P37" t="n">
        <v>181.154642</v>
      </c>
      <c r="Q37" t="n">
        <v>2248.486658</v>
      </c>
      <c r="R37" t="n">
        <v>2211.992883</v>
      </c>
      <c r="S37" t="n">
        <v>1061.044702</v>
      </c>
      <c r="T37" t="n">
        <v>1061.044702</v>
      </c>
      <c r="U37" t="n">
        <v>181.154642</v>
      </c>
      <c r="V37" t="n">
        <v>181.154642</v>
      </c>
      <c r="W37" t="n">
        <v>1563.239343</v>
      </c>
      <c r="X37" t="n">
        <v>2786.139764</v>
      </c>
    </row>
    <row r="38" ht="21" customHeight="1">
      <c r="A38" t="inlineStr">
        <is>
          <t>Batoidea</t>
        </is>
      </c>
      <c r="B38" t="n">
        <v>3.72</v>
      </c>
      <c r="C38" t="n">
        <v>524.80746</v>
      </c>
      <c r="D38" s="11" t="inlineStr">
        <is>
          <t>Unresolved</t>
        </is>
      </c>
    </row>
    <row r="39" ht="21" customHeight="1">
      <c r="A39" t="inlineStr">
        <is>
          <t>Osmeridae</t>
        </is>
      </c>
      <c r="B39" t="n">
        <v>3.46</v>
      </c>
      <c r="C39" t="n">
        <v>288.40315</v>
      </c>
      <c r="D39" s="11" t="inlineStr">
        <is>
          <t>Unresolved</t>
        </is>
      </c>
    </row>
    <row r="40" ht="21" customHeight="1">
      <c r="A40" t="inlineStr">
        <is>
          <t>Hippoglossus stenolepis</t>
        </is>
      </c>
      <c r="B40" t="n">
        <v>4.14</v>
      </c>
      <c r="C40" t="n">
        <v>1380.384265</v>
      </c>
      <c r="D40" s="11" t="inlineStr">
        <is>
          <t>Pleuronectidae</t>
        </is>
      </c>
      <c r="E40" t="n">
        <v>0</v>
      </c>
      <c r="F40" t="n">
        <v>233.24334</v>
      </c>
      <c r="G40" t="n">
        <v>51.41196</v>
      </c>
      <c r="H40" t="n">
        <v>126.519418</v>
      </c>
      <c r="I40" t="n">
        <v>324.117476</v>
      </c>
      <c r="J40" t="n">
        <v>325.251045</v>
      </c>
      <c r="K40" t="n">
        <v>325.251045</v>
      </c>
      <c r="L40" t="n">
        <v>2211.992883</v>
      </c>
      <c r="M40" t="n">
        <v>2211.992883</v>
      </c>
      <c r="N40" t="n">
        <v>2248.486658</v>
      </c>
      <c r="O40" t="n">
        <v>1061.044702</v>
      </c>
      <c r="P40" t="n">
        <v>181.154642</v>
      </c>
      <c r="Q40" t="n">
        <v>2248.486658</v>
      </c>
      <c r="R40" t="n">
        <v>2211.992883</v>
      </c>
      <c r="S40" t="n">
        <v>1061.044702</v>
      </c>
      <c r="T40" t="n">
        <v>1061.044702</v>
      </c>
      <c r="U40" t="n">
        <v>181.154642</v>
      </c>
      <c r="V40" t="n">
        <v>181.154642</v>
      </c>
      <c r="W40" t="n">
        <v>1563.239343</v>
      </c>
      <c r="X40" t="n">
        <v>2786.139764</v>
      </c>
    </row>
    <row r="41" ht="21" customHeight="1">
      <c r="A41" t="inlineStr">
        <is>
          <t>Sebastidae</t>
        </is>
      </c>
      <c r="B41" t="n">
        <v>3.74</v>
      </c>
      <c r="C41" t="n">
        <v>549.540874</v>
      </c>
      <c r="D41" s="11" t="inlineStr">
        <is>
          <t>Other bottom fishes</t>
        </is>
      </c>
      <c r="E41" t="n">
        <v>0</v>
      </c>
      <c r="F41" t="n">
        <v>458.549467</v>
      </c>
      <c r="G41" t="n">
        <v>83.79409699999999</v>
      </c>
      <c r="H41" t="n">
        <v>218.423557</v>
      </c>
      <c r="I41" t="n">
        <v>526.492157</v>
      </c>
      <c r="J41" t="n">
        <v>541.5331169999999</v>
      </c>
      <c r="K41" t="n">
        <v>541.5331169999999</v>
      </c>
      <c r="L41" t="n">
        <v>4898.328707</v>
      </c>
      <c r="M41" t="n">
        <v>4898.328707</v>
      </c>
      <c r="N41" t="n">
        <v>4977.981343</v>
      </c>
      <c r="O41" t="n">
        <v>2326.130383</v>
      </c>
      <c r="P41" t="n">
        <v>441.451478</v>
      </c>
      <c r="Q41" t="n">
        <v>4977.981343</v>
      </c>
      <c r="R41" t="n">
        <v>4898.328707</v>
      </c>
      <c r="S41" t="n">
        <v>2326.130383</v>
      </c>
      <c r="T41" t="n">
        <v>2326.130383</v>
      </c>
      <c r="U41" t="n">
        <v>441.451478</v>
      </c>
      <c r="V41" t="n">
        <v>441.451478</v>
      </c>
      <c r="W41" t="n">
        <v>3363.787374</v>
      </c>
      <c r="X41" t="n">
        <v>6233.03529</v>
      </c>
    </row>
    <row r="42" ht="21" customHeight="1">
      <c r="A42" t="inlineStr">
        <is>
          <t>Decapoda</t>
        </is>
      </c>
      <c r="B42" t="n">
        <v>3.43</v>
      </c>
      <c r="C42" t="n">
        <v>269.15348</v>
      </c>
      <c r="D42" s="11" t="inlineStr">
        <is>
          <t>Crabs and shrimps</t>
        </is>
      </c>
      <c r="E42" t="n">
        <v>0</v>
      </c>
      <c r="F42" t="n">
        <v>95.896642</v>
      </c>
      <c r="G42" t="n">
        <v>27.047208</v>
      </c>
      <c r="H42" t="n">
        <v>56.071592</v>
      </c>
      <c r="I42" t="n">
        <v>87.690287</v>
      </c>
      <c r="J42" t="n">
        <v>88.352076</v>
      </c>
      <c r="K42" t="n">
        <v>88.352076</v>
      </c>
      <c r="L42" t="n">
        <v>181.735308</v>
      </c>
      <c r="M42" t="n">
        <v>181.735308</v>
      </c>
      <c r="N42" t="n">
        <v>185.151605</v>
      </c>
      <c r="O42" t="n">
        <v>112.940911</v>
      </c>
      <c r="P42" t="n">
        <v>44.389715</v>
      </c>
      <c r="Q42" t="n">
        <v>185.151605</v>
      </c>
      <c r="R42" t="n">
        <v>181.735308</v>
      </c>
      <c r="S42" t="n">
        <v>112.940911</v>
      </c>
      <c r="T42" t="n">
        <v>112.940911</v>
      </c>
      <c r="U42" t="n">
        <v>44.389715</v>
      </c>
      <c r="V42" t="n">
        <v>44.389715</v>
      </c>
      <c r="W42" t="n">
        <v>155.52695</v>
      </c>
      <c r="X42" t="n">
        <v>203.433007</v>
      </c>
    </row>
    <row r="43" ht="21" customHeight="1">
      <c r="A43" t="inlineStr">
        <is>
          <t>Octopoda</t>
        </is>
      </c>
      <c r="B43" t="n">
        <v>3.58</v>
      </c>
      <c r="C43" t="n">
        <v>380.189396</v>
      </c>
      <c r="D43" s="11" t="inlineStr">
        <is>
          <t>Carnivorous invertebrates</t>
        </is>
      </c>
      <c r="E43" t="n">
        <v>0</v>
      </c>
      <c r="F43" t="n">
        <v>100</v>
      </c>
      <c r="G43" t="n">
        <v>27.878664</v>
      </c>
      <c r="H43" t="n">
        <v>27.878664</v>
      </c>
      <c r="I43" t="n">
        <v>35.33173</v>
      </c>
      <c r="J43" t="n">
        <v>35.33173</v>
      </c>
      <c r="K43" t="n">
        <v>28.654033</v>
      </c>
      <c r="L43" t="n">
        <v>33.321302</v>
      </c>
      <c r="M43" t="n">
        <v>33.321302</v>
      </c>
      <c r="N43" t="n">
        <v>34.061672</v>
      </c>
      <c r="O43" t="n">
        <v>17.349743</v>
      </c>
      <c r="P43" t="n">
        <v>10.872137</v>
      </c>
      <c r="Q43" t="n">
        <v>34.061672</v>
      </c>
      <c r="R43" t="n">
        <v>33.321302</v>
      </c>
      <c r="S43" t="n">
        <v>17.349743</v>
      </c>
      <c r="T43" t="n">
        <v>17.349743</v>
      </c>
      <c r="U43" t="n">
        <v>10.872137</v>
      </c>
      <c r="V43" t="n">
        <v>10.872137</v>
      </c>
      <c r="W43" t="n">
        <v>21.371774</v>
      </c>
      <c r="X43" t="n">
        <v>35.712118</v>
      </c>
    </row>
    <row r="44" ht="21" customHeight="1">
      <c r="A44" t="inlineStr">
        <is>
          <t>Anoplopoma fimbria</t>
        </is>
      </c>
      <c r="B44" t="n">
        <v>3.84</v>
      </c>
      <c r="C44" t="n">
        <v>691.830971</v>
      </c>
      <c r="D44" s="11" t="inlineStr">
        <is>
          <t>Other bottom fishes</t>
        </is>
      </c>
      <c r="E44" t="n">
        <v>0</v>
      </c>
      <c r="F44" t="n">
        <v>458.549467</v>
      </c>
      <c r="G44" t="n">
        <v>83.79409699999999</v>
      </c>
      <c r="H44" t="n">
        <v>218.423557</v>
      </c>
      <c r="I44" t="n">
        <v>526.492157</v>
      </c>
      <c r="J44" t="n">
        <v>541.5331169999999</v>
      </c>
      <c r="K44" t="n">
        <v>541.5331169999999</v>
      </c>
      <c r="L44" t="n">
        <v>4898.328707</v>
      </c>
      <c r="M44" t="n">
        <v>4898.328707</v>
      </c>
      <c r="N44" t="n">
        <v>4977.981343</v>
      </c>
      <c r="O44" t="n">
        <v>2326.130383</v>
      </c>
      <c r="P44" t="n">
        <v>441.451478</v>
      </c>
      <c r="Q44" t="n">
        <v>4977.981343</v>
      </c>
      <c r="R44" t="n">
        <v>4898.328707</v>
      </c>
      <c r="S44" t="n">
        <v>2326.130383</v>
      </c>
      <c r="T44" t="n">
        <v>2326.130383</v>
      </c>
      <c r="U44" t="n">
        <v>441.451478</v>
      </c>
      <c r="V44" t="n">
        <v>441.451478</v>
      </c>
      <c r="W44" t="n">
        <v>3363.787374</v>
      </c>
      <c r="X44" t="n">
        <v>6233.03529</v>
      </c>
    </row>
    <row r="45" ht="21" customHeight="1">
      <c r="A45" t="inlineStr">
        <is>
          <t>Reinhardtius hippoglossoides</t>
        </is>
      </c>
      <c r="B45" t="n">
        <v>4.38</v>
      </c>
      <c r="C45" t="n">
        <v>2398.832919</v>
      </c>
      <c r="D45" s="11" t="inlineStr">
        <is>
          <t>Pleuronectidae</t>
        </is>
      </c>
      <c r="E45" t="n">
        <v>0</v>
      </c>
      <c r="F45" t="n">
        <v>233.24334</v>
      </c>
      <c r="G45" t="n">
        <v>51.41196</v>
      </c>
      <c r="H45" t="n">
        <v>126.519418</v>
      </c>
      <c r="I45" t="n">
        <v>324.117476</v>
      </c>
      <c r="J45" t="n">
        <v>325.251045</v>
      </c>
      <c r="K45" t="n">
        <v>325.251045</v>
      </c>
      <c r="L45" t="n">
        <v>2211.992883</v>
      </c>
      <c r="M45" t="n">
        <v>2211.992883</v>
      </c>
      <c r="N45" t="n">
        <v>2248.486658</v>
      </c>
      <c r="O45" t="n">
        <v>1061.044702</v>
      </c>
      <c r="P45" t="n">
        <v>181.154642</v>
      </c>
      <c r="Q45" t="n">
        <v>2248.486658</v>
      </c>
      <c r="R45" t="n">
        <v>2211.992883</v>
      </c>
      <c r="S45" t="n">
        <v>1061.044702</v>
      </c>
      <c r="T45" t="n">
        <v>1061.044702</v>
      </c>
      <c r="U45" t="n">
        <v>181.154642</v>
      </c>
      <c r="V45" t="n">
        <v>181.154642</v>
      </c>
      <c r="W45" t="n">
        <v>1563.239343</v>
      </c>
      <c r="X45" t="n">
        <v>2786.139764</v>
      </c>
    </row>
    <row r="46" ht="21" customHeight="1">
      <c r="A46" t="inlineStr">
        <is>
          <t>Salmonidae</t>
        </is>
      </c>
      <c r="B46" t="n">
        <v>3.3</v>
      </c>
      <c r="C46" t="n">
        <v>199.526231</v>
      </c>
      <c r="D46" s="11" t="inlineStr">
        <is>
          <t>Salmon</t>
        </is>
      </c>
      <c r="E46" t="n">
        <v>0</v>
      </c>
      <c r="F46" t="n">
        <v>537.793674</v>
      </c>
      <c r="G46" t="n">
        <v>94.02452599999999</v>
      </c>
      <c r="H46" t="n">
        <v>104.598466</v>
      </c>
      <c r="I46" t="n">
        <v>157.17606</v>
      </c>
      <c r="J46" t="n">
        <v>157.620728</v>
      </c>
      <c r="K46" t="n">
        <v>47.759081</v>
      </c>
      <c r="L46" t="n">
        <v>685.4069909999999</v>
      </c>
      <c r="M46" t="n">
        <v>685.4069909999999</v>
      </c>
      <c r="N46" t="n">
        <v>696.719298</v>
      </c>
      <c r="O46" t="n">
        <v>75.247908</v>
      </c>
      <c r="P46" t="n">
        <v>24.548027</v>
      </c>
      <c r="Q46" t="n">
        <v>696.719298</v>
      </c>
      <c r="R46" t="n">
        <v>685.4069909999999</v>
      </c>
      <c r="S46" t="n">
        <v>75.247908</v>
      </c>
      <c r="T46" t="n">
        <v>75.247908</v>
      </c>
      <c r="U46" t="n">
        <v>24.548027</v>
      </c>
      <c r="V46" t="n">
        <v>24.548027</v>
      </c>
      <c r="W46" t="n">
        <v>98.758639</v>
      </c>
      <c r="X46" t="n">
        <v>768.315028</v>
      </c>
    </row>
    <row r="47" ht="21" customHeight="1">
      <c r="A47" t="inlineStr">
        <is>
          <t>Arctoscopus japonicus</t>
        </is>
      </c>
      <c r="B47" t="n">
        <v>3.51</v>
      </c>
      <c r="C47" t="n">
        <v>323.593657</v>
      </c>
      <c r="D47" s="11" t="inlineStr">
        <is>
          <t>Other bottom fishes</t>
        </is>
      </c>
      <c r="E47" t="n">
        <v>0</v>
      </c>
      <c r="F47" t="n">
        <v>458.549467</v>
      </c>
      <c r="G47" t="n">
        <v>83.79409699999999</v>
      </c>
      <c r="H47" t="n">
        <v>218.423557</v>
      </c>
      <c r="I47" t="n">
        <v>526.492157</v>
      </c>
      <c r="J47" t="n">
        <v>541.5331169999999</v>
      </c>
      <c r="K47" t="n">
        <v>541.5331169999999</v>
      </c>
      <c r="L47" t="n">
        <v>4898.328707</v>
      </c>
      <c r="M47" t="n">
        <v>4898.328707</v>
      </c>
      <c r="N47" t="n">
        <v>4977.981343</v>
      </c>
      <c r="O47" t="n">
        <v>2326.130383</v>
      </c>
      <c r="P47" t="n">
        <v>441.451478</v>
      </c>
      <c r="Q47" t="n">
        <v>4977.981343</v>
      </c>
      <c r="R47" t="n">
        <v>4898.328707</v>
      </c>
      <c r="S47" t="n">
        <v>2326.130383</v>
      </c>
      <c r="T47" t="n">
        <v>2326.130383</v>
      </c>
      <c r="U47" t="n">
        <v>441.451478</v>
      </c>
      <c r="V47" t="n">
        <v>441.451478</v>
      </c>
      <c r="W47" t="n">
        <v>3363.787374</v>
      </c>
      <c r="X47" t="n">
        <v>6233.03529</v>
      </c>
    </row>
    <row r="48" ht="21" customHeight="1">
      <c r="A48" t="inlineStr">
        <is>
          <t>Trichiurus lepturus</t>
        </is>
      </c>
      <c r="B48" t="n">
        <v>4.42</v>
      </c>
      <c r="C48" t="n">
        <v>2630.267992</v>
      </c>
      <c r="D48" s="11" t="inlineStr">
        <is>
          <t>Unresolved</t>
        </is>
      </c>
    </row>
    <row r="49" ht="21" customHeight="1">
      <c r="A49" t="inlineStr">
        <is>
          <t>Brachyura</t>
        </is>
      </c>
      <c r="B49" t="n">
        <v>2.6</v>
      </c>
      <c r="C49" t="n">
        <v>39.810717</v>
      </c>
      <c r="D49" s="11" t="inlineStr">
        <is>
          <t>Crabs and shrimps</t>
        </is>
      </c>
      <c r="E49" t="n">
        <v>0</v>
      </c>
      <c r="F49" t="n">
        <v>95.896642</v>
      </c>
      <c r="G49" t="n">
        <v>27.047208</v>
      </c>
      <c r="H49" t="n">
        <v>56.071592</v>
      </c>
      <c r="I49" t="n">
        <v>87.690287</v>
      </c>
      <c r="J49" t="n">
        <v>88.352076</v>
      </c>
      <c r="K49" t="n">
        <v>88.352076</v>
      </c>
      <c r="L49" t="n">
        <v>181.735308</v>
      </c>
      <c r="M49" t="n">
        <v>181.735308</v>
      </c>
      <c r="N49" t="n">
        <v>185.151605</v>
      </c>
      <c r="O49" t="n">
        <v>112.940911</v>
      </c>
      <c r="P49" t="n">
        <v>44.389715</v>
      </c>
      <c r="Q49" t="n">
        <v>185.151605</v>
      </c>
      <c r="R49" t="n">
        <v>181.735308</v>
      </c>
      <c r="S49" t="n">
        <v>112.940911</v>
      </c>
      <c r="T49" t="n">
        <v>112.940911</v>
      </c>
      <c r="U49" t="n">
        <v>44.389715</v>
      </c>
      <c r="V49" t="n">
        <v>44.389715</v>
      </c>
      <c r="W49" t="n">
        <v>155.52695</v>
      </c>
      <c r="X49" t="n">
        <v>203.433007</v>
      </c>
    </row>
    <row r="50" ht="21" customHeight="1">
      <c r="A50" t="inlineStr">
        <is>
          <t>Pandalus borealis</t>
        </is>
      </c>
      <c r="B50" t="n">
        <v>3.07</v>
      </c>
      <c r="C50" t="n">
        <v>117.489755</v>
      </c>
      <c r="D50" s="11" t="inlineStr">
        <is>
          <t>Crabs and shrimps</t>
        </is>
      </c>
      <c r="E50" t="n">
        <v>0</v>
      </c>
      <c r="F50" t="n">
        <v>95.896642</v>
      </c>
      <c r="G50" t="n">
        <v>27.047208</v>
      </c>
      <c r="H50" t="n">
        <v>56.071592</v>
      </c>
      <c r="I50" t="n">
        <v>87.690287</v>
      </c>
      <c r="J50" t="n">
        <v>88.352076</v>
      </c>
      <c r="K50" t="n">
        <v>88.352076</v>
      </c>
      <c r="L50" t="n">
        <v>181.735308</v>
      </c>
      <c r="M50" t="n">
        <v>181.735308</v>
      </c>
      <c r="N50" t="n">
        <v>185.151605</v>
      </c>
      <c r="O50" t="n">
        <v>112.940911</v>
      </c>
      <c r="P50" t="n">
        <v>44.389715</v>
      </c>
      <c r="Q50" t="n">
        <v>185.151605</v>
      </c>
      <c r="R50" t="n">
        <v>181.735308</v>
      </c>
      <c r="S50" t="n">
        <v>112.940911</v>
      </c>
      <c r="T50" t="n">
        <v>112.940911</v>
      </c>
      <c r="U50" t="n">
        <v>44.389715</v>
      </c>
      <c r="V50" t="n">
        <v>44.389715</v>
      </c>
      <c r="W50" t="n">
        <v>155.52695</v>
      </c>
      <c r="X50" t="n">
        <v>203.433007</v>
      </c>
    </row>
    <row r="51" ht="21" customHeight="1">
      <c r="A51" t="inlineStr">
        <is>
          <t>Cephalopoda</t>
        </is>
      </c>
      <c r="B51" t="n">
        <v>3.81</v>
      </c>
      <c r="C51" t="n">
        <v>645.654229</v>
      </c>
      <c r="D51" s="11" t="inlineStr">
        <is>
          <t>Squids | Carnivorous invertebrates</t>
        </is>
      </c>
      <c r="E51" t="n">
        <v>0</v>
      </c>
      <c r="F51" t="n">
        <v>860.399224</v>
      </c>
      <c r="G51" t="n">
        <v>129.6599</v>
      </c>
      <c r="H51" t="n">
        <v>109.301857</v>
      </c>
      <c r="I51" t="n">
        <v>63.295221</v>
      </c>
      <c r="J51" t="n">
        <v>67.814258</v>
      </c>
      <c r="K51" t="n">
        <v>33.426089</v>
      </c>
      <c r="L51" t="n">
        <v>221.666919</v>
      </c>
      <c r="M51" t="n">
        <v>221.666919</v>
      </c>
      <c r="N51" t="n">
        <v>225.163458</v>
      </c>
      <c r="O51" t="n">
        <v>101.519607</v>
      </c>
      <c r="P51" t="n">
        <v>34.059741</v>
      </c>
      <c r="Q51" t="n">
        <v>225.163458</v>
      </c>
      <c r="R51" t="n">
        <v>221.666919</v>
      </c>
      <c r="S51" t="n">
        <v>101.519607</v>
      </c>
      <c r="T51" t="n">
        <v>101.519607</v>
      </c>
      <c r="U51" t="n">
        <v>34.059741</v>
      </c>
      <c r="V51" t="n">
        <v>34.059741</v>
      </c>
      <c r="W51" t="n">
        <v>133.314482</v>
      </c>
      <c r="X51" t="n">
        <v>246.371063</v>
      </c>
    </row>
    <row r="52" ht="21" customHeight="1">
      <c r="A52" t="inlineStr">
        <is>
          <t>Trachurus japonicus</t>
        </is>
      </c>
      <c r="B52" t="n">
        <v>3.4</v>
      </c>
      <c r="C52" t="n">
        <v>251.188643</v>
      </c>
      <c r="D52" s="11" t="inlineStr">
        <is>
          <t>Unresolved</t>
        </is>
      </c>
    </row>
    <row r="53" ht="21" customHeight="1">
      <c r="A53" t="inlineStr">
        <is>
          <t>Mizuhopecten yessoensis</t>
        </is>
      </c>
      <c r="B53" t="n">
        <v>2.1</v>
      </c>
      <c r="C53" t="n">
        <v>12.589254</v>
      </c>
      <c r="D53" s="11" t="inlineStr">
        <is>
          <t>2nd level benthos</t>
        </is>
      </c>
      <c r="E53" t="n">
        <v>0</v>
      </c>
      <c r="F53" t="n">
        <v>10</v>
      </c>
      <c r="G53" t="n">
        <v>5.280025</v>
      </c>
      <c r="H53" t="n">
        <v>5.280025</v>
      </c>
      <c r="I53" t="n">
        <v>4.25396</v>
      </c>
      <c r="J53" t="n">
        <v>4.25396</v>
      </c>
      <c r="K53" t="n">
        <v>2.190789</v>
      </c>
      <c r="L53" t="n">
        <v>4.011903</v>
      </c>
      <c r="M53" t="n">
        <v>4.011903</v>
      </c>
      <c r="N53" t="n">
        <v>4.101044</v>
      </c>
      <c r="O53" t="n">
        <v>2.575732</v>
      </c>
      <c r="P53" t="n">
        <v>2.017588</v>
      </c>
      <c r="Q53" t="n">
        <v>4.101044</v>
      </c>
      <c r="R53" t="n">
        <v>4.011903</v>
      </c>
      <c r="S53" t="n">
        <v>2.575732</v>
      </c>
      <c r="T53" t="n">
        <v>2.575732</v>
      </c>
      <c r="U53" t="n">
        <v>2.017588</v>
      </c>
      <c r="V53" t="n">
        <v>2.017588</v>
      </c>
      <c r="W53" t="n">
        <v>3.13337</v>
      </c>
      <c r="X53" t="n">
        <v>4.076903</v>
      </c>
    </row>
    <row r="54" ht="21" customHeight="1">
      <c r="A54" t="inlineStr">
        <is>
          <t>Octopodidae</t>
        </is>
      </c>
      <c r="B54" t="n">
        <v>3.59</v>
      </c>
      <c r="C54" t="n">
        <v>389.045145</v>
      </c>
      <c r="D54" s="11" t="inlineStr">
        <is>
          <t>Carnivorous invertebrates</t>
        </is>
      </c>
      <c r="E54" t="n">
        <v>0</v>
      </c>
      <c r="F54" t="n">
        <v>100</v>
      </c>
      <c r="G54" t="n">
        <v>27.878664</v>
      </c>
      <c r="H54" t="n">
        <v>27.878664</v>
      </c>
      <c r="I54" t="n">
        <v>35.33173</v>
      </c>
      <c r="J54" t="n">
        <v>35.33173</v>
      </c>
      <c r="K54" t="n">
        <v>28.654033</v>
      </c>
      <c r="L54" t="n">
        <v>33.321302</v>
      </c>
      <c r="M54" t="n">
        <v>33.321302</v>
      </c>
      <c r="N54" t="n">
        <v>34.061672</v>
      </c>
      <c r="O54" t="n">
        <v>17.349743</v>
      </c>
      <c r="P54" t="n">
        <v>10.872137</v>
      </c>
      <c r="Q54" t="n">
        <v>34.061672</v>
      </c>
      <c r="R54" t="n">
        <v>33.321302</v>
      </c>
      <c r="S54" t="n">
        <v>17.349743</v>
      </c>
      <c r="T54" t="n">
        <v>17.349743</v>
      </c>
      <c r="U54" t="n">
        <v>10.872137</v>
      </c>
      <c r="V54" t="n">
        <v>10.872137</v>
      </c>
      <c r="W54" t="n">
        <v>21.371774</v>
      </c>
      <c r="X54" t="n">
        <v>35.712118</v>
      </c>
    </row>
    <row r="55" ht="21" customHeight="1">
      <c r="A55" t="inlineStr">
        <is>
          <t>Sciaenidae</t>
        </is>
      </c>
      <c r="B55" t="n">
        <v>3.76</v>
      </c>
      <c r="C55" t="n">
        <v>575.439937</v>
      </c>
      <c r="D55" s="11" t="inlineStr">
        <is>
          <t>Unresolved</t>
        </is>
      </c>
    </row>
    <row r="56" ht="21" customHeight="1">
      <c r="A56" t="inlineStr">
        <is>
          <t>Carangidae</t>
        </is>
      </c>
      <c r="B56" t="n">
        <v>4.05</v>
      </c>
      <c r="C56" t="n">
        <v>1122.018454</v>
      </c>
      <c r="D56" s="11" t="inlineStr">
        <is>
          <t>Unresolved</t>
        </is>
      </c>
    </row>
    <row r="57" ht="21" customHeight="1">
      <c r="A57" t="inlineStr">
        <is>
          <t>Sebastes</t>
        </is>
      </c>
      <c r="B57" t="n">
        <v>3.79</v>
      </c>
      <c r="C57" t="n">
        <v>616.595002</v>
      </c>
      <c r="D57" s="11" t="inlineStr">
        <is>
          <t>Other bottom fishes</t>
        </is>
      </c>
      <c r="E57" t="n">
        <v>0</v>
      </c>
      <c r="F57" t="n">
        <v>458.549467</v>
      </c>
      <c r="G57" t="n">
        <v>83.79409699999999</v>
      </c>
      <c r="H57" t="n">
        <v>218.423557</v>
      </c>
      <c r="I57" t="n">
        <v>526.492157</v>
      </c>
      <c r="J57" t="n">
        <v>541.5331169999999</v>
      </c>
      <c r="K57" t="n">
        <v>541.5331169999999</v>
      </c>
      <c r="L57" t="n">
        <v>4898.328707</v>
      </c>
      <c r="M57" t="n">
        <v>4898.328707</v>
      </c>
      <c r="N57" t="n">
        <v>4977.981343</v>
      </c>
      <c r="O57" t="n">
        <v>2326.130383</v>
      </c>
      <c r="P57" t="n">
        <v>441.451478</v>
      </c>
      <c r="Q57" t="n">
        <v>4977.981343</v>
      </c>
      <c r="R57" t="n">
        <v>4898.328707</v>
      </c>
      <c r="S57" t="n">
        <v>2326.130383</v>
      </c>
      <c r="T57" t="n">
        <v>2326.130383</v>
      </c>
      <c r="U57" t="n">
        <v>441.451478</v>
      </c>
      <c r="V57" t="n">
        <v>441.451478</v>
      </c>
      <c r="W57" t="n">
        <v>3363.787374</v>
      </c>
      <c r="X57" t="n">
        <v>6233.03529</v>
      </c>
    </row>
    <row r="58" ht="21" customHeight="1">
      <c r="A58" t="inlineStr">
        <is>
          <t>Echinoidea</t>
        </is>
      </c>
      <c r="B58" t="n">
        <v>2.51</v>
      </c>
      <c r="C58" t="n">
        <v>32.359366</v>
      </c>
      <c r="D58" s="11" t="inlineStr">
        <is>
          <t>2nd level benthos</t>
        </is>
      </c>
      <c r="E58" t="n">
        <v>0</v>
      </c>
      <c r="F58" t="n">
        <v>10</v>
      </c>
      <c r="G58" t="n">
        <v>5.280025</v>
      </c>
      <c r="H58" t="n">
        <v>5.280025</v>
      </c>
      <c r="I58" t="n">
        <v>4.25396</v>
      </c>
      <c r="J58" t="n">
        <v>4.25396</v>
      </c>
      <c r="K58" t="n">
        <v>2.190789</v>
      </c>
      <c r="L58" t="n">
        <v>4.011903</v>
      </c>
      <c r="M58" t="n">
        <v>4.011903</v>
      </c>
      <c r="N58" t="n">
        <v>4.101044</v>
      </c>
      <c r="O58" t="n">
        <v>2.575732</v>
      </c>
      <c r="P58" t="n">
        <v>2.017588</v>
      </c>
      <c r="Q58" t="n">
        <v>4.101044</v>
      </c>
      <c r="R58" t="n">
        <v>4.011903</v>
      </c>
      <c r="S58" t="n">
        <v>2.575732</v>
      </c>
      <c r="T58" t="n">
        <v>2.575732</v>
      </c>
      <c r="U58" t="n">
        <v>2.017588</v>
      </c>
      <c r="V58" t="n">
        <v>2.017588</v>
      </c>
      <c r="W58" t="n">
        <v>3.13337</v>
      </c>
      <c r="X58" t="n">
        <v>4.076903</v>
      </c>
    </row>
    <row r="59" ht="21" customHeight="1">
      <c r="A59" t="inlineStr">
        <is>
          <t>Seriola lalandi</t>
        </is>
      </c>
      <c r="D59" s="11" t="inlineStr">
        <is>
          <t>Unresolved</t>
        </is>
      </c>
    </row>
    <row r="60" ht="21" customHeight="1">
      <c r="A60" t="inlineStr">
        <is>
          <t>Mugil cephalus</t>
        </is>
      </c>
      <c r="B60" t="n">
        <v>2.14</v>
      </c>
      <c r="C60" t="n">
        <v>13.803843</v>
      </c>
      <c r="D60" s="11" t="inlineStr">
        <is>
          <t>Unresolved</t>
        </is>
      </c>
    </row>
    <row r="61" ht="21" customHeight="1">
      <c r="A61" t="inlineStr">
        <is>
          <t>Chondrichthyes</t>
        </is>
      </c>
      <c r="B61" t="n">
        <v>4</v>
      </c>
      <c r="C61" t="n">
        <v>1000</v>
      </c>
      <c r="D61" s="11" t="inlineStr">
        <is>
          <t>Unresolved</t>
        </is>
      </c>
    </row>
    <row r="62" ht="21" customHeight="1">
      <c r="A62" t="inlineStr">
        <is>
          <t>Scombridae</t>
        </is>
      </c>
      <c r="B62" t="n">
        <v>4.26</v>
      </c>
      <c r="C62" t="n">
        <v>1819.700859</v>
      </c>
      <c r="D62" s="11" t="inlineStr">
        <is>
          <t>Unresolved</t>
        </is>
      </c>
    </row>
    <row r="63" ht="21" customHeight="1">
      <c r="A63" t="inlineStr">
        <is>
          <t>Sebastes alutus</t>
        </is>
      </c>
      <c r="B63" t="n">
        <v>3.48</v>
      </c>
      <c r="C63" t="n">
        <v>301.995172</v>
      </c>
      <c r="D63" s="11" t="inlineStr">
        <is>
          <t>Other bottom fishes</t>
        </is>
      </c>
      <c r="E63" t="n">
        <v>0</v>
      </c>
      <c r="F63" t="n">
        <v>458.549467</v>
      </c>
      <c r="G63" t="n">
        <v>83.79409699999999</v>
      </c>
      <c r="H63" t="n">
        <v>218.423557</v>
      </c>
      <c r="I63" t="n">
        <v>526.492157</v>
      </c>
      <c r="J63" t="n">
        <v>541.5331169999999</v>
      </c>
      <c r="K63" t="n">
        <v>541.5331169999999</v>
      </c>
      <c r="L63" t="n">
        <v>4898.328707</v>
      </c>
      <c r="M63" t="n">
        <v>4898.328707</v>
      </c>
      <c r="N63" t="n">
        <v>4977.981343</v>
      </c>
      <c r="O63" t="n">
        <v>2326.130383</v>
      </c>
      <c r="P63" t="n">
        <v>441.451478</v>
      </c>
      <c r="Q63" t="n">
        <v>4977.981343</v>
      </c>
      <c r="R63" t="n">
        <v>4898.328707</v>
      </c>
      <c r="S63" t="n">
        <v>2326.130383</v>
      </c>
      <c r="T63" t="n">
        <v>2326.130383</v>
      </c>
      <c r="U63" t="n">
        <v>441.451478</v>
      </c>
      <c r="V63" t="n">
        <v>441.451478</v>
      </c>
      <c r="W63" t="n">
        <v>3363.787374</v>
      </c>
      <c r="X63" t="n">
        <v>6233.03529</v>
      </c>
    </row>
    <row r="64" ht="21" customHeight="1">
      <c r="A64" t="inlineStr">
        <is>
          <t>Oncorhynchus tshawytscha</t>
        </is>
      </c>
      <c r="B64" t="n">
        <v>4.4</v>
      </c>
      <c r="C64" t="n">
        <v>2511.886432</v>
      </c>
      <c r="D64" s="11" t="inlineStr">
        <is>
          <t>Salmon</t>
        </is>
      </c>
      <c r="E64" t="n">
        <v>0</v>
      </c>
      <c r="F64" t="n">
        <v>537.793674</v>
      </c>
      <c r="G64" t="n">
        <v>94.02452599999999</v>
      </c>
      <c r="H64" t="n">
        <v>104.598466</v>
      </c>
      <c r="I64" t="n">
        <v>157.17606</v>
      </c>
      <c r="J64" t="n">
        <v>157.620728</v>
      </c>
      <c r="K64" t="n">
        <v>47.759081</v>
      </c>
      <c r="L64" t="n">
        <v>685.4069909999999</v>
      </c>
      <c r="M64" t="n">
        <v>685.4069909999999</v>
      </c>
      <c r="N64" t="n">
        <v>696.719298</v>
      </c>
      <c r="O64" t="n">
        <v>75.247908</v>
      </c>
      <c r="P64" t="n">
        <v>24.548027</v>
      </c>
      <c r="Q64" t="n">
        <v>696.719298</v>
      </c>
      <c r="R64" t="n">
        <v>685.4069909999999</v>
      </c>
      <c r="S64" t="n">
        <v>75.247908</v>
      </c>
      <c r="T64" t="n">
        <v>75.247908</v>
      </c>
      <c r="U64" t="n">
        <v>24.548027</v>
      </c>
      <c r="V64" t="n">
        <v>24.548027</v>
      </c>
      <c r="W64" t="n">
        <v>98.758639</v>
      </c>
      <c r="X64" t="n">
        <v>768.315028</v>
      </c>
    </row>
    <row r="65" ht="21" customHeight="1">
      <c r="A65" t="inlineStr">
        <is>
          <t>Salvelinus</t>
        </is>
      </c>
      <c r="B65" t="n">
        <v>4.1</v>
      </c>
      <c r="C65" t="n">
        <v>1258.925412</v>
      </c>
      <c r="D65" s="11" t="inlineStr">
        <is>
          <t>Unresolved</t>
        </is>
      </c>
    </row>
    <row r="66" ht="21" customHeight="1">
      <c r="A66" t="inlineStr">
        <is>
          <t>Paralithodes platypus</t>
        </is>
      </c>
      <c r="B66" t="n">
        <v>3.79</v>
      </c>
      <c r="C66" t="n">
        <v>616.595002</v>
      </c>
      <c r="D66" s="11" t="inlineStr">
        <is>
          <t>Crabs and shrimps</t>
        </is>
      </c>
      <c r="E66" t="n">
        <v>0</v>
      </c>
      <c r="F66" t="n">
        <v>95.896642</v>
      </c>
      <c r="G66" t="n">
        <v>27.047208</v>
      </c>
      <c r="H66" t="n">
        <v>56.071592</v>
      </c>
      <c r="I66" t="n">
        <v>87.690287</v>
      </c>
      <c r="J66" t="n">
        <v>88.352076</v>
      </c>
      <c r="K66" t="n">
        <v>88.352076</v>
      </c>
      <c r="L66" t="n">
        <v>181.735308</v>
      </c>
      <c r="M66" t="n">
        <v>181.735308</v>
      </c>
      <c r="N66" t="n">
        <v>185.151605</v>
      </c>
      <c r="O66" t="n">
        <v>112.940911</v>
      </c>
      <c r="P66" t="n">
        <v>44.389715</v>
      </c>
      <c r="Q66" t="n">
        <v>185.151605</v>
      </c>
      <c r="R66" t="n">
        <v>181.735308</v>
      </c>
      <c r="S66" t="n">
        <v>112.940911</v>
      </c>
      <c r="T66" t="n">
        <v>112.940911</v>
      </c>
      <c r="U66" t="n">
        <v>44.389715</v>
      </c>
      <c r="V66" t="n">
        <v>44.389715</v>
      </c>
      <c r="W66" t="n">
        <v>155.52695</v>
      </c>
      <c r="X66" t="n">
        <v>203.433007</v>
      </c>
    </row>
    <row r="67" ht="21" customHeight="1">
      <c r="A67" t="inlineStr">
        <is>
          <t>Pentaceros wheeleri</t>
        </is>
      </c>
      <c r="D67" s="11" t="inlineStr">
        <is>
          <t>Unresolved</t>
        </is>
      </c>
    </row>
    <row r="68" ht="21" customHeight="1">
      <c r="A68" t="inlineStr">
        <is>
          <t>Limanda aspera</t>
        </is>
      </c>
      <c r="D68" s="11" t="inlineStr">
        <is>
          <t>Pleuronectidae</t>
        </is>
      </c>
      <c r="E68" t="n">
        <v>0</v>
      </c>
      <c r="F68" t="n">
        <v>233.24334</v>
      </c>
      <c r="G68" t="n">
        <v>51.41196</v>
      </c>
      <c r="H68" t="n">
        <v>126.519418</v>
      </c>
      <c r="I68" t="n">
        <v>324.117476</v>
      </c>
      <c r="J68" t="n">
        <v>325.251045</v>
      </c>
      <c r="K68" t="n">
        <v>325.251045</v>
      </c>
      <c r="L68" t="n">
        <v>2211.992883</v>
      </c>
      <c r="M68" t="n">
        <v>2211.992883</v>
      </c>
      <c r="N68" t="n">
        <v>2248.486658</v>
      </c>
      <c r="O68" t="n">
        <v>1061.044702</v>
      </c>
      <c r="P68" t="n">
        <v>181.154642</v>
      </c>
      <c r="Q68" t="n">
        <v>2248.486658</v>
      </c>
      <c r="R68" t="n">
        <v>2211.992883</v>
      </c>
      <c r="S68" t="n">
        <v>1061.044702</v>
      </c>
      <c r="T68" t="n">
        <v>1061.044702</v>
      </c>
      <c r="U68" t="n">
        <v>181.154642</v>
      </c>
      <c r="V68" t="n">
        <v>181.154642</v>
      </c>
      <c r="W68" t="n">
        <v>1563.239343</v>
      </c>
      <c r="X68" t="n">
        <v>2786.139764</v>
      </c>
    </row>
    <row r="69" ht="21" customHeight="1">
      <c r="A69" t="inlineStr">
        <is>
          <t>Bathylagidae</t>
        </is>
      </c>
      <c r="B69" t="n">
        <v>3.1</v>
      </c>
      <c r="C69" t="n">
        <v>125.892541</v>
      </c>
      <c r="D69" s="11" t="inlineStr">
        <is>
          <t>Bathylagidae</t>
        </is>
      </c>
      <c r="E69" t="n">
        <v>0</v>
      </c>
      <c r="F69" t="n">
        <v>433.072664</v>
      </c>
      <c r="G69" t="n">
        <v>80.403265</v>
      </c>
      <c r="H69" t="n">
        <v>90.834756</v>
      </c>
      <c r="I69" t="n">
        <v>595.980811</v>
      </c>
      <c r="J69" t="n">
        <v>596.660103</v>
      </c>
      <c r="K69" t="n">
        <v>82.339094</v>
      </c>
      <c r="L69" t="n">
        <v>1635.350237</v>
      </c>
      <c r="M69" t="n">
        <v>1635.350237</v>
      </c>
      <c r="N69" t="n">
        <v>1661.441813</v>
      </c>
      <c r="O69" t="n">
        <v>216.520696</v>
      </c>
      <c r="P69" t="n">
        <v>75.94539899999999</v>
      </c>
      <c r="Q69" t="n">
        <v>1661.441813</v>
      </c>
      <c r="R69" t="n">
        <v>1635.350237</v>
      </c>
      <c r="S69" t="n">
        <v>216.520696</v>
      </c>
      <c r="T69" t="n">
        <v>216.520696</v>
      </c>
      <c r="U69" t="n">
        <v>75.94539899999999</v>
      </c>
      <c r="V69" t="n">
        <v>75.94539899999999</v>
      </c>
      <c r="W69" t="n">
        <v>288.590309</v>
      </c>
      <c r="X69" t="n">
        <v>1722.343841</v>
      </c>
    </row>
    <row r="70" ht="21" customHeight="1">
      <c r="A70" t="inlineStr">
        <is>
          <t>Seriola</t>
        </is>
      </c>
      <c r="B70" t="n">
        <v>4.39</v>
      </c>
      <c r="C70" t="n">
        <v>2454.708916</v>
      </c>
      <c r="D70" s="11" t="inlineStr">
        <is>
          <t>Unresolved</t>
        </is>
      </c>
    </row>
    <row r="71" ht="21" customHeight="1">
      <c r="A71" t="inlineStr">
        <is>
          <t>Thunnus alalunga</t>
        </is>
      </c>
      <c r="B71" t="n">
        <v>4.3</v>
      </c>
      <c r="C71" t="n">
        <v>1995.262315</v>
      </c>
      <c r="D71" s="11" t="inlineStr">
        <is>
          <t>Unresolved</t>
        </is>
      </c>
    </row>
    <row r="72" ht="21" customHeight="1">
      <c r="A72" t="inlineStr">
        <is>
          <t>Loliginidae</t>
        </is>
      </c>
      <c r="B72" t="n">
        <v>3.9</v>
      </c>
      <c r="C72" t="n">
        <v>794.3282349999999</v>
      </c>
      <c r="D72" s="11" t="inlineStr">
        <is>
          <t>Squids</t>
        </is>
      </c>
      <c r="E72" t="n">
        <v>0</v>
      </c>
      <c r="F72" t="n">
        <v>957.310082</v>
      </c>
      <c r="G72" t="n">
        <v>142.631647</v>
      </c>
      <c r="H72" t="n">
        <v>119.679026</v>
      </c>
      <c r="I72" t="n">
        <v>66.859093</v>
      </c>
      <c r="J72" t="n">
        <v>71.95407</v>
      </c>
      <c r="K72" t="n">
        <v>34.034275</v>
      </c>
      <c r="L72" t="n">
        <v>245.671067</v>
      </c>
      <c r="M72" t="n">
        <v>245.671067</v>
      </c>
      <c r="N72" t="n">
        <v>249.518872</v>
      </c>
      <c r="O72" t="n">
        <v>112.246832</v>
      </c>
      <c r="P72" t="n">
        <v>37.014939</v>
      </c>
      <c r="Q72" t="n">
        <v>249.518872</v>
      </c>
      <c r="R72" t="n">
        <v>245.671067</v>
      </c>
      <c r="S72" t="n">
        <v>112.246832</v>
      </c>
      <c r="T72" t="n">
        <v>112.246832</v>
      </c>
      <c r="U72" t="n">
        <v>37.014939</v>
      </c>
      <c r="V72" t="n">
        <v>37.014939</v>
      </c>
      <c r="W72" t="n">
        <v>147.581283</v>
      </c>
      <c r="X72" t="n">
        <v>273.218985</v>
      </c>
    </row>
    <row r="73" ht="21" customHeight="1">
      <c r="A73" t="inlineStr">
        <is>
          <t>Hippoglossoides elassodon</t>
        </is>
      </c>
      <c r="D73" s="11" t="inlineStr">
        <is>
          <t>Pleuronectidae</t>
        </is>
      </c>
      <c r="E73" t="n">
        <v>0</v>
      </c>
      <c r="F73" t="n">
        <v>233.24334</v>
      </c>
      <c r="G73" t="n">
        <v>51.41196</v>
      </c>
      <c r="H73" t="n">
        <v>126.519418</v>
      </c>
      <c r="I73" t="n">
        <v>324.117476</v>
      </c>
      <c r="J73" t="n">
        <v>325.251045</v>
      </c>
      <c r="K73" t="n">
        <v>325.251045</v>
      </c>
      <c r="L73" t="n">
        <v>2211.992883</v>
      </c>
      <c r="M73" t="n">
        <v>2211.992883</v>
      </c>
      <c r="N73" t="n">
        <v>2248.486658</v>
      </c>
      <c r="O73" t="n">
        <v>1061.044702</v>
      </c>
      <c r="P73" t="n">
        <v>181.154642</v>
      </c>
      <c r="Q73" t="n">
        <v>2248.486658</v>
      </c>
      <c r="R73" t="n">
        <v>2211.992883</v>
      </c>
      <c r="S73" t="n">
        <v>1061.044702</v>
      </c>
      <c r="T73" t="n">
        <v>1061.044702</v>
      </c>
      <c r="U73" t="n">
        <v>181.154642</v>
      </c>
      <c r="V73" t="n">
        <v>181.154642</v>
      </c>
      <c r="W73" t="n">
        <v>1563.239343</v>
      </c>
      <c r="X73" t="n">
        <v>2786.139764</v>
      </c>
    </row>
    <row r="74" ht="36" customHeight="1">
      <c r="A74" t="inlineStr">
        <is>
          <t>Gadidae</t>
        </is>
      </c>
      <c r="B74" t="n">
        <v>3.84</v>
      </c>
      <c r="C74" t="n">
        <v>691.830971</v>
      </c>
      <c r="D74" s="11" t="inlineStr">
        <is>
          <t>Walleye pollock | Juv. pollock | Other Gadidae</t>
        </is>
      </c>
      <c r="E74" t="n">
        <v>0</v>
      </c>
      <c r="F74" t="n">
        <v>472.2145</v>
      </c>
      <c r="G74" t="n">
        <v>85.463455</v>
      </c>
      <c r="H74" t="n">
        <v>148.830842</v>
      </c>
      <c r="I74" t="n">
        <v>1277.049753</v>
      </c>
      <c r="J74" t="n">
        <v>1391.928805</v>
      </c>
      <c r="K74" t="n">
        <v>1020.549982</v>
      </c>
      <c r="L74" t="n">
        <v>-27110.768695</v>
      </c>
      <c r="M74" t="n">
        <v>-27110.768695</v>
      </c>
      <c r="N74" t="n">
        <v>-27559.513334</v>
      </c>
      <c r="O74" t="n">
        <v>2305.122701</v>
      </c>
      <c r="P74" t="n">
        <v>484.611104</v>
      </c>
      <c r="Q74" t="n">
        <v>-27559.513334</v>
      </c>
      <c r="R74" t="n">
        <v>-27110.768695</v>
      </c>
      <c r="S74" t="n">
        <v>2305.122701</v>
      </c>
      <c r="T74" t="n">
        <v>2305.122701</v>
      </c>
      <c r="U74" t="n">
        <v>484.611104</v>
      </c>
      <c r="V74" t="n">
        <v>484.611104</v>
      </c>
      <c r="W74" t="n">
        <v>5857.766457</v>
      </c>
      <c r="X74" t="n">
        <v>105118.298666</v>
      </c>
    </row>
    <row r="75" ht="36" customHeight="1">
      <c r="A75" t="inlineStr">
        <is>
          <t>Gastropoda</t>
        </is>
      </c>
      <c r="B75" t="n">
        <v>3.06</v>
      </c>
      <c r="C75" t="n">
        <v>114.815362</v>
      </c>
      <c r="D75" s="11" t="inlineStr">
        <is>
          <t>2nd level benthos | Carnivorous invertebrates</t>
        </is>
      </c>
      <c r="E75" t="n">
        <v>0</v>
      </c>
      <c r="F75" t="n">
        <v>29.4532</v>
      </c>
      <c r="G75" t="n">
        <v>10.164646</v>
      </c>
      <c r="H75" t="n">
        <v>10.164646</v>
      </c>
      <c r="I75" t="n">
        <v>10.971317</v>
      </c>
      <c r="J75" t="n">
        <v>10.971317</v>
      </c>
      <c r="K75" t="n">
        <v>7.910732</v>
      </c>
      <c r="L75" t="n">
        <v>10.347032</v>
      </c>
      <c r="M75" t="n">
        <v>10.347032</v>
      </c>
      <c r="N75" t="n">
        <v>10.576934</v>
      </c>
      <c r="O75" t="n">
        <v>5.769085</v>
      </c>
      <c r="P75" t="n">
        <v>3.93147</v>
      </c>
      <c r="Q75" t="n">
        <v>10.576934</v>
      </c>
      <c r="R75" t="n">
        <v>10.347032</v>
      </c>
      <c r="S75" t="n">
        <v>5.769085</v>
      </c>
      <c r="T75" t="n">
        <v>5.769085</v>
      </c>
      <c r="U75" t="n">
        <v>3.93147</v>
      </c>
      <c r="V75" t="n">
        <v>3.93147</v>
      </c>
      <c r="W75" t="n">
        <v>7.07554</v>
      </c>
      <c r="X75" t="n">
        <v>10.91475</v>
      </c>
    </row>
    <row r="76" ht="21" customHeight="1">
      <c r="A76" t="inlineStr">
        <is>
          <t>Berryteuthis magister</t>
        </is>
      </c>
      <c r="D76" s="11" t="inlineStr">
        <is>
          <t>Squids</t>
        </is>
      </c>
      <c r="E76" t="n">
        <v>0</v>
      </c>
      <c r="F76" t="n">
        <v>957.310082</v>
      </c>
      <c r="G76" t="n">
        <v>142.631647</v>
      </c>
      <c r="H76" t="n">
        <v>119.679026</v>
      </c>
      <c r="I76" t="n">
        <v>66.859093</v>
      </c>
      <c r="J76" t="n">
        <v>71.95407</v>
      </c>
      <c r="K76" t="n">
        <v>34.034275</v>
      </c>
      <c r="L76" t="n">
        <v>245.671067</v>
      </c>
      <c r="M76" t="n">
        <v>245.671067</v>
      </c>
      <c r="N76" t="n">
        <v>249.518872</v>
      </c>
      <c r="O76" t="n">
        <v>112.246832</v>
      </c>
      <c r="P76" t="n">
        <v>37.014939</v>
      </c>
      <c r="Q76" t="n">
        <v>249.518872</v>
      </c>
      <c r="R76" t="n">
        <v>245.671067</v>
      </c>
      <c r="S76" t="n">
        <v>112.246832</v>
      </c>
      <c r="T76" t="n">
        <v>112.246832</v>
      </c>
      <c r="U76" t="n">
        <v>37.014939</v>
      </c>
      <c r="V76" t="n">
        <v>37.014939</v>
      </c>
      <c r="W76" t="n">
        <v>147.581283</v>
      </c>
      <c r="X76" t="n">
        <v>273.218985</v>
      </c>
    </row>
    <row r="77" ht="21" customHeight="1">
      <c r="A77" t="inlineStr">
        <is>
          <t>Lutjanidae</t>
        </is>
      </c>
      <c r="B77" t="n">
        <v>4.02</v>
      </c>
      <c r="C77" t="n">
        <v>1047.128548</v>
      </c>
      <c r="D77" s="11" t="inlineStr">
        <is>
          <t>Unresolved</t>
        </is>
      </c>
    </row>
    <row r="78" ht="21" customHeight="1">
      <c r="A78" t="inlineStr">
        <is>
          <t>Clupeidae</t>
        </is>
      </c>
      <c r="B78" t="n">
        <v>3.16</v>
      </c>
      <c r="C78" t="n">
        <v>144.543977</v>
      </c>
      <c r="D78" s="11" t="inlineStr">
        <is>
          <t>Unresolved</t>
        </is>
      </c>
    </row>
    <row r="79" ht="21" customHeight="1">
      <c r="A79" t="inlineStr">
        <is>
          <t>Holothuroidea</t>
        </is>
      </c>
      <c r="B79" t="n">
        <v>2</v>
      </c>
      <c r="C79" t="n">
        <v>10</v>
      </c>
      <c r="D79" s="11" t="inlineStr">
        <is>
          <t>2nd level benthos</t>
        </is>
      </c>
      <c r="E79" t="n">
        <v>0</v>
      </c>
      <c r="F79" t="n">
        <v>10</v>
      </c>
      <c r="G79" t="n">
        <v>5.280025</v>
      </c>
      <c r="H79" t="n">
        <v>5.280025</v>
      </c>
      <c r="I79" t="n">
        <v>4.25396</v>
      </c>
      <c r="J79" t="n">
        <v>4.25396</v>
      </c>
      <c r="K79" t="n">
        <v>2.190789</v>
      </c>
      <c r="L79" t="n">
        <v>4.011903</v>
      </c>
      <c r="M79" t="n">
        <v>4.011903</v>
      </c>
      <c r="N79" t="n">
        <v>4.101044</v>
      </c>
      <c r="O79" t="n">
        <v>2.575732</v>
      </c>
      <c r="P79" t="n">
        <v>2.017588</v>
      </c>
      <c r="Q79" t="n">
        <v>4.101044</v>
      </c>
      <c r="R79" t="n">
        <v>4.011903</v>
      </c>
      <c r="S79" t="n">
        <v>2.575732</v>
      </c>
      <c r="T79" t="n">
        <v>2.575732</v>
      </c>
      <c r="U79" t="n">
        <v>2.017588</v>
      </c>
      <c r="V79" t="n">
        <v>2.017588</v>
      </c>
      <c r="W79" t="n">
        <v>3.13337</v>
      </c>
      <c r="X79" t="n">
        <v>4.076903</v>
      </c>
    </row>
    <row r="80" ht="21" customHeight="1">
      <c r="A80" t="inlineStr">
        <is>
          <t>Dendrobranchiata</t>
        </is>
      </c>
      <c r="B80" t="n">
        <v>3.24</v>
      </c>
      <c r="C80" t="n">
        <v>173.780083</v>
      </c>
      <c r="D80" s="11" t="inlineStr">
        <is>
          <t>Crabs and shrimps</t>
        </is>
      </c>
      <c r="E80" t="n">
        <v>0</v>
      </c>
      <c r="F80" t="n">
        <v>95.896642</v>
      </c>
      <c r="G80" t="n">
        <v>27.047208</v>
      </c>
      <c r="H80" t="n">
        <v>56.071592</v>
      </c>
      <c r="I80" t="n">
        <v>87.690287</v>
      </c>
      <c r="J80" t="n">
        <v>88.352076</v>
      </c>
      <c r="K80" t="n">
        <v>88.352076</v>
      </c>
      <c r="L80" t="n">
        <v>181.735308</v>
      </c>
      <c r="M80" t="n">
        <v>181.735308</v>
      </c>
      <c r="N80" t="n">
        <v>185.151605</v>
      </c>
      <c r="O80" t="n">
        <v>112.940911</v>
      </c>
      <c r="P80" t="n">
        <v>44.389715</v>
      </c>
      <c r="Q80" t="n">
        <v>185.151605</v>
      </c>
      <c r="R80" t="n">
        <v>181.735308</v>
      </c>
      <c r="S80" t="n">
        <v>112.940911</v>
      </c>
      <c r="T80" t="n">
        <v>112.940911</v>
      </c>
      <c r="U80" t="n">
        <v>44.389715</v>
      </c>
      <c r="V80" t="n">
        <v>44.389715</v>
      </c>
      <c r="W80" t="n">
        <v>155.52695</v>
      </c>
      <c r="X80" t="n">
        <v>203.433007</v>
      </c>
    </row>
    <row r="81" ht="21" customHeight="1">
      <c r="A81" t="inlineStr">
        <is>
          <t>Pandalus</t>
        </is>
      </c>
      <c r="D81" s="11" t="inlineStr">
        <is>
          <t>Crabs and shrimps</t>
        </is>
      </c>
      <c r="E81" t="n">
        <v>0</v>
      </c>
      <c r="F81" t="n">
        <v>95.896642</v>
      </c>
      <c r="G81" t="n">
        <v>27.047208</v>
      </c>
      <c r="H81" t="n">
        <v>56.071592</v>
      </c>
      <c r="I81" t="n">
        <v>87.690287</v>
      </c>
      <c r="J81" t="n">
        <v>88.352076</v>
      </c>
      <c r="K81" t="n">
        <v>88.352076</v>
      </c>
      <c r="L81" t="n">
        <v>181.735308</v>
      </c>
      <c r="M81" t="n">
        <v>181.735308</v>
      </c>
      <c r="N81" t="n">
        <v>185.151605</v>
      </c>
      <c r="O81" t="n">
        <v>112.940911</v>
      </c>
      <c r="P81" t="n">
        <v>44.389715</v>
      </c>
      <c r="Q81" t="n">
        <v>185.151605</v>
      </c>
      <c r="R81" t="n">
        <v>181.735308</v>
      </c>
      <c r="S81" t="n">
        <v>112.940911</v>
      </c>
      <c r="T81" t="n">
        <v>112.940911</v>
      </c>
      <c r="U81" t="n">
        <v>44.389715</v>
      </c>
      <c r="V81" t="n">
        <v>44.389715</v>
      </c>
      <c r="W81" t="n">
        <v>155.52695</v>
      </c>
      <c r="X81" t="n">
        <v>203.433007</v>
      </c>
    </row>
    <row r="82" ht="21" customHeight="1">
      <c r="A82" t="inlineStr">
        <is>
          <t>Tetraodontidae</t>
        </is>
      </c>
      <c r="B82" t="n">
        <v>3.5</v>
      </c>
      <c r="C82" t="n">
        <v>316.227766</v>
      </c>
      <c r="D82" s="11" t="inlineStr">
        <is>
          <t>Unresolved</t>
        </is>
      </c>
    </row>
    <row r="83" ht="21" customHeight="1">
      <c r="A83" t="inlineStr">
        <is>
          <t>Muraenesox cinereus</t>
        </is>
      </c>
      <c r="B83" t="n">
        <v>4.38</v>
      </c>
      <c r="C83" t="n">
        <v>2398.832919</v>
      </c>
      <c r="D83" s="11" t="inlineStr">
        <is>
          <t>Unresolved</t>
        </is>
      </c>
    </row>
    <row r="84" ht="21" customHeight="1">
      <c r="A84" t="inlineStr">
        <is>
          <t>Paralichthys olivaceus</t>
        </is>
      </c>
      <c r="B84" t="n">
        <v>4.25</v>
      </c>
      <c r="C84" t="n">
        <v>1778.27941</v>
      </c>
      <c r="D84" s="11" t="inlineStr">
        <is>
          <t>Other bottom fishes</t>
        </is>
      </c>
      <c r="E84" t="n">
        <v>0</v>
      </c>
      <c r="F84" t="n">
        <v>458.549467</v>
      </c>
      <c r="G84" t="n">
        <v>83.79409699999999</v>
      </c>
      <c r="H84" t="n">
        <v>218.423557</v>
      </c>
      <c r="I84" t="n">
        <v>526.492157</v>
      </c>
      <c r="J84" t="n">
        <v>541.5331169999999</v>
      </c>
      <c r="K84" t="n">
        <v>541.5331169999999</v>
      </c>
      <c r="L84" t="n">
        <v>4898.328707</v>
      </c>
      <c r="M84" t="n">
        <v>4898.328707</v>
      </c>
      <c r="N84" t="n">
        <v>4977.981343</v>
      </c>
      <c r="O84" t="n">
        <v>2326.130383</v>
      </c>
      <c r="P84" t="n">
        <v>441.451478</v>
      </c>
      <c r="Q84" t="n">
        <v>4977.981343</v>
      </c>
      <c r="R84" t="n">
        <v>4898.328707</v>
      </c>
      <c r="S84" t="n">
        <v>2326.130383</v>
      </c>
      <c r="T84" t="n">
        <v>2326.130383</v>
      </c>
      <c r="U84" t="n">
        <v>441.451478</v>
      </c>
      <c r="V84" t="n">
        <v>441.451478</v>
      </c>
      <c r="W84" t="n">
        <v>3363.787374</v>
      </c>
      <c r="X84" t="n">
        <v>6233.03529</v>
      </c>
    </row>
    <row r="85" ht="21" customHeight="1">
      <c r="A85" t="inlineStr">
        <is>
          <t>Salvelinus malma</t>
        </is>
      </c>
      <c r="B85" t="n">
        <v>4.4</v>
      </c>
      <c r="C85" t="n">
        <v>2511.886432</v>
      </c>
      <c r="D85" s="11" t="inlineStr">
        <is>
          <t>Unresolved</t>
        </is>
      </c>
    </row>
    <row r="86" ht="21" customHeight="1">
      <c r="A86" t="inlineStr">
        <is>
          <t>Mactridae</t>
        </is>
      </c>
      <c r="B86" t="n">
        <v>2</v>
      </c>
      <c r="C86" t="n">
        <v>10</v>
      </c>
      <c r="D86" s="11" t="inlineStr">
        <is>
          <t>2nd level benthos</t>
        </is>
      </c>
      <c r="E86" t="n">
        <v>0</v>
      </c>
      <c r="F86" t="n">
        <v>10</v>
      </c>
      <c r="G86" t="n">
        <v>5.280025</v>
      </c>
      <c r="H86" t="n">
        <v>5.280025</v>
      </c>
      <c r="I86" t="n">
        <v>4.25396</v>
      </c>
      <c r="J86" t="n">
        <v>4.25396</v>
      </c>
      <c r="K86" t="n">
        <v>2.190789</v>
      </c>
      <c r="L86" t="n">
        <v>4.011903</v>
      </c>
      <c r="M86" t="n">
        <v>4.011903</v>
      </c>
      <c r="N86" t="n">
        <v>4.101044</v>
      </c>
      <c r="O86" t="n">
        <v>2.575732</v>
      </c>
      <c r="P86" t="n">
        <v>2.017588</v>
      </c>
      <c r="Q86" t="n">
        <v>4.101044</v>
      </c>
      <c r="R86" t="n">
        <v>4.011903</v>
      </c>
      <c r="S86" t="n">
        <v>2.575732</v>
      </c>
      <c r="T86" t="n">
        <v>2.575732</v>
      </c>
      <c r="U86" t="n">
        <v>2.017588</v>
      </c>
      <c r="V86" t="n">
        <v>2.017588</v>
      </c>
      <c r="W86" t="n">
        <v>3.13337</v>
      </c>
      <c r="X86" t="n">
        <v>4.076903</v>
      </c>
    </row>
    <row r="87" ht="21" customHeight="1">
      <c r="A87" t="inlineStr">
        <is>
          <t>Cyprinidae</t>
        </is>
      </c>
      <c r="B87" t="n">
        <v>2.8</v>
      </c>
      <c r="C87" t="n">
        <v>63.095734</v>
      </c>
      <c r="D87" s="11" t="inlineStr">
        <is>
          <t>Unresolved</t>
        </is>
      </c>
    </row>
    <row r="88" ht="21" customHeight="1">
      <c r="A88" t="inlineStr">
        <is>
          <t>Paralithodes</t>
        </is>
      </c>
      <c r="D88" s="11" t="inlineStr">
        <is>
          <t>Crabs and shrimps</t>
        </is>
      </c>
      <c r="E88" t="n">
        <v>0</v>
      </c>
      <c r="F88" t="n">
        <v>95.896642</v>
      </c>
      <c r="G88" t="n">
        <v>27.047208</v>
      </c>
      <c r="H88" t="n">
        <v>56.071592</v>
      </c>
      <c r="I88" t="n">
        <v>87.690287</v>
      </c>
      <c r="J88" t="n">
        <v>88.352076</v>
      </c>
      <c r="K88" t="n">
        <v>88.352076</v>
      </c>
      <c r="L88" t="n">
        <v>181.735308</v>
      </c>
      <c r="M88" t="n">
        <v>181.735308</v>
      </c>
      <c r="N88" t="n">
        <v>185.151605</v>
      </c>
      <c r="O88" t="n">
        <v>112.940911</v>
      </c>
      <c r="P88" t="n">
        <v>44.389715</v>
      </c>
      <c r="Q88" t="n">
        <v>185.151605</v>
      </c>
      <c r="R88" t="n">
        <v>181.735308</v>
      </c>
      <c r="S88" t="n">
        <v>112.940911</v>
      </c>
      <c r="T88" t="n">
        <v>112.940911</v>
      </c>
      <c r="U88" t="n">
        <v>44.389715</v>
      </c>
      <c r="V88" t="n">
        <v>44.389715</v>
      </c>
      <c r="W88" t="n">
        <v>155.52695</v>
      </c>
      <c r="X88" t="n">
        <v>203.433007</v>
      </c>
    </row>
    <row r="89" ht="21" customHeight="1">
      <c r="A89" t="inlineStr">
        <is>
          <t>Scorpaeniformes</t>
        </is>
      </c>
      <c r="B89" t="n">
        <v>3.78</v>
      </c>
      <c r="C89" t="n">
        <v>602.559586</v>
      </c>
      <c r="D89" s="11" t="inlineStr">
        <is>
          <t>Cottidae | Other bottom fishes</t>
        </is>
      </c>
      <c r="E89" t="n">
        <v>0</v>
      </c>
      <c r="F89" t="n">
        <v>458.549467</v>
      </c>
      <c r="G89" t="n">
        <v>83.79409699999999</v>
      </c>
      <c r="H89" t="n">
        <v>218.423557</v>
      </c>
      <c r="I89" t="n">
        <v>526.492157</v>
      </c>
      <c r="J89" t="n">
        <v>541.5331169999999</v>
      </c>
      <c r="K89" t="n">
        <v>541.5331169999999</v>
      </c>
      <c r="L89" t="n">
        <v>4898.328707</v>
      </c>
      <c r="M89" t="n">
        <v>4898.328707</v>
      </c>
      <c r="N89" t="n">
        <v>4977.981343</v>
      </c>
      <c r="O89" t="n">
        <v>2326.130383</v>
      </c>
      <c r="P89" t="n">
        <v>441.451478</v>
      </c>
      <c r="Q89" t="n">
        <v>4977.981343</v>
      </c>
      <c r="R89" t="n">
        <v>4898.328707</v>
      </c>
      <c r="S89" t="n">
        <v>2326.130383</v>
      </c>
      <c r="T89" t="n">
        <v>2326.130383</v>
      </c>
      <c r="U89" t="n">
        <v>441.451478</v>
      </c>
      <c r="V89" t="n">
        <v>441.451478</v>
      </c>
      <c r="W89" t="n">
        <v>3363.787374</v>
      </c>
      <c r="X89" t="n">
        <v>6233.03529</v>
      </c>
    </row>
    <row r="90" ht="21" customHeight="1">
      <c r="A90" t="inlineStr">
        <is>
          <t>Pandalus goniurus</t>
        </is>
      </c>
      <c r="B90" t="n">
        <v>2.6</v>
      </c>
      <c r="C90" t="n">
        <v>39.810717</v>
      </c>
      <c r="D90" s="11" t="inlineStr">
        <is>
          <t>Crabs and shrimps</t>
        </is>
      </c>
      <c r="E90" t="n">
        <v>0</v>
      </c>
      <c r="F90" t="n">
        <v>95.896642</v>
      </c>
      <c r="G90" t="n">
        <v>27.047208</v>
      </c>
      <c r="H90" t="n">
        <v>56.071592</v>
      </c>
      <c r="I90" t="n">
        <v>87.690287</v>
      </c>
      <c r="J90" t="n">
        <v>88.352076</v>
      </c>
      <c r="K90" t="n">
        <v>88.352076</v>
      </c>
      <c r="L90" t="n">
        <v>181.735308</v>
      </c>
      <c r="M90" t="n">
        <v>181.735308</v>
      </c>
      <c r="N90" t="n">
        <v>185.151605</v>
      </c>
      <c r="O90" t="n">
        <v>112.940911</v>
      </c>
      <c r="P90" t="n">
        <v>44.389715</v>
      </c>
      <c r="Q90" t="n">
        <v>185.151605</v>
      </c>
      <c r="R90" t="n">
        <v>181.735308</v>
      </c>
      <c r="S90" t="n">
        <v>112.940911</v>
      </c>
      <c r="T90" t="n">
        <v>112.940911</v>
      </c>
      <c r="U90" t="n">
        <v>44.389715</v>
      </c>
      <c r="V90" t="n">
        <v>44.389715</v>
      </c>
      <c r="W90" t="n">
        <v>155.52695</v>
      </c>
      <c r="X90" t="n">
        <v>203.433007</v>
      </c>
    </row>
    <row r="91" ht="21" customHeight="1">
      <c r="A91" t="inlineStr">
        <is>
          <t>Clupeiformes</t>
        </is>
      </c>
      <c r="B91" t="n">
        <v>3.24</v>
      </c>
      <c r="C91" t="n">
        <v>173.780083</v>
      </c>
      <c r="D91" s="11" t="inlineStr">
        <is>
          <t>Unresolved</t>
        </is>
      </c>
    </row>
    <row r="92" ht="21" customHeight="1">
      <c r="A92" t="inlineStr">
        <is>
          <t>Thunnus orientalis</t>
        </is>
      </c>
      <c r="B92" t="n">
        <v>4.05</v>
      </c>
      <c r="C92" t="n">
        <v>1122.018454</v>
      </c>
      <c r="D92" s="11" t="inlineStr">
        <is>
          <t>Unresolved</t>
        </is>
      </c>
    </row>
    <row r="93" ht="21" customHeight="1">
      <c r="A93" t="inlineStr">
        <is>
          <t>Chionoecetes japonicus</t>
        </is>
      </c>
      <c r="B93" t="n">
        <v>3.74</v>
      </c>
      <c r="C93" t="n">
        <v>549.540874</v>
      </c>
      <c r="D93" s="11" t="inlineStr">
        <is>
          <t>Crabs and shrimps</t>
        </is>
      </c>
      <c r="E93" t="n">
        <v>0</v>
      </c>
      <c r="F93" t="n">
        <v>95.896642</v>
      </c>
      <c r="G93" t="n">
        <v>27.047208</v>
      </c>
      <c r="H93" t="n">
        <v>56.071592</v>
      </c>
      <c r="I93" t="n">
        <v>87.690287</v>
      </c>
      <c r="J93" t="n">
        <v>88.352076</v>
      </c>
      <c r="K93" t="n">
        <v>88.352076</v>
      </c>
      <c r="L93" t="n">
        <v>181.735308</v>
      </c>
      <c r="M93" t="n">
        <v>181.735308</v>
      </c>
      <c r="N93" t="n">
        <v>185.151605</v>
      </c>
      <c r="O93" t="n">
        <v>112.940911</v>
      </c>
      <c r="P93" t="n">
        <v>44.389715</v>
      </c>
      <c r="Q93" t="n">
        <v>185.151605</v>
      </c>
      <c r="R93" t="n">
        <v>181.735308</v>
      </c>
      <c r="S93" t="n">
        <v>112.940911</v>
      </c>
      <c r="T93" t="n">
        <v>112.940911</v>
      </c>
      <c r="U93" t="n">
        <v>44.389715</v>
      </c>
      <c r="V93" t="n">
        <v>44.389715</v>
      </c>
      <c r="W93" t="n">
        <v>155.52695</v>
      </c>
      <c r="X93" t="n">
        <v>203.433007</v>
      </c>
    </row>
    <row r="94" ht="21" customHeight="1">
      <c r="A94" t="inlineStr">
        <is>
          <t>Ommastrephidae</t>
        </is>
      </c>
      <c r="B94" t="n">
        <v>4.09</v>
      </c>
      <c r="C94" t="n">
        <v>1230.268771</v>
      </c>
      <c r="D94" s="11" t="inlineStr">
        <is>
          <t>Squids</t>
        </is>
      </c>
      <c r="E94" t="n">
        <v>0</v>
      </c>
      <c r="F94" t="n">
        <v>957.310082</v>
      </c>
      <c r="G94" t="n">
        <v>142.631647</v>
      </c>
      <c r="H94" t="n">
        <v>119.679026</v>
      </c>
      <c r="I94" t="n">
        <v>66.859093</v>
      </c>
      <c r="J94" t="n">
        <v>71.95407</v>
      </c>
      <c r="K94" t="n">
        <v>34.034275</v>
      </c>
      <c r="L94" t="n">
        <v>245.671067</v>
      </c>
      <c r="M94" t="n">
        <v>245.671067</v>
      </c>
      <c r="N94" t="n">
        <v>249.518872</v>
      </c>
      <c r="O94" t="n">
        <v>112.246832</v>
      </c>
      <c r="P94" t="n">
        <v>37.014939</v>
      </c>
      <c r="Q94" t="n">
        <v>249.518872</v>
      </c>
      <c r="R94" t="n">
        <v>245.671067</v>
      </c>
      <c r="S94" t="n">
        <v>112.246832</v>
      </c>
      <c r="T94" t="n">
        <v>112.246832</v>
      </c>
      <c r="U94" t="n">
        <v>37.014939</v>
      </c>
      <c r="V94" t="n">
        <v>37.014939</v>
      </c>
      <c r="W94" t="n">
        <v>147.581283</v>
      </c>
      <c r="X94" t="n">
        <v>273.218985</v>
      </c>
    </row>
    <row r="95" ht="21" customHeight="1">
      <c r="A95" t="inlineStr">
        <is>
          <t>Sebastolobus alascanus</t>
        </is>
      </c>
      <c r="B95" t="n">
        <v>3.62</v>
      </c>
      <c r="C95" t="n">
        <v>416.869383</v>
      </c>
      <c r="D95" s="11" t="inlineStr">
        <is>
          <t>Other bottom fishes</t>
        </is>
      </c>
      <c r="E95" t="n">
        <v>0</v>
      </c>
      <c r="F95" t="n">
        <v>458.549467</v>
      </c>
      <c r="G95" t="n">
        <v>83.79409699999999</v>
      </c>
      <c r="H95" t="n">
        <v>218.423557</v>
      </c>
      <c r="I95" t="n">
        <v>526.492157</v>
      </c>
      <c r="J95" t="n">
        <v>541.5331169999999</v>
      </c>
      <c r="K95" t="n">
        <v>541.5331169999999</v>
      </c>
      <c r="L95" t="n">
        <v>4898.328707</v>
      </c>
      <c r="M95" t="n">
        <v>4898.328707</v>
      </c>
      <c r="N95" t="n">
        <v>4977.981343</v>
      </c>
      <c r="O95" t="n">
        <v>2326.130383</v>
      </c>
      <c r="P95" t="n">
        <v>441.451478</v>
      </c>
      <c r="Q95" t="n">
        <v>4977.981343</v>
      </c>
      <c r="R95" t="n">
        <v>4898.328707</v>
      </c>
      <c r="S95" t="n">
        <v>2326.130383</v>
      </c>
      <c r="T95" t="n">
        <v>2326.130383</v>
      </c>
      <c r="U95" t="n">
        <v>441.451478</v>
      </c>
      <c r="V95" t="n">
        <v>441.451478</v>
      </c>
      <c r="W95" t="n">
        <v>3363.787374</v>
      </c>
      <c r="X95" t="n">
        <v>6233.03529</v>
      </c>
    </row>
    <row r="96" ht="21" customHeight="1">
      <c r="A96" t="inlineStr">
        <is>
          <t>Octopus</t>
        </is>
      </c>
      <c r="B96" t="n">
        <v>3.8</v>
      </c>
      <c r="C96" t="n">
        <v>630.957344</v>
      </c>
      <c r="D96" s="11" t="inlineStr">
        <is>
          <t>Carnivorous invertebrates</t>
        </is>
      </c>
      <c r="E96" t="n">
        <v>0</v>
      </c>
      <c r="F96" t="n">
        <v>100</v>
      </c>
      <c r="G96" t="n">
        <v>27.878664</v>
      </c>
      <c r="H96" t="n">
        <v>27.878664</v>
      </c>
      <c r="I96" t="n">
        <v>35.33173</v>
      </c>
      <c r="J96" t="n">
        <v>35.33173</v>
      </c>
      <c r="K96" t="n">
        <v>28.654033</v>
      </c>
      <c r="L96" t="n">
        <v>33.321302</v>
      </c>
      <c r="M96" t="n">
        <v>33.321302</v>
      </c>
      <c r="N96" t="n">
        <v>34.061672</v>
      </c>
      <c r="O96" t="n">
        <v>17.349743</v>
      </c>
      <c r="P96" t="n">
        <v>10.872137</v>
      </c>
      <c r="Q96" t="n">
        <v>34.061672</v>
      </c>
      <c r="R96" t="n">
        <v>33.321302</v>
      </c>
      <c r="S96" t="n">
        <v>17.349743</v>
      </c>
      <c r="T96" t="n">
        <v>17.349743</v>
      </c>
      <c r="U96" t="n">
        <v>10.872137</v>
      </c>
      <c r="V96" t="n">
        <v>10.872137</v>
      </c>
      <c r="W96" t="n">
        <v>21.371774</v>
      </c>
      <c r="X96" t="n">
        <v>35.712118</v>
      </c>
    </row>
    <row r="97" ht="21" customHeight="1">
      <c r="A97" t="inlineStr">
        <is>
          <t>Pandalus hypsinotus</t>
        </is>
      </c>
      <c r="B97" t="n">
        <v>2.6</v>
      </c>
      <c r="C97" t="n">
        <v>39.810717</v>
      </c>
      <c r="D97" s="11" t="inlineStr">
        <is>
          <t>Crabs and shrimps</t>
        </is>
      </c>
      <c r="E97" t="n">
        <v>0</v>
      </c>
      <c r="F97" t="n">
        <v>95.896642</v>
      </c>
      <c r="G97" t="n">
        <v>27.047208</v>
      </c>
      <c r="H97" t="n">
        <v>56.071592</v>
      </c>
      <c r="I97" t="n">
        <v>87.690287</v>
      </c>
      <c r="J97" t="n">
        <v>88.352076</v>
      </c>
      <c r="K97" t="n">
        <v>88.352076</v>
      </c>
      <c r="L97" t="n">
        <v>181.735308</v>
      </c>
      <c r="M97" t="n">
        <v>181.735308</v>
      </c>
      <c r="N97" t="n">
        <v>185.151605</v>
      </c>
      <c r="O97" t="n">
        <v>112.940911</v>
      </c>
      <c r="P97" t="n">
        <v>44.389715</v>
      </c>
      <c r="Q97" t="n">
        <v>185.151605</v>
      </c>
      <c r="R97" t="n">
        <v>181.735308</v>
      </c>
      <c r="S97" t="n">
        <v>112.940911</v>
      </c>
      <c r="T97" t="n">
        <v>112.940911</v>
      </c>
      <c r="U97" t="n">
        <v>44.389715</v>
      </c>
      <c r="V97" t="n">
        <v>44.389715</v>
      </c>
      <c r="W97" t="n">
        <v>155.52695</v>
      </c>
      <c r="X97" t="n">
        <v>203.433007</v>
      </c>
    </row>
    <row r="98" ht="21" customHeight="1">
      <c r="A98" t="inlineStr">
        <is>
          <t>Squillidae</t>
        </is>
      </c>
      <c r="B98" t="n">
        <v>3.5</v>
      </c>
      <c r="C98" t="n">
        <v>316.227766</v>
      </c>
      <c r="D98" s="11" t="inlineStr">
        <is>
          <t>Carnivorous invertebrates</t>
        </is>
      </c>
      <c r="E98" t="n">
        <v>0</v>
      </c>
      <c r="F98" t="n">
        <v>100</v>
      </c>
      <c r="G98" t="n">
        <v>27.878664</v>
      </c>
      <c r="H98" t="n">
        <v>27.878664</v>
      </c>
      <c r="I98" t="n">
        <v>35.33173</v>
      </c>
      <c r="J98" t="n">
        <v>35.33173</v>
      </c>
      <c r="K98" t="n">
        <v>28.654033</v>
      </c>
      <c r="L98" t="n">
        <v>33.321302</v>
      </c>
      <c r="M98" t="n">
        <v>33.321302</v>
      </c>
      <c r="N98" t="n">
        <v>34.061672</v>
      </c>
      <c r="O98" t="n">
        <v>17.349743</v>
      </c>
      <c r="P98" t="n">
        <v>10.872137</v>
      </c>
      <c r="Q98" t="n">
        <v>34.061672</v>
      </c>
      <c r="R98" t="n">
        <v>33.321302</v>
      </c>
      <c r="S98" t="n">
        <v>17.349743</v>
      </c>
      <c r="T98" t="n">
        <v>17.349743</v>
      </c>
      <c r="U98" t="n">
        <v>10.872137</v>
      </c>
      <c r="V98" t="n">
        <v>10.872137</v>
      </c>
      <c r="W98" t="n">
        <v>21.371774</v>
      </c>
      <c r="X98" t="n">
        <v>35.712118</v>
      </c>
    </row>
    <row r="99" ht="21" customHeight="1">
      <c r="A99" t="inlineStr">
        <is>
          <t>Elasmobranchii</t>
        </is>
      </c>
      <c r="B99" t="n">
        <v>4.05</v>
      </c>
      <c r="C99" t="n">
        <v>1122.018454</v>
      </c>
      <c r="D99" s="11" t="inlineStr">
        <is>
          <t>Unresolved</t>
        </is>
      </c>
    </row>
    <row r="100" ht="21" customHeight="1">
      <c r="A100" t="inlineStr">
        <is>
          <t>Trachurus</t>
        </is>
      </c>
      <c r="B100" t="n">
        <v>3.69</v>
      </c>
      <c r="C100" t="n">
        <v>489.778819</v>
      </c>
      <c r="D100" s="11" t="inlineStr">
        <is>
          <t>Unresolved</t>
        </is>
      </c>
    </row>
    <row r="101" ht="21" customHeight="1">
      <c r="A101" t="inlineStr">
        <is>
          <t>Haliotidae</t>
        </is>
      </c>
      <c r="B101" t="n">
        <v>2</v>
      </c>
      <c r="C101" t="n">
        <v>10</v>
      </c>
      <c r="D101" s="11" t="inlineStr">
        <is>
          <t>2nd level benthos</t>
        </is>
      </c>
      <c r="E101" t="n">
        <v>0</v>
      </c>
      <c r="F101" t="n">
        <v>10</v>
      </c>
      <c r="G101" t="n">
        <v>5.280025</v>
      </c>
      <c r="H101" t="n">
        <v>5.280025</v>
      </c>
      <c r="I101" t="n">
        <v>4.25396</v>
      </c>
      <c r="J101" t="n">
        <v>4.25396</v>
      </c>
      <c r="K101" t="n">
        <v>2.190789</v>
      </c>
      <c r="L101" t="n">
        <v>4.011903</v>
      </c>
      <c r="M101" t="n">
        <v>4.011903</v>
      </c>
      <c r="N101" t="n">
        <v>4.101044</v>
      </c>
      <c r="O101" t="n">
        <v>2.575732</v>
      </c>
      <c r="P101" t="n">
        <v>2.017588</v>
      </c>
      <c r="Q101" t="n">
        <v>4.101044</v>
      </c>
      <c r="R101" t="n">
        <v>4.011903</v>
      </c>
      <c r="S101" t="n">
        <v>2.575732</v>
      </c>
      <c r="T101" t="n">
        <v>2.575732</v>
      </c>
      <c r="U101" t="n">
        <v>2.017588</v>
      </c>
      <c r="V101" t="n">
        <v>2.017588</v>
      </c>
      <c r="W101" t="n">
        <v>3.13337</v>
      </c>
      <c r="X101" t="n">
        <v>4.076903</v>
      </c>
    </row>
    <row r="102" ht="21" customHeight="1">
      <c r="A102" t="inlineStr">
        <is>
          <t>Corbicula japonica</t>
        </is>
      </c>
      <c r="B102" t="n">
        <v>2.05</v>
      </c>
      <c r="C102" t="n">
        <v>11.220185</v>
      </c>
      <c r="D102" s="11" t="inlineStr">
        <is>
          <t>2nd level benthos</t>
        </is>
      </c>
      <c r="E102" t="n">
        <v>0</v>
      </c>
      <c r="F102" t="n">
        <v>10</v>
      </c>
      <c r="G102" t="n">
        <v>5.280025</v>
      </c>
      <c r="H102" t="n">
        <v>5.280025</v>
      </c>
      <c r="I102" t="n">
        <v>4.25396</v>
      </c>
      <c r="J102" t="n">
        <v>4.25396</v>
      </c>
      <c r="K102" t="n">
        <v>2.190789</v>
      </c>
      <c r="L102" t="n">
        <v>4.011903</v>
      </c>
      <c r="M102" t="n">
        <v>4.011903</v>
      </c>
      <c r="N102" t="n">
        <v>4.101044</v>
      </c>
      <c r="O102" t="n">
        <v>2.575732</v>
      </c>
      <c r="P102" t="n">
        <v>2.017588</v>
      </c>
      <c r="Q102" t="n">
        <v>4.101044</v>
      </c>
      <c r="R102" t="n">
        <v>4.011903</v>
      </c>
      <c r="S102" t="n">
        <v>2.575732</v>
      </c>
      <c r="T102" t="n">
        <v>2.575732</v>
      </c>
      <c r="U102" t="n">
        <v>2.017588</v>
      </c>
      <c r="V102" t="n">
        <v>2.017588</v>
      </c>
      <c r="W102" t="n">
        <v>3.13337</v>
      </c>
      <c r="X102" t="n">
        <v>4.076903</v>
      </c>
    </row>
    <row r="103" ht="51" customHeight="1">
      <c r="A103" t="inlineStr">
        <is>
          <t>Gadiformes</t>
        </is>
      </c>
      <c r="D103" s="11" t="inlineStr">
        <is>
          <t>Walleye pollock | Juv. pollock | Other Gadidae | Other bottom fishes</t>
        </is>
      </c>
      <c r="E103" t="n">
        <v>0</v>
      </c>
      <c r="F103" t="n">
        <v>470.914871</v>
      </c>
      <c r="G103" t="n">
        <v>85.304688</v>
      </c>
      <c r="H103" t="n">
        <v>155.44954</v>
      </c>
      <c r="I103" t="n">
        <v>1205.667083</v>
      </c>
      <c r="J103" t="n">
        <v>1311.050914</v>
      </c>
      <c r="K103" t="n">
        <v>974.992515</v>
      </c>
      <c r="L103" t="n">
        <v>-24066.505507</v>
      </c>
      <c r="M103" t="n">
        <v>-24066.505507</v>
      </c>
      <c r="N103" t="n">
        <v>-24464.996296</v>
      </c>
      <c r="O103" t="n">
        <v>2307.120661</v>
      </c>
      <c r="P103" t="n">
        <v>480.506357</v>
      </c>
      <c r="Q103" t="n">
        <v>-24464.996296</v>
      </c>
      <c r="R103" t="n">
        <v>-24066.505507</v>
      </c>
      <c r="S103" t="n">
        <v>2307.120661</v>
      </c>
      <c r="T103" t="n">
        <v>2307.120661</v>
      </c>
      <c r="U103" t="n">
        <v>480.506357</v>
      </c>
      <c r="V103" t="n">
        <v>480.506357</v>
      </c>
      <c r="W103" t="n">
        <v>5620.573617</v>
      </c>
      <c r="X103" t="n">
        <v>95713.698364</v>
      </c>
    </row>
    <row r="104" ht="21" customHeight="1">
      <c r="A104" t="inlineStr">
        <is>
          <t>Lycodes</t>
        </is>
      </c>
      <c r="B104" t="n">
        <v>3.3</v>
      </c>
      <c r="C104" t="n">
        <v>199.526231</v>
      </c>
      <c r="D104" s="11" t="inlineStr">
        <is>
          <t>Other bottom fishes</t>
        </is>
      </c>
      <c r="E104" t="n">
        <v>0</v>
      </c>
      <c r="F104" t="n">
        <v>458.549467</v>
      </c>
      <c r="G104" t="n">
        <v>83.79409699999999</v>
      </c>
      <c r="H104" t="n">
        <v>218.423557</v>
      </c>
      <c r="I104" t="n">
        <v>526.492157</v>
      </c>
      <c r="J104" t="n">
        <v>541.5331169999999</v>
      </c>
      <c r="K104" t="n">
        <v>541.5331169999999</v>
      </c>
      <c r="L104" t="n">
        <v>4898.328707</v>
      </c>
      <c r="M104" t="n">
        <v>4898.328707</v>
      </c>
      <c r="N104" t="n">
        <v>4977.981343</v>
      </c>
      <c r="O104" t="n">
        <v>2326.130383</v>
      </c>
      <c r="P104" t="n">
        <v>441.451478</v>
      </c>
      <c r="Q104" t="n">
        <v>4977.981343</v>
      </c>
      <c r="R104" t="n">
        <v>4898.328707</v>
      </c>
      <c r="S104" t="n">
        <v>2326.130383</v>
      </c>
      <c r="T104" t="n">
        <v>2326.130383</v>
      </c>
      <c r="U104" t="n">
        <v>441.451478</v>
      </c>
      <c r="V104" t="n">
        <v>441.451478</v>
      </c>
      <c r="W104" t="n">
        <v>3363.787374</v>
      </c>
      <c r="X104" t="n">
        <v>6233.03529</v>
      </c>
    </row>
    <row r="105" ht="51" customHeight="1">
      <c r="A105" t="inlineStr">
        <is>
          <t>Actinopterygii</t>
        </is>
      </c>
      <c r="B105" t="n">
        <v>3.79</v>
      </c>
      <c r="C105" t="n">
        <v>616.595002</v>
      </c>
      <c r="D105" s="11" t="inlineStr">
        <is>
          <t>Other bottom fishes | Other Gadidae | Cottidae | Pleuronectidae</t>
        </is>
      </c>
      <c r="E105" t="n">
        <v>0</v>
      </c>
      <c r="F105" t="n">
        <v>543.741533</v>
      </c>
      <c r="G105" t="n">
        <v>93.693872</v>
      </c>
      <c r="H105" t="n">
        <v>233.024916</v>
      </c>
      <c r="I105" t="n">
        <v>3717.037561</v>
      </c>
      <c r="J105" t="n">
        <v>4576.95571</v>
      </c>
      <c r="K105" t="n">
        <v>1766.478285</v>
      </c>
      <c r="L105" t="n">
        <v>-220473.706559</v>
      </c>
      <c r="M105" t="n">
        <v>-220473.706559</v>
      </c>
      <c r="N105" t="n">
        <v>-224113.066944</v>
      </c>
      <c r="O105" t="n">
        <v>9426.429819000001</v>
      </c>
      <c r="P105" t="n">
        <v>1064.654543</v>
      </c>
      <c r="Q105" t="n">
        <v>-224113.066944</v>
      </c>
      <c r="R105" t="n">
        <v>-220473.706559</v>
      </c>
      <c r="S105" t="n">
        <v>9426.429819000001</v>
      </c>
      <c r="T105" t="n">
        <v>9426.429819000001</v>
      </c>
      <c r="U105" t="n">
        <v>1064.654543</v>
      </c>
      <c r="V105" t="n">
        <v>1064.654543</v>
      </c>
      <c r="W105" t="n">
        <v>33749.645741</v>
      </c>
      <c r="X105" t="n">
        <v>782832.189582</v>
      </c>
    </row>
    <row r="106" ht="36" customHeight="1">
      <c r="A106" t="inlineStr">
        <is>
          <t>Miscellaneous aquatic invertebrates</t>
        </is>
      </c>
      <c r="B106" t="n">
        <v>2.43</v>
      </c>
      <c r="C106" t="n">
        <v>26.915348</v>
      </c>
      <c r="D106" s="11" t="inlineStr">
        <is>
          <t>2nd level benthos | Carnivorous invertebrates</t>
        </is>
      </c>
      <c r="E106" t="n">
        <v>0</v>
      </c>
      <c r="F106" t="n">
        <v>29.4532</v>
      </c>
      <c r="G106" t="n">
        <v>10.164646</v>
      </c>
      <c r="H106" t="n">
        <v>10.164646</v>
      </c>
      <c r="I106" t="n">
        <v>10.971317</v>
      </c>
      <c r="J106" t="n">
        <v>10.971317</v>
      </c>
      <c r="K106" t="n">
        <v>7.910732</v>
      </c>
      <c r="L106" t="n">
        <v>10.347032</v>
      </c>
      <c r="M106" t="n">
        <v>10.347032</v>
      </c>
      <c r="N106" t="n">
        <v>10.576934</v>
      </c>
      <c r="O106" t="n">
        <v>5.769085</v>
      </c>
      <c r="P106" t="n">
        <v>3.93147</v>
      </c>
      <c r="Q106" t="n">
        <v>10.576934</v>
      </c>
      <c r="R106" t="n">
        <v>10.347032</v>
      </c>
      <c r="S106" t="n">
        <v>5.769085</v>
      </c>
      <c r="T106" t="n">
        <v>5.769085</v>
      </c>
      <c r="U106" t="n">
        <v>3.93147</v>
      </c>
      <c r="V106" t="n">
        <v>3.93147</v>
      </c>
      <c r="W106" t="n">
        <v>7.07554</v>
      </c>
      <c r="X106" t="n">
        <v>10.91475</v>
      </c>
    </row>
    <row r="107" ht="21" customHeight="1">
      <c r="A107" t="inlineStr">
        <is>
          <t>Erimacrus isenbeckii</t>
        </is>
      </c>
      <c r="B107" t="n">
        <v>2.6</v>
      </c>
      <c r="C107" t="n">
        <v>39.810717</v>
      </c>
      <c r="D107" s="11" t="inlineStr">
        <is>
          <t>Crabs and shrimps</t>
        </is>
      </c>
      <c r="E107" t="n">
        <v>0</v>
      </c>
      <c r="F107" t="n">
        <v>95.896642</v>
      </c>
      <c r="G107" t="n">
        <v>27.047208</v>
      </c>
      <c r="H107" t="n">
        <v>56.071592</v>
      </c>
      <c r="I107" t="n">
        <v>87.690287</v>
      </c>
      <c r="J107" t="n">
        <v>88.352076</v>
      </c>
      <c r="K107" t="n">
        <v>88.352076</v>
      </c>
      <c r="L107" t="n">
        <v>181.735308</v>
      </c>
      <c r="M107" t="n">
        <v>181.735308</v>
      </c>
      <c r="N107" t="n">
        <v>185.151605</v>
      </c>
      <c r="O107" t="n">
        <v>112.940911</v>
      </c>
      <c r="P107" t="n">
        <v>44.389715</v>
      </c>
      <c r="Q107" t="n">
        <v>185.151605</v>
      </c>
      <c r="R107" t="n">
        <v>181.735308</v>
      </c>
      <c r="S107" t="n">
        <v>112.940911</v>
      </c>
      <c r="T107" t="n">
        <v>112.940911</v>
      </c>
      <c r="U107" t="n">
        <v>44.389715</v>
      </c>
      <c r="V107" t="n">
        <v>44.389715</v>
      </c>
      <c r="W107" t="n">
        <v>155.52695</v>
      </c>
      <c r="X107" t="n">
        <v>203.433007</v>
      </c>
    </row>
    <row r="108" ht="21" customHeight="1">
      <c r="A108" t="inlineStr">
        <is>
          <t>Mytilidae</t>
        </is>
      </c>
      <c r="B108" t="n">
        <v>2</v>
      </c>
      <c r="C108" t="n">
        <v>10</v>
      </c>
      <c r="D108" s="11" t="inlineStr">
        <is>
          <t>2nd level benthos</t>
        </is>
      </c>
      <c r="E108" t="n">
        <v>0</v>
      </c>
      <c r="F108" t="n">
        <v>10</v>
      </c>
      <c r="G108" t="n">
        <v>5.280025</v>
      </c>
      <c r="H108" t="n">
        <v>5.280025</v>
      </c>
      <c r="I108" t="n">
        <v>4.25396</v>
      </c>
      <c r="J108" t="n">
        <v>4.25396</v>
      </c>
      <c r="K108" t="n">
        <v>2.190789</v>
      </c>
      <c r="L108" t="n">
        <v>4.011903</v>
      </c>
      <c r="M108" t="n">
        <v>4.011903</v>
      </c>
      <c r="N108" t="n">
        <v>4.101044</v>
      </c>
      <c r="O108" t="n">
        <v>2.575732</v>
      </c>
      <c r="P108" t="n">
        <v>2.017588</v>
      </c>
      <c r="Q108" t="n">
        <v>4.101044</v>
      </c>
      <c r="R108" t="n">
        <v>4.011903</v>
      </c>
      <c r="S108" t="n">
        <v>2.575732</v>
      </c>
      <c r="T108" t="n">
        <v>2.575732</v>
      </c>
      <c r="U108" t="n">
        <v>2.017588</v>
      </c>
      <c r="V108" t="n">
        <v>2.017588</v>
      </c>
      <c r="W108" t="n">
        <v>3.13337</v>
      </c>
      <c r="X108" t="n">
        <v>4.076903</v>
      </c>
    </row>
    <row r="109" ht="21" customHeight="1">
      <c r="A109" t="inlineStr">
        <is>
          <t>Penaeus chinensis</t>
        </is>
      </c>
      <c r="B109" t="n">
        <v>2</v>
      </c>
      <c r="C109" t="n">
        <v>10</v>
      </c>
      <c r="D109" s="11" t="inlineStr">
        <is>
          <t>Crabs and shrimps</t>
        </is>
      </c>
      <c r="E109" t="n">
        <v>0</v>
      </c>
      <c r="F109" t="n">
        <v>95.896642</v>
      </c>
      <c r="G109" t="n">
        <v>27.047208</v>
      </c>
      <c r="H109" t="n">
        <v>56.071592</v>
      </c>
      <c r="I109" t="n">
        <v>87.690287</v>
      </c>
      <c r="J109" t="n">
        <v>88.352076</v>
      </c>
      <c r="K109" t="n">
        <v>88.352076</v>
      </c>
      <c r="L109" t="n">
        <v>181.735308</v>
      </c>
      <c r="M109" t="n">
        <v>181.735308</v>
      </c>
      <c r="N109" t="n">
        <v>185.151605</v>
      </c>
      <c r="O109" t="n">
        <v>112.940911</v>
      </c>
      <c r="P109" t="n">
        <v>44.389715</v>
      </c>
      <c r="Q109" t="n">
        <v>185.151605</v>
      </c>
      <c r="R109" t="n">
        <v>181.735308</v>
      </c>
      <c r="S109" t="n">
        <v>112.940911</v>
      </c>
      <c r="T109" t="n">
        <v>112.940911</v>
      </c>
      <c r="U109" t="n">
        <v>44.389715</v>
      </c>
      <c r="V109" t="n">
        <v>44.389715</v>
      </c>
      <c r="W109" t="n">
        <v>155.52695</v>
      </c>
      <c r="X109" t="n">
        <v>203.433007</v>
      </c>
    </row>
    <row r="110" ht="21" customHeight="1">
      <c r="A110" t="inlineStr">
        <is>
          <t>Congridae</t>
        </is>
      </c>
      <c r="B110" t="n">
        <v>4.18</v>
      </c>
      <c r="C110" t="n">
        <v>1513.561248</v>
      </c>
      <c r="D110" s="11" t="inlineStr">
        <is>
          <t>Unresolved</t>
        </is>
      </c>
    </row>
    <row r="111" ht="21" customHeight="1">
      <c r="A111" t="inlineStr">
        <is>
          <t>Serranidae</t>
        </is>
      </c>
      <c r="B111" t="n">
        <v>3.98</v>
      </c>
      <c r="C111" t="n">
        <v>954.992586</v>
      </c>
      <c r="D111" s="11" t="inlineStr">
        <is>
          <t>Unresolved</t>
        </is>
      </c>
    </row>
    <row r="112" ht="21" customHeight="1">
      <c r="A112" t="inlineStr">
        <is>
          <t>Synodontidae</t>
        </is>
      </c>
      <c r="B112" t="n">
        <v>4.3</v>
      </c>
      <c r="C112" t="n">
        <v>1995.262315</v>
      </c>
      <c r="D112" s="11" t="inlineStr">
        <is>
          <t>Unresolved</t>
        </is>
      </c>
    </row>
    <row r="113" ht="21" customHeight="1">
      <c r="A113" t="inlineStr">
        <is>
          <t>Perciformes</t>
        </is>
      </c>
      <c r="B113" t="n">
        <v>3.53</v>
      </c>
      <c r="C113" t="n">
        <v>338.844156</v>
      </c>
      <c r="D113" s="11" t="inlineStr">
        <is>
          <t>Unresolved</t>
        </is>
      </c>
    </row>
    <row r="114" ht="21" customHeight="1">
      <c r="A114" t="inlineStr">
        <is>
          <t>Ommastrephes bartramii</t>
        </is>
      </c>
      <c r="B114" t="n">
        <v>4.37</v>
      </c>
      <c r="C114" t="n">
        <v>2344.228815</v>
      </c>
      <c r="D114" s="11" t="inlineStr">
        <is>
          <t>Squids</t>
        </is>
      </c>
      <c r="E114" t="n">
        <v>0</v>
      </c>
      <c r="F114" t="n">
        <v>957.310082</v>
      </c>
      <c r="G114" t="n">
        <v>142.631647</v>
      </c>
      <c r="H114" t="n">
        <v>119.679026</v>
      </c>
      <c r="I114" t="n">
        <v>66.859093</v>
      </c>
      <c r="J114" t="n">
        <v>71.95407</v>
      </c>
      <c r="K114" t="n">
        <v>34.034275</v>
      </c>
      <c r="L114" t="n">
        <v>245.671067</v>
      </c>
      <c r="M114" t="n">
        <v>245.671067</v>
      </c>
      <c r="N114" t="n">
        <v>249.518872</v>
      </c>
      <c r="O114" t="n">
        <v>112.246832</v>
      </c>
      <c r="P114" t="n">
        <v>37.014939</v>
      </c>
      <c r="Q114" t="n">
        <v>249.518872</v>
      </c>
      <c r="R114" t="n">
        <v>245.671067</v>
      </c>
      <c r="S114" t="n">
        <v>112.246832</v>
      </c>
      <c r="T114" t="n">
        <v>112.246832</v>
      </c>
      <c r="U114" t="n">
        <v>37.014939</v>
      </c>
      <c r="V114" t="n">
        <v>37.014939</v>
      </c>
      <c r="W114" t="n">
        <v>147.581283</v>
      </c>
      <c r="X114" t="n">
        <v>273.218985</v>
      </c>
    </row>
    <row r="115" ht="21" customHeight="1">
      <c r="A115" t="inlineStr">
        <is>
          <t>Sclerocrangon</t>
        </is>
      </c>
      <c r="B115" t="n">
        <v>2.2</v>
      </c>
      <c r="C115" t="n">
        <v>15.848932</v>
      </c>
      <c r="D115" s="11" t="inlineStr">
        <is>
          <t>Crabs and shrimps</t>
        </is>
      </c>
      <c r="E115" t="n">
        <v>0</v>
      </c>
      <c r="F115" t="n">
        <v>95.896642</v>
      </c>
      <c r="G115" t="n">
        <v>27.047208</v>
      </c>
      <c r="H115" t="n">
        <v>56.071592</v>
      </c>
      <c r="I115" t="n">
        <v>87.690287</v>
      </c>
      <c r="J115" t="n">
        <v>88.352076</v>
      </c>
      <c r="K115" t="n">
        <v>88.352076</v>
      </c>
      <c r="L115" t="n">
        <v>181.735308</v>
      </c>
      <c r="M115" t="n">
        <v>181.735308</v>
      </c>
      <c r="N115" t="n">
        <v>185.151605</v>
      </c>
      <c r="O115" t="n">
        <v>112.940911</v>
      </c>
      <c r="P115" t="n">
        <v>44.389715</v>
      </c>
      <c r="Q115" t="n">
        <v>185.151605</v>
      </c>
      <c r="R115" t="n">
        <v>181.735308</v>
      </c>
      <c r="S115" t="n">
        <v>112.940911</v>
      </c>
      <c r="T115" t="n">
        <v>112.940911</v>
      </c>
      <c r="U115" t="n">
        <v>44.389715</v>
      </c>
      <c r="V115" t="n">
        <v>44.389715</v>
      </c>
      <c r="W115" t="n">
        <v>155.52695</v>
      </c>
      <c r="X115" t="n">
        <v>203.433007</v>
      </c>
    </row>
    <row r="116" ht="21" customHeight="1">
      <c r="A116" t="inlineStr">
        <is>
          <t>Mugilidae</t>
        </is>
      </c>
      <c r="B116" t="n">
        <v>2.53</v>
      </c>
      <c r="C116" t="n">
        <v>33.884416</v>
      </c>
      <c r="D116" s="11" t="inlineStr">
        <is>
          <t>Unresolved</t>
        </is>
      </c>
    </row>
    <row r="117" ht="21" customHeight="1">
      <c r="A117" t="inlineStr">
        <is>
          <t>Hexagrammos otakii</t>
        </is>
      </c>
      <c r="D117" s="11" t="inlineStr">
        <is>
          <t>Other bottom fishes</t>
        </is>
      </c>
      <c r="E117" t="n">
        <v>0</v>
      </c>
      <c r="F117" t="n">
        <v>458.549467</v>
      </c>
      <c r="G117" t="n">
        <v>83.79409699999999</v>
      </c>
      <c r="H117" t="n">
        <v>218.423557</v>
      </c>
      <c r="I117" t="n">
        <v>526.492157</v>
      </c>
      <c r="J117" t="n">
        <v>541.5331169999999</v>
      </c>
      <c r="K117" t="n">
        <v>541.5331169999999</v>
      </c>
      <c r="L117" t="n">
        <v>4898.328707</v>
      </c>
      <c r="M117" t="n">
        <v>4898.328707</v>
      </c>
      <c r="N117" t="n">
        <v>4977.981343</v>
      </c>
      <c r="O117" t="n">
        <v>2326.130383</v>
      </c>
      <c r="P117" t="n">
        <v>441.451478</v>
      </c>
      <c r="Q117" t="n">
        <v>4977.981343</v>
      </c>
      <c r="R117" t="n">
        <v>4898.328707</v>
      </c>
      <c r="S117" t="n">
        <v>2326.130383</v>
      </c>
      <c r="T117" t="n">
        <v>2326.130383</v>
      </c>
      <c r="U117" t="n">
        <v>441.451478</v>
      </c>
      <c r="V117" t="n">
        <v>441.451478</v>
      </c>
      <c r="W117" t="n">
        <v>3363.787374</v>
      </c>
      <c r="X117" t="n">
        <v>6233.03529</v>
      </c>
    </row>
    <row r="118" ht="21" customHeight="1">
      <c r="A118" t="inlineStr">
        <is>
          <t>Hexagrammidae</t>
        </is>
      </c>
      <c r="B118" t="n">
        <v>3.72</v>
      </c>
      <c r="C118" t="n">
        <v>524.80746</v>
      </c>
      <c r="D118" s="11" t="inlineStr">
        <is>
          <t>Other bottom fishes</t>
        </is>
      </c>
      <c r="E118" t="n">
        <v>0</v>
      </c>
      <c r="F118" t="n">
        <v>458.549467</v>
      </c>
      <c r="G118" t="n">
        <v>83.79409699999999</v>
      </c>
      <c r="H118" t="n">
        <v>218.423557</v>
      </c>
      <c r="I118" t="n">
        <v>526.492157</v>
      </c>
      <c r="J118" t="n">
        <v>541.5331169999999</v>
      </c>
      <c r="K118" t="n">
        <v>541.5331169999999</v>
      </c>
      <c r="L118" t="n">
        <v>4898.328707</v>
      </c>
      <c r="M118" t="n">
        <v>4898.328707</v>
      </c>
      <c r="N118" t="n">
        <v>4977.981343</v>
      </c>
      <c r="O118" t="n">
        <v>2326.130383</v>
      </c>
      <c r="P118" t="n">
        <v>441.451478</v>
      </c>
      <c r="Q118" t="n">
        <v>4977.981343</v>
      </c>
      <c r="R118" t="n">
        <v>4898.328707</v>
      </c>
      <c r="S118" t="n">
        <v>2326.130383</v>
      </c>
      <c r="T118" t="n">
        <v>2326.130383</v>
      </c>
      <c r="U118" t="n">
        <v>441.451478</v>
      </c>
      <c r="V118" t="n">
        <v>441.451478</v>
      </c>
      <c r="W118" t="n">
        <v>3363.787374</v>
      </c>
      <c r="X118" t="n">
        <v>6233.03529</v>
      </c>
    </row>
    <row r="119" ht="21" customHeight="1">
      <c r="A119" t="inlineStr">
        <is>
          <t>Marine pelagic fishes not identified</t>
        </is>
      </c>
      <c r="B119" t="n">
        <v>3.35</v>
      </c>
      <c r="C119" t="n">
        <v>223.872114</v>
      </c>
      <c r="D119" s="11" t="inlineStr">
        <is>
          <t>Unresolved</t>
        </is>
      </c>
    </row>
    <row r="120" ht="21" customHeight="1">
      <c r="A120" t="inlineStr">
        <is>
          <t>Beryx</t>
        </is>
      </c>
      <c r="B120" t="n">
        <v>3.97</v>
      </c>
      <c r="C120" t="n">
        <v>933.2543010000001</v>
      </c>
      <c r="D120" s="11" t="inlineStr">
        <is>
          <t>Unresolved</t>
        </is>
      </c>
    </row>
    <row r="121" ht="21" customHeight="1">
      <c r="A121" t="inlineStr">
        <is>
          <t>Apostichopus japonicus</t>
        </is>
      </c>
      <c r="B121" t="n">
        <v>2.3</v>
      </c>
      <c r="C121" t="n">
        <v>19.952623</v>
      </c>
      <c r="D121" s="11" t="inlineStr">
        <is>
          <t>2nd level benthos</t>
        </is>
      </c>
      <c r="E121" t="n">
        <v>0</v>
      </c>
      <c r="F121" t="n">
        <v>10</v>
      </c>
      <c r="G121" t="n">
        <v>5.280025</v>
      </c>
      <c r="H121" t="n">
        <v>5.280025</v>
      </c>
      <c r="I121" t="n">
        <v>4.25396</v>
      </c>
      <c r="J121" t="n">
        <v>4.25396</v>
      </c>
      <c r="K121" t="n">
        <v>2.190789</v>
      </c>
      <c r="L121" t="n">
        <v>4.011903</v>
      </c>
      <c r="M121" t="n">
        <v>4.011903</v>
      </c>
      <c r="N121" t="n">
        <v>4.101044</v>
      </c>
      <c r="O121" t="n">
        <v>2.575732</v>
      </c>
      <c r="P121" t="n">
        <v>2.017588</v>
      </c>
      <c r="Q121" t="n">
        <v>4.101044</v>
      </c>
      <c r="R121" t="n">
        <v>4.011903</v>
      </c>
      <c r="S121" t="n">
        <v>2.575732</v>
      </c>
      <c r="T121" t="n">
        <v>2.575732</v>
      </c>
      <c r="U121" t="n">
        <v>2.017588</v>
      </c>
      <c r="V121" t="n">
        <v>2.017588</v>
      </c>
      <c r="W121" t="n">
        <v>3.13337</v>
      </c>
      <c r="X121" t="n">
        <v>4.076903</v>
      </c>
    </row>
    <row r="122" ht="21" customHeight="1">
      <c r="A122" t="inlineStr">
        <is>
          <t>Crassostrea</t>
        </is>
      </c>
      <c r="B122" t="n">
        <v>2</v>
      </c>
      <c r="C122" t="n">
        <v>10</v>
      </c>
      <c r="D122" s="11" t="inlineStr">
        <is>
          <t>2nd level benthos</t>
        </is>
      </c>
      <c r="E122" t="n">
        <v>0</v>
      </c>
      <c r="F122" t="n">
        <v>10</v>
      </c>
      <c r="G122" t="n">
        <v>5.280025</v>
      </c>
      <c r="H122" t="n">
        <v>5.280025</v>
      </c>
      <c r="I122" t="n">
        <v>4.25396</v>
      </c>
      <c r="J122" t="n">
        <v>4.25396</v>
      </c>
      <c r="K122" t="n">
        <v>2.190789</v>
      </c>
      <c r="L122" t="n">
        <v>4.011903</v>
      </c>
      <c r="M122" t="n">
        <v>4.011903</v>
      </c>
      <c r="N122" t="n">
        <v>4.101044</v>
      </c>
      <c r="O122" t="n">
        <v>2.575732</v>
      </c>
      <c r="P122" t="n">
        <v>2.017588</v>
      </c>
      <c r="Q122" t="n">
        <v>4.101044</v>
      </c>
      <c r="R122" t="n">
        <v>4.011903</v>
      </c>
      <c r="S122" t="n">
        <v>2.575732</v>
      </c>
      <c r="T122" t="n">
        <v>2.575732</v>
      </c>
      <c r="U122" t="n">
        <v>2.017588</v>
      </c>
      <c r="V122" t="n">
        <v>2.017588</v>
      </c>
      <c r="W122" t="n">
        <v>3.13337</v>
      </c>
      <c r="X122" t="n">
        <v>4.076903</v>
      </c>
    </row>
    <row r="123" ht="21" customHeight="1">
      <c r="A123" t="inlineStr">
        <is>
          <t>Stromateidae</t>
        </is>
      </c>
      <c r="B123" t="n">
        <v>3.62</v>
      </c>
      <c r="C123" t="n">
        <v>416.869383</v>
      </c>
      <c r="D123" s="11" t="inlineStr">
        <is>
          <t>Unresolved</t>
        </is>
      </c>
    </row>
    <row r="124" ht="21" customHeight="1">
      <c r="A124" t="inlineStr">
        <is>
          <t>Bramidae</t>
        </is>
      </c>
      <c r="B124" t="n">
        <v>4.14</v>
      </c>
      <c r="C124" t="n">
        <v>1380.384265</v>
      </c>
      <c r="D124" s="11" t="inlineStr">
        <is>
          <t>Unresolved</t>
        </is>
      </c>
    </row>
    <row r="125" ht="21" customHeight="1">
      <c r="A125" t="inlineStr">
        <is>
          <t>Cephea</t>
        </is>
      </c>
      <c r="D125" s="11" t="inlineStr">
        <is>
          <t>Jellyfish</t>
        </is>
      </c>
      <c r="E125" t="n">
        <v>0</v>
      </c>
      <c r="F125" t="n">
        <v>192.167837</v>
      </c>
      <c r="G125" t="n">
        <v>44.696122</v>
      </c>
      <c r="H125" t="n">
        <v>82.346732</v>
      </c>
      <c r="I125" t="n">
        <v>2095.248026</v>
      </c>
      <c r="J125" t="n">
        <v>2102.656168</v>
      </c>
      <c r="K125" t="n">
        <v>52.566404</v>
      </c>
      <c r="L125" t="n">
        <v>13084.005263</v>
      </c>
      <c r="M125" t="n">
        <v>13084.005263</v>
      </c>
      <c r="N125" t="n">
        <v>13306.933792</v>
      </c>
      <c r="O125" t="n">
        <v>79.878041</v>
      </c>
      <c r="P125" t="n">
        <v>25.489001</v>
      </c>
      <c r="Q125" t="n">
        <v>13306.933792</v>
      </c>
      <c r="R125" t="n">
        <v>13084.005263</v>
      </c>
      <c r="S125" t="n">
        <v>79.878041</v>
      </c>
      <c r="T125" t="n">
        <v>79.878041</v>
      </c>
      <c r="U125" t="n">
        <v>25.489001</v>
      </c>
      <c r="V125" t="n">
        <v>25.489001</v>
      </c>
      <c r="W125" t="n">
        <v>106.21969</v>
      </c>
      <c r="X125" t="n">
        <v>14877.937413</v>
      </c>
    </row>
    <row r="126" ht="21" customHeight="1">
      <c r="A126" t="inlineStr">
        <is>
          <t>Scorpaenidae</t>
        </is>
      </c>
      <c r="D126" s="11" t="inlineStr">
        <is>
          <t>Other bottom fishes</t>
        </is>
      </c>
      <c r="E126" t="n">
        <v>0</v>
      </c>
      <c r="F126" t="n">
        <v>458.549467</v>
      </c>
      <c r="G126" t="n">
        <v>83.79409699999999</v>
      </c>
      <c r="H126" t="n">
        <v>218.423557</v>
      </c>
      <c r="I126" t="n">
        <v>526.492157</v>
      </c>
      <c r="J126" t="n">
        <v>541.5331169999999</v>
      </c>
      <c r="K126" t="n">
        <v>541.5331169999999</v>
      </c>
      <c r="L126" t="n">
        <v>4898.328707</v>
      </c>
      <c r="M126" t="n">
        <v>4898.328707</v>
      </c>
      <c r="N126" t="n">
        <v>4977.981343</v>
      </c>
      <c r="O126" t="n">
        <v>2326.130383</v>
      </c>
      <c r="P126" t="n">
        <v>441.451478</v>
      </c>
      <c r="Q126" t="n">
        <v>4977.981343</v>
      </c>
      <c r="R126" t="n">
        <v>4898.328707</v>
      </c>
      <c r="S126" t="n">
        <v>2326.130383</v>
      </c>
      <c r="T126" t="n">
        <v>2326.130383</v>
      </c>
      <c r="U126" t="n">
        <v>441.451478</v>
      </c>
      <c r="V126" t="n">
        <v>441.451478</v>
      </c>
      <c r="W126" t="n">
        <v>3363.787374</v>
      </c>
      <c r="X126" t="n">
        <v>6233.03529</v>
      </c>
    </row>
    <row r="127" ht="21" customHeight="1">
      <c r="A127" t="inlineStr">
        <is>
          <t>Scyphozoa</t>
        </is>
      </c>
      <c r="B127" t="n">
        <v>3.46</v>
      </c>
      <c r="C127" t="n">
        <v>288.40315</v>
      </c>
      <c r="D127" s="11" t="inlineStr">
        <is>
          <t>Jellyfish</t>
        </is>
      </c>
      <c r="E127" t="n">
        <v>0</v>
      </c>
      <c r="F127" t="n">
        <v>192.167837</v>
      </c>
      <c r="G127" t="n">
        <v>44.696122</v>
      </c>
      <c r="H127" t="n">
        <v>82.346732</v>
      </c>
      <c r="I127" t="n">
        <v>2095.248026</v>
      </c>
      <c r="J127" t="n">
        <v>2102.656168</v>
      </c>
      <c r="K127" t="n">
        <v>52.566404</v>
      </c>
      <c r="L127" t="n">
        <v>13084.005263</v>
      </c>
      <c r="M127" t="n">
        <v>13084.005263</v>
      </c>
      <c r="N127" t="n">
        <v>13306.933792</v>
      </c>
      <c r="O127" t="n">
        <v>79.878041</v>
      </c>
      <c r="P127" t="n">
        <v>25.489001</v>
      </c>
      <c r="Q127" t="n">
        <v>13306.933792</v>
      </c>
      <c r="R127" t="n">
        <v>13084.005263</v>
      </c>
      <c r="S127" t="n">
        <v>79.878041</v>
      </c>
      <c r="T127" t="n">
        <v>79.878041</v>
      </c>
      <c r="U127" t="n">
        <v>25.489001</v>
      </c>
      <c r="V127" t="n">
        <v>25.489001</v>
      </c>
      <c r="W127" t="n">
        <v>106.21969</v>
      </c>
      <c r="X127" t="n">
        <v>14877.937413</v>
      </c>
    </row>
    <row r="128" ht="21" customHeight="1">
      <c r="A128" t="inlineStr">
        <is>
          <t>Pandalopsis japonica</t>
        </is>
      </c>
      <c r="D128" s="11" t="inlineStr">
        <is>
          <t>Crabs and shrimps</t>
        </is>
      </c>
      <c r="E128" t="n">
        <v>0</v>
      </c>
      <c r="F128" t="n">
        <v>95.896642</v>
      </c>
      <c r="G128" t="n">
        <v>27.047208</v>
      </c>
      <c r="H128" t="n">
        <v>56.071592</v>
      </c>
      <c r="I128" t="n">
        <v>87.690287</v>
      </c>
      <c r="J128" t="n">
        <v>88.352076</v>
      </c>
      <c r="K128" t="n">
        <v>88.352076</v>
      </c>
      <c r="L128" t="n">
        <v>181.735308</v>
      </c>
      <c r="M128" t="n">
        <v>181.735308</v>
      </c>
      <c r="N128" t="n">
        <v>185.151605</v>
      </c>
      <c r="O128" t="n">
        <v>112.940911</v>
      </c>
      <c r="P128" t="n">
        <v>44.389715</v>
      </c>
      <c r="Q128" t="n">
        <v>185.151605</v>
      </c>
      <c r="R128" t="n">
        <v>181.735308</v>
      </c>
      <c r="S128" t="n">
        <v>112.940911</v>
      </c>
      <c r="T128" t="n">
        <v>112.940911</v>
      </c>
      <c r="U128" t="n">
        <v>44.389715</v>
      </c>
      <c r="V128" t="n">
        <v>44.389715</v>
      </c>
      <c r="W128" t="n">
        <v>155.52695</v>
      </c>
      <c r="X128" t="n">
        <v>203.433007</v>
      </c>
    </row>
    <row r="129" ht="21" customHeight="1">
      <c r="A129" t="inlineStr">
        <is>
          <t>Pandalus kessleri</t>
        </is>
      </c>
      <c r="B129" t="n">
        <v>2.6</v>
      </c>
      <c r="C129" t="n">
        <v>39.810717</v>
      </c>
      <c r="D129" s="11" t="inlineStr">
        <is>
          <t>Crabs and shrimps</t>
        </is>
      </c>
      <c r="E129" t="n">
        <v>0</v>
      </c>
      <c r="F129" t="n">
        <v>95.896642</v>
      </c>
      <c r="G129" t="n">
        <v>27.047208</v>
      </c>
      <c r="H129" t="n">
        <v>56.071592</v>
      </c>
      <c r="I129" t="n">
        <v>87.690287</v>
      </c>
      <c r="J129" t="n">
        <v>88.352076</v>
      </c>
      <c r="K129" t="n">
        <v>88.352076</v>
      </c>
      <c r="L129" t="n">
        <v>181.735308</v>
      </c>
      <c r="M129" t="n">
        <v>181.735308</v>
      </c>
      <c r="N129" t="n">
        <v>185.151605</v>
      </c>
      <c r="O129" t="n">
        <v>112.940911</v>
      </c>
      <c r="P129" t="n">
        <v>44.389715</v>
      </c>
      <c r="Q129" t="n">
        <v>185.151605</v>
      </c>
      <c r="R129" t="n">
        <v>181.735308</v>
      </c>
      <c r="S129" t="n">
        <v>112.940911</v>
      </c>
      <c r="T129" t="n">
        <v>112.940911</v>
      </c>
      <c r="U129" t="n">
        <v>44.389715</v>
      </c>
      <c r="V129" t="n">
        <v>44.389715</v>
      </c>
      <c r="W129" t="n">
        <v>155.52695</v>
      </c>
      <c r="X129" t="n">
        <v>203.433007</v>
      </c>
    </row>
    <row r="130" ht="21" customHeight="1">
      <c r="A130" t="inlineStr">
        <is>
          <t>Oncorhynchus masou</t>
        </is>
      </c>
      <c r="B130" t="n">
        <v>3.6</v>
      </c>
      <c r="C130" t="n">
        <v>398.107171</v>
      </c>
      <c r="D130" s="11" t="inlineStr">
        <is>
          <t>Salmon</t>
        </is>
      </c>
      <c r="E130" t="n">
        <v>0</v>
      </c>
      <c r="F130" t="n">
        <v>537.793674</v>
      </c>
      <c r="G130" t="n">
        <v>94.02452599999999</v>
      </c>
      <c r="H130" t="n">
        <v>104.598466</v>
      </c>
      <c r="I130" t="n">
        <v>157.17606</v>
      </c>
      <c r="J130" t="n">
        <v>157.620728</v>
      </c>
      <c r="K130" t="n">
        <v>47.759081</v>
      </c>
      <c r="L130" t="n">
        <v>685.4069909999999</v>
      </c>
      <c r="M130" t="n">
        <v>685.4069909999999</v>
      </c>
      <c r="N130" t="n">
        <v>696.719298</v>
      </c>
      <c r="O130" t="n">
        <v>75.247908</v>
      </c>
      <c r="P130" t="n">
        <v>24.548027</v>
      </c>
      <c r="Q130" t="n">
        <v>696.719298</v>
      </c>
      <c r="R130" t="n">
        <v>685.4069909999999</v>
      </c>
      <c r="S130" t="n">
        <v>75.247908</v>
      </c>
      <c r="T130" t="n">
        <v>75.247908</v>
      </c>
      <c r="U130" t="n">
        <v>24.548027</v>
      </c>
      <c r="V130" t="n">
        <v>24.548027</v>
      </c>
      <c r="W130" t="n">
        <v>98.758639</v>
      </c>
      <c r="X130" t="n">
        <v>768.315028</v>
      </c>
    </row>
    <row r="131" ht="21" customHeight="1">
      <c r="A131" t="inlineStr">
        <is>
          <t>Isurus</t>
        </is>
      </c>
      <c r="B131" t="n">
        <v>4.5</v>
      </c>
      <c r="C131" t="n">
        <v>3162.27766</v>
      </c>
      <c r="D131" s="11" t="inlineStr">
        <is>
          <t>Unresolved</t>
        </is>
      </c>
    </row>
    <row r="132" ht="21" customHeight="1">
      <c r="A132" t="inlineStr">
        <is>
          <t>Paralithodes brevipes</t>
        </is>
      </c>
      <c r="B132" t="n">
        <v>2</v>
      </c>
      <c r="C132" t="n">
        <v>10</v>
      </c>
      <c r="D132" s="11" t="inlineStr">
        <is>
          <t>Crabs and shrimps</t>
        </is>
      </c>
      <c r="E132" t="n">
        <v>0</v>
      </c>
      <c r="F132" t="n">
        <v>95.896642</v>
      </c>
      <c r="G132" t="n">
        <v>27.047208</v>
      </c>
      <c r="H132" t="n">
        <v>56.071592</v>
      </c>
      <c r="I132" t="n">
        <v>87.690287</v>
      </c>
      <c r="J132" t="n">
        <v>88.352076</v>
      </c>
      <c r="K132" t="n">
        <v>88.352076</v>
      </c>
      <c r="L132" t="n">
        <v>181.735308</v>
      </c>
      <c r="M132" t="n">
        <v>181.735308</v>
      </c>
      <c r="N132" t="n">
        <v>185.151605</v>
      </c>
      <c r="O132" t="n">
        <v>112.940911</v>
      </c>
      <c r="P132" t="n">
        <v>44.389715</v>
      </c>
      <c r="Q132" t="n">
        <v>185.151605</v>
      </c>
      <c r="R132" t="n">
        <v>181.735308</v>
      </c>
      <c r="S132" t="n">
        <v>112.940911</v>
      </c>
      <c r="T132" t="n">
        <v>112.940911</v>
      </c>
      <c r="U132" t="n">
        <v>44.389715</v>
      </c>
      <c r="V132" t="n">
        <v>44.389715</v>
      </c>
      <c r="W132" t="n">
        <v>155.52695</v>
      </c>
      <c r="X132" t="n">
        <v>203.433007</v>
      </c>
    </row>
    <row r="133" ht="21" customHeight="1">
      <c r="A133" t="inlineStr">
        <is>
          <t>Metapenaeus</t>
        </is>
      </c>
      <c r="B133" t="n">
        <v>2.7</v>
      </c>
      <c r="C133" t="n">
        <v>50.118723</v>
      </c>
      <c r="D133" s="11" t="inlineStr">
        <is>
          <t>Crabs and shrimps</t>
        </is>
      </c>
      <c r="E133" t="n">
        <v>0</v>
      </c>
      <c r="F133" t="n">
        <v>95.896642</v>
      </c>
      <c r="G133" t="n">
        <v>27.047208</v>
      </c>
      <c r="H133" t="n">
        <v>56.071592</v>
      </c>
      <c r="I133" t="n">
        <v>87.690287</v>
      </c>
      <c r="J133" t="n">
        <v>88.352076</v>
      </c>
      <c r="K133" t="n">
        <v>88.352076</v>
      </c>
      <c r="L133" t="n">
        <v>181.735308</v>
      </c>
      <c r="M133" t="n">
        <v>181.735308</v>
      </c>
      <c r="N133" t="n">
        <v>185.151605</v>
      </c>
      <c r="O133" t="n">
        <v>112.940911</v>
      </c>
      <c r="P133" t="n">
        <v>44.389715</v>
      </c>
      <c r="Q133" t="n">
        <v>185.151605</v>
      </c>
      <c r="R133" t="n">
        <v>181.735308</v>
      </c>
      <c r="S133" t="n">
        <v>112.940911</v>
      </c>
      <c r="T133" t="n">
        <v>112.940911</v>
      </c>
      <c r="U133" t="n">
        <v>44.389715</v>
      </c>
      <c r="V133" t="n">
        <v>44.389715</v>
      </c>
      <c r="W133" t="n">
        <v>155.52695</v>
      </c>
      <c r="X133" t="n">
        <v>203.433007</v>
      </c>
    </row>
    <row r="134" ht="21" customHeight="1">
      <c r="A134" t="inlineStr">
        <is>
          <t>Mola mola</t>
        </is>
      </c>
      <c r="B134" t="n">
        <v>3.68</v>
      </c>
      <c r="C134" t="n">
        <v>478.630092</v>
      </c>
      <c r="D134" s="11" t="inlineStr">
        <is>
          <t>Unresolved</t>
        </is>
      </c>
    </row>
    <row r="135" ht="21" customHeight="1">
      <c r="A135" t="inlineStr">
        <is>
          <t>Magallana gigas</t>
        </is>
      </c>
      <c r="B135" t="n">
        <v>2</v>
      </c>
      <c r="C135" t="n">
        <v>10</v>
      </c>
      <c r="D135" s="11" t="inlineStr">
        <is>
          <t>2nd level benthos</t>
        </is>
      </c>
      <c r="E135" t="n">
        <v>0</v>
      </c>
      <c r="F135" t="n">
        <v>10</v>
      </c>
      <c r="G135" t="n">
        <v>5.280025</v>
      </c>
      <c r="H135" t="n">
        <v>5.280025</v>
      </c>
      <c r="I135" t="n">
        <v>4.25396</v>
      </c>
      <c r="J135" t="n">
        <v>4.25396</v>
      </c>
      <c r="K135" t="n">
        <v>2.190789</v>
      </c>
      <c r="L135" t="n">
        <v>4.011903</v>
      </c>
      <c r="M135" t="n">
        <v>4.011903</v>
      </c>
      <c r="N135" t="n">
        <v>4.101044</v>
      </c>
      <c r="O135" t="n">
        <v>2.575732</v>
      </c>
      <c r="P135" t="n">
        <v>2.017588</v>
      </c>
      <c r="Q135" t="n">
        <v>4.101044</v>
      </c>
      <c r="R135" t="n">
        <v>4.011903</v>
      </c>
      <c r="S135" t="n">
        <v>2.575732</v>
      </c>
      <c r="T135" t="n">
        <v>2.575732</v>
      </c>
      <c r="U135" t="n">
        <v>2.017588</v>
      </c>
      <c r="V135" t="n">
        <v>2.017588</v>
      </c>
      <c r="W135" t="n">
        <v>3.13337</v>
      </c>
      <c r="X135" t="n">
        <v>4.076903</v>
      </c>
    </row>
    <row r="136" ht="21" customHeight="1">
      <c r="A136" t="inlineStr">
        <is>
          <t>Xiphias gladius</t>
        </is>
      </c>
      <c r="B136" t="n">
        <v>4.53</v>
      </c>
      <c r="C136" t="n">
        <v>3388.441561</v>
      </c>
      <c r="D136" s="11" t="inlineStr">
        <is>
          <t>Unresolved</t>
        </is>
      </c>
    </row>
    <row r="137" ht="21" customHeight="1">
      <c r="A137" t="inlineStr">
        <is>
          <t>Decapterus</t>
        </is>
      </c>
      <c r="B137" t="n">
        <v>3.63</v>
      </c>
      <c r="C137" t="n">
        <v>426.579519</v>
      </c>
      <c r="D137" s="11" t="inlineStr">
        <is>
          <t>Unresolved</t>
        </is>
      </c>
    </row>
    <row r="138" ht="21" customHeight="1">
      <c r="A138" t="inlineStr">
        <is>
          <t>Scomberomorus niphonius</t>
        </is>
      </c>
      <c r="B138" t="n">
        <v>4.5</v>
      </c>
      <c r="C138" t="n">
        <v>3162.27766</v>
      </c>
      <c r="D138" s="11" t="inlineStr">
        <is>
          <t>Unresolved</t>
        </is>
      </c>
    </row>
    <row r="139" ht="21" customHeight="1">
      <c r="A139" t="inlineStr">
        <is>
          <t>Panulirus</t>
        </is>
      </c>
      <c r="D139" s="11" t="inlineStr">
        <is>
          <t>Carnivorous invertebrates</t>
        </is>
      </c>
      <c r="E139" t="n">
        <v>0</v>
      </c>
      <c r="F139" t="n">
        <v>100</v>
      </c>
      <c r="G139" t="n">
        <v>27.878664</v>
      </c>
      <c r="H139" t="n">
        <v>27.878664</v>
      </c>
      <c r="I139" t="n">
        <v>35.33173</v>
      </c>
      <c r="J139" t="n">
        <v>35.33173</v>
      </c>
      <c r="K139" t="n">
        <v>28.654033</v>
      </c>
      <c r="L139" t="n">
        <v>33.321302</v>
      </c>
      <c r="M139" t="n">
        <v>33.321302</v>
      </c>
      <c r="N139" t="n">
        <v>34.061672</v>
      </c>
      <c r="O139" t="n">
        <v>17.349743</v>
      </c>
      <c r="P139" t="n">
        <v>10.872137</v>
      </c>
      <c r="Q139" t="n">
        <v>34.061672</v>
      </c>
      <c r="R139" t="n">
        <v>33.321302</v>
      </c>
      <c r="S139" t="n">
        <v>17.349743</v>
      </c>
      <c r="T139" t="n">
        <v>17.349743</v>
      </c>
      <c r="U139" t="n">
        <v>10.872137</v>
      </c>
      <c r="V139" t="n">
        <v>10.872137</v>
      </c>
      <c r="W139" t="n">
        <v>21.371774</v>
      </c>
      <c r="X139" t="n">
        <v>35.712118</v>
      </c>
    </row>
    <row r="140" ht="21" customHeight="1">
      <c r="A140" t="inlineStr">
        <is>
          <t>Rachycentron canadum</t>
        </is>
      </c>
      <c r="B140" t="n">
        <v>3.96</v>
      </c>
      <c r="C140" t="n">
        <v>912.010839</v>
      </c>
      <c r="D140" s="11" t="inlineStr">
        <is>
          <t>Unresolved</t>
        </is>
      </c>
    </row>
    <row r="141" ht="21" customHeight="1">
      <c r="A141" t="inlineStr">
        <is>
          <t>Coregonus</t>
        </is>
      </c>
      <c r="D141" s="11" t="inlineStr">
        <is>
          <t>Unresolved</t>
        </is>
      </c>
    </row>
    <row r="142" ht="21" customHeight="1">
      <c r="A142" t="inlineStr">
        <is>
          <t>Haliotis</t>
        </is>
      </c>
      <c r="D142" s="11" t="inlineStr">
        <is>
          <t>2nd level benthos</t>
        </is>
      </c>
      <c r="E142" t="n">
        <v>0</v>
      </c>
      <c r="F142" t="n">
        <v>10</v>
      </c>
      <c r="G142" t="n">
        <v>5.280025</v>
      </c>
      <c r="H142" t="n">
        <v>5.280025</v>
      </c>
      <c r="I142" t="n">
        <v>4.25396</v>
      </c>
      <c r="J142" t="n">
        <v>4.25396</v>
      </c>
      <c r="K142" t="n">
        <v>2.190789</v>
      </c>
      <c r="L142" t="n">
        <v>4.011903</v>
      </c>
      <c r="M142" t="n">
        <v>4.011903</v>
      </c>
      <c r="N142" t="n">
        <v>4.101044</v>
      </c>
      <c r="O142" t="n">
        <v>2.575732</v>
      </c>
      <c r="P142" t="n">
        <v>2.017588</v>
      </c>
      <c r="Q142" t="n">
        <v>4.101044</v>
      </c>
      <c r="R142" t="n">
        <v>4.011903</v>
      </c>
      <c r="S142" t="n">
        <v>2.575732</v>
      </c>
      <c r="T142" t="n">
        <v>2.575732</v>
      </c>
      <c r="U142" t="n">
        <v>2.017588</v>
      </c>
      <c r="V142" t="n">
        <v>2.017588</v>
      </c>
      <c r="W142" t="n">
        <v>3.13337</v>
      </c>
      <c r="X142" t="n">
        <v>4.076903</v>
      </c>
    </row>
    <row r="143" ht="21" customHeight="1">
      <c r="A143" t="inlineStr">
        <is>
          <t>Seriola dumerili</t>
        </is>
      </c>
      <c r="B143" t="n">
        <v>4.5</v>
      </c>
      <c r="C143" t="n">
        <v>3162.27766</v>
      </c>
      <c r="D143" s="11" t="inlineStr">
        <is>
          <t>Unresolved</t>
        </is>
      </c>
    </row>
    <row r="144" ht="21" customHeight="1">
      <c r="A144" t="inlineStr">
        <is>
          <t>Saurida</t>
        </is>
      </c>
      <c r="B144" t="n">
        <v>4.35</v>
      </c>
      <c r="C144" t="n">
        <v>2238.721139</v>
      </c>
      <c r="D144" s="11" t="inlineStr">
        <is>
          <t>Unresolved</t>
        </is>
      </c>
    </row>
    <row r="145" ht="21" customHeight="1">
      <c r="A145" t="inlineStr">
        <is>
          <t>Prionace glauca</t>
        </is>
      </c>
      <c r="B145" t="n">
        <v>4.35</v>
      </c>
      <c r="C145" t="n">
        <v>2238.721139</v>
      </c>
      <c r="D145" s="11" t="inlineStr">
        <is>
          <t>Unresolved</t>
        </is>
      </c>
    </row>
    <row r="146" ht="21" customHeight="1">
      <c r="A146" t="inlineStr">
        <is>
          <t>Echinozoa</t>
        </is>
      </c>
      <c r="D146" s="11" t="inlineStr">
        <is>
          <t>2nd level benthos</t>
        </is>
      </c>
      <c r="E146" t="n">
        <v>0</v>
      </c>
      <c r="F146" t="n">
        <v>10</v>
      </c>
      <c r="G146" t="n">
        <v>5.280025</v>
      </c>
      <c r="H146" t="n">
        <v>5.280025</v>
      </c>
      <c r="I146" t="n">
        <v>4.25396</v>
      </c>
      <c r="J146" t="n">
        <v>4.25396</v>
      </c>
      <c r="K146" t="n">
        <v>2.190789</v>
      </c>
      <c r="L146" t="n">
        <v>4.011903</v>
      </c>
      <c r="M146" t="n">
        <v>4.011903</v>
      </c>
      <c r="N146" t="n">
        <v>4.101044</v>
      </c>
      <c r="O146" t="n">
        <v>2.575732</v>
      </c>
      <c r="P146" t="n">
        <v>2.017588</v>
      </c>
      <c r="Q146" t="n">
        <v>4.101044</v>
      </c>
      <c r="R146" t="n">
        <v>4.011903</v>
      </c>
      <c r="S146" t="n">
        <v>2.575732</v>
      </c>
      <c r="T146" t="n">
        <v>2.575732</v>
      </c>
      <c r="U146" t="n">
        <v>2.017588</v>
      </c>
      <c r="V146" t="n">
        <v>2.017588</v>
      </c>
      <c r="W146" t="n">
        <v>3.13337</v>
      </c>
      <c r="X146" t="n">
        <v>4.076903</v>
      </c>
    </row>
    <row r="147" ht="21" customHeight="1">
      <c r="A147" t="inlineStr">
        <is>
          <t>Lates calcarifer</t>
        </is>
      </c>
      <c r="B147" t="n">
        <v>4.35</v>
      </c>
      <c r="C147" t="n">
        <v>2238.721139</v>
      </c>
      <c r="D147" s="11" t="inlineStr">
        <is>
          <t>Unresolved</t>
        </is>
      </c>
    </row>
    <row r="148" ht="21" customHeight="1">
      <c r="A148" t="inlineStr">
        <is>
          <t>Rhopilema hispidum</t>
        </is>
      </c>
      <c r="B148" t="n">
        <v>3.46</v>
      </c>
      <c r="C148" t="n">
        <v>288.40315</v>
      </c>
      <c r="D148" s="11" t="inlineStr">
        <is>
          <t>Jellyfish</t>
        </is>
      </c>
      <c r="E148" t="n">
        <v>0</v>
      </c>
      <c r="F148" t="n">
        <v>192.167837</v>
      </c>
      <c r="G148" t="n">
        <v>44.696122</v>
      </c>
      <c r="H148" t="n">
        <v>82.346732</v>
      </c>
      <c r="I148" t="n">
        <v>2095.248026</v>
      </c>
      <c r="J148" t="n">
        <v>2102.656168</v>
      </c>
      <c r="K148" t="n">
        <v>52.566404</v>
      </c>
      <c r="L148" t="n">
        <v>13084.005263</v>
      </c>
      <c r="M148" t="n">
        <v>13084.005263</v>
      </c>
      <c r="N148" t="n">
        <v>13306.933792</v>
      </c>
      <c r="O148" t="n">
        <v>79.878041</v>
      </c>
      <c r="P148" t="n">
        <v>25.489001</v>
      </c>
      <c r="Q148" t="n">
        <v>13306.933792</v>
      </c>
      <c r="R148" t="n">
        <v>13084.005263</v>
      </c>
      <c r="S148" t="n">
        <v>79.878041</v>
      </c>
      <c r="T148" t="n">
        <v>79.878041</v>
      </c>
      <c r="U148" t="n">
        <v>25.489001</v>
      </c>
      <c r="V148" t="n">
        <v>25.489001</v>
      </c>
      <c r="W148" t="n">
        <v>106.21969</v>
      </c>
      <c r="X148" t="n">
        <v>14877.937413</v>
      </c>
    </row>
    <row r="149" ht="21" customHeight="1">
      <c r="A149" t="inlineStr">
        <is>
          <t>Scaridae</t>
        </is>
      </c>
      <c r="B149" t="n">
        <v>2</v>
      </c>
      <c r="C149" t="n">
        <v>10</v>
      </c>
      <c r="D149" s="11" t="inlineStr">
        <is>
          <t>Unresolved</t>
        </is>
      </c>
    </row>
    <row r="150" ht="21" customHeight="1">
      <c r="A150" t="inlineStr">
        <is>
          <t>Rachycentridae</t>
        </is>
      </c>
      <c r="D150" s="11" t="inlineStr">
        <is>
          <t>Unresolved</t>
        </is>
      </c>
    </row>
    <row r="151" ht="21" customHeight="1">
      <c r="A151" t="inlineStr">
        <is>
          <t>Chanos chanos</t>
        </is>
      </c>
      <c r="B151" t="n">
        <v>2.03</v>
      </c>
      <c r="C151" t="n">
        <v>10.715193</v>
      </c>
      <c r="D151" s="11" t="inlineStr">
        <is>
          <t>Unresolved</t>
        </is>
      </c>
    </row>
    <row r="152" ht="21" customHeight="1">
      <c r="A152" t="inlineStr">
        <is>
          <t>Pinctada</t>
        </is>
      </c>
      <c r="D152" s="11" t="inlineStr">
        <is>
          <t>2nd level benthos</t>
        </is>
      </c>
      <c r="E152" t="n">
        <v>0</v>
      </c>
      <c r="F152" t="n">
        <v>10</v>
      </c>
      <c r="G152" t="n">
        <v>5.280025</v>
      </c>
      <c r="H152" t="n">
        <v>5.280025</v>
      </c>
      <c r="I152" t="n">
        <v>4.25396</v>
      </c>
      <c r="J152" t="n">
        <v>4.25396</v>
      </c>
      <c r="K152" t="n">
        <v>2.190789</v>
      </c>
      <c r="L152" t="n">
        <v>4.011903</v>
      </c>
      <c r="M152" t="n">
        <v>4.011903</v>
      </c>
      <c r="N152" t="n">
        <v>4.101044</v>
      </c>
      <c r="O152" t="n">
        <v>2.575732</v>
      </c>
      <c r="P152" t="n">
        <v>2.017588</v>
      </c>
      <c r="Q152" t="n">
        <v>4.101044</v>
      </c>
      <c r="R152" t="n">
        <v>4.011903</v>
      </c>
      <c r="S152" t="n">
        <v>2.575732</v>
      </c>
      <c r="T152" t="n">
        <v>2.575732</v>
      </c>
      <c r="U152" t="n">
        <v>2.017588</v>
      </c>
      <c r="V152" t="n">
        <v>2.017588</v>
      </c>
      <c r="W152" t="n">
        <v>3.13337</v>
      </c>
      <c r="X152" t="n">
        <v>4.076903</v>
      </c>
    </row>
    <row r="153" ht="21" customHeight="1">
      <c r="A153" t="inlineStr">
        <is>
          <t>Scombroidei</t>
        </is>
      </c>
      <c r="D153" s="11" t="inlineStr">
        <is>
          <t>Unresolved</t>
        </is>
      </c>
    </row>
    <row r="154" ht="21" customHeight="1">
      <c r="A154" t="inlineStr">
        <is>
          <t>Sphyraena barracuda</t>
        </is>
      </c>
      <c r="B154" t="n">
        <v>4.49</v>
      </c>
      <c r="C154" t="n">
        <v>3090.295433</v>
      </c>
      <c r="D154" s="11" t="inlineStr">
        <is>
          <t>Unresolved</t>
        </is>
      </c>
    </row>
    <row r="155" ht="21" customHeight="1">
      <c r="A155" t="inlineStr">
        <is>
          <t>Isurus oxyrinchus</t>
        </is>
      </c>
      <c r="D155" s="11" t="inlineStr">
        <is>
          <t>Unresolved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1" t="inlineStr">
        <is>
          <t>Total PPR by method and year — every taxon summed, tonnes wet weight equivalent of primary production.</t>
        </is>
      </c>
    </row>
    <row r="2">
      <c r="A2" t="inlineStr">
        <is>
          <t>Internal sources: primary producers and detritus; excludes imports. The simple chain rows are unpartitioned references; model rows use this scope.</t>
        </is>
      </c>
    </row>
    <row r="3">
      <c r="A3" t="inlineStr">
        <is>
          <t>Methods are not alternatives to be averaged. They rest on different assumptions and the spread between them is the result.</t>
        </is>
      </c>
    </row>
    <row r="4">
      <c r="A4" t="inlineStr">
        <is>
          <t>The two grey rows aggregate the catch to a group before exponentiating, which understates the total: SPPR is convex in trophic level, so they measure the Jensen effect rather than the PPR.</t>
        </is>
      </c>
    </row>
    <row r="5">
      <c r="A5" s="4" t="inlineStr">
        <is>
          <t>method</t>
        </is>
      </c>
      <c r="B5" s="4" t="inlineStr">
        <is>
          <t>status</t>
        </is>
      </c>
      <c r="C5" s="4" t="n">
        <v>1950</v>
      </c>
      <c r="D5" s="4" t="n">
        <v>1951</v>
      </c>
      <c r="E5" s="4" t="n">
        <v>1952</v>
      </c>
      <c r="F5" s="4" t="n">
        <v>1953</v>
      </c>
      <c r="G5" s="4" t="n">
        <v>1954</v>
      </c>
      <c r="H5" s="4" t="n">
        <v>1955</v>
      </c>
      <c r="I5" s="4" t="n">
        <v>1956</v>
      </c>
      <c r="J5" s="4" t="n">
        <v>1957</v>
      </c>
      <c r="K5" s="4" t="n">
        <v>1958</v>
      </c>
      <c r="L5" s="4" t="n">
        <v>1959</v>
      </c>
      <c r="M5" s="4" t="n">
        <v>1960</v>
      </c>
      <c r="N5" s="4" t="n">
        <v>1961</v>
      </c>
      <c r="O5" s="4" t="n">
        <v>1962</v>
      </c>
      <c r="P5" s="4" t="n">
        <v>1963</v>
      </c>
      <c r="Q5" s="4" t="n">
        <v>1964</v>
      </c>
      <c r="R5" s="4" t="n">
        <v>1965</v>
      </c>
      <c r="S5" s="4" t="n">
        <v>1966</v>
      </c>
      <c r="T5" s="4" t="n">
        <v>1967</v>
      </c>
      <c r="U5" s="4" t="n">
        <v>1968</v>
      </c>
      <c r="V5" s="4" t="n">
        <v>1969</v>
      </c>
      <c r="W5" s="4" t="n">
        <v>1970</v>
      </c>
      <c r="X5" s="4" t="n">
        <v>1971</v>
      </c>
      <c r="Y5" s="4" t="n">
        <v>1972</v>
      </c>
      <c r="Z5" s="4" t="n">
        <v>1973</v>
      </c>
      <c r="AA5" s="4" t="n">
        <v>1974</v>
      </c>
      <c r="AB5" s="4" t="n">
        <v>1975</v>
      </c>
      <c r="AC5" s="4" t="n">
        <v>1976</v>
      </c>
      <c r="AD5" s="4" t="n">
        <v>1977</v>
      </c>
      <c r="AE5" s="4" t="n">
        <v>1978</v>
      </c>
      <c r="AF5" s="4" t="n">
        <v>1979</v>
      </c>
      <c r="AG5" s="4" t="n">
        <v>1980</v>
      </c>
      <c r="AH5" s="4" t="n">
        <v>1981</v>
      </c>
      <c r="AI5" s="4" t="n">
        <v>1982</v>
      </c>
      <c r="AJ5" s="4" t="n">
        <v>1983</v>
      </c>
      <c r="AK5" s="4" t="n">
        <v>1984</v>
      </c>
      <c r="AL5" s="4" t="n">
        <v>1985</v>
      </c>
      <c r="AM5" s="4" t="n">
        <v>1986</v>
      </c>
      <c r="AN5" s="4" t="n">
        <v>1987</v>
      </c>
      <c r="AO5" s="4" t="n">
        <v>1988</v>
      </c>
      <c r="AP5" s="4" t="n">
        <v>1989</v>
      </c>
      <c r="AQ5" s="4" t="n">
        <v>1990</v>
      </c>
      <c r="AR5" s="4" t="n">
        <v>1991</v>
      </c>
      <c r="AS5" s="4" t="n">
        <v>1992</v>
      </c>
      <c r="AT5" s="4" t="n">
        <v>1993</v>
      </c>
      <c r="AU5" s="4" t="n">
        <v>1994</v>
      </c>
      <c r="AV5" s="4" t="n">
        <v>1995</v>
      </c>
      <c r="AW5" s="4" t="n">
        <v>1996</v>
      </c>
      <c r="AX5" s="4" t="n">
        <v>1997</v>
      </c>
      <c r="AY5" s="4" t="n">
        <v>1998</v>
      </c>
      <c r="AZ5" s="4" t="n">
        <v>1999</v>
      </c>
      <c r="BA5" s="4" t="n">
        <v>2000</v>
      </c>
      <c r="BB5" s="4" t="n">
        <v>2001</v>
      </c>
      <c r="BC5" s="4" t="n">
        <v>2002</v>
      </c>
      <c r="BD5" s="4" t="n">
        <v>2003</v>
      </c>
      <c r="BE5" s="4" t="n">
        <v>2004</v>
      </c>
      <c r="BF5" s="4" t="n">
        <v>2005</v>
      </c>
      <c r="BG5" s="4" t="n">
        <v>2006</v>
      </c>
      <c r="BH5" s="4" t="n">
        <v>2007</v>
      </c>
      <c r="BI5" s="4" t="n">
        <v>2008</v>
      </c>
      <c r="BJ5" s="4" t="n">
        <v>2009</v>
      </c>
      <c r="BK5" s="4" t="n">
        <v>2010</v>
      </c>
      <c r="BL5" s="4" t="n">
        <v>2011</v>
      </c>
      <c r="BM5" s="4" t="n">
        <v>2012</v>
      </c>
      <c r="BN5" s="4" t="n">
        <v>2013</v>
      </c>
      <c r="BO5" s="4" t="n">
        <v>2014</v>
      </c>
      <c r="BP5" s="4" t="n">
        <v>2015</v>
      </c>
      <c r="BQ5" s="4" t="n">
        <v>2016</v>
      </c>
      <c r="BR5" s="4" t="n">
        <v>2017</v>
      </c>
      <c r="BS5" s="4" t="n">
        <v>2018</v>
      </c>
      <c r="BT5" s="4" t="n">
        <v>2019</v>
      </c>
    </row>
    <row r="6">
      <c r="A6" s="3" t="inlineStr">
        <is>
          <t>simple trophic chain, per taxon</t>
        </is>
      </c>
      <c r="B6" t="inlineStr">
        <is>
          <t>ok</t>
        </is>
      </c>
      <c r="C6" t="n">
        <v>538447225.896</v>
      </c>
      <c r="D6" t="n">
        <v>824868979.284</v>
      </c>
      <c r="E6" t="n">
        <v>648640399.201</v>
      </c>
      <c r="F6" t="n">
        <v>854938460.352</v>
      </c>
      <c r="G6" t="n">
        <v>726525927.198</v>
      </c>
      <c r="H6" t="n">
        <v>886972672.151</v>
      </c>
      <c r="I6" t="n">
        <v>909609221.6339999</v>
      </c>
      <c r="J6" t="n">
        <v>1034075139.513</v>
      </c>
      <c r="K6" t="n">
        <v>498794105.483</v>
      </c>
      <c r="L6" t="n">
        <v>549316829.0140001</v>
      </c>
      <c r="M6" t="n">
        <v>466008693.149</v>
      </c>
      <c r="N6" t="n">
        <v>517069944.85</v>
      </c>
      <c r="O6" t="n">
        <v>487268320.398</v>
      </c>
      <c r="P6" t="n">
        <v>584800261.02</v>
      </c>
      <c r="Q6" t="n">
        <v>496547339.437</v>
      </c>
      <c r="R6" t="n">
        <v>659761572.352</v>
      </c>
      <c r="S6" t="n">
        <v>602906920.008</v>
      </c>
      <c r="T6" t="n">
        <v>733040407.224</v>
      </c>
      <c r="U6" t="n">
        <v>730558103.414</v>
      </c>
      <c r="V6" t="n">
        <v>829348282.799</v>
      </c>
      <c r="W6" t="n">
        <v>681753955.103</v>
      </c>
      <c r="X6" t="n">
        <v>831382943.976</v>
      </c>
      <c r="Y6" t="n">
        <v>726962048.467</v>
      </c>
      <c r="Z6" t="n">
        <v>1056630934.456</v>
      </c>
      <c r="AA6" t="n">
        <v>999822157.251</v>
      </c>
      <c r="AB6" t="n">
        <v>1262493251.302</v>
      </c>
      <c r="AC6" t="n">
        <v>1204347559.537</v>
      </c>
      <c r="AD6" t="n">
        <v>1363367810.432</v>
      </c>
      <c r="AE6" t="n">
        <v>1185259895.003</v>
      </c>
      <c r="AF6" t="n">
        <v>1326991255.859</v>
      </c>
      <c r="AG6" t="n">
        <v>1359057632.076</v>
      </c>
      <c r="AH6" t="n">
        <v>1451930523.354</v>
      </c>
      <c r="AI6" t="n">
        <v>1557186722.244</v>
      </c>
      <c r="AJ6" t="n">
        <v>1789666929.727</v>
      </c>
      <c r="AK6" t="n">
        <v>2222465009.103</v>
      </c>
      <c r="AL6" t="n">
        <v>2432114918.185</v>
      </c>
      <c r="AM6" t="n">
        <v>2532339048.286</v>
      </c>
      <c r="AN6" t="n">
        <v>2595868086.644</v>
      </c>
      <c r="AO6" t="n">
        <v>2433206458.038</v>
      </c>
      <c r="AP6" t="n">
        <v>2932307484.528</v>
      </c>
      <c r="AQ6" t="n">
        <v>3055456345.439</v>
      </c>
      <c r="AR6" t="n">
        <v>3252190514.293</v>
      </c>
      <c r="AS6" t="n">
        <v>2916379671.355</v>
      </c>
      <c r="AT6" t="n">
        <v>2768892101.395</v>
      </c>
      <c r="AU6" t="n">
        <v>2486069921.598</v>
      </c>
      <c r="AV6" t="n">
        <v>3040275972.008</v>
      </c>
      <c r="AW6" t="n">
        <v>3295307219.845</v>
      </c>
      <c r="AX6" t="n">
        <v>3386502557.004</v>
      </c>
      <c r="AY6" t="n">
        <v>3025887386.808</v>
      </c>
      <c r="AZ6" t="n">
        <v>2869129506.549</v>
      </c>
      <c r="BA6" t="n">
        <v>2505816807.485</v>
      </c>
      <c r="BB6" t="n">
        <v>2545971959.947</v>
      </c>
      <c r="BC6" t="n">
        <v>1915973389.515</v>
      </c>
      <c r="BD6" t="n">
        <v>2307468182.39</v>
      </c>
      <c r="BE6" t="n">
        <v>1878414809.388</v>
      </c>
      <c r="BF6" t="n">
        <v>2234069749.265</v>
      </c>
      <c r="BG6" t="n">
        <v>2215642053.79</v>
      </c>
      <c r="BH6" t="n">
        <v>2513590305.755</v>
      </c>
      <c r="BI6" t="n">
        <v>2196739234.261</v>
      </c>
      <c r="BJ6" t="n">
        <v>2688961343.23</v>
      </c>
      <c r="BK6" t="n">
        <v>2498602894.136</v>
      </c>
      <c r="BL6" t="n">
        <v>3061549193.456</v>
      </c>
      <c r="BM6" t="n">
        <v>2809538353.54</v>
      </c>
      <c r="BN6" t="n">
        <v>2725016867.582</v>
      </c>
      <c r="BO6" t="n">
        <v>2504736826.23</v>
      </c>
      <c r="BP6" t="n">
        <v>2508969769.23</v>
      </c>
      <c r="BQ6" t="n">
        <v>2683229419.329</v>
      </c>
      <c r="BR6" t="n">
        <v>2555357731.152</v>
      </c>
      <c r="BS6" t="n">
        <v>3156910928.104</v>
      </c>
      <c r="BT6" t="n">
        <v>2799543442.983</v>
      </c>
    </row>
    <row r="7">
      <c r="A7" s="17" t="inlineStr">
        <is>
          <t>simple, aggregated to SAU functional group</t>
        </is>
      </c>
      <c r="B7" t="inlineStr">
        <is>
          <t>Jensen comparison, not a PPR estimate</t>
        </is>
      </c>
      <c r="C7" t="n">
        <v>385996526.057</v>
      </c>
      <c r="D7" t="n">
        <v>567431487.632</v>
      </c>
      <c r="E7" t="n">
        <v>457232477.894</v>
      </c>
      <c r="F7" t="n">
        <v>582377484.266</v>
      </c>
      <c r="G7" t="n">
        <v>507651367.178</v>
      </c>
      <c r="H7" t="n">
        <v>609364218.281</v>
      </c>
      <c r="I7" t="n">
        <v>635416553.641</v>
      </c>
      <c r="J7" t="n">
        <v>719046088.409</v>
      </c>
      <c r="K7" t="n">
        <v>403961764.576</v>
      </c>
      <c r="L7" t="n">
        <v>437429684.69</v>
      </c>
      <c r="M7" t="n">
        <v>399796613.189</v>
      </c>
      <c r="N7" t="n">
        <v>435009872.024</v>
      </c>
      <c r="O7" t="n">
        <v>421204130.748</v>
      </c>
      <c r="P7" t="n">
        <v>475705183.365</v>
      </c>
      <c r="Q7" t="n">
        <v>424884371.35</v>
      </c>
      <c r="R7" t="n">
        <v>538679329.3430001</v>
      </c>
      <c r="S7" t="n">
        <v>524820653.827</v>
      </c>
      <c r="T7" t="n">
        <v>612405410.98</v>
      </c>
      <c r="U7" t="n">
        <v>655841949.803</v>
      </c>
      <c r="V7" t="n">
        <v>689985559.766</v>
      </c>
      <c r="W7" t="n">
        <v>612459568.415</v>
      </c>
      <c r="X7" t="n">
        <v>704375504.085</v>
      </c>
      <c r="Y7" t="n">
        <v>650423722.952</v>
      </c>
      <c r="Z7" t="n">
        <v>906133632.526</v>
      </c>
      <c r="AA7" t="n">
        <v>898543506.7130001</v>
      </c>
      <c r="AB7" t="n">
        <v>1083705379.122</v>
      </c>
      <c r="AC7" t="n">
        <v>1070439532.873</v>
      </c>
      <c r="AD7" t="n">
        <v>1164209114.907</v>
      </c>
      <c r="AE7" t="n">
        <v>1051519816.413</v>
      </c>
      <c r="AF7" t="n">
        <v>1133647785.314</v>
      </c>
      <c r="AG7" t="n">
        <v>1179842711.035</v>
      </c>
      <c r="AH7" t="n">
        <v>1250914282.534</v>
      </c>
      <c r="AI7" t="n">
        <v>1396006560.313</v>
      </c>
      <c r="AJ7" t="n">
        <v>1549372012.571</v>
      </c>
      <c r="AK7" t="n">
        <v>2014375701.227</v>
      </c>
      <c r="AL7" t="n">
        <v>2166204273.793</v>
      </c>
      <c r="AM7" t="n">
        <v>2317007977.968</v>
      </c>
      <c r="AN7" t="n">
        <v>2299608089.596</v>
      </c>
      <c r="AO7" t="n">
        <v>2214093519.253</v>
      </c>
      <c r="AP7" t="n">
        <v>2565098942.826</v>
      </c>
      <c r="AQ7" t="n">
        <v>2741300031.666</v>
      </c>
      <c r="AR7" t="n">
        <v>2830172478.623</v>
      </c>
      <c r="AS7" t="n">
        <v>2585808406.281</v>
      </c>
      <c r="AT7" t="n">
        <v>2343488426.928</v>
      </c>
      <c r="AU7" t="n">
        <v>2098379473.476</v>
      </c>
      <c r="AV7" t="n">
        <v>2589214991.849</v>
      </c>
      <c r="AW7" t="n">
        <v>2873934143.517</v>
      </c>
      <c r="AX7" t="n">
        <v>2887490039.546</v>
      </c>
      <c r="AY7" t="n">
        <v>2543567140.704</v>
      </c>
      <c r="AZ7" t="n">
        <v>2357231544.991</v>
      </c>
      <c r="BA7" t="n">
        <v>1999881087.25</v>
      </c>
      <c r="BB7" t="n">
        <v>2022915197.168</v>
      </c>
      <c r="BC7" t="n">
        <v>1498307614.799</v>
      </c>
      <c r="BD7" t="n">
        <v>1788833208.771</v>
      </c>
      <c r="BE7" t="n">
        <v>1435468445.474</v>
      </c>
      <c r="BF7" t="n">
        <v>1672079581.24</v>
      </c>
      <c r="BG7" t="n">
        <v>1686491620.552</v>
      </c>
      <c r="BH7" t="n">
        <v>1920107664.152</v>
      </c>
      <c r="BI7" t="n">
        <v>1682504309.195</v>
      </c>
      <c r="BJ7" t="n">
        <v>1963627410.635</v>
      </c>
      <c r="BK7" t="n">
        <v>1903394361.324</v>
      </c>
      <c r="BL7" t="n">
        <v>2208534996.641</v>
      </c>
      <c r="BM7" t="n">
        <v>2060223032.665</v>
      </c>
      <c r="BN7" t="n">
        <v>2019540392.731</v>
      </c>
      <c r="BO7" t="n">
        <v>1884101688.877</v>
      </c>
      <c r="BP7" t="n">
        <v>1920402152.639</v>
      </c>
      <c r="BQ7" t="n">
        <v>2007365281.028</v>
      </c>
      <c r="BR7" t="n">
        <v>1957346967.425</v>
      </c>
      <c r="BS7" t="n">
        <v>2323100056.765</v>
      </c>
      <c r="BT7" t="n">
        <v>2131158645.148</v>
      </c>
    </row>
    <row r="8">
      <c r="A8" s="17" t="inlineStr">
        <is>
          <t>simple, aggregated to SAU commercial group</t>
        </is>
      </c>
      <c r="B8" t="inlineStr">
        <is>
          <t>Jensen comparison, not a PPR estimate</t>
        </is>
      </c>
      <c r="C8" t="n">
        <v>407568869.949</v>
      </c>
      <c r="D8" t="n">
        <v>630257223.777</v>
      </c>
      <c r="E8" t="n">
        <v>498793486.493</v>
      </c>
      <c r="F8" t="n">
        <v>669226412.086</v>
      </c>
      <c r="G8" t="n">
        <v>563339006.523</v>
      </c>
      <c r="H8" t="n">
        <v>686765452.706</v>
      </c>
      <c r="I8" t="n">
        <v>706141341.651</v>
      </c>
      <c r="J8" t="n">
        <v>810398179.098</v>
      </c>
      <c r="K8" t="n">
        <v>388906695.358</v>
      </c>
      <c r="L8" t="n">
        <v>419590773.683</v>
      </c>
      <c r="M8" t="n">
        <v>360392740.222</v>
      </c>
      <c r="N8" t="n">
        <v>400335629.598</v>
      </c>
      <c r="O8" t="n">
        <v>376400850.961</v>
      </c>
      <c r="P8" t="n">
        <v>449690220.024</v>
      </c>
      <c r="Q8" t="n">
        <v>401140028.665</v>
      </c>
      <c r="R8" t="n">
        <v>521388749.352</v>
      </c>
      <c r="S8" t="n">
        <v>496114805.853</v>
      </c>
      <c r="T8" t="n">
        <v>590995399.9960001</v>
      </c>
      <c r="U8" t="n">
        <v>605975258.173</v>
      </c>
      <c r="V8" t="n">
        <v>671614291.589</v>
      </c>
      <c r="W8" t="n">
        <v>581793909.52</v>
      </c>
      <c r="X8" t="n">
        <v>693224880.8839999</v>
      </c>
      <c r="Y8" t="n">
        <v>616495069.863</v>
      </c>
      <c r="Z8" t="n">
        <v>892566254.851</v>
      </c>
      <c r="AA8" t="n">
        <v>865872971.692</v>
      </c>
      <c r="AB8" t="n">
        <v>1083605155.938</v>
      </c>
      <c r="AC8" t="n">
        <v>1059353245.299</v>
      </c>
      <c r="AD8" t="n">
        <v>1169818516.33</v>
      </c>
      <c r="AE8" t="n">
        <v>1037102117.025</v>
      </c>
      <c r="AF8" t="n">
        <v>1135345866.57</v>
      </c>
      <c r="AG8" t="n">
        <v>1163580802.776</v>
      </c>
      <c r="AH8" t="n">
        <v>1243294922.407</v>
      </c>
      <c r="AI8" t="n">
        <v>1354218131.236</v>
      </c>
      <c r="AJ8" t="n">
        <v>1547158222.21</v>
      </c>
      <c r="AK8" t="n">
        <v>1926341929.373</v>
      </c>
      <c r="AL8" t="n">
        <v>2071915233.792</v>
      </c>
      <c r="AM8" t="n">
        <v>2208923402.412</v>
      </c>
      <c r="AN8" t="n">
        <v>2236694870.369</v>
      </c>
      <c r="AO8" t="n">
        <v>2149918051.385</v>
      </c>
      <c r="AP8" t="n">
        <v>2563523016.658</v>
      </c>
      <c r="AQ8" t="n">
        <v>2701245897.901</v>
      </c>
      <c r="AR8" t="n">
        <v>2864326748.303</v>
      </c>
      <c r="AS8" t="n">
        <v>2574278946.506</v>
      </c>
      <c r="AT8" t="n">
        <v>2427799635.014</v>
      </c>
      <c r="AU8" t="n">
        <v>2165440814.421</v>
      </c>
      <c r="AV8" t="n">
        <v>2656873856.795</v>
      </c>
      <c r="AW8" t="n">
        <v>2909232957.874</v>
      </c>
      <c r="AX8" t="n">
        <v>2984581136.241</v>
      </c>
      <c r="AY8" t="n">
        <v>2630368465.524</v>
      </c>
      <c r="AZ8" t="n">
        <v>2440960379.78</v>
      </c>
      <c r="BA8" t="n">
        <v>2084430745.296</v>
      </c>
      <c r="BB8" t="n">
        <v>2141949023.75</v>
      </c>
      <c r="BC8" t="n">
        <v>1538546174.013</v>
      </c>
      <c r="BD8" t="n">
        <v>1922892516.05</v>
      </c>
      <c r="BE8" t="n">
        <v>1522974798.962</v>
      </c>
      <c r="BF8" t="n">
        <v>1822894930.861</v>
      </c>
      <c r="BG8" t="n">
        <v>1806345600.355</v>
      </c>
      <c r="BH8" t="n">
        <v>2064261514.18</v>
      </c>
      <c r="BI8" t="n">
        <v>1780661428.873</v>
      </c>
      <c r="BJ8" t="n">
        <v>2185098615.537</v>
      </c>
      <c r="BK8" t="n">
        <v>2031074715.949</v>
      </c>
      <c r="BL8" t="n">
        <v>2505998795.856</v>
      </c>
      <c r="BM8" t="n">
        <v>2262505277.825</v>
      </c>
      <c r="BN8" t="n">
        <v>2176275147.601</v>
      </c>
      <c r="BO8" t="n">
        <v>1997807797.624</v>
      </c>
      <c r="BP8" t="n">
        <v>2012564340.847</v>
      </c>
      <c r="BQ8" t="n">
        <v>2148468352.836</v>
      </c>
      <c r="BR8" t="n">
        <v>2054636240.924</v>
      </c>
      <c r="BS8" t="n">
        <v>2536809348.029</v>
      </c>
      <c r="BT8" t="n">
        <v>2242784197.927</v>
      </c>
    </row>
    <row r="9">
      <c r="A9" s="18" t="inlineStr">
        <is>
          <t>SPPR_1986</t>
        </is>
      </c>
      <c r="B9" s="8" t="inlineStr">
        <is>
          <t>returned zero for every mapped group - check the method upstream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</row>
    <row r="10">
      <c r="A10" t="inlineStr">
        <is>
          <t>SPPR_1995_TE0.1</t>
        </is>
      </c>
      <c r="B10" t="inlineStr">
        <is>
          <t>ok</t>
        </is>
      </c>
      <c r="C10" t="n">
        <v>353480466.413</v>
      </c>
      <c r="D10" t="n">
        <v>432150246.737</v>
      </c>
      <c r="E10" t="n">
        <v>396991645.429</v>
      </c>
      <c r="F10" t="n">
        <v>439118761.881</v>
      </c>
      <c r="G10" t="n">
        <v>424434779.473</v>
      </c>
      <c r="H10" t="n">
        <v>498491111.915</v>
      </c>
      <c r="I10" t="n">
        <v>530132828.37</v>
      </c>
      <c r="J10" t="n">
        <v>636122729.976</v>
      </c>
      <c r="K10" t="n">
        <v>486499111.21</v>
      </c>
      <c r="L10" t="n">
        <v>455810553.665</v>
      </c>
      <c r="M10" t="n">
        <v>394668583.096</v>
      </c>
      <c r="N10" t="n">
        <v>451763827.135</v>
      </c>
      <c r="O10" t="n">
        <v>407444215.676</v>
      </c>
      <c r="P10" t="n">
        <v>526019637.982</v>
      </c>
      <c r="Q10" t="n">
        <v>534421855.834</v>
      </c>
      <c r="R10" t="n">
        <v>639553982.2539999</v>
      </c>
      <c r="S10" t="n">
        <v>632433122.2920001</v>
      </c>
      <c r="T10" t="n">
        <v>707097469.3559999</v>
      </c>
      <c r="U10" t="n">
        <v>780145874.633</v>
      </c>
      <c r="V10" t="n">
        <v>798655195.766</v>
      </c>
      <c r="W10" t="n">
        <v>751946678.812</v>
      </c>
      <c r="X10" t="n">
        <v>829860507.836</v>
      </c>
      <c r="Y10" t="n">
        <v>778228063.7359999</v>
      </c>
      <c r="Z10" t="n">
        <v>1076097281.844</v>
      </c>
      <c r="AA10" t="n">
        <v>1089851535.6</v>
      </c>
      <c r="AB10" t="n">
        <v>1290517987.015</v>
      </c>
      <c r="AC10" t="n">
        <v>1274432491.203</v>
      </c>
      <c r="AD10" t="n">
        <v>1318910212.553</v>
      </c>
      <c r="AE10" t="n">
        <v>1133537871.031</v>
      </c>
      <c r="AF10" t="n">
        <v>1217218024.173</v>
      </c>
      <c r="AG10" t="n">
        <v>1266734430.27</v>
      </c>
      <c r="AH10" t="n">
        <v>1388672517.548</v>
      </c>
      <c r="AI10" t="n">
        <v>1565635713.752</v>
      </c>
      <c r="AJ10" t="n">
        <v>1722728466.575</v>
      </c>
      <c r="AK10" t="n">
        <v>2291305382.941</v>
      </c>
      <c r="AL10" t="n">
        <v>2424130964.248</v>
      </c>
      <c r="AM10" t="n">
        <v>2652088207.405</v>
      </c>
      <c r="AN10" t="n">
        <v>2614460188.086</v>
      </c>
      <c r="AO10" t="n">
        <v>2571795195.669</v>
      </c>
      <c r="AP10" t="n">
        <v>2800698406.938</v>
      </c>
      <c r="AQ10" t="n">
        <v>3094411946.322</v>
      </c>
      <c r="AR10" t="n">
        <v>2988182674.207</v>
      </c>
      <c r="AS10" t="n">
        <v>2913242124.127</v>
      </c>
      <c r="AT10" t="n">
        <v>2535492959.194</v>
      </c>
      <c r="AU10" t="n">
        <v>2159870915.2</v>
      </c>
      <c r="AV10" t="n">
        <v>2678828044.356</v>
      </c>
      <c r="AW10" t="n">
        <v>3138110464.077</v>
      </c>
      <c r="AX10" t="n">
        <v>3133949501.276</v>
      </c>
      <c r="AY10" t="n">
        <v>2821640253.494</v>
      </c>
      <c r="AZ10" t="n">
        <v>2522745967.075</v>
      </c>
      <c r="BA10" t="n">
        <v>2186003531.171</v>
      </c>
      <c r="BB10" t="n">
        <v>2168460751.988</v>
      </c>
      <c r="BC10" t="n">
        <v>1520894774.865</v>
      </c>
      <c r="BD10" t="n">
        <v>1888655208.112</v>
      </c>
      <c r="BE10" t="n">
        <v>1536334611.278</v>
      </c>
      <c r="BF10" t="n">
        <v>1696946848.467</v>
      </c>
      <c r="BG10" t="n">
        <v>1732349690.441</v>
      </c>
      <c r="BH10" t="n">
        <v>1894987538.815</v>
      </c>
      <c r="BI10" t="n">
        <v>1712987563.074</v>
      </c>
      <c r="BJ10" t="n">
        <v>1868501330.111</v>
      </c>
      <c r="BK10" t="n">
        <v>2013494686.975</v>
      </c>
      <c r="BL10" t="n">
        <v>2124888446.478</v>
      </c>
      <c r="BM10" t="n">
        <v>2148508280.963</v>
      </c>
      <c r="BN10" t="n">
        <v>2099756148.062</v>
      </c>
      <c r="BO10" t="n">
        <v>2113960265.329</v>
      </c>
      <c r="BP10" t="n">
        <v>2085112508.95</v>
      </c>
      <c r="BQ10" t="n">
        <v>2190625167.14</v>
      </c>
      <c r="BR10" t="n">
        <v>2186313570.33</v>
      </c>
      <c r="BS10" t="n">
        <v>2308118697.174</v>
      </c>
      <c r="BT10" t="n">
        <v>2263983372.904</v>
      </c>
    </row>
    <row r="11">
      <c r="A11" t="inlineStr">
        <is>
          <t>SPPR_1995_TEmean</t>
        </is>
      </c>
      <c r="B11" t="inlineStr">
        <is>
          <t>ok</t>
        </is>
      </c>
      <c r="C11" t="n">
        <v>61557349.436</v>
      </c>
      <c r="D11" t="n">
        <v>75390786.895</v>
      </c>
      <c r="E11" t="n">
        <v>69265615.87800001</v>
      </c>
      <c r="F11" t="n">
        <v>76542487.04000001</v>
      </c>
      <c r="G11" t="n">
        <v>74123348.514</v>
      </c>
      <c r="H11" t="n">
        <v>87307678.097</v>
      </c>
      <c r="I11" t="n">
        <v>93425923.78</v>
      </c>
      <c r="J11" t="n">
        <v>111533834.733</v>
      </c>
      <c r="K11" t="n">
        <v>85616767.417</v>
      </c>
      <c r="L11" t="n">
        <v>80398483.854</v>
      </c>
      <c r="M11" t="n">
        <v>69620773.698</v>
      </c>
      <c r="N11" t="n">
        <v>79597471.083</v>
      </c>
      <c r="O11" t="n">
        <v>71717675.53</v>
      </c>
      <c r="P11" t="n">
        <v>92245981.92299999</v>
      </c>
      <c r="Q11" t="n">
        <v>94006099.70100001</v>
      </c>
      <c r="R11" t="n">
        <v>112990736.113</v>
      </c>
      <c r="S11" t="n">
        <v>112175512.541</v>
      </c>
      <c r="T11" t="n">
        <v>125380012.982</v>
      </c>
      <c r="U11" t="n">
        <v>138508921.235</v>
      </c>
      <c r="V11" t="n">
        <v>141570438.735</v>
      </c>
      <c r="W11" t="n">
        <v>134056500.625</v>
      </c>
      <c r="X11" t="n">
        <v>148169542.189</v>
      </c>
      <c r="Y11" t="n">
        <v>138990805.552</v>
      </c>
      <c r="Z11" t="n">
        <v>192911570.475</v>
      </c>
      <c r="AA11" t="n">
        <v>195683795.796</v>
      </c>
      <c r="AB11" t="n">
        <v>231551525.963</v>
      </c>
      <c r="AC11" t="n">
        <v>229826031.16</v>
      </c>
      <c r="AD11" t="n">
        <v>237032963.729</v>
      </c>
      <c r="AE11" t="n">
        <v>205773922.38</v>
      </c>
      <c r="AF11" t="n">
        <v>220297702.43</v>
      </c>
      <c r="AG11" t="n">
        <v>229122654.837</v>
      </c>
      <c r="AH11" t="n">
        <v>251189954.561</v>
      </c>
      <c r="AI11" t="n">
        <v>283260693.991</v>
      </c>
      <c r="AJ11" t="n">
        <v>311659235.188</v>
      </c>
      <c r="AK11" t="n">
        <v>415183493.943</v>
      </c>
      <c r="AL11" t="n">
        <v>437597666.734</v>
      </c>
      <c r="AM11" t="n">
        <v>479725017.829</v>
      </c>
      <c r="AN11" t="n">
        <v>472089627.659</v>
      </c>
      <c r="AO11" t="n">
        <v>464870034.218</v>
      </c>
      <c r="AP11" t="n">
        <v>506903068.69</v>
      </c>
      <c r="AQ11" t="n">
        <v>560122313.477</v>
      </c>
      <c r="AR11" t="n">
        <v>541082110.576</v>
      </c>
      <c r="AS11" t="n">
        <v>524781989.994</v>
      </c>
      <c r="AT11" t="n">
        <v>456640629.126</v>
      </c>
      <c r="AU11" t="n">
        <v>389214066.543</v>
      </c>
      <c r="AV11" t="n">
        <v>482738969.015</v>
      </c>
      <c r="AW11" t="n">
        <v>566260066.507</v>
      </c>
      <c r="AX11" t="n">
        <v>562992395.114</v>
      </c>
      <c r="AY11" t="n">
        <v>505352382</v>
      </c>
      <c r="AZ11" t="n">
        <v>450449981.682</v>
      </c>
      <c r="BA11" t="n">
        <v>389027425.892</v>
      </c>
      <c r="BB11" t="n">
        <v>387306340.844</v>
      </c>
      <c r="BC11" t="n">
        <v>270067327.358</v>
      </c>
      <c r="BD11" t="n">
        <v>337414031.572</v>
      </c>
      <c r="BE11" t="n">
        <v>272871313.518</v>
      </c>
      <c r="BF11" t="n">
        <v>301451051.534</v>
      </c>
      <c r="BG11" t="n">
        <v>307953993.992</v>
      </c>
      <c r="BH11" t="n">
        <v>337874041.181</v>
      </c>
      <c r="BI11" t="n">
        <v>304427946.601</v>
      </c>
      <c r="BJ11" t="n">
        <v>331449724.438</v>
      </c>
      <c r="BK11" t="n">
        <v>357633498.826</v>
      </c>
      <c r="BL11" t="n">
        <v>377599342.681</v>
      </c>
      <c r="BM11" t="n">
        <v>381455626.832</v>
      </c>
      <c r="BN11" t="n">
        <v>372349711.571</v>
      </c>
      <c r="BO11" t="n">
        <v>375010789.399</v>
      </c>
      <c r="BP11" t="n">
        <v>371067916.824</v>
      </c>
      <c r="BQ11" t="n">
        <v>389697915.229</v>
      </c>
      <c r="BR11" t="n">
        <v>388970947.092</v>
      </c>
      <c r="BS11" t="n">
        <v>410316525.309</v>
      </c>
      <c r="BT11" t="n">
        <v>402818246.337</v>
      </c>
    </row>
    <row r="12">
      <c r="A12" t="inlineStr">
        <is>
          <t>Ulanowicz_globalTEmean</t>
        </is>
      </c>
      <c r="B12" t="inlineStr">
        <is>
          <t>ok</t>
        </is>
      </c>
      <c r="C12" t="n">
        <v>92412532.579</v>
      </c>
      <c r="D12" t="n">
        <v>109501677.316</v>
      </c>
      <c r="E12" t="n">
        <v>102666529.618</v>
      </c>
      <c r="F12" t="n">
        <v>113614958.633</v>
      </c>
      <c r="G12" t="n">
        <v>116172290.216</v>
      </c>
      <c r="H12" t="n">
        <v>137329229.606</v>
      </c>
      <c r="I12" t="n">
        <v>149257392.19</v>
      </c>
      <c r="J12" t="n">
        <v>170494819.572</v>
      </c>
      <c r="K12" t="n">
        <v>135557482.047</v>
      </c>
      <c r="L12" t="n">
        <v>131329521.57</v>
      </c>
      <c r="M12" t="n">
        <v>117341065.336</v>
      </c>
      <c r="N12" t="n">
        <v>134552449.528</v>
      </c>
      <c r="O12" t="n">
        <v>121184207.167</v>
      </c>
      <c r="P12" t="n">
        <v>149088024.305</v>
      </c>
      <c r="Q12" t="n">
        <v>150518513.67</v>
      </c>
      <c r="R12" t="n">
        <v>180795957.804</v>
      </c>
      <c r="S12" t="n">
        <v>176852252.288</v>
      </c>
      <c r="T12" t="n">
        <v>195862104.194</v>
      </c>
      <c r="U12" t="n">
        <v>217302241.024</v>
      </c>
      <c r="V12" t="n">
        <v>224047753.047</v>
      </c>
      <c r="W12" t="n">
        <v>216907943.567</v>
      </c>
      <c r="X12" t="n">
        <v>246320234.845</v>
      </c>
      <c r="Y12" t="n">
        <v>231756138.22</v>
      </c>
      <c r="Z12" t="n">
        <v>319862447.188</v>
      </c>
      <c r="AA12" t="n">
        <v>326725527.354</v>
      </c>
      <c r="AB12" t="n">
        <v>384243180.875</v>
      </c>
      <c r="AC12" t="n">
        <v>391376400.625</v>
      </c>
      <c r="AD12" t="n">
        <v>401065224.515</v>
      </c>
      <c r="AE12" t="n">
        <v>358139594.087</v>
      </c>
      <c r="AF12" t="n">
        <v>380076651.606</v>
      </c>
      <c r="AG12" t="n">
        <v>392832857.924</v>
      </c>
      <c r="AH12" t="n">
        <v>437228765.373</v>
      </c>
      <c r="AI12" t="n">
        <v>492628365.883</v>
      </c>
      <c r="AJ12" t="n">
        <v>535163479.674</v>
      </c>
      <c r="AK12" t="n">
        <v>714793662.948</v>
      </c>
      <c r="AL12" t="n">
        <v>752172122.568</v>
      </c>
      <c r="AM12" t="n">
        <v>830509916.286</v>
      </c>
      <c r="AN12" t="n">
        <v>808333285.748</v>
      </c>
      <c r="AO12" t="n">
        <v>800684977.5930001</v>
      </c>
      <c r="AP12" t="n">
        <v>860389761.3839999</v>
      </c>
      <c r="AQ12" t="n">
        <v>953769133.965</v>
      </c>
      <c r="AR12" t="n">
        <v>905198651.664</v>
      </c>
      <c r="AS12" t="n">
        <v>894971193.327</v>
      </c>
      <c r="AT12" t="n">
        <v>764859197.975</v>
      </c>
      <c r="AU12" t="n">
        <v>644828197.628</v>
      </c>
      <c r="AV12" t="n">
        <v>797918309.969</v>
      </c>
      <c r="AW12" t="n">
        <v>935457502.568</v>
      </c>
      <c r="AX12" t="n">
        <v>912619249.964</v>
      </c>
      <c r="AY12" t="n">
        <v>815658522.4450001</v>
      </c>
      <c r="AZ12" t="n">
        <v>724875509.809</v>
      </c>
      <c r="BA12" t="n">
        <v>624279714.02</v>
      </c>
      <c r="BB12" t="n">
        <v>628718703.799</v>
      </c>
      <c r="BC12" t="n">
        <v>433486234.733</v>
      </c>
      <c r="BD12" t="n">
        <v>553112281.925</v>
      </c>
      <c r="BE12" t="n">
        <v>447121745.261</v>
      </c>
      <c r="BF12" t="n">
        <v>488194514.587</v>
      </c>
      <c r="BG12" t="n">
        <v>494681001.165</v>
      </c>
      <c r="BH12" t="n">
        <v>547353953.4</v>
      </c>
      <c r="BI12" t="n">
        <v>497899662</v>
      </c>
      <c r="BJ12" t="n">
        <v>531960574.138</v>
      </c>
      <c r="BK12" t="n">
        <v>582173959.569</v>
      </c>
      <c r="BL12" t="n">
        <v>600534432.414</v>
      </c>
      <c r="BM12" t="n">
        <v>608655649.6720001</v>
      </c>
      <c r="BN12" t="n">
        <v>587823146.1210001</v>
      </c>
      <c r="BO12" t="n">
        <v>607051146.02</v>
      </c>
      <c r="BP12" t="n">
        <v>594544936.15</v>
      </c>
      <c r="BQ12" t="n">
        <v>628241541.881</v>
      </c>
      <c r="BR12" t="n">
        <v>629532541.677</v>
      </c>
      <c r="BS12" t="n">
        <v>658229303.357</v>
      </c>
      <c r="BT12" t="n">
        <v>652363799.187</v>
      </c>
    </row>
    <row r="13">
      <c r="A13" t="inlineStr">
        <is>
          <t>Ulanowicz_TE</t>
        </is>
      </c>
      <c r="B13" t="inlineStr">
        <is>
          <t>ok</t>
        </is>
      </c>
      <c r="C13" t="n">
        <v>645028500.756</v>
      </c>
      <c r="D13" t="n">
        <v>708999734.814</v>
      </c>
      <c r="E13" t="n">
        <v>684733532.763</v>
      </c>
      <c r="F13" t="n">
        <v>734812700.382</v>
      </c>
      <c r="G13" t="n">
        <v>889457508.664</v>
      </c>
      <c r="H13" t="n">
        <v>1021079827.15</v>
      </c>
      <c r="I13" t="n">
        <v>1107503965.9</v>
      </c>
      <c r="J13" t="n">
        <v>1191873975.319</v>
      </c>
      <c r="K13" t="n">
        <v>934767128.911</v>
      </c>
      <c r="L13" t="n">
        <v>948469597.052</v>
      </c>
      <c r="M13" t="n">
        <v>1013965574.902</v>
      </c>
      <c r="N13" t="n">
        <v>1171503736.364</v>
      </c>
      <c r="O13" t="n">
        <v>1083258347.401</v>
      </c>
      <c r="P13" t="n">
        <v>1207228256.831</v>
      </c>
      <c r="Q13" t="n">
        <v>1169415639.359</v>
      </c>
      <c r="R13" t="n">
        <v>1344276041.592</v>
      </c>
      <c r="S13" t="n">
        <v>1182253907.267</v>
      </c>
      <c r="T13" t="n">
        <v>1336963065.736</v>
      </c>
      <c r="U13" t="n">
        <v>1473515600.098</v>
      </c>
      <c r="V13" t="n">
        <v>1624670304.762</v>
      </c>
      <c r="W13" t="n">
        <v>1567875554.328</v>
      </c>
      <c r="X13" t="n">
        <v>1836418869.528</v>
      </c>
      <c r="Y13" t="n">
        <v>1672089644.753</v>
      </c>
      <c r="Z13" t="n">
        <v>2294546387.067</v>
      </c>
      <c r="AA13" t="n">
        <v>2343752057.768</v>
      </c>
      <c r="AB13" t="n">
        <v>2700780532.098</v>
      </c>
      <c r="AC13" t="n">
        <v>2794279433.653</v>
      </c>
      <c r="AD13" t="n">
        <v>2851809849.724</v>
      </c>
      <c r="AE13" t="n">
        <v>2565317391.57</v>
      </c>
      <c r="AF13" t="n">
        <v>2763855452.417</v>
      </c>
      <c r="AG13" t="n">
        <v>2882736440.047</v>
      </c>
      <c r="AH13" t="n">
        <v>3454351174.599</v>
      </c>
      <c r="AI13" t="n">
        <v>3949824717.759</v>
      </c>
      <c r="AJ13" t="n">
        <v>4215355806.778</v>
      </c>
      <c r="AK13" t="n">
        <v>5698884302.593</v>
      </c>
      <c r="AL13" t="n">
        <v>6110172534.382</v>
      </c>
      <c r="AM13" t="n">
        <v>6660567260.836</v>
      </c>
      <c r="AN13" t="n">
        <v>6462980834.091</v>
      </c>
      <c r="AO13" t="n">
        <v>6338058435.611</v>
      </c>
      <c r="AP13" t="n">
        <v>6485730436.355</v>
      </c>
      <c r="AQ13" t="n">
        <v>7186975992.706</v>
      </c>
      <c r="AR13" t="n">
        <v>6443961871.375</v>
      </c>
      <c r="AS13" t="n">
        <v>7044898034.901</v>
      </c>
      <c r="AT13" t="n">
        <v>5702401150.678</v>
      </c>
      <c r="AU13" t="n">
        <v>4589019813.776</v>
      </c>
      <c r="AV13" t="n">
        <v>5675524487.786</v>
      </c>
      <c r="AW13" t="n">
        <v>6521162571.808</v>
      </c>
      <c r="AX13" t="n">
        <v>6210486225.811</v>
      </c>
      <c r="AY13" t="n">
        <v>5655151634.226</v>
      </c>
      <c r="AZ13" t="n">
        <v>5108111534.178</v>
      </c>
      <c r="BA13" t="n">
        <v>4355753186.409</v>
      </c>
      <c r="BB13" t="n">
        <v>4425077064.804</v>
      </c>
      <c r="BC13" t="n">
        <v>3050458773.457</v>
      </c>
      <c r="BD13" t="n">
        <v>3971285268.332</v>
      </c>
      <c r="BE13" t="n">
        <v>3369366540.829</v>
      </c>
      <c r="BF13" t="n">
        <v>3552682368.427</v>
      </c>
      <c r="BG13" t="n">
        <v>3537081959.209</v>
      </c>
      <c r="BH13" t="n">
        <v>3901449790.535</v>
      </c>
      <c r="BI13" t="n">
        <v>3781602670.651</v>
      </c>
      <c r="BJ13" t="n">
        <v>3957660971.625</v>
      </c>
      <c r="BK13" t="n">
        <v>4492796940.984</v>
      </c>
      <c r="BL13" t="n">
        <v>4348257532.175</v>
      </c>
      <c r="BM13" t="n">
        <v>4453000094.139</v>
      </c>
      <c r="BN13" t="n">
        <v>4262301063.089</v>
      </c>
      <c r="BO13" t="n">
        <v>4675855807.755</v>
      </c>
      <c r="BP13" t="n">
        <v>4420763880.534</v>
      </c>
      <c r="BQ13" t="n">
        <v>4781459010.978</v>
      </c>
      <c r="BR13" t="n">
        <v>4872812973.284</v>
      </c>
      <c r="BS13" t="n">
        <v>5085929616.24</v>
      </c>
      <c r="BT13" t="n">
        <v>5167970598.019</v>
      </c>
    </row>
    <row r="14">
      <c r="A14" t="inlineStr">
        <is>
          <t>EwE_TE_noEE</t>
        </is>
      </c>
      <c r="B14" t="inlineStr">
        <is>
          <t>ok</t>
        </is>
      </c>
      <c r="C14" t="n">
        <v>755825584.154</v>
      </c>
      <c r="D14" t="n">
        <v>828148920.8329999</v>
      </c>
      <c r="E14" t="n">
        <v>800668476.143</v>
      </c>
      <c r="F14" t="n">
        <v>859032145.852</v>
      </c>
      <c r="G14" t="n">
        <v>1051716006.814</v>
      </c>
      <c r="H14" t="n">
        <v>1204856223.124</v>
      </c>
      <c r="I14" t="n">
        <v>1304454967.382</v>
      </c>
      <c r="J14" t="n">
        <v>1393542779.442</v>
      </c>
      <c r="K14" t="n">
        <v>1078218699.818</v>
      </c>
      <c r="L14" t="n">
        <v>1096386800.185</v>
      </c>
      <c r="M14" t="n">
        <v>1185591506.582</v>
      </c>
      <c r="N14" t="n">
        <v>1374422845.314</v>
      </c>
      <c r="O14" t="n">
        <v>1269731922.575</v>
      </c>
      <c r="P14" t="n">
        <v>1402615572.832</v>
      </c>
      <c r="Q14" t="n">
        <v>1351380778.794</v>
      </c>
      <c r="R14" t="n">
        <v>1530946980.968</v>
      </c>
      <c r="S14" t="n">
        <v>1315884209.709</v>
      </c>
      <c r="T14" t="n">
        <v>1487344731.033</v>
      </c>
      <c r="U14" t="n">
        <v>1635952923.841</v>
      </c>
      <c r="V14" t="n">
        <v>1823720979.343</v>
      </c>
      <c r="W14" t="n">
        <v>1743160109.032</v>
      </c>
      <c r="X14" t="n">
        <v>2050387668.547</v>
      </c>
      <c r="Y14" t="n">
        <v>1856742268.331</v>
      </c>
      <c r="Z14" t="n">
        <v>2519216777.421</v>
      </c>
      <c r="AA14" t="n">
        <v>2564357193.173</v>
      </c>
      <c r="AB14" t="n">
        <v>2936089857.837</v>
      </c>
      <c r="AC14" t="n">
        <v>3028508243.135</v>
      </c>
      <c r="AD14" t="n">
        <v>3105801005.85</v>
      </c>
      <c r="AE14" t="n">
        <v>2772813162.177</v>
      </c>
      <c r="AF14" t="n">
        <v>3006678521.346</v>
      </c>
      <c r="AG14" t="n">
        <v>3134200300.644</v>
      </c>
      <c r="AH14" t="n">
        <v>3812469541.969</v>
      </c>
      <c r="AI14" t="n">
        <v>4355102260.704</v>
      </c>
      <c r="AJ14" t="n">
        <v>4632455466.436</v>
      </c>
      <c r="AK14" t="n">
        <v>6253020855.007</v>
      </c>
      <c r="AL14" t="n">
        <v>6747467105.975</v>
      </c>
      <c r="AM14" t="n">
        <v>7329650179.072</v>
      </c>
      <c r="AN14" t="n">
        <v>7113382601.904</v>
      </c>
      <c r="AO14" t="n">
        <v>6954950601.106</v>
      </c>
      <c r="AP14" t="n">
        <v>7031190771.982</v>
      </c>
      <c r="AQ14" t="n">
        <v>7776369959.067</v>
      </c>
      <c r="AR14" t="n">
        <v>6891335167.854</v>
      </c>
      <c r="AS14" t="n">
        <v>7694717153.012</v>
      </c>
      <c r="AT14" t="n">
        <v>6182306260.605</v>
      </c>
      <c r="AU14" t="n">
        <v>4932332538.277</v>
      </c>
      <c r="AV14" t="n">
        <v>6088688839.121</v>
      </c>
      <c r="AW14" t="n">
        <v>6942116509.533</v>
      </c>
      <c r="AX14" t="n">
        <v>6614095893.001</v>
      </c>
      <c r="AY14" t="n">
        <v>6090227312.062</v>
      </c>
      <c r="AZ14" t="n">
        <v>5555383117.843</v>
      </c>
      <c r="BA14" t="n">
        <v>4770216395.718</v>
      </c>
      <c r="BB14" t="n">
        <v>4830336666.692</v>
      </c>
      <c r="BC14" t="n">
        <v>3368250299.284</v>
      </c>
      <c r="BD14" t="n">
        <v>4363695580.727</v>
      </c>
      <c r="BE14" t="n">
        <v>3764163920.94</v>
      </c>
      <c r="BF14" t="n">
        <v>3945932852.836</v>
      </c>
      <c r="BG14" t="n">
        <v>3907639670.305</v>
      </c>
      <c r="BH14" t="n">
        <v>4290121395.364</v>
      </c>
      <c r="BI14" t="n">
        <v>4219510030.148</v>
      </c>
      <c r="BJ14" t="n">
        <v>4429902986.415</v>
      </c>
      <c r="BK14" t="n">
        <v>5026033267.207</v>
      </c>
      <c r="BL14" t="n">
        <v>4824612159.699</v>
      </c>
      <c r="BM14" t="n">
        <v>4948763452.5</v>
      </c>
      <c r="BN14" t="n">
        <v>4735851248.335</v>
      </c>
      <c r="BO14" t="n">
        <v>5255376659.242</v>
      </c>
      <c r="BP14" t="n">
        <v>4917168315.628</v>
      </c>
      <c r="BQ14" t="n">
        <v>5333614764.538</v>
      </c>
      <c r="BR14" t="n">
        <v>5445657852.277</v>
      </c>
      <c r="BS14" t="n">
        <v>5697220904.376</v>
      </c>
      <c r="BT14" t="n">
        <v>5795587574.772</v>
      </c>
    </row>
    <row r="15">
      <c r="A15" t="inlineStr">
        <is>
          <t>EwE_TE_EE</t>
        </is>
      </c>
      <c r="B15" t="inlineStr">
        <is>
          <t>ok</t>
        </is>
      </c>
      <c r="C15" t="n">
        <v>366743985.429</v>
      </c>
      <c r="D15" t="n">
        <v>399719901.391</v>
      </c>
      <c r="E15" t="n">
        <v>390004582.932</v>
      </c>
      <c r="F15" t="n">
        <v>415655509.576</v>
      </c>
      <c r="G15" t="n">
        <v>488026756.496</v>
      </c>
      <c r="H15" t="n">
        <v>564304932.9680001</v>
      </c>
      <c r="I15" t="n">
        <v>619468724.579</v>
      </c>
      <c r="J15" t="n">
        <v>687770601.1059999</v>
      </c>
      <c r="K15" t="n">
        <v>592151883.8200001</v>
      </c>
      <c r="L15" t="n">
        <v>596956532.182</v>
      </c>
      <c r="M15" t="n">
        <v>611985163.931</v>
      </c>
      <c r="N15" t="n">
        <v>696533639.273</v>
      </c>
      <c r="O15" t="n">
        <v>648441026.544</v>
      </c>
      <c r="P15" t="n">
        <v>746438256.813</v>
      </c>
      <c r="Q15" t="n">
        <v>741740110.973</v>
      </c>
      <c r="R15" t="n">
        <v>903599850.6569999</v>
      </c>
      <c r="S15" t="n">
        <v>865352119.707</v>
      </c>
      <c r="T15" t="n">
        <v>978580383.2589999</v>
      </c>
      <c r="U15" t="n">
        <v>1089946364.28</v>
      </c>
      <c r="V15" t="n">
        <v>1154582063.289</v>
      </c>
      <c r="W15" t="n">
        <v>1158087597.807</v>
      </c>
      <c r="X15" t="n">
        <v>1338178220.871</v>
      </c>
      <c r="Y15" t="n">
        <v>1245619481.889</v>
      </c>
      <c r="Z15" t="n">
        <v>1774298341.882</v>
      </c>
      <c r="AA15" t="n">
        <v>1836499978.283</v>
      </c>
      <c r="AB15" t="n">
        <v>2157648538.983</v>
      </c>
      <c r="AC15" t="n">
        <v>2262105046.839</v>
      </c>
      <c r="AD15" t="n">
        <v>2269281923.119</v>
      </c>
      <c r="AE15" t="n">
        <v>2098060956.327</v>
      </c>
      <c r="AF15" t="n">
        <v>2211276232.895</v>
      </c>
      <c r="AG15" t="n">
        <v>2310641781.845</v>
      </c>
      <c r="AH15" t="n">
        <v>2638770848.246</v>
      </c>
      <c r="AI15" t="n">
        <v>3030402609.57</v>
      </c>
      <c r="AJ15" t="n">
        <v>3262455142.976</v>
      </c>
      <c r="AK15" t="n">
        <v>4441032599.214</v>
      </c>
      <c r="AL15" t="n">
        <v>4657598540.72</v>
      </c>
      <c r="AM15" t="n">
        <v>5144307054.497</v>
      </c>
      <c r="AN15" t="n">
        <v>4980392020.921</v>
      </c>
      <c r="AO15" t="n">
        <v>4939230746.234</v>
      </c>
      <c r="AP15" t="n">
        <v>5243412804.898</v>
      </c>
      <c r="AQ15" t="n">
        <v>5851329384.784</v>
      </c>
      <c r="AR15" t="n">
        <v>5416464429.603</v>
      </c>
      <c r="AS15" t="n">
        <v>5565278349.342</v>
      </c>
      <c r="AT15" t="n">
        <v>4592716640.504</v>
      </c>
      <c r="AU15" t="n">
        <v>3786817879.165</v>
      </c>
      <c r="AV15" t="n">
        <v>4711601516.951</v>
      </c>
      <c r="AW15" t="n">
        <v>5548161309.002</v>
      </c>
      <c r="AX15" t="n">
        <v>5260718987.741</v>
      </c>
      <c r="AY15" t="n">
        <v>4628178008.944</v>
      </c>
      <c r="AZ15" t="n">
        <v>4047505944.748</v>
      </c>
      <c r="BA15" t="n">
        <v>3370332982.268</v>
      </c>
      <c r="BB15" t="n">
        <v>3462758055.596</v>
      </c>
      <c r="BC15" t="n">
        <v>2288697195.798</v>
      </c>
      <c r="BD15" t="n">
        <v>3039632914.365</v>
      </c>
      <c r="BE15" t="n">
        <v>2435321678.023</v>
      </c>
      <c r="BF15" t="n">
        <v>2610729209.605</v>
      </c>
      <c r="BG15" t="n">
        <v>2645828153.301</v>
      </c>
      <c r="BH15" t="n">
        <v>2966255112.371</v>
      </c>
      <c r="BI15" t="n">
        <v>2739176248.882</v>
      </c>
      <c r="BJ15" t="n">
        <v>2811412297.329</v>
      </c>
      <c r="BK15" t="n">
        <v>3221842713.793</v>
      </c>
      <c r="BL15" t="n">
        <v>3189217491.25</v>
      </c>
      <c r="BM15" t="n">
        <v>3255090887.366</v>
      </c>
      <c r="BN15" t="n">
        <v>3111733227.689</v>
      </c>
      <c r="BO15" t="n">
        <v>3291493070.577</v>
      </c>
      <c r="BP15" t="n">
        <v>3225390015.373</v>
      </c>
      <c r="BQ15" t="n">
        <v>3461523588.873</v>
      </c>
      <c r="BR15" t="n">
        <v>3509871829.752</v>
      </c>
      <c r="BS15" t="n">
        <v>3615886541.086</v>
      </c>
      <c r="BT15" t="n">
        <v>3673697762.853</v>
      </c>
    </row>
    <row r="16">
      <c r="A16" s="18" t="inlineStr">
        <is>
          <t>SPPR_2015</t>
        </is>
      </c>
      <c r="B16" s="8" t="inlineStr">
        <is>
          <t>DIVERGED - negative SPPR in a source-model group</t>
        </is>
      </c>
      <c r="C16" t="n">
        <v>-27496975965.649</v>
      </c>
      <c r="D16" t="n">
        <v>-29513909551.075</v>
      </c>
      <c r="E16" t="n">
        <v>-28709761996.64</v>
      </c>
      <c r="F16" t="n">
        <v>-30660103615.079</v>
      </c>
      <c r="G16" t="n">
        <v>-40541963664.678</v>
      </c>
      <c r="H16" t="n">
        <v>-45788439865.49</v>
      </c>
      <c r="I16" t="n">
        <v>-49008555997.364</v>
      </c>
      <c r="J16" t="n">
        <v>-49981419197.003</v>
      </c>
      <c r="K16" t="n">
        <v>-35080783391.095</v>
      </c>
      <c r="L16" t="n">
        <v>-36257032574.983</v>
      </c>
      <c r="M16" t="n">
        <v>-42831242471.654</v>
      </c>
      <c r="N16" t="n">
        <v>-50694535685.361</v>
      </c>
      <c r="O16" t="n">
        <v>-46666130298.197</v>
      </c>
      <c r="P16" t="n">
        <v>-48494484072.214</v>
      </c>
      <c r="Q16" t="n">
        <v>-44963052876.6</v>
      </c>
      <c r="R16" t="n">
        <v>-45591868204.33</v>
      </c>
      <c r="S16" t="n">
        <v>-31705977718.743</v>
      </c>
      <c r="T16" t="n">
        <v>-35838868690.637</v>
      </c>
      <c r="U16" t="n">
        <v>-38556236279.159</v>
      </c>
      <c r="V16" t="n">
        <v>-48087262725.948</v>
      </c>
      <c r="W16" t="n">
        <v>-41777000606.303</v>
      </c>
      <c r="X16" t="n">
        <v>-51187645736.558</v>
      </c>
      <c r="Y16" t="n">
        <v>-43688979937.609</v>
      </c>
      <c r="Z16" t="n">
        <v>-52478057016.296</v>
      </c>
      <c r="AA16" t="n">
        <v>-51157381212.005</v>
      </c>
      <c r="AB16" t="n">
        <v>-53817924299.117</v>
      </c>
      <c r="AC16" t="n">
        <v>-53145199660.725</v>
      </c>
      <c r="AD16" t="n">
        <v>-58162023880.98</v>
      </c>
      <c r="AE16" t="n">
        <v>-46656424908.236</v>
      </c>
      <c r="AF16" t="n">
        <v>-55566728294.578</v>
      </c>
      <c r="AG16" t="n">
        <v>-57655372429.3</v>
      </c>
      <c r="AH16" t="n">
        <v>-84792900646.75999</v>
      </c>
      <c r="AI16" t="n">
        <v>-96068781619.47701</v>
      </c>
      <c r="AJ16" t="n">
        <v>-98456186090.16901</v>
      </c>
      <c r="AK16" t="n">
        <v>-130738599280.58</v>
      </c>
      <c r="AL16" t="n">
        <v>-151891343183.672</v>
      </c>
      <c r="AM16" t="n">
        <v>-158365785094.847</v>
      </c>
      <c r="AN16" t="n">
        <v>-154170745180.052</v>
      </c>
      <c r="AO16" t="n">
        <v>-145303627491.9</v>
      </c>
      <c r="AP16" t="n">
        <v>-125432330645.447</v>
      </c>
      <c r="AQ16" t="n">
        <v>-134892239402.4</v>
      </c>
      <c r="AR16" t="n">
        <v>-98800007194.73</v>
      </c>
      <c r="AS16" t="n">
        <v>-152173419457.104</v>
      </c>
      <c r="AT16" t="n">
        <v>-110428381136.496</v>
      </c>
      <c r="AU16" t="n">
        <v>-77041638369.14</v>
      </c>
      <c r="AV16" t="n">
        <v>-92340205075.94299</v>
      </c>
      <c r="AW16" t="n">
        <v>-91471789902.886</v>
      </c>
      <c r="AX16" t="n">
        <v>-87653792970.94099</v>
      </c>
      <c r="AY16" t="n">
        <v>-98061306756.957</v>
      </c>
      <c r="AZ16" t="n">
        <v>-103204000632.781</v>
      </c>
      <c r="BA16" t="n">
        <v>-96547148103.72</v>
      </c>
      <c r="BB16" t="n">
        <v>-93900905049.965</v>
      </c>
      <c r="BC16" t="n">
        <v>-74931016557.901</v>
      </c>
      <c r="BD16" t="n">
        <v>-91901023437.823</v>
      </c>
      <c r="BE16" t="n">
        <v>-94762671955.765</v>
      </c>
      <c r="BF16" t="n">
        <v>-93618188019.545</v>
      </c>
      <c r="BG16" t="n">
        <v>-87616348385.674</v>
      </c>
      <c r="BH16" t="n">
        <v>-91239719266.53</v>
      </c>
      <c r="BI16" t="n">
        <v>-105173662235.386</v>
      </c>
      <c r="BJ16" t="n">
        <v>-113828438601.681</v>
      </c>
      <c r="BK16" t="n">
        <v>-128727513359.204</v>
      </c>
      <c r="BL16" t="n">
        <v>-113722282836.759</v>
      </c>
      <c r="BM16" t="n">
        <v>-118559217309.529</v>
      </c>
      <c r="BN16" t="n">
        <v>-113306931344.167</v>
      </c>
      <c r="BO16" t="n">
        <v>-140568202711.034</v>
      </c>
      <c r="BP16" t="n">
        <v>-119091826251.261</v>
      </c>
      <c r="BQ16" t="n">
        <v>-133056812725.295</v>
      </c>
      <c r="BR16" t="n">
        <v>-138462516950.911</v>
      </c>
      <c r="BS16" t="n">
        <v>-148247332465.766</v>
      </c>
      <c r="BT16" t="n">
        <v>-152537729742.305</v>
      </c>
    </row>
    <row r="17">
      <c r="A17" s="18" t="inlineStr">
        <is>
          <t>new_TE_noEEfix</t>
        </is>
      </c>
      <c r="B17" s="8" t="inlineStr">
        <is>
          <t>DIVERGED - negative SPPR in a source-model group</t>
        </is>
      </c>
      <c r="C17" t="n">
        <v>-27496975965.649</v>
      </c>
      <c r="D17" t="n">
        <v>-29513909551.075</v>
      </c>
      <c r="E17" t="n">
        <v>-28709761996.64</v>
      </c>
      <c r="F17" t="n">
        <v>-30660103615.079</v>
      </c>
      <c r="G17" t="n">
        <v>-40541963664.678</v>
      </c>
      <c r="H17" t="n">
        <v>-45788439865.49</v>
      </c>
      <c r="I17" t="n">
        <v>-49008555997.364</v>
      </c>
      <c r="J17" t="n">
        <v>-49981419197.003</v>
      </c>
      <c r="K17" t="n">
        <v>-35080783391.095</v>
      </c>
      <c r="L17" t="n">
        <v>-36257032574.983</v>
      </c>
      <c r="M17" t="n">
        <v>-42831242471.654</v>
      </c>
      <c r="N17" t="n">
        <v>-50694535685.361</v>
      </c>
      <c r="O17" t="n">
        <v>-46666130298.197</v>
      </c>
      <c r="P17" t="n">
        <v>-48494484072.214</v>
      </c>
      <c r="Q17" t="n">
        <v>-44963052876.6</v>
      </c>
      <c r="R17" t="n">
        <v>-45591868204.33</v>
      </c>
      <c r="S17" t="n">
        <v>-31705977718.743</v>
      </c>
      <c r="T17" t="n">
        <v>-35838868690.637</v>
      </c>
      <c r="U17" t="n">
        <v>-38556236279.159</v>
      </c>
      <c r="V17" t="n">
        <v>-48087262725.948</v>
      </c>
      <c r="W17" t="n">
        <v>-41777000606.303</v>
      </c>
      <c r="X17" t="n">
        <v>-51187645736.558</v>
      </c>
      <c r="Y17" t="n">
        <v>-43688979937.609</v>
      </c>
      <c r="Z17" t="n">
        <v>-52478057016.296</v>
      </c>
      <c r="AA17" t="n">
        <v>-51157381212.005</v>
      </c>
      <c r="AB17" t="n">
        <v>-53817924299.117</v>
      </c>
      <c r="AC17" t="n">
        <v>-53145199660.725</v>
      </c>
      <c r="AD17" t="n">
        <v>-58162023880.98</v>
      </c>
      <c r="AE17" t="n">
        <v>-46656424908.236</v>
      </c>
      <c r="AF17" t="n">
        <v>-55566728294.578</v>
      </c>
      <c r="AG17" t="n">
        <v>-57655372429.3</v>
      </c>
      <c r="AH17" t="n">
        <v>-84792900646.75999</v>
      </c>
      <c r="AI17" t="n">
        <v>-96068781619.47701</v>
      </c>
      <c r="AJ17" t="n">
        <v>-98456186090.16901</v>
      </c>
      <c r="AK17" t="n">
        <v>-130738599280.58</v>
      </c>
      <c r="AL17" t="n">
        <v>-151891343183.672</v>
      </c>
      <c r="AM17" t="n">
        <v>-158365785094.847</v>
      </c>
      <c r="AN17" t="n">
        <v>-154170745180.052</v>
      </c>
      <c r="AO17" t="n">
        <v>-145303627491.9</v>
      </c>
      <c r="AP17" t="n">
        <v>-125432330645.447</v>
      </c>
      <c r="AQ17" t="n">
        <v>-134892239402.4</v>
      </c>
      <c r="AR17" t="n">
        <v>-98800007194.73</v>
      </c>
      <c r="AS17" t="n">
        <v>-152173419457.104</v>
      </c>
      <c r="AT17" t="n">
        <v>-110428381136.496</v>
      </c>
      <c r="AU17" t="n">
        <v>-77041638369.14</v>
      </c>
      <c r="AV17" t="n">
        <v>-92340205075.94299</v>
      </c>
      <c r="AW17" t="n">
        <v>-91471789902.886</v>
      </c>
      <c r="AX17" t="n">
        <v>-87653792970.94099</v>
      </c>
      <c r="AY17" t="n">
        <v>-98061306756.957</v>
      </c>
      <c r="AZ17" t="n">
        <v>-103204000632.781</v>
      </c>
      <c r="BA17" t="n">
        <v>-96547148103.72</v>
      </c>
      <c r="BB17" t="n">
        <v>-93900905049.965</v>
      </c>
      <c r="BC17" t="n">
        <v>-74931016557.901</v>
      </c>
      <c r="BD17" t="n">
        <v>-91901023437.823</v>
      </c>
      <c r="BE17" t="n">
        <v>-94762671955.765</v>
      </c>
      <c r="BF17" t="n">
        <v>-93618188019.545</v>
      </c>
      <c r="BG17" t="n">
        <v>-87616348385.674</v>
      </c>
      <c r="BH17" t="n">
        <v>-91239719266.53</v>
      </c>
      <c r="BI17" t="n">
        <v>-105173662235.386</v>
      </c>
      <c r="BJ17" t="n">
        <v>-113828438601.681</v>
      </c>
      <c r="BK17" t="n">
        <v>-128727513359.204</v>
      </c>
      <c r="BL17" t="n">
        <v>-113722282836.759</v>
      </c>
      <c r="BM17" t="n">
        <v>-118559217309.529</v>
      </c>
      <c r="BN17" t="n">
        <v>-113306931344.167</v>
      </c>
      <c r="BO17" t="n">
        <v>-140568202711.034</v>
      </c>
      <c r="BP17" t="n">
        <v>-119091826251.261</v>
      </c>
      <c r="BQ17" t="n">
        <v>-133056812725.295</v>
      </c>
      <c r="BR17" t="n">
        <v>-138462516950.911</v>
      </c>
      <c r="BS17" t="n">
        <v>-148247332465.766</v>
      </c>
      <c r="BT17" t="n">
        <v>-152537729742.305</v>
      </c>
    </row>
    <row r="18">
      <c r="A18" s="18" t="inlineStr">
        <is>
          <t>new_TE_EEfix</t>
        </is>
      </c>
      <c r="B18" s="8" t="inlineStr">
        <is>
          <t>FAILED diagnostic for this SPPR_new configuration</t>
        </is>
      </c>
      <c r="C18" t="n">
        <v>-27951111535.891</v>
      </c>
      <c r="D18" t="n">
        <v>-30001355228.215</v>
      </c>
      <c r="E18" t="n">
        <v>-29183934964.018</v>
      </c>
      <c r="F18" t="n">
        <v>-31166483685.668</v>
      </c>
      <c r="G18" t="n">
        <v>-41211437067.928</v>
      </c>
      <c r="H18" t="n">
        <v>-46544565276.409</v>
      </c>
      <c r="I18" t="n">
        <v>-49817869705.818</v>
      </c>
      <c r="J18" t="n">
        <v>-50806929463.556</v>
      </c>
      <c r="K18" t="n">
        <v>-35660394363.449</v>
      </c>
      <c r="L18" t="n">
        <v>-36856022145.51</v>
      </c>
      <c r="M18" t="n">
        <v>-43538664906.596</v>
      </c>
      <c r="N18" t="n">
        <v>-51531807968.271</v>
      </c>
      <c r="O18" t="n">
        <v>-47436865618.085</v>
      </c>
      <c r="P18" t="n">
        <v>-49295572064.285</v>
      </c>
      <c r="Q18" t="n">
        <v>-45705895269.434</v>
      </c>
      <c r="R18" t="n">
        <v>-46345315049.895</v>
      </c>
      <c r="S18" t="n">
        <v>-32230327941.906</v>
      </c>
      <c r="T18" t="n">
        <v>-36431559087.83</v>
      </c>
      <c r="U18" t="n">
        <v>-39193932203.197</v>
      </c>
      <c r="V18" t="n">
        <v>-48882267413.877</v>
      </c>
      <c r="W18" t="n">
        <v>-42467914171.799</v>
      </c>
      <c r="X18" t="n">
        <v>-52034058322.907</v>
      </c>
      <c r="Y18" t="n">
        <v>-44411572504.183</v>
      </c>
      <c r="Z18" t="n">
        <v>-53346443369.908</v>
      </c>
      <c r="AA18" t="n">
        <v>-52004075147.259</v>
      </c>
      <c r="AB18" t="n">
        <v>-54709016195.26</v>
      </c>
      <c r="AC18" t="n">
        <v>-54025327936.858</v>
      </c>
      <c r="AD18" t="n">
        <v>-59124945243.197</v>
      </c>
      <c r="AE18" t="n">
        <v>-47429257407.49</v>
      </c>
      <c r="AF18" t="n">
        <v>-56486724135.446</v>
      </c>
      <c r="AG18" t="n">
        <v>-58609968059.91</v>
      </c>
      <c r="AH18" t="n">
        <v>-86195633853.039</v>
      </c>
      <c r="AI18" t="n">
        <v>-97658121633.07201</v>
      </c>
      <c r="AJ18" t="n">
        <v>-100085265111.715</v>
      </c>
      <c r="AK18" t="n">
        <v>-132901997642.453</v>
      </c>
      <c r="AL18" t="n">
        <v>-154403992068.602</v>
      </c>
      <c r="AM18" t="n">
        <v>-160985983441.57</v>
      </c>
      <c r="AN18" t="n">
        <v>-156721499507.966</v>
      </c>
      <c r="AO18" t="n">
        <v>-147708061520.945</v>
      </c>
      <c r="AP18" t="n">
        <v>-127509415249.932</v>
      </c>
      <c r="AQ18" t="n">
        <v>-137126312450.47</v>
      </c>
      <c r="AR18" t="n">
        <v>-100438055460.463</v>
      </c>
      <c r="AS18" t="n">
        <v>-154692037314.165</v>
      </c>
      <c r="AT18" t="n">
        <v>-112256902682.775</v>
      </c>
      <c r="AU18" t="n">
        <v>-78318203594.408</v>
      </c>
      <c r="AV18" t="n">
        <v>-93870525910.80901</v>
      </c>
      <c r="AW18" t="n">
        <v>-92989094993.89101</v>
      </c>
      <c r="AX18" t="n">
        <v>-89107772399.286</v>
      </c>
      <c r="AY18" t="n">
        <v>-99686012394.927</v>
      </c>
      <c r="AZ18" t="n">
        <v>-104912614775.828</v>
      </c>
      <c r="BA18" t="n">
        <v>-98144922954.228</v>
      </c>
      <c r="BB18" t="n">
        <v>-95455145422.30299</v>
      </c>
      <c r="BC18" t="n">
        <v>-76170529706.37601</v>
      </c>
      <c r="BD18" t="n">
        <v>-93421584755.27</v>
      </c>
      <c r="BE18" t="n">
        <v>-96329516160.19</v>
      </c>
      <c r="BF18" t="n">
        <v>-95166422299.032</v>
      </c>
      <c r="BG18" t="n">
        <v>-89065642682.543</v>
      </c>
      <c r="BH18" t="n">
        <v>-92749246914.55099</v>
      </c>
      <c r="BI18" t="n">
        <v>-106912689578.709</v>
      </c>
      <c r="BJ18" t="n">
        <v>-115710326414.747</v>
      </c>
      <c r="BK18" t="n">
        <v>-130855809068.238</v>
      </c>
      <c r="BL18" t="n">
        <v>-115603009150.867</v>
      </c>
      <c r="BM18" t="n">
        <v>-120519868002.215</v>
      </c>
      <c r="BN18" t="n">
        <v>-115180727206.265</v>
      </c>
      <c r="BO18" t="n">
        <v>-142891924967.829</v>
      </c>
      <c r="BP18" t="n">
        <v>-121061201770.827</v>
      </c>
      <c r="BQ18" t="n">
        <v>-135256904380.452</v>
      </c>
      <c r="BR18" t="n">
        <v>-140751854786.362</v>
      </c>
      <c r="BS18" t="n">
        <v>-150698211651.744</v>
      </c>
      <c r="BT18" t="n">
        <v>-155059481868.161</v>
      </c>
    </row>
    <row r="19">
      <c r="A19" t="inlineStr">
        <is>
          <t>new_GE</t>
        </is>
      </c>
      <c r="B19" t="inlineStr">
        <is>
          <t>ok</t>
        </is>
      </c>
      <c r="C19" t="n">
        <v>1507939021.929</v>
      </c>
      <c r="D19" t="n">
        <v>1628560774.841</v>
      </c>
      <c r="E19" t="n">
        <v>1596731419.885</v>
      </c>
      <c r="F19" t="n">
        <v>1716457036.831</v>
      </c>
      <c r="G19" t="n">
        <v>2097591696.616</v>
      </c>
      <c r="H19" t="n">
        <v>2410510412.861</v>
      </c>
      <c r="I19" t="n">
        <v>2616755655.95</v>
      </c>
      <c r="J19" t="n">
        <v>2793283121.543</v>
      </c>
      <c r="K19" t="n">
        <v>2214163621.471</v>
      </c>
      <c r="L19" t="n">
        <v>2222829719.868</v>
      </c>
      <c r="M19" t="n">
        <v>2340013299.938</v>
      </c>
      <c r="N19" t="n">
        <v>2744265353.002</v>
      </c>
      <c r="O19" t="n">
        <v>2500683489.892</v>
      </c>
      <c r="P19" t="n">
        <v>2769617746.371</v>
      </c>
      <c r="Q19" t="n">
        <v>2683191350.089</v>
      </c>
      <c r="R19" t="n">
        <v>2954968119.905</v>
      </c>
      <c r="S19" t="n">
        <v>2491588223.374</v>
      </c>
      <c r="T19" t="n">
        <v>2767666608.067</v>
      </c>
      <c r="U19" t="n">
        <v>3059580419.562</v>
      </c>
      <c r="V19" t="n">
        <v>3418551880.849</v>
      </c>
      <c r="W19" t="n">
        <v>3216630770.202</v>
      </c>
      <c r="X19" t="n">
        <v>3807822027.515</v>
      </c>
      <c r="Y19" t="n">
        <v>3463372037.859</v>
      </c>
      <c r="Z19" t="n">
        <v>4547999199.201</v>
      </c>
      <c r="AA19" t="n">
        <v>4599831288.444</v>
      </c>
      <c r="AB19" t="n">
        <v>5202001000.295</v>
      </c>
      <c r="AC19" t="n">
        <v>5325093060.613</v>
      </c>
      <c r="AD19" t="n">
        <v>5535493742.422</v>
      </c>
      <c r="AE19" t="n">
        <v>4845100138.694</v>
      </c>
      <c r="AF19" t="n">
        <v>5286376160.294</v>
      </c>
      <c r="AG19" t="n">
        <v>5468847172.221</v>
      </c>
      <c r="AH19" t="n">
        <v>6764460399.155</v>
      </c>
      <c r="AI19" t="n">
        <v>7665745136.818</v>
      </c>
      <c r="AJ19" t="n">
        <v>8086567297.401</v>
      </c>
      <c r="AK19" t="n">
        <v>10836457079.407</v>
      </c>
      <c r="AL19" t="n">
        <v>11813272440.396</v>
      </c>
      <c r="AM19" t="n">
        <v>12817358663.861</v>
      </c>
      <c r="AN19" t="n">
        <v>12400028218.35</v>
      </c>
      <c r="AO19" t="n">
        <v>12106289440.672</v>
      </c>
      <c r="AP19" t="n">
        <v>11927499554.059</v>
      </c>
      <c r="AQ19" t="n">
        <v>13160987665.185</v>
      </c>
      <c r="AR19" t="n">
        <v>11422518119.734</v>
      </c>
      <c r="AS19" t="n">
        <v>13152625298.195</v>
      </c>
      <c r="AT19" t="n">
        <v>10451678488.735</v>
      </c>
      <c r="AU19" t="n">
        <v>8226385228.616</v>
      </c>
      <c r="AV19" t="n">
        <v>10096005360.229</v>
      </c>
      <c r="AW19" t="n">
        <v>11399547809.545</v>
      </c>
      <c r="AX19" t="n">
        <v>10938589237.552</v>
      </c>
      <c r="AY19" t="n">
        <v>10328509438.207</v>
      </c>
      <c r="AZ19" t="n">
        <v>9582577354.253</v>
      </c>
      <c r="BA19" t="n">
        <v>8424921881.966</v>
      </c>
      <c r="BB19" t="n">
        <v>8440027920.683</v>
      </c>
      <c r="BC19" t="n">
        <v>6021231913.002</v>
      </c>
      <c r="BD19" t="n">
        <v>7714265743.091</v>
      </c>
      <c r="BE19" t="n">
        <v>6840117382.817</v>
      </c>
      <c r="BF19" t="n">
        <v>7092567592.627</v>
      </c>
      <c r="BG19" t="n">
        <v>6947011552.339</v>
      </c>
      <c r="BH19" t="n">
        <v>7533486867.878</v>
      </c>
      <c r="BI19" t="n">
        <v>7576340906.204</v>
      </c>
      <c r="BJ19" t="n">
        <v>7967258122.496</v>
      </c>
      <c r="BK19" t="n">
        <v>9027416604.836</v>
      </c>
      <c r="BL19" t="n">
        <v>8553555985.838</v>
      </c>
      <c r="BM19" t="n">
        <v>8829659913.76</v>
      </c>
      <c r="BN19" t="n">
        <v>8429091444.61</v>
      </c>
      <c r="BO19" t="n">
        <v>9547700631.198999</v>
      </c>
      <c r="BP19" t="n">
        <v>8757160444.172001</v>
      </c>
      <c r="BQ19" t="n">
        <v>9530035550.594999</v>
      </c>
      <c r="BR19" t="n">
        <v>9749624087.964001</v>
      </c>
      <c r="BS19" t="n">
        <v>10175657718.276</v>
      </c>
      <c r="BT19" t="n">
        <v>10366721748.124</v>
      </c>
    </row>
    <row r="20">
      <c r="A20" t="inlineStr">
        <is>
          <t>new_WithEgestion</t>
        </is>
      </c>
      <c r="B20" t="inlineStr">
        <is>
          <t>ok</t>
        </is>
      </c>
      <c r="C20" t="n">
        <v>222277838.815</v>
      </c>
      <c r="D20" t="n">
        <v>242358485.285</v>
      </c>
      <c r="E20" t="n">
        <v>238014507.888</v>
      </c>
      <c r="F20" t="n">
        <v>253489112.125</v>
      </c>
      <c r="G20" t="n">
        <v>292069124.29</v>
      </c>
      <c r="H20" t="n">
        <v>338412172.018</v>
      </c>
      <c r="I20" t="n">
        <v>370627240.761</v>
      </c>
      <c r="J20" t="n">
        <v>416988660.769</v>
      </c>
      <c r="K20" t="n">
        <v>359935669.053</v>
      </c>
      <c r="L20" t="n">
        <v>352835439.481</v>
      </c>
      <c r="M20" t="n">
        <v>350014887.039</v>
      </c>
      <c r="N20" t="n">
        <v>405483214.226</v>
      </c>
      <c r="O20" t="n">
        <v>370396622.623</v>
      </c>
      <c r="P20" t="n">
        <v>432252280.653</v>
      </c>
      <c r="Q20" t="n">
        <v>433099476.542</v>
      </c>
      <c r="R20" t="n">
        <v>506705365.937</v>
      </c>
      <c r="S20" t="n">
        <v>474794185.198</v>
      </c>
      <c r="T20" t="n">
        <v>529815463.386</v>
      </c>
      <c r="U20" t="n">
        <v>592749931.154</v>
      </c>
      <c r="V20" t="n">
        <v>628528506.171</v>
      </c>
      <c r="W20" t="n">
        <v>615915486.438</v>
      </c>
      <c r="X20" t="n">
        <v>709401008.812</v>
      </c>
      <c r="Y20" t="n">
        <v>661359923.0930001</v>
      </c>
      <c r="Z20" t="n">
        <v>915632754.075</v>
      </c>
      <c r="AA20" t="n">
        <v>940353786.529</v>
      </c>
      <c r="AB20" t="n">
        <v>1094224257.402</v>
      </c>
      <c r="AC20" t="n">
        <v>1130992833.583</v>
      </c>
      <c r="AD20" t="n">
        <v>1149115169.848</v>
      </c>
      <c r="AE20" t="n">
        <v>1036697941.543</v>
      </c>
      <c r="AF20" t="n">
        <v>1100069908.113</v>
      </c>
      <c r="AG20" t="n">
        <v>1144260362.483</v>
      </c>
      <c r="AH20" t="n">
        <v>1322190773.512</v>
      </c>
      <c r="AI20" t="n">
        <v>1509231217.854</v>
      </c>
      <c r="AJ20" t="n">
        <v>1619146795.367</v>
      </c>
      <c r="AK20" t="n">
        <v>2190720720.613</v>
      </c>
      <c r="AL20" t="n">
        <v>2317329805.194</v>
      </c>
      <c r="AM20" t="n">
        <v>2552659157.657</v>
      </c>
      <c r="AN20" t="n">
        <v>2471880770.882</v>
      </c>
      <c r="AO20" t="n">
        <v>2444570358.852</v>
      </c>
      <c r="AP20" t="n">
        <v>2548866431.882</v>
      </c>
      <c r="AQ20" t="n">
        <v>2837616940.573</v>
      </c>
      <c r="AR20" t="n">
        <v>2600947742.42</v>
      </c>
      <c r="AS20" t="n">
        <v>2716845435.834</v>
      </c>
      <c r="AT20" t="n">
        <v>2233303128.168</v>
      </c>
      <c r="AU20" t="n">
        <v>1828078051.072</v>
      </c>
      <c r="AV20" t="n">
        <v>2267285701.664</v>
      </c>
      <c r="AW20" t="n">
        <v>2656978376.55</v>
      </c>
      <c r="AX20" t="n">
        <v>2546491022.392</v>
      </c>
      <c r="AY20" t="n">
        <v>2284968417.365</v>
      </c>
      <c r="AZ20" t="n">
        <v>2023500308.807</v>
      </c>
      <c r="BA20" t="n">
        <v>1718013985.05</v>
      </c>
      <c r="BB20" t="n">
        <v>1743449949.659</v>
      </c>
      <c r="BC20" t="n">
        <v>1176745401.227</v>
      </c>
      <c r="BD20" t="n">
        <v>1538986385.112</v>
      </c>
      <c r="BE20" t="n">
        <v>1264595476.11</v>
      </c>
      <c r="BF20" t="n">
        <v>1344920847.403</v>
      </c>
      <c r="BG20" t="n">
        <v>1353328593.774</v>
      </c>
      <c r="BH20" t="n">
        <v>1496618817.889</v>
      </c>
      <c r="BI20" t="n">
        <v>1407089207.761</v>
      </c>
      <c r="BJ20" t="n">
        <v>1455143086.064</v>
      </c>
      <c r="BK20" t="n">
        <v>1660315456.486</v>
      </c>
      <c r="BL20" t="n">
        <v>1633616870.618</v>
      </c>
      <c r="BM20" t="n">
        <v>1677566120.315</v>
      </c>
      <c r="BN20" t="n">
        <v>1605512813.908</v>
      </c>
      <c r="BO20" t="n">
        <v>1720252247.897</v>
      </c>
      <c r="BP20" t="n">
        <v>1660367501.452</v>
      </c>
      <c r="BQ20" t="n">
        <v>1783804808.065</v>
      </c>
      <c r="BR20" t="n">
        <v>1811082726.405</v>
      </c>
      <c r="BS20" t="n">
        <v>1865928513.091</v>
      </c>
      <c r="BT20" t="n">
        <v>1894251251.581</v>
      </c>
    </row>
    <row r="21">
      <c r="A21" s="18" t="inlineStr">
        <is>
          <t>sym_TE_asPP</t>
        </is>
      </c>
      <c r="B21" s="8" t="inlineStr">
        <is>
          <t>DIVERGED - negative SPPR in a source-model group</t>
        </is>
      </c>
      <c r="C21" t="n">
        <v>-27951111535.891</v>
      </c>
      <c r="D21" t="n">
        <v>-30001355228.215</v>
      </c>
      <c r="E21" t="n">
        <v>-29183934964.018</v>
      </c>
      <c r="F21" t="n">
        <v>-31166483685.668</v>
      </c>
      <c r="G21" t="n">
        <v>-41211437067.928</v>
      </c>
      <c r="H21" t="n">
        <v>-46544565276.409</v>
      </c>
      <c r="I21" t="n">
        <v>-49817869705.818</v>
      </c>
      <c r="J21" t="n">
        <v>-50806929463.556</v>
      </c>
      <c r="K21" t="n">
        <v>-35660394363.449</v>
      </c>
      <c r="L21" t="n">
        <v>-36856022145.51</v>
      </c>
      <c r="M21" t="n">
        <v>-43538664906.596</v>
      </c>
      <c r="N21" t="n">
        <v>-51531807968.271</v>
      </c>
      <c r="O21" t="n">
        <v>-47436865618.085</v>
      </c>
      <c r="P21" t="n">
        <v>-49295572064.285</v>
      </c>
      <c r="Q21" t="n">
        <v>-45705895269.434</v>
      </c>
      <c r="R21" t="n">
        <v>-46345315049.895</v>
      </c>
      <c r="S21" t="n">
        <v>-32230327941.906</v>
      </c>
      <c r="T21" t="n">
        <v>-36431559087.83</v>
      </c>
      <c r="U21" t="n">
        <v>-39193932203.197</v>
      </c>
      <c r="V21" t="n">
        <v>-48882267413.877</v>
      </c>
      <c r="W21" t="n">
        <v>-42467914171.799</v>
      </c>
      <c r="X21" t="n">
        <v>-52034058322.907</v>
      </c>
      <c r="Y21" t="n">
        <v>-44411572504.183</v>
      </c>
      <c r="Z21" t="n">
        <v>-53346443369.908</v>
      </c>
      <c r="AA21" t="n">
        <v>-52004075147.259</v>
      </c>
      <c r="AB21" t="n">
        <v>-54709016195.26</v>
      </c>
      <c r="AC21" t="n">
        <v>-54025327936.858</v>
      </c>
      <c r="AD21" t="n">
        <v>-59124945243.197</v>
      </c>
      <c r="AE21" t="n">
        <v>-47429257407.49</v>
      </c>
      <c r="AF21" t="n">
        <v>-56486724135.446</v>
      </c>
      <c r="AG21" t="n">
        <v>-58609968059.91</v>
      </c>
      <c r="AH21" t="n">
        <v>-86195633853.039</v>
      </c>
      <c r="AI21" t="n">
        <v>-97658121633.07201</v>
      </c>
      <c r="AJ21" t="n">
        <v>-100085265111.715</v>
      </c>
      <c r="AK21" t="n">
        <v>-132901997642.453</v>
      </c>
      <c r="AL21" t="n">
        <v>-154403992068.602</v>
      </c>
      <c r="AM21" t="n">
        <v>-160985983441.57</v>
      </c>
      <c r="AN21" t="n">
        <v>-156721499507.966</v>
      </c>
      <c r="AO21" t="n">
        <v>-147708061520.945</v>
      </c>
      <c r="AP21" t="n">
        <v>-127509415249.932</v>
      </c>
      <c r="AQ21" t="n">
        <v>-137126312450.47</v>
      </c>
      <c r="AR21" t="n">
        <v>-100438055460.463</v>
      </c>
      <c r="AS21" t="n">
        <v>-154692037314.165</v>
      </c>
      <c r="AT21" t="n">
        <v>-112256902682.775</v>
      </c>
      <c r="AU21" t="n">
        <v>-78318203594.408</v>
      </c>
      <c r="AV21" t="n">
        <v>-93870525910.80901</v>
      </c>
      <c r="AW21" t="n">
        <v>-92989094993.89101</v>
      </c>
      <c r="AX21" t="n">
        <v>-89107772399.286</v>
      </c>
      <c r="AY21" t="n">
        <v>-99686012394.927</v>
      </c>
      <c r="AZ21" t="n">
        <v>-104912614775.828</v>
      </c>
      <c r="BA21" t="n">
        <v>-98144922954.228</v>
      </c>
      <c r="BB21" t="n">
        <v>-95455145422.30299</v>
      </c>
      <c r="BC21" t="n">
        <v>-76170529706.37601</v>
      </c>
      <c r="BD21" t="n">
        <v>-93421584755.27</v>
      </c>
      <c r="BE21" t="n">
        <v>-96329516160.19</v>
      </c>
      <c r="BF21" t="n">
        <v>-95166422299.032</v>
      </c>
      <c r="BG21" t="n">
        <v>-89065642682.543</v>
      </c>
      <c r="BH21" t="n">
        <v>-92749246914.55099</v>
      </c>
      <c r="BI21" t="n">
        <v>-106912689578.709</v>
      </c>
      <c r="BJ21" t="n">
        <v>-115710326414.747</v>
      </c>
      <c r="BK21" t="n">
        <v>-130855809068.238</v>
      </c>
      <c r="BL21" t="n">
        <v>-115603009150.867</v>
      </c>
      <c r="BM21" t="n">
        <v>-120519868002.215</v>
      </c>
      <c r="BN21" t="n">
        <v>-115180727206.265</v>
      </c>
      <c r="BO21" t="n">
        <v>-142891924967.829</v>
      </c>
      <c r="BP21" t="n">
        <v>-121061201770.827</v>
      </c>
      <c r="BQ21" t="n">
        <v>-135256904380.452</v>
      </c>
      <c r="BR21" t="n">
        <v>-140751854786.362</v>
      </c>
      <c r="BS21" t="n">
        <v>-150698211651.744</v>
      </c>
      <c r="BT21" t="n">
        <v>-155059481868.161</v>
      </c>
    </row>
    <row r="22">
      <c r="A22" s="18" t="inlineStr">
        <is>
          <t>sym_TE_asDC</t>
        </is>
      </c>
      <c r="B22" s="8" t="inlineStr">
        <is>
          <t>DIVERGED - negative SPPR in a source-model group</t>
        </is>
      </c>
      <c r="C22" t="n">
        <v>-27496975965.649</v>
      </c>
      <c r="D22" t="n">
        <v>-29513909551.075</v>
      </c>
      <c r="E22" t="n">
        <v>-28709761996.64</v>
      </c>
      <c r="F22" t="n">
        <v>-30660103615.079</v>
      </c>
      <c r="G22" t="n">
        <v>-40541963664.678</v>
      </c>
      <c r="H22" t="n">
        <v>-45788439865.49</v>
      </c>
      <c r="I22" t="n">
        <v>-49008555997.364</v>
      </c>
      <c r="J22" t="n">
        <v>-49981419197.003</v>
      </c>
      <c r="K22" t="n">
        <v>-35080783391.095</v>
      </c>
      <c r="L22" t="n">
        <v>-36257032574.983</v>
      </c>
      <c r="M22" t="n">
        <v>-42831242471.654</v>
      </c>
      <c r="N22" t="n">
        <v>-50694535685.361</v>
      </c>
      <c r="O22" t="n">
        <v>-46666130298.197</v>
      </c>
      <c r="P22" t="n">
        <v>-48494484072.214</v>
      </c>
      <c r="Q22" t="n">
        <v>-44963052876.6</v>
      </c>
      <c r="R22" t="n">
        <v>-45591868204.33</v>
      </c>
      <c r="S22" t="n">
        <v>-31705977718.743</v>
      </c>
      <c r="T22" t="n">
        <v>-35838868690.637</v>
      </c>
      <c r="U22" t="n">
        <v>-38556236279.159</v>
      </c>
      <c r="V22" t="n">
        <v>-48087262725.948</v>
      </c>
      <c r="W22" t="n">
        <v>-41777000606.303</v>
      </c>
      <c r="X22" t="n">
        <v>-51187645736.558</v>
      </c>
      <c r="Y22" t="n">
        <v>-43688979937.609</v>
      </c>
      <c r="Z22" t="n">
        <v>-52478057016.296</v>
      </c>
      <c r="AA22" t="n">
        <v>-51157381212.005</v>
      </c>
      <c r="AB22" t="n">
        <v>-53817924299.117</v>
      </c>
      <c r="AC22" t="n">
        <v>-53145199660.725</v>
      </c>
      <c r="AD22" t="n">
        <v>-58162023880.98</v>
      </c>
      <c r="AE22" t="n">
        <v>-46656424908.236</v>
      </c>
      <c r="AF22" t="n">
        <v>-55566728294.578</v>
      </c>
      <c r="AG22" t="n">
        <v>-57655372429.3</v>
      </c>
      <c r="AH22" t="n">
        <v>-84792900646.75999</v>
      </c>
      <c r="AI22" t="n">
        <v>-96068781619.47701</v>
      </c>
      <c r="AJ22" t="n">
        <v>-98456186090.16901</v>
      </c>
      <c r="AK22" t="n">
        <v>-130738599280.58</v>
      </c>
      <c r="AL22" t="n">
        <v>-151891343183.672</v>
      </c>
      <c r="AM22" t="n">
        <v>-158365785094.847</v>
      </c>
      <c r="AN22" t="n">
        <v>-154170745180.052</v>
      </c>
      <c r="AO22" t="n">
        <v>-145303627491.9</v>
      </c>
      <c r="AP22" t="n">
        <v>-125432330645.447</v>
      </c>
      <c r="AQ22" t="n">
        <v>-134892239402.4</v>
      </c>
      <c r="AR22" t="n">
        <v>-98800007194.73</v>
      </c>
      <c r="AS22" t="n">
        <v>-152173419457.104</v>
      </c>
      <c r="AT22" t="n">
        <v>-110428381136.496</v>
      </c>
      <c r="AU22" t="n">
        <v>-77041638369.14</v>
      </c>
      <c r="AV22" t="n">
        <v>-92340205075.94299</v>
      </c>
      <c r="AW22" t="n">
        <v>-91471789902.886</v>
      </c>
      <c r="AX22" t="n">
        <v>-87653792970.94099</v>
      </c>
      <c r="AY22" t="n">
        <v>-98061306756.957</v>
      </c>
      <c r="AZ22" t="n">
        <v>-103204000632.781</v>
      </c>
      <c r="BA22" t="n">
        <v>-96547148103.72</v>
      </c>
      <c r="BB22" t="n">
        <v>-93900905049.965</v>
      </c>
      <c r="BC22" t="n">
        <v>-74931016557.901</v>
      </c>
      <c r="BD22" t="n">
        <v>-91901023437.823</v>
      </c>
      <c r="BE22" t="n">
        <v>-94762671955.765</v>
      </c>
      <c r="BF22" t="n">
        <v>-93618188019.545</v>
      </c>
      <c r="BG22" t="n">
        <v>-87616348385.674</v>
      </c>
      <c r="BH22" t="n">
        <v>-91239719266.53</v>
      </c>
      <c r="BI22" t="n">
        <v>-105173662235.386</v>
      </c>
      <c r="BJ22" t="n">
        <v>-113828438601.681</v>
      </c>
      <c r="BK22" t="n">
        <v>-128727513359.204</v>
      </c>
      <c r="BL22" t="n">
        <v>-113722282836.759</v>
      </c>
      <c r="BM22" t="n">
        <v>-118559217309.529</v>
      </c>
      <c r="BN22" t="n">
        <v>-113306931344.167</v>
      </c>
      <c r="BO22" t="n">
        <v>-140568202711.034</v>
      </c>
      <c r="BP22" t="n">
        <v>-119091826251.261</v>
      </c>
      <c r="BQ22" t="n">
        <v>-133056812725.295</v>
      </c>
      <c r="BR22" t="n">
        <v>-138462516950.911</v>
      </c>
      <c r="BS22" t="n">
        <v>-148247332465.766</v>
      </c>
      <c r="BT22" t="n">
        <v>-152537729742.305</v>
      </c>
    </row>
    <row r="23">
      <c r="A23" t="inlineStr">
        <is>
          <t>sym_GE_asPP</t>
        </is>
      </c>
      <c r="B23" t="inlineStr">
        <is>
          <t>ok</t>
        </is>
      </c>
      <c r="C23" t="n">
        <v>1507939021.929</v>
      </c>
      <c r="D23" t="n">
        <v>1628560774.841</v>
      </c>
      <c r="E23" t="n">
        <v>1596731419.885</v>
      </c>
      <c r="F23" t="n">
        <v>1716457036.831</v>
      </c>
      <c r="G23" t="n">
        <v>2097591696.616</v>
      </c>
      <c r="H23" t="n">
        <v>2410510412.861</v>
      </c>
      <c r="I23" t="n">
        <v>2616755655.95</v>
      </c>
      <c r="J23" t="n">
        <v>2793283121.543</v>
      </c>
      <c r="K23" t="n">
        <v>2214163621.471</v>
      </c>
      <c r="L23" t="n">
        <v>2222829719.868</v>
      </c>
      <c r="M23" t="n">
        <v>2340013299.938</v>
      </c>
      <c r="N23" t="n">
        <v>2744265353.002</v>
      </c>
      <c r="O23" t="n">
        <v>2500683489.892</v>
      </c>
      <c r="P23" t="n">
        <v>2769617746.371</v>
      </c>
      <c r="Q23" t="n">
        <v>2683191350.089</v>
      </c>
      <c r="R23" t="n">
        <v>2954968119.905</v>
      </c>
      <c r="S23" t="n">
        <v>2491588223.374</v>
      </c>
      <c r="T23" t="n">
        <v>2767666608.067</v>
      </c>
      <c r="U23" t="n">
        <v>3059580419.562</v>
      </c>
      <c r="V23" t="n">
        <v>3418551880.849</v>
      </c>
      <c r="W23" t="n">
        <v>3216630770.202</v>
      </c>
      <c r="X23" t="n">
        <v>3807822027.515</v>
      </c>
      <c r="Y23" t="n">
        <v>3463372037.859</v>
      </c>
      <c r="Z23" t="n">
        <v>4547999199.201</v>
      </c>
      <c r="AA23" t="n">
        <v>4599831288.444</v>
      </c>
      <c r="AB23" t="n">
        <v>5202001000.295</v>
      </c>
      <c r="AC23" t="n">
        <v>5325093060.613</v>
      </c>
      <c r="AD23" t="n">
        <v>5535493742.422</v>
      </c>
      <c r="AE23" t="n">
        <v>4845100138.694</v>
      </c>
      <c r="AF23" t="n">
        <v>5286376160.294</v>
      </c>
      <c r="AG23" t="n">
        <v>5468847172.221</v>
      </c>
      <c r="AH23" t="n">
        <v>6764460399.155</v>
      </c>
      <c r="AI23" t="n">
        <v>7665745136.818</v>
      </c>
      <c r="AJ23" t="n">
        <v>8086567297.401</v>
      </c>
      <c r="AK23" t="n">
        <v>10836457079.407</v>
      </c>
      <c r="AL23" t="n">
        <v>11813272440.396</v>
      </c>
      <c r="AM23" t="n">
        <v>12817358663.861</v>
      </c>
      <c r="AN23" t="n">
        <v>12400028218.35</v>
      </c>
      <c r="AO23" t="n">
        <v>12106289440.672</v>
      </c>
      <c r="AP23" t="n">
        <v>11927499554.059</v>
      </c>
      <c r="AQ23" t="n">
        <v>13160987665.185</v>
      </c>
      <c r="AR23" t="n">
        <v>11422518119.734</v>
      </c>
      <c r="AS23" t="n">
        <v>13152625298.195</v>
      </c>
      <c r="AT23" t="n">
        <v>10451678488.735</v>
      </c>
      <c r="AU23" t="n">
        <v>8226385228.616</v>
      </c>
      <c r="AV23" t="n">
        <v>10096005360.229</v>
      </c>
      <c r="AW23" t="n">
        <v>11399547809.545</v>
      </c>
      <c r="AX23" t="n">
        <v>10938589237.552</v>
      </c>
      <c r="AY23" t="n">
        <v>10328509438.207</v>
      </c>
      <c r="AZ23" t="n">
        <v>9582577354.253</v>
      </c>
      <c r="BA23" t="n">
        <v>8424921881.966</v>
      </c>
      <c r="BB23" t="n">
        <v>8440027920.683</v>
      </c>
      <c r="BC23" t="n">
        <v>6021231913.002</v>
      </c>
      <c r="BD23" t="n">
        <v>7714265743.091</v>
      </c>
      <c r="BE23" t="n">
        <v>6840117382.817</v>
      </c>
      <c r="BF23" t="n">
        <v>7092567592.627</v>
      </c>
      <c r="BG23" t="n">
        <v>6947011552.339</v>
      </c>
      <c r="BH23" t="n">
        <v>7533486867.878</v>
      </c>
      <c r="BI23" t="n">
        <v>7576340906.204</v>
      </c>
      <c r="BJ23" t="n">
        <v>7967258122.496</v>
      </c>
      <c r="BK23" t="n">
        <v>9027416604.836</v>
      </c>
      <c r="BL23" t="n">
        <v>8553555985.838</v>
      </c>
      <c r="BM23" t="n">
        <v>8829659913.76</v>
      </c>
      <c r="BN23" t="n">
        <v>8429091444.61</v>
      </c>
      <c r="BO23" t="n">
        <v>9547700631.198999</v>
      </c>
      <c r="BP23" t="n">
        <v>8757160444.172001</v>
      </c>
      <c r="BQ23" t="n">
        <v>9530035550.594999</v>
      </c>
      <c r="BR23" t="n">
        <v>9749624087.964001</v>
      </c>
      <c r="BS23" t="n">
        <v>10175657718.276</v>
      </c>
      <c r="BT23" t="n">
        <v>10366721748.124</v>
      </c>
    </row>
    <row r="24">
      <c r="A24" t="inlineStr">
        <is>
          <t>sym_GE_asDC</t>
        </is>
      </c>
      <c r="B24" t="inlineStr">
        <is>
          <t>ok</t>
        </is>
      </c>
      <c r="C24" t="n">
        <v>1507939021.929</v>
      </c>
      <c r="D24" t="n">
        <v>1628560774.841</v>
      </c>
      <c r="E24" t="n">
        <v>1596731419.885</v>
      </c>
      <c r="F24" t="n">
        <v>1716457036.831</v>
      </c>
      <c r="G24" t="n">
        <v>2097591696.616</v>
      </c>
      <c r="H24" t="n">
        <v>2410510412.861</v>
      </c>
      <c r="I24" t="n">
        <v>2616755655.95</v>
      </c>
      <c r="J24" t="n">
        <v>2793283121.543</v>
      </c>
      <c r="K24" t="n">
        <v>2214163621.471</v>
      </c>
      <c r="L24" t="n">
        <v>2222829719.868</v>
      </c>
      <c r="M24" t="n">
        <v>2340013299.938</v>
      </c>
      <c r="N24" t="n">
        <v>2744265353.002</v>
      </c>
      <c r="O24" t="n">
        <v>2500683489.892</v>
      </c>
      <c r="P24" t="n">
        <v>2769617746.371</v>
      </c>
      <c r="Q24" t="n">
        <v>2683191350.089</v>
      </c>
      <c r="R24" t="n">
        <v>2954968119.905</v>
      </c>
      <c r="S24" t="n">
        <v>2491588223.374</v>
      </c>
      <c r="T24" t="n">
        <v>2767666608.067</v>
      </c>
      <c r="U24" t="n">
        <v>3059580419.562</v>
      </c>
      <c r="V24" t="n">
        <v>3418551880.849</v>
      </c>
      <c r="W24" t="n">
        <v>3216630770.202</v>
      </c>
      <c r="X24" t="n">
        <v>3807822027.515</v>
      </c>
      <c r="Y24" t="n">
        <v>3463372037.859</v>
      </c>
      <c r="Z24" t="n">
        <v>4547999199.201</v>
      </c>
      <c r="AA24" t="n">
        <v>4599831288.444</v>
      </c>
      <c r="AB24" t="n">
        <v>5202001000.295</v>
      </c>
      <c r="AC24" t="n">
        <v>5325093060.613</v>
      </c>
      <c r="AD24" t="n">
        <v>5535493742.422</v>
      </c>
      <c r="AE24" t="n">
        <v>4845100138.694</v>
      </c>
      <c r="AF24" t="n">
        <v>5286376160.294</v>
      </c>
      <c r="AG24" t="n">
        <v>5468847172.221</v>
      </c>
      <c r="AH24" t="n">
        <v>6764460399.155</v>
      </c>
      <c r="AI24" t="n">
        <v>7665745136.818</v>
      </c>
      <c r="AJ24" t="n">
        <v>8086567297.401</v>
      </c>
      <c r="AK24" t="n">
        <v>10836457079.407</v>
      </c>
      <c r="AL24" t="n">
        <v>11813272440.396</v>
      </c>
      <c r="AM24" t="n">
        <v>12817358663.861</v>
      </c>
      <c r="AN24" t="n">
        <v>12400028218.35</v>
      </c>
      <c r="AO24" t="n">
        <v>12106289440.672</v>
      </c>
      <c r="AP24" t="n">
        <v>11927499554.059</v>
      </c>
      <c r="AQ24" t="n">
        <v>13160987665.185</v>
      </c>
      <c r="AR24" t="n">
        <v>11422518119.734</v>
      </c>
      <c r="AS24" t="n">
        <v>13152625298.195</v>
      </c>
      <c r="AT24" t="n">
        <v>10451678488.735</v>
      </c>
      <c r="AU24" t="n">
        <v>8226385228.616</v>
      </c>
      <c r="AV24" t="n">
        <v>10096005360.229</v>
      </c>
      <c r="AW24" t="n">
        <v>11399547809.545</v>
      </c>
      <c r="AX24" t="n">
        <v>10938589237.552</v>
      </c>
      <c r="AY24" t="n">
        <v>10328509438.207</v>
      </c>
      <c r="AZ24" t="n">
        <v>9582577354.253</v>
      </c>
      <c r="BA24" t="n">
        <v>8424921881.966</v>
      </c>
      <c r="BB24" t="n">
        <v>8440027920.683</v>
      </c>
      <c r="BC24" t="n">
        <v>6021231913.002</v>
      </c>
      <c r="BD24" t="n">
        <v>7714265743.091</v>
      </c>
      <c r="BE24" t="n">
        <v>6840117382.817</v>
      </c>
      <c r="BF24" t="n">
        <v>7092567592.627</v>
      </c>
      <c r="BG24" t="n">
        <v>6947011552.339</v>
      </c>
      <c r="BH24" t="n">
        <v>7533486867.878</v>
      </c>
      <c r="BI24" t="n">
        <v>7576340906.204</v>
      </c>
      <c r="BJ24" t="n">
        <v>7967258122.496</v>
      </c>
      <c r="BK24" t="n">
        <v>9027416604.836</v>
      </c>
      <c r="BL24" t="n">
        <v>8553555985.838</v>
      </c>
      <c r="BM24" t="n">
        <v>8829659913.76</v>
      </c>
      <c r="BN24" t="n">
        <v>8429091444.61</v>
      </c>
      <c r="BO24" t="n">
        <v>9547700631.198999</v>
      </c>
      <c r="BP24" t="n">
        <v>8757160444.172001</v>
      </c>
      <c r="BQ24" t="n">
        <v>9530035550.594999</v>
      </c>
      <c r="BR24" t="n">
        <v>9749624087.964001</v>
      </c>
      <c r="BS24" t="n">
        <v>10175657718.276</v>
      </c>
      <c r="BT24" t="n">
        <v>10366721748.124</v>
      </c>
    </row>
    <row r="25">
      <c r="A25" t="inlineStr">
        <is>
          <t>sym_WithEgestion_asPP</t>
        </is>
      </c>
      <c r="B25" t="inlineStr">
        <is>
          <t>ok</t>
        </is>
      </c>
      <c r="C25" t="n">
        <v>222277838.815</v>
      </c>
      <c r="D25" t="n">
        <v>242358485.285</v>
      </c>
      <c r="E25" t="n">
        <v>238014507.888</v>
      </c>
      <c r="F25" t="n">
        <v>253489112.125</v>
      </c>
      <c r="G25" t="n">
        <v>292069124.29</v>
      </c>
      <c r="H25" t="n">
        <v>338412172.018</v>
      </c>
      <c r="I25" t="n">
        <v>370627240.761</v>
      </c>
      <c r="J25" t="n">
        <v>416988660.769</v>
      </c>
      <c r="K25" t="n">
        <v>359935669.053</v>
      </c>
      <c r="L25" t="n">
        <v>352835439.481</v>
      </c>
      <c r="M25" t="n">
        <v>350014887.039</v>
      </c>
      <c r="N25" t="n">
        <v>405483214.226</v>
      </c>
      <c r="O25" t="n">
        <v>370396622.623</v>
      </c>
      <c r="P25" t="n">
        <v>432252280.653</v>
      </c>
      <c r="Q25" t="n">
        <v>433099476.542</v>
      </c>
      <c r="R25" t="n">
        <v>506705365.937</v>
      </c>
      <c r="S25" t="n">
        <v>474794185.198</v>
      </c>
      <c r="T25" t="n">
        <v>529815463.386</v>
      </c>
      <c r="U25" t="n">
        <v>592749931.154</v>
      </c>
      <c r="V25" t="n">
        <v>628528506.171</v>
      </c>
      <c r="W25" t="n">
        <v>615915486.438</v>
      </c>
      <c r="X25" t="n">
        <v>709401008.812</v>
      </c>
      <c r="Y25" t="n">
        <v>661359923.0930001</v>
      </c>
      <c r="Z25" t="n">
        <v>915632754.075</v>
      </c>
      <c r="AA25" t="n">
        <v>940353786.529</v>
      </c>
      <c r="AB25" t="n">
        <v>1094224257.402</v>
      </c>
      <c r="AC25" t="n">
        <v>1130992833.583</v>
      </c>
      <c r="AD25" t="n">
        <v>1149115169.848</v>
      </c>
      <c r="AE25" t="n">
        <v>1036697941.543</v>
      </c>
      <c r="AF25" t="n">
        <v>1100069908.113</v>
      </c>
      <c r="AG25" t="n">
        <v>1144260362.483</v>
      </c>
      <c r="AH25" t="n">
        <v>1322190773.512</v>
      </c>
      <c r="AI25" t="n">
        <v>1509231217.854</v>
      </c>
      <c r="AJ25" t="n">
        <v>1619146795.367</v>
      </c>
      <c r="AK25" t="n">
        <v>2190720720.613</v>
      </c>
      <c r="AL25" t="n">
        <v>2317329805.194</v>
      </c>
      <c r="AM25" t="n">
        <v>2552659157.657</v>
      </c>
      <c r="AN25" t="n">
        <v>2471880770.882</v>
      </c>
      <c r="AO25" t="n">
        <v>2444570358.852</v>
      </c>
      <c r="AP25" t="n">
        <v>2548866431.882</v>
      </c>
      <c r="AQ25" t="n">
        <v>2837616940.573</v>
      </c>
      <c r="AR25" t="n">
        <v>2600947742.42</v>
      </c>
      <c r="AS25" t="n">
        <v>2716845435.834</v>
      </c>
      <c r="AT25" t="n">
        <v>2233303128.168</v>
      </c>
      <c r="AU25" t="n">
        <v>1828078051.072</v>
      </c>
      <c r="AV25" t="n">
        <v>2267285701.664</v>
      </c>
      <c r="AW25" t="n">
        <v>2656978376.55</v>
      </c>
      <c r="AX25" t="n">
        <v>2546491022.392</v>
      </c>
      <c r="AY25" t="n">
        <v>2284968417.365</v>
      </c>
      <c r="AZ25" t="n">
        <v>2023500308.807</v>
      </c>
      <c r="BA25" t="n">
        <v>1718013985.05</v>
      </c>
      <c r="BB25" t="n">
        <v>1743449949.659</v>
      </c>
      <c r="BC25" t="n">
        <v>1176745401.227</v>
      </c>
      <c r="BD25" t="n">
        <v>1538986385.112</v>
      </c>
      <c r="BE25" t="n">
        <v>1264595476.11</v>
      </c>
      <c r="BF25" t="n">
        <v>1344920847.403</v>
      </c>
      <c r="BG25" t="n">
        <v>1353328593.774</v>
      </c>
      <c r="BH25" t="n">
        <v>1496618817.889</v>
      </c>
      <c r="BI25" t="n">
        <v>1407089207.761</v>
      </c>
      <c r="BJ25" t="n">
        <v>1455143086.064</v>
      </c>
      <c r="BK25" t="n">
        <v>1660315456.486</v>
      </c>
      <c r="BL25" t="n">
        <v>1633616870.618</v>
      </c>
      <c r="BM25" t="n">
        <v>1677566120.315</v>
      </c>
      <c r="BN25" t="n">
        <v>1605512813.908</v>
      </c>
      <c r="BO25" t="n">
        <v>1720252247.897</v>
      </c>
      <c r="BP25" t="n">
        <v>1660367501.452</v>
      </c>
      <c r="BQ25" t="n">
        <v>1783804808.065</v>
      </c>
      <c r="BR25" t="n">
        <v>1811082726.405</v>
      </c>
      <c r="BS25" t="n">
        <v>1865928513.091</v>
      </c>
      <c r="BT25" t="n">
        <v>1894251251.581</v>
      </c>
    </row>
    <row r="26">
      <c r="A26" t="inlineStr">
        <is>
          <t>sym_WithEgestion_asDC</t>
        </is>
      </c>
      <c r="B26" t="inlineStr">
        <is>
          <t>ok</t>
        </is>
      </c>
      <c r="C26" t="n">
        <v>222277838.815</v>
      </c>
      <c r="D26" t="n">
        <v>242358485.285</v>
      </c>
      <c r="E26" t="n">
        <v>238014507.888</v>
      </c>
      <c r="F26" t="n">
        <v>253489112.125</v>
      </c>
      <c r="G26" t="n">
        <v>292069124.29</v>
      </c>
      <c r="H26" t="n">
        <v>338412172.018</v>
      </c>
      <c r="I26" t="n">
        <v>370627240.761</v>
      </c>
      <c r="J26" t="n">
        <v>416988660.769</v>
      </c>
      <c r="K26" t="n">
        <v>359935669.053</v>
      </c>
      <c r="L26" t="n">
        <v>352835439.481</v>
      </c>
      <c r="M26" t="n">
        <v>350014887.039</v>
      </c>
      <c r="N26" t="n">
        <v>405483214.226</v>
      </c>
      <c r="O26" t="n">
        <v>370396622.623</v>
      </c>
      <c r="P26" t="n">
        <v>432252280.653</v>
      </c>
      <c r="Q26" t="n">
        <v>433099476.542</v>
      </c>
      <c r="R26" t="n">
        <v>506705365.937</v>
      </c>
      <c r="S26" t="n">
        <v>474794185.198</v>
      </c>
      <c r="T26" t="n">
        <v>529815463.386</v>
      </c>
      <c r="U26" t="n">
        <v>592749931.154</v>
      </c>
      <c r="V26" t="n">
        <v>628528506.171</v>
      </c>
      <c r="W26" t="n">
        <v>615915486.438</v>
      </c>
      <c r="X26" t="n">
        <v>709401008.812</v>
      </c>
      <c r="Y26" t="n">
        <v>661359923.0930001</v>
      </c>
      <c r="Z26" t="n">
        <v>915632754.075</v>
      </c>
      <c r="AA26" t="n">
        <v>940353786.529</v>
      </c>
      <c r="AB26" t="n">
        <v>1094224257.402</v>
      </c>
      <c r="AC26" t="n">
        <v>1130992833.583</v>
      </c>
      <c r="AD26" t="n">
        <v>1149115169.848</v>
      </c>
      <c r="AE26" t="n">
        <v>1036697941.543</v>
      </c>
      <c r="AF26" t="n">
        <v>1100069908.113</v>
      </c>
      <c r="AG26" t="n">
        <v>1144260362.483</v>
      </c>
      <c r="AH26" t="n">
        <v>1322190773.512</v>
      </c>
      <c r="AI26" t="n">
        <v>1509231217.854</v>
      </c>
      <c r="AJ26" t="n">
        <v>1619146795.367</v>
      </c>
      <c r="AK26" t="n">
        <v>2190720720.613</v>
      </c>
      <c r="AL26" t="n">
        <v>2317329805.194</v>
      </c>
      <c r="AM26" t="n">
        <v>2552659157.657</v>
      </c>
      <c r="AN26" t="n">
        <v>2471880770.882</v>
      </c>
      <c r="AO26" t="n">
        <v>2444570358.852</v>
      </c>
      <c r="AP26" t="n">
        <v>2548866431.882</v>
      </c>
      <c r="AQ26" t="n">
        <v>2837616940.573</v>
      </c>
      <c r="AR26" t="n">
        <v>2600947742.42</v>
      </c>
      <c r="AS26" t="n">
        <v>2716845435.834</v>
      </c>
      <c r="AT26" t="n">
        <v>2233303128.168</v>
      </c>
      <c r="AU26" t="n">
        <v>1828078051.072</v>
      </c>
      <c r="AV26" t="n">
        <v>2267285701.664</v>
      </c>
      <c r="AW26" t="n">
        <v>2656978376.55</v>
      </c>
      <c r="AX26" t="n">
        <v>2546491022.392</v>
      </c>
      <c r="AY26" t="n">
        <v>2284968417.365</v>
      </c>
      <c r="AZ26" t="n">
        <v>2023500308.807</v>
      </c>
      <c r="BA26" t="n">
        <v>1718013985.05</v>
      </c>
      <c r="BB26" t="n">
        <v>1743449949.659</v>
      </c>
      <c r="BC26" t="n">
        <v>1176745401.227</v>
      </c>
      <c r="BD26" t="n">
        <v>1538986385.112</v>
      </c>
      <c r="BE26" t="n">
        <v>1264595476.11</v>
      </c>
      <c r="BF26" t="n">
        <v>1344920847.403</v>
      </c>
      <c r="BG26" t="n">
        <v>1353328593.774</v>
      </c>
      <c r="BH26" t="n">
        <v>1496618817.889</v>
      </c>
      <c r="BI26" t="n">
        <v>1407089207.761</v>
      </c>
      <c r="BJ26" t="n">
        <v>1455143086.064</v>
      </c>
      <c r="BK26" t="n">
        <v>1660315456.486</v>
      </c>
      <c r="BL26" t="n">
        <v>1633616870.618</v>
      </c>
      <c r="BM26" t="n">
        <v>1677566120.315</v>
      </c>
      <c r="BN26" t="n">
        <v>1605512813.908</v>
      </c>
      <c r="BO26" t="n">
        <v>1720252247.897</v>
      </c>
      <c r="BP26" t="n">
        <v>1660367501.452</v>
      </c>
      <c r="BQ26" t="n">
        <v>1783804808.065</v>
      </c>
      <c r="BR26" t="n">
        <v>1811082726.405</v>
      </c>
      <c r="BS26" t="n">
        <v>1865928513.091</v>
      </c>
      <c r="BT26" t="n">
        <v>1894251251.581</v>
      </c>
    </row>
    <row r="27">
      <c r="A27" t="inlineStr">
        <is>
          <t>MC_new_GE</t>
        </is>
      </c>
      <c r="B27" t="inlineStr">
        <is>
          <t>ok</t>
        </is>
      </c>
      <c r="C27" t="n">
        <v>4722969558.567</v>
      </c>
      <c r="D27" t="n">
        <v>5087174246.44</v>
      </c>
      <c r="E27" t="n">
        <v>4966243719.058</v>
      </c>
      <c r="F27" t="n">
        <v>5327560249.598</v>
      </c>
      <c r="G27" t="n">
        <v>6774800549.422</v>
      </c>
      <c r="H27" t="n">
        <v>7718899753.307</v>
      </c>
      <c r="I27" t="n">
        <v>8318990221.443</v>
      </c>
      <c r="J27" t="n">
        <v>8664557444.629999</v>
      </c>
      <c r="K27" t="n">
        <v>6460107297.846</v>
      </c>
      <c r="L27" t="n">
        <v>6582336705.683</v>
      </c>
      <c r="M27" t="n">
        <v>7328589372.989</v>
      </c>
      <c r="N27" t="n">
        <v>8635940057.375999</v>
      </c>
      <c r="O27" t="n">
        <v>7907039299.255</v>
      </c>
      <c r="P27" t="n">
        <v>8475043654.987</v>
      </c>
      <c r="Q27" t="n">
        <v>8029117187.103</v>
      </c>
      <c r="R27" t="n">
        <v>8497664092.918</v>
      </c>
      <c r="S27" t="n">
        <v>6570405029.913</v>
      </c>
      <c r="T27" t="n">
        <v>7346664237.297</v>
      </c>
      <c r="U27" t="n">
        <v>8025814912.831</v>
      </c>
      <c r="V27" t="n">
        <v>9409079226.288</v>
      </c>
      <c r="W27" t="n">
        <v>8549127984.416</v>
      </c>
      <c r="X27" t="n">
        <v>10284319951.687</v>
      </c>
      <c r="Y27" t="n">
        <v>9104081873.485001</v>
      </c>
      <c r="Z27" t="n">
        <v>11512383703.099</v>
      </c>
      <c r="AA27" t="n">
        <v>11474292854.114</v>
      </c>
      <c r="AB27" t="n">
        <v>12620187780.314</v>
      </c>
      <c r="AC27" t="n">
        <v>12753484988.314</v>
      </c>
      <c r="AD27" t="n">
        <v>13520450437.18</v>
      </c>
      <c r="AE27" t="n">
        <v>11463424011.226</v>
      </c>
      <c r="AF27" t="n">
        <v>12916545822.46</v>
      </c>
      <c r="AG27" t="n">
        <v>13368546005.961</v>
      </c>
      <c r="AH27" t="n">
        <v>17719037697.934</v>
      </c>
      <c r="AI27" t="n">
        <v>20064961152.311</v>
      </c>
      <c r="AJ27" t="n">
        <v>20906257398.667</v>
      </c>
      <c r="AK27" t="n">
        <v>27894270120.269</v>
      </c>
      <c r="AL27" t="n">
        <v>31238477542.056</v>
      </c>
      <c r="AM27" t="n">
        <v>33333778190.63</v>
      </c>
      <c r="AN27" t="n">
        <v>32323820461.95</v>
      </c>
      <c r="AO27" t="n">
        <v>31104537311.399</v>
      </c>
      <c r="AP27" t="n">
        <v>29077072287.026</v>
      </c>
      <c r="AQ27" t="n">
        <v>31772593295.566</v>
      </c>
      <c r="AR27" t="n">
        <v>25964032564.166</v>
      </c>
      <c r="AS27" t="n">
        <v>33276610418.507</v>
      </c>
      <c r="AT27" t="n">
        <v>25525823726.182</v>
      </c>
      <c r="AU27" t="n">
        <v>19225840025.259</v>
      </c>
      <c r="AV27" t="n">
        <v>23390591202.505</v>
      </c>
      <c r="AW27" t="n">
        <v>25271204970.366</v>
      </c>
      <c r="AX27" t="n">
        <v>24239158681.802</v>
      </c>
      <c r="AY27" t="n">
        <v>24240935154.811</v>
      </c>
      <c r="AZ27" t="n">
        <v>23579975626.781</v>
      </c>
      <c r="BA27" t="n">
        <v>21263139910.164</v>
      </c>
      <c r="BB27" t="n">
        <v>21055021186.188</v>
      </c>
      <c r="BC27" t="n">
        <v>15734576019.569</v>
      </c>
      <c r="BD27" t="n">
        <v>19795468769.311</v>
      </c>
      <c r="BE27" t="n">
        <v>18724929887.324</v>
      </c>
      <c r="BF27" t="n">
        <v>19011299713.643</v>
      </c>
      <c r="BG27" t="n">
        <v>18253952041.907</v>
      </c>
      <c r="BH27" t="n">
        <v>19465141950.319</v>
      </c>
      <c r="BI27" t="n">
        <v>20755938201.16</v>
      </c>
      <c r="BJ27" t="n">
        <v>22120437726.595</v>
      </c>
      <c r="BK27" t="n">
        <v>25020813065.378</v>
      </c>
      <c r="BL27" t="n">
        <v>22985134801.603</v>
      </c>
      <c r="BM27" t="n">
        <v>23825032998.11</v>
      </c>
      <c r="BN27" t="n">
        <v>22750146681.769</v>
      </c>
      <c r="BO27" t="n">
        <v>26854474896.839</v>
      </c>
      <c r="BP27" t="n">
        <v>23751946181.137</v>
      </c>
      <c r="BQ27" t="n">
        <v>26148229940.156</v>
      </c>
      <c r="BR27" t="n">
        <v>26951096851.656</v>
      </c>
      <c r="BS27" t="n">
        <v>28463352128.909</v>
      </c>
      <c r="BT27" t="n">
        <v>29120421654.671</v>
      </c>
    </row>
    <row r="28">
      <c r="A28" s="18" t="inlineStr">
        <is>
          <t>MC_new_TE_EEfix</t>
        </is>
      </c>
      <c r="B28" s="8" t="inlineStr">
        <is>
          <t>IMPLAUSIBLE - up to 357x the trophic-chain estimate; the solve is near-singular for this model</t>
        </is>
      </c>
      <c r="C28" t="n">
        <v>100711628708.9</v>
      </c>
      <c r="D28" t="n">
        <v>108363057173.427</v>
      </c>
      <c r="E28" t="n">
        <v>105384421421.843</v>
      </c>
      <c r="F28" t="n">
        <v>112817182714.669</v>
      </c>
      <c r="G28" t="n">
        <v>147508430718.327</v>
      </c>
      <c r="H28" t="n">
        <v>167027232755.076</v>
      </c>
      <c r="I28" t="n">
        <v>179053228954.03</v>
      </c>
      <c r="J28" t="n">
        <v>183419674532.019</v>
      </c>
      <c r="K28" t="n">
        <v>130312661659.151</v>
      </c>
      <c r="L28" t="n">
        <v>134321111543.506</v>
      </c>
      <c r="M28" t="n">
        <v>156203122638.771</v>
      </c>
      <c r="N28" t="n">
        <v>184655402657.091</v>
      </c>
      <c r="O28" t="n">
        <v>169728470919.287</v>
      </c>
      <c r="P28" t="n">
        <v>177733437811.647</v>
      </c>
      <c r="Q28" t="n">
        <v>165553004065.156</v>
      </c>
      <c r="R28" t="n">
        <v>169831206709.516</v>
      </c>
      <c r="S28" t="n">
        <v>121533459470.659</v>
      </c>
      <c r="T28" t="n">
        <v>136942259289.92</v>
      </c>
      <c r="U28" t="n">
        <v>147857966809.864</v>
      </c>
      <c r="V28" t="n">
        <v>181351730721.104</v>
      </c>
      <c r="W28" t="n">
        <v>159548742798.95</v>
      </c>
      <c r="X28" t="n">
        <v>194658628888.432</v>
      </c>
      <c r="Y28" t="n">
        <v>167820023522.646</v>
      </c>
      <c r="Z28" t="n">
        <v>204589906892.786</v>
      </c>
      <c r="AA28" t="n">
        <v>200761837993.294</v>
      </c>
      <c r="AB28" t="n">
        <v>214165337590.116</v>
      </c>
      <c r="AC28" t="n">
        <v>213095161514.437</v>
      </c>
      <c r="AD28" t="n">
        <v>230981726200.061</v>
      </c>
      <c r="AE28" t="n">
        <v>188643118631.542</v>
      </c>
      <c r="AF28" t="n">
        <v>220802177210.905</v>
      </c>
      <c r="AG28" t="n">
        <v>228830524715.865</v>
      </c>
      <c r="AH28" t="n">
        <v>326177060365.64</v>
      </c>
      <c r="AI28" t="n">
        <v>369347084661.331</v>
      </c>
      <c r="AJ28" t="n">
        <v>380363867195.153</v>
      </c>
      <c r="AK28" t="n">
        <v>505550358013.112</v>
      </c>
      <c r="AL28" t="n">
        <v>581255335364.453</v>
      </c>
      <c r="AM28" t="n">
        <v>610043483360.218</v>
      </c>
      <c r="AN28" t="n">
        <v>593217634170.533</v>
      </c>
      <c r="AO28" t="n">
        <v>562473528338.24</v>
      </c>
      <c r="AP28" t="n">
        <v>497511414496.91</v>
      </c>
      <c r="AQ28" t="n">
        <v>537601625018.791</v>
      </c>
      <c r="AR28" t="n">
        <v>408254773577.905</v>
      </c>
      <c r="AS28" t="n">
        <v>592890415349.157</v>
      </c>
      <c r="AT28" t="n">
        <v>437860631196.721</v>
      </c>
      <c r="AU28" t="n">
        <v>313196518178.203</v>
      </c>
      <c r="AV28" t="n">
        <v>377114244560.272</v>
      </c>
      <c r="AW28" t="n">
        <v>384410473571.14</v>
      </c>
      <c r="AX28" t="n">
        <v>368519783846.236</v>
      </c>
      <c r="AY28" t="n">
        <v>396978182907.029</v>
      </c>
      <c r="AZ28" t="n">
        <v>407762437516.439</v>
      </c>
      <c r="BA28" t="n">
        <v>377362034073.326</v>
      </c>
      <c r="BB28" t="n">
        <v>369144594312.433</v>
      </c>
      <c r="BC28" t="n">
        <v>289107234681.65</v>
      </c>
      <c r="BD28" t="n">
        <v>357176996822.939</v>
      </c>
      <c r="BE28" t="n">
        <v>359226703896.691</v>
      </c>
      <c r="BF28" t="n">
        <v>357852936794.772</v>
      </c>
      <c r="BG28" t="n">
        <v>337336267950.145</v>
      </c>
      <c r="BH28" t="n">
        <v>353875557485.214</v>
      </c>
      <c r="BI28" t="n">
        <v>398726450604.554</v>
      </c>
      <c r="BJ28" t="n">
        <v>430101657693.828</v>
      </c>
      <c r="BK28" t="n">
        <v>485847957353.481</v>
      </c>
      <c r="BL28" t="n">
        <v>434226224579.881</v>
      </c>
      <c r="BM28" t="n">
        <v>451756382081.242</v>
      </c>
      <c r="BN28" t="n">
        <v>431637663409.213</v>
      </c>
      <c r="BO28" t="n">
        <v>527994585677.629</v>
      </c>
      <c r="BP28" t="n">
        <v>452651185342.711</v>
      </c>
      <c r="BQ28" t="n">
        <v>503496746179.923</v>
      </c>
      <c r="BR28" t="n">
        <v>522420911338.563</v>
      </c>
      <c r="BS28" t="n">
        <v>557604709467.29</v>
      </c>
      <c r="BT28" t="n">
        <v>572540882202.438</v>
      </c>
    </row>
    <row r="30">
      <c r="A30" t="inlineStr">
        <is>
          <t>Catch tonnage on a named group: 235,876,743 of 242,338,606 (97.3 %). Unresolved taxa contribute nothing to the model rows and everything to the simple row, so the two are not directly comparable until coverage is 100 %.</t>
        </is>
      </c>
    </row>
    <row r="31">
      <c r="A31" s="18" t="inlineStr">
        <is>
          <t>7 of 20 methods are flagged above. A flagged row is a property of this model under that method, not of the mapping; see model_health in the SPPR workbook.</t>
        </is>
      </c>
    </row>
    <row r="32">
      <c r="A32" t="inlineStr">
        <is>
          <t>Coverage by year, %:</t>
        </is>
      </c>
    </row>
    <row r="33">
      <c r="A33" t="inlineStr">
        <is>
          <t>catch on a named group, %</t>
        </is>
      </c>
      <c r="B33" t="inlineStr"/>
      <c r="C33" t="n">
        <v>93.87</v>
      </c>
      <c r="D33" t="n">
        <v>94.84</v>
      </c>
      <c r="E33" t="n">
        <v>94.55</v>
      </c>
      <c r="F33" t="n">
        <v>94.75</v>
      </c>
      <c r="G33" t="n">
        <v>93.43000000000001</v>
      </c>
      <c r="H33" t="n">
        <v>93.51000000000001</v>
      </c>
      <c r="I33" t="n">
        <v>94.66</v>
      </c>
      <c r="J33" t="n">
        <v>95</v>
      </c>
      <c r="K33" t="n">
        <v>93.17</v>
      </c>
      <c r="L33" t="n">
        <v>93.23999999999999</v>
      </c>
      <c r="M33" t="n">
        <v>92.93000000000001</v>
      </c>
      <c r="N33" t="n">
        <v>92.98</v>
      </c>
      <c r="O33" t="n">
        <v>91.70999999999999</v>
      </c>
      <c r="P33" t="n">
        <v>93.05</v>
      </c>
      <c r="Q33" t="n">
        <v>94.67</v>
      </c>
      <c r="R33" t="n">
        <v>94.59999999999999</v>
      </c>
      <c r="S33" t="n">
        <v>94.75</v>
      </c>
      <c r="T33" t="n">
        <v>94.98</v>
      </c>
      <c r="U33" t="n">
        <v>94.81</v>
      </c>
      <c r="V33" t="n">
        <v>94.59999999999999</v>
      </c>
      <c r="W33" t="n">
        <v>93.81</v>
      </c>
      <c r="X33" t="n">
        <v>94.42</v>
      </c>
      <c r="Y33" t="n">
        <v>92.93000000000001</v>
      </c>
      <c r="Z33" t="n">
        <v>93.63</v>
      </c>
      <c r="AA33" t="n">
        <v>93.87</v>
      </c>
      <c r="AB33" t="n">
        <v>95.26000000000001</v>
      </c>
      <c r="AC33" t="n">
        <v>95.78</v>
      </c>
      <c r="AD33" t="n">
        <v>95.56</v>
      </c>
      <c r="AE33" t="n">
        <v>94.11</v>
      </c>
      <c r="AF33" t="n">
        <v>95.37</v>
      </c>
      <c r="AG33" t="n">
        <v>95.54000000000001</v>
      </c>
      <c r="AH33" t="n">
        <v>96.3</v>
      </c>
      <c r="AI33" t="n">
        <v>96.87</v>
      </c>
      <c r="AJ33" t="n">
        <v>97.77</v>
      </c>
      <c r="AK33" t="n">
        <v>97.55</v>
      </c>
      <c r="AL33" t="n">
        <v>97.65000000000001</v>
      </c>
      <c r="AM33" t="n">
        <v>97.75</v>
      </c>
      <c r="AN33" t="n">
        <v>98.5</v>
      </c>
      <c r="AO33" t="n">
        <v>98.81</v>
      </c>
      <c r="AP33" t="n">
        <v>98.94</v>
      </c>
      <c r="AQ33" t="n">
        <v>99.05</v>
      </c>
      <c r="AR33" t="n">
        <v>98.94</v>
      </c>
      <c r="AS33" t="n">
        <v>98.76000000000001</v>
      </c>
      <c r="AT33" t="n">
        <v>98.37</v>
      </c>
      <c r="AU33" t="n">
        <v>98.25</v>
      </c>
      <c r="AV33" t="n">
        <v>98.52</v>
      </c>
      <c r="AW33" t="n">
        <v>98.29000000000001</v>
      </c>
      <c r="AX33" t="n">
        <v>98.54000000000001</v>
      </c>
      <c r="AY33" t="n">
        <v>98.66</v>
      </c>
      <c r="AZ33" t="n">
        <v>98.47</v>
      </c>
      <c r="BA33" t="n">
        <v>98.20999999999999</v>
      </c>
      <c r="BB33" t="n">
        <v>98.12</v>
      </c>
      <c r="BC33" t="n">
        <v>97.40000000000001</v>
      </c>
      <c r="BD33" t="n">
        <v>97.78</v>
      </c>
      <c r="BE33" t="n">
        <v>97.09</v>
      </c>
      <c r="BF33" t="n">
        <v>97.17</v>
      </c>
      <c r="BG33" t="n">
        <v>97.25</v>
      </c>
      <c r="BH33" t="n">
        <v>97.38</v>
      </c>
      <c r="BI33" t="n">
        <v>97.09999999999999</v>
      </c>
      <c r="BJ33" t="n">
        <v>97.88</v>
      </c>
      <c r="BK33" t="n">
        <v>98.06</v>
      </c>
      <c r="BL33" t="n">
        <v>97.91</v>
      </c>
      <c r="BM33" t="n">
        <v>97.97</v>
      </c>
      <c r="BN33" t="n">
        <v>98.02</v>
      </c>
      <c r="BO33" t="n">
        <v>97.58</v>
      </c>
      <c r="BP33" t="n">
        <v>98.08</v>
      </c>
      <c r="BQ33" t="n">
        <v>98.22</v>
      </c>
      <c r="BR33" t="n">
        <v>98.13</v>
      </c>
      <c r="BS33" t="n">
        <v>98.04000000000001</v>
      </c>
      <c r="BT33" t="n">
        <v>98.05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55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40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</cols>
  <sheetData>
    <row r="1">
      <c r="A1" s="1" t="inlineStr">
        <is>
          <t>Specific PPR per taxon — LME_052, model 52_1_Sea_of_Okhotsk_NE_(1980)</t>
        </is>
      </c>
    </row>
    <row r="2">
      <c r="A2" t="inlineStr">
        <is>
          <t>sppr_simple is the trophic-chain estimate (1/TE)^(TL-1) at TE=0.1, applied to the taxon's own trophic level and needing no model.</t>
        </is>
      </c>
    </row>
    <row r="3">
      <c r="A3" t="inlineStr">
        <is>
          <t>Primary producers only; excludes detritus and imports. Blank means unavailable, not zero. sppr_simple is an unpartitioned reference.</t>
        </is>
      </c>
    </row>
    <row r="4" ht="42" customHeight="1">
      <c r="A4" s="19" t="inlineStr">
        <is>
          <t>taxon</t>
        </is>
      </c>
      <c r="B4" s="19" t="inlineStr">
        <is>
          <t>trophic_level</t>
        </is>
      </c>
      <c r="C4" s="19" t="inlineStr">
        <is>
          <t>sppr_simple</t>
        </is>
      </c>
      <c r="D4" s="19" t="inlineStr">
        <is>
          <t>Ecopath group</t>
        </is>
      </c>
      <c r="E4" s="19" t="inlineStr">
        <is>
          <t>SPPR_1986</t>
        </is>
      </c>
      <c r="F4" s="19" t="inlineStr">
        <is>
          <t>SPPR_1995_TE0.1</t>
        </is>
      </c>
      <c r="G4" s="19" t="inlineStr">
        <is>
          <t>SPPR_1995_TEmean</t>
        </is>
      </c>
      <c r="H4" s="19" t="inlineStr">
        <is>
          <t>Ulanowicz_globalTEmean</t>
        </is>
      </c>
      <c r="I4" s="19" t="inlineStr">
        <is>
          <t>Ulanowicz_TE</t>
        </is>
      </c>
      <c r="J4" s="19" t="inlineStr">
        <is>
          <t>EwE_TE_noEE</t>
        </is>
      </c>
      <c r="K4" s="19" t="inlineStr">
        <is>
          <t>EwE_TE_EE</t>
        </is>
      </c>
      <c r="L4" s="19" t="inlineStr">
        <is>
          <t>SPPR_2015</t>
        </is>
      </c>
      <c r="M4" s="19" t="inlineStr">
        <is>
          <t>new_TE_noEEfix</t>
        </is>
      </c>
      <c r="N4" s="19" t="inlineStr">
        <is>
          <t>new_TE_EEfix</t>
        </is>
      </c>
      <c r="O4" s="19" t="inlineStr">
        <is>
          <t>new_GE</t>
        </is>
      </c>
      <c r="P4" s="19" t="inlineStr">
        <is>
          <t>new_WithEgestion</t>
        </is>
      </c>
      <c r="Q4" s="19" t="inlineStr">
        <is>
          <t>sym_TE_asPP</t>
        </is>
      </c>
      <c r="R4" s="19" t="inlineStr">
        <is>
          <t>sym_TE_asDC</t>
        </is>
      </c>
      <c r="S4" s="19" t="inlineStr">
        <is>
          <t>sym_GE_asPP</t>
        </is>
      </c>
      <c r="T4" s="19" t="inlineStr">
        <is>
          <t>sym_GE_asDC</t>
        </is>
      </c>
      <c r="U4" s="19" t="inlineStr">
        <is>
          <t>sym_WithEgestion_asPP</t>
        </is>
      </c>
      <c r="V4" s="19" t="inlineStr">
        <is>
          <t>sym_WithEgestion_asDC</t>
        </is>
      </c>
      <c r="W4" s="19" t="inlineStr">
        <is>
          <t>MC_new_GE</t>
        </is>
      </c>
      <c r="X4" s="19" t="inlineStr">
        <is>
          <t>MC_new_TE_EEfix</t>
        </is>
      </c>
    </row>
    <row r="5" ht="21" customHeight="1">
      <c r="A5" t="inlineStr">
        <is>
          <t>Gadus chalcogrammus</t>
        </is>
      </c>
      <c r="B5" t="n">
        <v>3.57</v>
      </c>
      <c r="C5" t="n">
        <v>371.535229</v>
      </c>
      <c r="D5" s="11" t="inlineStr">
        <is>
          <t>Walleye pollock | Juv. pollock</t>
        </is>
      </c>
      <c r="H5" t="n">
        <v>68.02051899999999</v>
      </c>
      <c r="I5" t="n">
        <v>414.117192</v>
      </c>
      <c r="J5" t="n">
        <v>415.169881</v>
      </c>
      <c r="K5" t="n">
        <v>414.538239</v>
      </c>
      <c r="L5" t="n">
        <v>2360.776945</v>
      </c>
      <c r="M5" t="n">
        <v>1206.967803</v>
      </c>
      <c r="N5" t="n">
        <v>1206.967803</v>
      </c>
      <c r="O5" t="n">
        <v>562.594243</v>
      </c>
      <c r="P5" t="n">
        <v>175.35596</v>
      </c>
      <c r="Q5" t="n">
        <v>1206.967803</v>
      </c>
      <c r="R5" t="n">
        <v>1206.967803</v>
      </c>
      <c r="S5" t="n">
        <v>562.594243</v>
      </c>
      <c r="T5" t="n">
        <v>562.594243</v>
      </c>
      <c r="U5" t="n">
        <v>175.35596</v>
      </c>
      <c r="V5" t="n">
        <v>175.35596</v>
      </c>
      <c r="W5" t="n">
        <v>600.957977</v>
      </c>
      <c r="X5" t="n">
        <v>1276.017944</v>
      </c>
    </row>
    <row r="6" ht="21" customHeight="1">
      <c r="A6" t="inlineStr">
        <is>
          <t>Clupea pallasii</t>
        </is>
      </c>
      <c r="B6" t="n">
        <v>3.16</v>
      </c>
      <c r="C6" t="n">
        <v>144.543977</v>
      </c>
      <c r="D6" s="11" t="inlineStr">
        <is>
          <t>Pacific herring</t>
        </is>
      </c>
      <c r="H6" t="n">
        <v>51.221896</v>
      </c>
      <c r="I6" t="n">
        <v>102.816927</v>
      </c>
      <c r="J6" t="n">
        <v>102.816927</v>
      </c>
      <c r="K6" t="n">
        <v>82.97326</v>
      </c>
      <c r="L6" t="n">
        <v>674.695058</v>
      </c>
      <c r="M6" t="n">
        <v>351.161106</v>
      </c>
      <c r="N6" t="n">
        <v>351.161106</v>
      </c>
      <c r="O6" t="n">
        <v>241.229103</v>
      </c>
      <c r="P6" t="n">
        <v>82.919653</v>
      </c>
      <c r="Q6" t="n">
        <v>351.161106</v>
      </c>
      <c r="R6" t="n">
        <v>351.161106</v>
      </c>
      <c r="S6" t="n">
        <v>241.229103</v>
      </c>
      <c r="T6" t="n">
        <v>241.229103</v>
      </c>
      <c r="U6" t="n">
        <v>82.919653</v>
      </c>
      <c r="V6" t="n">
        <v>82.919653</v>
      </c>
      <c r="W6" t="n">
        <v>251.292447</v>
      </c>
      <c r="X6" t="n">
        <v>382.462563</v>
      </c>
    </row>
    <row r="7" ht="51" customHeight="1">
      <c r="A7" t="inlineStr">
        <is>
          <t>Marine fishes not identified</t>
        </is>
      </c>
      <c r="B7" t="n">
        <v>3.28</v>
      </c>
      <c r="C7" t="n">
        <v>190.546072</v>
      </c>
      <c r="D7" s="11" t="inlineStr">
        <is>
          <t>Other bottom fishes | Other Gadidae | Cottidae | Pleuronectidae</t>
        </is>
      </c>
      <c r="H7" t="n">
        <v>101.097549</v>
      </c>
      <c r="I7" t="n">
        <v>1613.783831</v>
      </c>
      <c r="J7" t="n">
        <v>1979.508926</v>
      </c>
      <c r="K7" t="n">
        <v>765.804151</v>
      </c>
      <c r="L7" t="n">
        <v>-220473.706559</v>
      </c>
      <c r="M7" t="n">
        <v>-108782.700319</v>
      </c>
      <c r="N7" t="n">
        <v>-108782.700319</v>
      </c>
      <c r="O7" t="n">
        <v>3955.276805</v>
      </c>
      <c r="P7" t="n">
        <v>436.949775</v>
      </c>
      <c r="Q7" t="n">
        <v>-108782.700319</v>
      </c>
      <c r="R7" t="n">
        <v>-108782.700319</v>
      </c>
      <c r="S7" t="n">
        <v>3955.276805</v>
      </c>
      <c r="T7" t="n">
        <v>3955.276805</v>
      </c>
      <c r="U7" t="n">
        <v>436.949775</v>
      </c>
      <c r="V7" t="n">
        <v>436.949775</v>
      </c>
      <c r="W7" t="n">
        <v>5951.473602</v>
      </c>
      <c r="X7" t="n">
        <v>381830.794228</v>
      </c>
    </row>
    <row r="8" ht="21" customHeight="1">
      <c r="A8" t="inlineStr">
        <is>
          <t>Oncorhynchus gorbuscha</t>
        </is>
      </c>
      <c r="B8" t="n">
        <v>4.49</v>
      </c>
      <c r="C8" t="n">
        <v>3090.295433</v>
      </c>
      <c r="D8" s="11" t="inlineStr">
        <is>
          <t>Salmon</t>
        </is>
      </c>
      <c r="H8" t="n">
        <v>51.919844</v>
      </c>
      <c r="I8" t="n">
        <v>72.51717499999999</v>
      </c>
      <c r="J8" t="n">
        <v>72.7128</v>
      </c>
      <c r="K8" t="n">
        <v>22.031979</v>
      </c>
      <c r="L8" t="n">
        <v>685.4069909999999</v>
      </c>
      <c r="M8" t="n">
        <v>338.23529</v>
      </c>
      <c r="N8" t="n">
        <v>338.23529</v>
      </c>
      <c r="O8" t="n">
        <v>33.272784</v>
      </c>
      <c r="P8" t="n">
        <v>11.018898</v>
      </c>
      <c r="Q8" t="n">
        <v>338.23529</v>
      </c>
      <c r="R8" t="n">
        <v>338.23529</v>
      </c>
      <c r="S8" t="n">
        <v>33.272784</v>
      </c>
      <c r="T8" t="n">
        <v>33.272784</v>
      </c>
      <c r="U8" t="n">
        <v>11.018898</v>
      </c>
      <c r="V8" t="n">
        <v>11.018898</v>
      </c>
      <c r="W8" t="n">
        <v>35.439063</v>
      </c>
      <c r="X8" t="n">
        <v>371.568174</v>
      </c>
    </row>
    <row r="9" ht="21" customHeight="1">
      <c r="A9" t="inlineStr">
        <is>
          <t>Sardinops sagax</t>
        </is>
      </c>
      <c r="B9" t="n">
        <v>2.84</v>
      </c>
      <c r="C9" t="n">
        <v>69.183097</v>
      </c>
      <c r="D9" s="11" t="inlineStr">
        <is>
          <t>Pacific Sardine</t>
        </is>
      </c>
      <c r="H9" t="n">
        <v>7.265375</v>
      </c>
      <c r="I9" t="n">
        <v>12.161484</v>
      </c>
      <c r="J9" t="n">
        <v>12.161484</v>
      </c>
      <c r="K9" t="n">
        <v>9.875125000000001</v>
      </c>
      <c r="L9" t="n">
        <v>22.182506</v>
      </c>
      <c r="M9" t="n">
        <v>15.509286</v>
      </c>
      <c r="N9" t="n">
        <v>15.509286</v>
      </c>
      <c r="O9" t="n">
        <v>11.732909</v>
      </c>
      <c r="P9" t="n">
        <v>7.611235</v>
      </c>
      <c r="Q9" t="n">
        <v>15.509286</v>
      </c>
      <c r="R9" t="n">
        <v>15.509286</v>
      </c>
      <c r="S9" t="n">
        <v>11.732909</v>
      </c>
      <c r="T9" t="n">
        <v>11.732909</v>
      </c>
      <c r="U9" t="n">
        <v>7.611235</v>
      </c>
      <c r="V9" t="n">
        <v>7.611235</v>
      </c>
      <c r="W9" t="n">
        <v>11.936474</v>
      </c>
      <c r="X9" t="n">
        <v>16.261055</v>
      </c>
    </row>
    <row r="10" ht="21" customHeight="1">
      <c r="A10" t="inlineStr">
        <is>
          <t>Gadus macrocephalus</t>
        </is>
      </c>
      <c r="B10" t="n">
        <v>4.16</v>
      </c>
      <c r="C10" t="n">
        <v>1445.439771</v>
      </c>
      <c r="D10" s="11" t="inlineStr">
        <is>
          <t>Other Gadidae</t>
        </is>
      </c>
      <c r="H10" t="n">
        <v>117.524871</v>
      </c>
      <c r="I10" t="n">
        <v>3170.705078</v>
      </c>
      <c r="J10" t="n">
        <v>3937.888123</v>
      </c>
      <c r="K10" t="n">
        <v>1378.260843</v>
      </c>
      <c r="L10" t="n">
        <v>-469569.202248</v>
      </c>
      <c r="M10" t="n">
        <v>-231717.292664</v>
      </c>
      <c r="N10" t="n">
        <v>-231717.292664</v>
      </c>
      <c r="O10" t="n">
        <v>7410.41691</v>
      </c>
      <c r="P10" t="n">
        <v>749.764887</v>
      </c>
      <c r="Q10" t="n">
        <v>-231717.292664</v>
      </c>
      <c r="R10" t="n">
        <v>-231717.292664</v>
      </c>
      <c r="S10" t="n">
        <v>7410.41691</v>
      </c>
      <c r="T10" t="n">
        <v>7410.41691</v>
      </c>
      <c r="U10" t="n">
        <v>749.764887</v>
      </c>
      <c r="V10" t="n">
        <v>749.764887</v>
      </c>
      <c r="W10" t="n">
        <v>11452.212288</v>
      </c>
      <c r="X10" t="n">
        <v>802390.1492860001</v>
      </c>
    </row>
    <row r="11" ht="21" customHeight="1">
      <c r="A11" t="inlineStr">
        <is>
          <t>Oncorhynchus</t>
        </is>
      </c>
      <c r="B11" t="n">
        <v>3.95</v>
      </c>
      <c r="C11" t="n">
        <v>891.250938</v>
      </c>
      <c r="D11" s="11" t="inlineStr">
        <is>
          <t>Salmon</t>
        </is>
      </c>
      <c r="H11" t="n">
        <v>51.919844</v>
      </c>
      <c r="I11" t="n">
        <v>72.51717499999999</v>
      </c>
      <c r="J11" t="n">
        <v>72.7128</v>
      </c>
      <c r="K11" t="n">
        <v>22.031979</v>
      </c>
      <c r="L11" t="n">
        <v>685.4069909999999</v>
      </c>
      <c r="M11" t="n">
        <v>338.23529</v>
      </c>
      <c r="N11" t="n">
        <v>338.23529</v>
      </c>
      <c r="O11" t="n">
        <v>33.272784</v>
      </c>
      <c r="P11" t="n">
        <v>11.018898</v>
      </c>
      <c r="Q11" t="n">
        <v>338.23529</v>
      </c>
      <c r="R11" t="n">
        <v>338.23529</v>
      </c>
      <c r="S11" t="n">
        <v>33.272784</v>
      </c>
      <c r="T11" t="n">
        <v>33.272784</v>
      </c>
      <c r="U11" t="n">
        <v>11.018898</v>
      </c>
      <c r="V11" t="n">
        <v>11.018898</v>
      </c>
      <c r="W11" t="n">
        <v>35.439063</v>
      </c>
      <c r="X11" t="n">
        <v>371.568174</v>
      </c>
    </row>
    <row r="12" ht="21" customHeight="1">
      <c r="A12" t="inlineStr">
        <is>
          <t>Oncorhynchus keta</t>
        </is>
      </c>
      <c r="B12" t="n">
        <v>3.74</v>
      </c>
      <c r="C12" t="n">
        <v>549.540874</v>
      </c>
      <c r="D12" s="11" t="inlineStr">
        <is>
          <t>Salmon</t>
        </is>
      </c>
      <c r="H12" t="n">
        <v>51.919844</v>
      </c>
      <c r="I12" t="n">
        <v>72.51717499999999</v>
      </c>
      <c r="J12" t="n">
        <v>72.7128</v>
      </c>
      <c r="K12" t="n">
        <v>22.031979</v>
      </c>
      <c r="L12" t="n">
        <v>685.4069909999999</v>
      </c>
      <c r="M12" t="n">
        <v>338.23529</v>
      </c>
      <c r="N12" t="n">
        <v>338.23529</v>
      </c>
      <c r="O12" t="n">
        <v>33.272784</v>
      </c>
      <c r="P12" t="n">
        <v>11.018898</v>
      </c>
      <c r="Q12" t="n">
        <v>338.23529</v>
      </c>
      <c r="R12" t="n">
        <v>338.23529</v>
      </c>
      <c r="S12" t="n">
        <v>33.272784</v>
      </c>
      <c r="T12" t="n">
        <v>33.272784</v>
      </c>
      <c r="U12" t="n">
        <v>11.018898</v>
      </c>
      <c r="V12" t="n">
        <v>11.018898</v>
      </c>
      <c r="W12" t="n">
        <v>35.439063</v>
      </c>
      <c r="X12" t="n">
        <v>371.568174</v>
      </c>
    </row>
    <row r="13" ht="36" customHeight="1">
      <c r="A13" t="inlineStr">
        <is>
          <t>Pleuronectiformes</t>
        </is>
      </c>
      <c r="B13" t="n">
        <v>3.57</v>
      </c>
      <c r="C13" t="n">
        <v>371.535229</v>
      </c>
      <c r="D13" s="11" t="inlineStr">
        <is>
          <t>Pleuronectidae | Other bottom fishes</t>
        </is>
      </c>
      <c r="H13" t="n">
        <v>86.28397699999999</v>
      </c>
      <c r="I13" t="n">
        <v>209.807937</v>
      </c>
      <c r="J13" t="n">
        <v>213.512612</v>
      </c>
      <c r="K13" t="n">
        <v>213.512612</v>
      </c>
      <c r="L13" t="n">
        <v>4151.701848</v>
      </c>
      <c r="M13" t="n">
        <v>2075.317955</v>
      </c>
      <c r="N13" t="n">
        <v>2075.317955</v>
      </c>
      <c r="O13" t="n">
        <v>839.555041</v>
      </c>
      <c r="P13" t="n">
        <v>154.864295</v>
      </c>
      <c r="Q13" t="n">
        <v>2075.317955</v>
      </c>
      <c r="R13" t="n">
        <v>2075.317955</v>
      </c>
      <c r="S13" t="n">
        <v>839.555041</v>
      </c>
      <c r="T13" t="n">
        <v>839.555041</v>
      </c>
      <c r="U13" t="n">
        <v>154.864295</v>
      </c>
      <c r="V13" t="n">
        <v>154.864295</v>
      </c>
      <c r="W13" t="n">
        <v>991.104204</v>
      </c>
      <c r="X13" t="n">
        <v>2585.41033</v>
      </c>
    </row>
    <row r="14" ht="21" customHeight="1">
      <c r="A14" t="inlineStr">
        <is>
          <t>Paralithodes camtschaticus</t>
        </is>
      </c>
      <c r="B14" t="n">
        <v>3.7</v>
      </c>
      <c r="C14" t="n">
        <v>501.187234</v>
      </c>
      <c r="D14" s="11" t="inlineStr">
        <is>
          <t>Crabs and shrimps</t>
        </is>
      </c>
      <c r="H14" t="n">
        <v>20.712164</v>
      </c>
      <c r="I14" t="n">
        <v>30.295516</v>
      </c>
      <c r="J14" t="n">
        <v>30.606649</v>
      </c>
      <c r="K14" t="n">
        <v>30.606649</v>
      </c>
      <c r="L14" t="n">
        <v>181.735308</v>
      </c>
      <c r="M14" t="n">
        <v>76.890044</v>
      </c>
      <c r="N14" t="n">
        <v>76.890044</v>
      </c>
      <c r="O14" t="n">
        <v>40.463114</v>
      </c>
      <c r="P14" t="n">
        <v>14.877665</v>
      </c>
      <c r="Q14" t="n">
        <v>76.890044</v>
      </c>
      <c r="R14" t="n">
        <v>76.890044</v>
      </c>
      <c r="S14" t="n">
        <v>40.463114</v>
      </c>
      <c r="T14" t="n">
        <v>40.463114</v>
      </c>
      <c r="U14" t="n">
        <v>14.877665</v>
      </c>
      <c r="V14" t="n">
        <v>14.877665</v>
      </c>
      <c r="W14" t="n">
        <v>44.221943</v>
      </c>
      <c r="X14" t="n">
        <v>84.736037</v>
      </c>
    </row>
    <row r="15" ht="21" customHeight="1">
      <c r="A15" t="inlineStr">
        <is>
          <t>Pleurogrammus azonus</t>
        </is>
      </c>
      <c r="B15" t="n">
        <v>3.6</v>
      </c>
      <c r="C15" t="n">
        <v>398.107171</v>
      </c>
      <c r="D15" s="11" t="inlineStr">
        <is>
          <t>Other bottom fishes</t>
        </is>
      </c>
      <c r="H15" t="n">
        <v>100.627577</v>
      </c>
      <c r="I15" t="n">
        <v>239.404535</v>
      </c>
      <c r="J15" t="n">
        <v>244.344168</v>
      </c>
      <c r="K15" t="n">
        <v>244.344168</v>
      </c>
      <c r="L15" t="n">
        <v>4898.328707</v>
      </c>
      <c r="M15" t="n">
        <v>2453.810395</v>
      </c>
      <c r="N15" t="n">
        <v>2453.810395</v>
      </c>
      <c r="O15" t="n">
        <v>991.728786</v>
      </c>
      <c r="P15" t="n">
        <v>186.581218</v>
      </c>
      <c r="Q15" t="n">
        <v>2453.810395</v>
      </c>
      <c r="R15" t="n">
        <v>2453.810395</v>
      </c>
      <c r="S15" t="n">
        <v>991.728786</v>
      </c>
      <c r="T15" t="n">
        <v>991.728786</v>
      </c>
      <c r="U15" t="n">
        <v>186.581218</v>
      </c>
      <c r="V15" t="n">
        <v>186.581218</v>
      </c>
      <c r="W15" t="n">
        <v>1168.976189</v>
      </c>
      <c r="X15" t="n">
        <v>3060.457118</v>
      </c>
    </row>
    <row r="16" ht="21" customHeight="1">
      <c r="A16" t="inlineStr">
        <is>
          <t>Scomber</t>
        </is>
      </c>
      <c r="B16" t="n">
        <v>3.65</v>
      </c>
      <c r="C16" t="n">
        <v>446.683592</v>
      </c>
      <c r="D16" s="11" t="inlineStr">
        <is>
          <t>Unresolved</t>
        </is>
      </c>
    </row>
    <row r="17" ht="21" customHeight="1">
      <c r="A17" t="inlineStr">
        <is>
          <t>Teuthida</t>
        </is>
      </c>
      <c r="B17" t="n">
        <v>4.13</v>
      </c>
      <c r="C17" t="n">
        <v>1348.962883</v>
      </c>
      <c r="D17" s="11" t="inlineStr">
        <is>
          <t>Squids</t>
        </is>
      </c>
      <c r="H17" t="n">
        <v>59.815369</v>
      </c>
      <c r="I17" t="n">
        <v>33.411687</v>
      </c>
      <c r="J17" t="n">
        <v>35.600362</v>
      </c>
      <c r="K17" t="n">
        <v>16.838971</v>
      </c>
      <c r="L17" t="n">
        <v>245.671067</v>
      </c>
      <c r="M17" t="n">
        <v>127.58296</v>
      </c>
      <c r="N17" t="n">
        <v>127.58296</v>
      </c>
      <c r="O17" t="n">
        <v>49.760897</v>
      </c>
      <c r="P17" t="n">
        <v>16.659949</v>
      </c>
      <c r="Q17" t="n">
        <v>127.58296</v>
      </c>
      <c r="R17" t="n">
        <v>127.58296</v>
      </c>
      <c r="S17" t="n">
        <v>49.760897</v>
      </c>
      <c r="T17" t="n">
        <v>49.760897</v>
      </c>
      <c r="U17" t="n">
        <v>16.659949</v>
      </c>
      <c r="V17" t="n">
        <v>16.659949</v>
      </c>
      <c r="W17" t="n">
        <v>52.970045</v>
      </c>
      <c r="X17" t="n">
        <v>139.288108</v>
      </c>
    </row>
    <row r="18" ht="21" customHeight="1">
      <c r="A18" t="inlineStr">
        <is>
          <t>Eleginus gracilis</t>
        </is>
      </c>
      <c r="B18" t="n">
        <v>4.1</v>
      </c>
      <c r="C18" t="n">
        <v>1258.925412</v>
      </c>
      <c r="D18" s="11" t="inlineStr">
        <is>
          <t>Other Gadidae</t>
        </is>
      </c>
      <c r="H18" t="n">
        <v>117.524871</v>
      </c>
      <c r="I18" t="n">
        <v>3170.705078</v>
      </c>
      <c r="J18" t="n">
        <v>3937.888123</v>
      </c>
      <c r="K18" t="n">
        <v>1378.260843</v>
      </c>
      <c r="L18" t="n">
        <v>-469569.202248</v>
      </c>
      <c r="M18" t="n">
        <v>-231717.292664</v>
      </c>
      <c r="N18" t="n">
        <v>-231717.292664</v>
      </c>
      <c r="O18" t="n">
        <v>7410.41691</v>
      </c>
      <c r="P18" t="n">
        <v>749.764887</v>
      </c>
      <c r="Q18" t="n">
        <v>-231717.292664</v>
      </c>
      <c r="R18" t="n">
        <v>-231717.292664</v>
      </c>
      <c r="S18" t="n">
        <v>7410.41691</v>
      </c>
      <c r="T18" t="n">
        <v>7410.41691</v>
      </c>
      <c r="U18" t="n">
        <v>749.764887</v>
      </c>
      <c r="V18" t="n">
        <v>749.764887</v>
      </c>
      <c r="W18" t="n">
        <v>11452.212288</v>
      </c>
      <c r="X18" t="n">
        <v>802390.1492860001</v>
      </c>
    </row>
    <row r="19" ht="21" customHeight="1">
      <c r="A19" t="inlineStr">
        <is>
          <t>Ammodytes personatus</t>
        </is>
      </c>
      <c r="B19" t="n">
        <v>3</v>
      </c>
      <c r="C19" t="n">
        <v>100</v>
      </c>
      <c r="D19" s="11" t="inlineStr">
        <is>
          <t>Ammodytidae</t>
        </is>
      </c>
      <c r="H19" t="n">
        <v>9.616409000000001</v>
      </c>
      <c r="I19" t="n">
        <v>28.408096</v>
      </c>
      <c r="J19" t="n">
        <v>28.408096</v>
      </c>
      <c r="K19" t="n">
        <v>14.431313</v>
      </c>
      <c r="L19" t="n">
        <v>92.596847</v>
      </c>
      <c r="M19" t="n">
        <v>30.233871</v>
      </c>
      <c r="N19" t="n">
        <v>30.233871</v>
      </c>
      <c r="O19" t="n">
        <v>7.999204</v>
      </c>
      <c r="P19" t="n">
        <v>4.600147</v>
      </c>
      <c r="Q19" t="n">
        <v>30.233871</v>
      </c>
      <c r="R19" t="n">
        <v>30.233871</v>
      </c>
      <c r="S19" t="n">
        <v>7.999204</v>
      </c>
      <c r="T19" t="n">
        <v>7.999204</v>
      </c>
      <c r="U19" t="n">
        <v>4.600147</v>
      </c>
      <c r="V19" t="n">
        <v>4.600147</v>
      </c>
      <c r="W19" t="n">
        <v>8.256892000000001</v>
      </c>
      <c r="X19" t="n">
        <v>30.169489</v>
      </c>
    </row>
    <row r="20" ht="21" customHeight="1">
      <c r="A20" t="inlineStr">
        <is>
          <t>Todarodes pacificus</t>
        </is>
      </c>
      <c r="B20" t="n">
        <v>4.28</v>
      </c>
      <c r="C20" t="n">
        <v>1905.460718</v>
      </c>
      <c r="D20" s="11" t="inlineStr">
        <is>
          <t>Squids</t>
        </is>
      </c>
      <c r="H20" t="n">
        <v>59.815369</v>
      </c>
      <c r="I20" t="n">
        <v>33.411687</v>
      </c>
      <c r="J20" t="n">
        <v>35.600362</v>
      </c>
      <c r="K20" t="n">
        <v>16.838971</v>
      </c>
      <c r="L20" t="n">
        <v>245.671067</v>
      </c>
      <c r="M20" t="n">
        <v>127.58296</v>
      </c>
      <c r="N20" t="n">
        <v>127.58296</v>
      </c>
      <c r="O20" t="n">
        <v>49.760897</v>
      </c>
      <c r="P20" t="n">
        <v>16.659949</v>
      </c>
      <c r="Q20" t="n">
        <v>127.58296</v>
      </c>
      <c r="R20" t="n">
        <v>127.58296</v>
      </c>
      <c r="S20" t="n">
        <v>49.760897</v>
      </c>
      <c r="T20" t="n">
        <v>49.760897</v>
      </c>
      <c r="U20" t="n">
        <v>16.659949</v>
      </c>
      <c r="V20" t="n">
        <v>16.659949</v>
      </c>
      <c r="W20" t="n">
        <v>52.970045</v>
      </c>
      <c r="X20" t="n">
        <v>139.288108</v>
      </c>
    </row>
    <row r="21" ht="36" customHeight="1">
      <c r="A21" t="inlineStr">
        <is>
          <t>Mollusca</t>
        </is>
      </c>
      <c r="B21" t="n">
        <v>2.1</v>
      </c>
      <c r="C21" t="n">
        <v>12.589254</v>
      </c>
      <c r="D21" s="11" t="inlineStr">
        <is>
          <t>2nd level benthos | Carnivorous invertebrates | Squids</t>
        </is>
      </c>
      <c r="H21" t="n">
        <v>38.759494</v>
      </c>
      <c r="I21" t="n">
        <v>22.239341</v>
      </c>
      <c r="J21" t="n">
        <v>23.616184</v>
      </c>
      <c r="K21" t="n">
        <v>11.473274</v>
      </c>
      <c r="L21" t="n">
        <v>158.383684</v>
      </c>
      <c r="M21" t="n">
        <v>81.480209</v>
      </c>
      <c r="N21" t="n">
        <v>81.480209</v>
      </c>
      <c r="O21" t="n">
        <v>31.849401</v>
      </c>
      <c r="P21" t="n">
        <v>10.860402</v>
      </c>
      <c r="Q21" t="n">
        <v>81.480209</v>
      </c>
      <c r="R21" t="n">
        <v>81.480209</v>
      </c>
      <c r="S21" t="n">
        <v>31.849401</v>
      </c>
      <c r="T21" t="n">
        <v>31.849401</v>
      </c>
      <c r="U21" t="n">
        <v>10.860402</v>
      </c>
      <c r="V21" t="n">
        <v>10.860402</v>
      </c>
      <c r="W21" t="n">
        <v>33.888199</v>
      </c>
      <c r="X21" t="n">
        <v>88.880115</v>
      </c>
    </row>
    <row r="22" ht="21" customHeight="1">
      <c r="A22" t="inlineStr">
        <is>
          <t>Cololabis saira</t>
        </is>
      </c>
      <c r="B22" t="n">
        <v>3.71</v>
      </c>
      <c r="C22" t="n">
        <v>512.861384</v>
      </c>
      <c r="D22" s="11" t="inlineStr">
        <is>
          <t>Unresolved</t>
        </is>
      </c>
    </row>
    <row r="23" ht="21" customHeight="1">
      <c r="A23" t="inlineStr">
        <is>
          <t>Pleurogrammus monopterygius</t>
        </is>
      </c>
      <c r="B23" t="n">
        <v>3.38</v>
      </c>
      <c r="C23" t="n">
        <v>239.883292</v>
      </c>
      <c r="D23" s="11" t="inlineStr">
        <is>
          <t>Other bottom fishes</t>
        </is>
      </c>
      <c r="H23" t="n">
        <v>100.627577</v>
      </c>
      <c r="I23" t="n">
        <v>239.404535</v>
      </c>
      <c r="J23" t="n">
        <v>244.344168</v>
      </c>
      <c r="K23" t="n">
        <v>244.344168</v>
      </c>
      <c r="L23" t="n">
        <v>4898.328707</v>
      </c>
      <c r="M23" t="n">
        <v>2453.810395</v>
      </c>
      <c r="N23" t="n">
        <v>2453.810395</v>
      </c>
      <c r="O23" t="n">
        <v>991.728786</v>
      </c>
      <c r="P23" t="n">
        <v>186.581218</v>
      </c>
      <c r="Q23" t="n">
        <v>2453.810395</v>
      </c>
      <c r="R23" t="n">
        <v>2453.810395</v>
      </c>
      <c r="S23" t="n">
        <v>991.728786</v>
      </c>
      <c r="T23" t="n">
        <v>991.728786</v>
      </c>
      <c r="U23" t="n">
        <v>186.581218</v>
      </c>
      <c r="V23" t="n">
        <v>186.581218</v>
      </c>
      <c r="W23" t="n">
        <v>1168.976189</v>
      </c>
      <c r="X23" t="n">
        <v>3060.457118</v>
      </c>
    </row>
    <row r="24" ht="21" customHeight="1">
      <c r="A24" t="inlineStr">
        <is>
          <t>Oncorhynchus nerka</t>
        </is>
      </c>
      <c r="B24" t="n">
        <v>3.54</v>
      </c>
      <c r="C24" t="n">
        <v>346.73685</v>
      </c>
      <c r="D24" s="11" t="inlineStr">
        <is>
          <t>Salmon</t>
        </is>
      </c>
      <c r="H24" t="n">
        <v>51.919844</v>
      </c>
      <c r="I24" t="n">
        <v>72.51717499999999</v>
      </c>
      <c r="J24" t="n">
        <v>72.7128</v>
      </c>
      <c r="K24" t="n">
        <v>22.031979</v>
      </c>
      <c r="L24" t="n">
        <v>685.4069909999999</v>
      </c>
      <c r="M24" t="n">
        <v>338.23529</v>
      </c>
      <c r="N24" t="n">
        <v>338.23529</v>
      </c>
      <c r="O24" t="n">
        <v>33.272784</v>
      </c>
      <c r="P24" t="n">
        <v>11.018898</v>
      </c>
      <c r="Q24" t="n">
        <v>338.23529</v>
      </c>
      <c r="R24" t="n">
        <v>338.23529</v>
      </c>
      <c r="S24" t="n">
        <v>33.272784</v>
      </c>
      <c r="T24" t="n">
        <v>33.272784</v>
      </c>
      <c r="U24" t="n">
        <v>11.018898</v>
      </c>
      <c r="V24" t="n">
        <v>11.018898</v>
      </c>
      <c r="W24" t="n">
        <v>35.439063</v>
      </c>
      <c r="X24" t="n">
        <v>371.568174</v>
      </c>
    </row>
    <row r="25" ht="21" customHeight="1">
      <c r="A25" t="inlineStr">
        <is>
          <t>Pleuronectidae</t>
        </is>
      </c>
      <c r="B25" t="n">
        <v>3.49</v>
      </c>
      <c r="C25" t="n">
        <v>309.029543</v>
      </c>
      <c r="D25" s="11" t="inlineStr">
        <is>
          <t>Pleuronectidae</t>
        </is>
      </c>
      <c r="H25" t="n">
        <v>49.019835</v>
      </c>
      <c r="I25" t="n">
        <v>132.917071</v>
      </c>
      <c r="J25" t="n">
        <v>133.413369</v>
      </c>
      <c r="K25" t="n">
        <v>133.413369</v>
      </c>
      <c r="L25" t="n">
        <v>2211.992883</v>
      </c>
      <c r="M25" t="n">
        <v>1092.008595</v>
      </c>
      <c r="N25" t="n">
        <v>1092.008595</v>
      </c>
      <c r="O25" t="n">
        <v>444.213279</v>
      </c>
      <c r="P25" t="n">
        <v>72.464902</v>
      </c>
      <c r="Q25" t="n">
        <v>1092.008595</v>
      </c>
      <c r="R25" t="n">
        <v>1092.008595</v>
      </c>
      <c r="S25" t="n">
        <v>444.213279</v>
      </c>
      <c r="T25" t="n">
        <v>444.213279</v>
      </c>
      <c r="U25" t="n">
        <v>72.464902</v>
      </c>
      <c r="V25" t="n">
        <v>72.464902</v>
      </c>
      <c r="W25" t="n">
        <v>528.999366</v>
      </c>
      <c r="X25" t="n">
        <v>1351.256348</v>
      </c>
    </row>
    <row r="26" ht="21" customHeight="1">
      <c r="A26" t="inlineStr">
        <is>
          <t>Mallotus villosus</t>
        </is>
      </c>
      <c r="B26" t="n">
        <v>3.15</v>
      </c>
      <c r="C26" t="n">
        <v>141.253754</v>
      </c>
      <c r="D26" s="11" t="inlineStr">
        <is>
          <t>Capelin</t>
        </is>
      </c>
      <c r="H26" t="n">
        <v>33.302376</v>
      </c>
      <c r="I26" t="n">
        <v>51.798002</v>
      </c>
      <c r="J26" t="n">
        <v>51.798002</v>
      </c>
      <c r="K26" t="n">
        <v>41.4902</v>
      </c>
      <c r="L26" t="n">
        <v>284.82933</v>
      </c>
      <c r="M26" t="n">
        <v>148.136932</v>
      </c>
      <c r="N26" t="n">
        <v>148.136932</v>
      </c>
      <c r="O26" t="n">
        <v>101.01857</v>
      </c>
      <c r="P26" t="n">
        <v>37.142176</v>
      </c>
      <c r="Q26" t="n">
        <v>148.136932</v>
      </c>
      <c r="R26" t="n">
        <v>148.136932</v>
      </c>
      <c r="S26" t="n">
        <v>101.01857</v>
      </c>
      <c r="T26" t="n">
        <v>101.01857</v>
      </c>
      <c r="U26" t="n">
        <v>37.142176</v>
      </c>
      <c r="V26" t="n">
        <v>37.142176</v>
      </c>
      <c r="W26" t="n">
        <v>105.772407</v>
      </c>
      <c r="X26" t="n">
        <v>158.35051</v>
      </c>
    </row>
    <row r="27" ht="21" customHeight="1">
      <c r="A27" t="inlineStr">
        <is>
          <t>Miscellaneous marine crustaceans</t>
        </is>
      </c>
      <c r="B27" t="n">
        <v>2.7</v>
      </c>
      <c r="C27" t="n">
        <v>50.118723</v>
      </c>
      <c r="D27" s="11" t="inlineStr">
        <is>
          <t>Crabs and shrimps</t>
        </is>
      </c>
      <c r="H27" t="n">
        <v>20.712164</v>
      </c>
      <c r="I27" t="n">
        <v>30.295516</v>
      </c>
      <c r="J27" t="n">
        <v>30.606649</v>
      </c>
      <c r="K27" t="n">
        <v>30.606649</v>
      </c>
      <c r="L27" t="n">
        <v>181.735308</v>
      </c>
      <c r="M27" t="n">
        <v>76.890044</v>
      </c>
      <c r="N27" t="n">
        <v>76.890044</v>
      </c>
      <c r="O27" t="n">
        <v>40.463114</v>
      </c>
      <c r="P27" t="n">
        <v>14.877665</v>
      </c>
      <c r="Q27" t="n">
        <v>76.890044</v>
      </c>
      <c r="R27" t="n">
        <v>76.890044</v>
      </c>
      <c r="S27" t="n">
        <v>40.463114</v>
      </c>
      <c r="T27" t="n">
        <v>40.463114</v>
      </c>
      <c r="U27" t="n">
        <v>14.877665</v>
      </c>
      <c r="V27" t="n">
        <v>14.877665</v>
      </c>
      <c r="W27" t="n">
        <v>44.221943</v>
      </c>
      <c r="X27" t="n">
        <v>84.736037</v>
      </c>
    </row>
    <row r="28" ht="21" customHeight="1">
      <c r="A28" t="inlineStr">
        <is>
          <t>Scomber japonicus</t>
        </is>
      </c>
      <c r="B28" t="n">
        <v>3.38</v>
      </c>
      <c r="C28" t="n">
        <v>239.883292</v>
      </c>
      <c r="D28" s="11" t="inlineStr">
        <is>
          <t>Unresolved</t>
        </is>
      </c>
    </row>
    <row r="29" ht="21" customHeight="1">
      <c r="A29" t="inlineStr">
        <is>
          <t>Pectinidae</t>
        </is>
      </c>
      <c r="B29" t="n">
        <v>2</v>
      </c>
      <c r="C29" t="n">
        <v>10</v>
      </c>
      <c r="D29" s="11" t="inlineStr">
        <is>
          <t>2nd level benthos</t>
        </is>
      </c>
      <c r="H29" t="n">
        <v>1.584008</v>
      </c>
      <c r="I29" t="n">
        <v>1.276188</v>
      </c>
      <c r="J29" t="n">
        <v>1.276188</v>
      </c>
      <c r="K29" t="n">
        <v>0.657237</v>
      </c>
      <c r="L29" t="n">
        <v>4.011903</v>
      </c>
      <c r="M29" t="n">
        <v>1.276188</v>
      </c>
      <c r="N29" t="n">
        <v>1.276188</v>
      </c>
      <c r="O29" t="n">
        <v>0.657237</v>
      </c>
      <c r="P29" t="n">
        <v>0.525789</v>
      </c>
      <c r="Q29" t="n">
        <v>1.276188</v>
      </c>
      <c r="R29" t="n">
        <v>1.276188</v>
      </c>
      <c r="S29" t="n">
        <v>0.657237</v>
      </c>
      <c r="T29" t="n">
        <v>0.657237</v>
      </c>
      <c r="U29" t="n">
        <v>0.525789</v>
      </c>
      <c r="V29" t="n">
        <v>0.525789</v>
      </c>
      <c r="W29" t="n">
        <v>0.668758</v>
      </c>
      <c r="X29" t="n">
        <v>1.266224</v>
      </c>
    </row>
    <row r="30" ht="21" customHeight="1">
      <c r="A30" t="inlineStr">
        <is>
          <t>Moridae</t>
        </is>
      </c>
      <c r="B30" t="n">
        <v>3.87</v>
      </c>
      <c r="C30" t="n">
        <v>741.310241</v>
      </c>
      <c r="D30" s="11" t="inlineStr">
        <is>
          <t>Other bottom fishes</t>
        </is>
      </c>
      <c r="H30" t="n">
        <v>100.627577</v>
      </c>
      <c r="I30" t="n">
        <v>239.404535</v>
      </c>
      <c r="J30" t="n">
        <v>244.344168</v>
      </c>
      <c r="K30" t="n">
        <v>244.344168</v>
      </c>
      <c r="L30" t="n">
        <v>4898.328707</v>
      </c>
      <c r="M30" t="n">
        <v>2453.810395</v>
      </c>
      <c r="N30" t="n">
        <v>2453.810395</v>
      </c>
      <c r="O30" t="n">
        <v>991.728786</v>
      </c>
      <c r="P30" t="n">
        <v>186.581218</v>
      </c>
      <c r="Q30" t="n">
        <v>2453.810395</v>
      </c>
      <c r="R30" t="n">
        <v>2453.810395</v>
      </c>
      <c r="S30" t="n">
        <v>991.728786</v>
      </c>
      <c r="T30" t="n">
        <v>991.728786</v>
      </c>
      <c r="U30" t="n">
        <v>186.581218</v>
      </c>
      <c r="V30" t="n">
        <v>186.581218</v>
      </c>
      <c r="W30" t="n">
        <v>1168.976189</v>
      </c>
      <c r="X30" t="n">
        <v>3060.457118</v>
      </c>
    </row>
    <row r="31" ht="21" customHeight="1">
      <c r="A31" t="inlineStr">
        <is>
          <t>Engraulis japonicus</t>
        </is>
      </c>
      <c r="B31" t="n">
        <v>3.14</v>
      </c>
      <c r="C31" t="n">
        <v>138.038426</v>
      </c>
      <c r="D31" s="11" t="inlineStr">
        <is>
          <t>Unresolved</t>
        </is>
      </c>
    </row>
    <row r="32" ht="21" customHeight="1">
      <c r="A32" t="inlineStr">
        <is>
          <t>Laemonema longipes</t>
        </is>
      </c>
      <c r="B32" t="n">
        <v>3.24</v>
      </c>
      <c r="C32" t="n">
        <v>173.780083</v>
      </c>
      <c r="D32" s="11" t="inlineStr">
        <is>
          <t>Other bottom fishes</t>
        </is>
      </c>
      <c r="H32" t="n">
        <v>100.627577</v>
      </c>
      <c r="I32" t="n">
        <v>239.404535</v>
      </c>
      <c r="J32" t="n">
        <v>244.344168</v>
      </c>
      <c r="K32" t="n">
        <v>244.344168</v>
      </c>
      <c r="L32" t="n">
        <v>4898.328707</v>
      </c>
      <c r="M32" t="n">
        <v>2453.810395</v>
      </c>
      <c r="N32" t="n">
        <v>2453.810395</v>
      </c>
      <c r="O32" t="n">
        <v>991.728786</v>
      </c>
      <c r="P32" t="n">
        <v>186.581218</v>
      </c>
      <c r="Q32" t="n">
        <v>2453.810395</v>
      </c>
      <c r="R32" t="n">
        <v>2453.810395</v>
      </c>
      <c r="S32" t="n">
        <v>991.728786</v>
      </c>
      <c r="T32" t="n">
        <v>991.728786</v>
      </c>
      <c r="U32" t="n">
        <v>186.581218</v>
      </c>
      <c r="V32" t="n">
        <v>186.581218</v>
      </c>
      <c r="W32" t="n">
        <v>1168.976189</v>
      </c>
      <c r="X32" t="n">
        <v>3060.457118</v>
      </c>
    </row>
    <row r="33" ht="21" customHeight="1">
      <c r="A33" t="inlineStr">
        <is>
          <t>Chionoecetes</t>
        </is>
      </c>
      <c r="B33" t="n">
        <v>2.3</v>
      </c>
      <c r="C33" t="n">
        <v>19.952623</v>
      </c>
      <c r="D33" s="11" t="inlineStr">
        <is>
          <t>Crabs and shrimps</t>
        </is>
      </c>
      <c r="H33" t="n">
        <v>20.712164</v>
      </c>
      <c r="I33" t="n">
        <v>30.295516</v>
      </c>
      <c r="J33" t="n">
        <v>30.606649</v>
      </c>
      <c r="K33" t="n">
        <v>30.606649</v>
      </c>
      <c r="L33" t="n">
        <v>181.735308</v>
      </c>
      <c r="M33" t="n">
        <v>76.890044</v>
      </c>
      <c r="N33" t="n">
        <v>76.890044</v>
      </c>
      <c r="O33" t="n">
        <v>40.463114</v>
      </c>
      <c r="P33" t="n">
        <v>14.877665</v>
      </c>
      <c r="Q33" t="n">
        <v>76.890044</v>
      </c>
      <c r="R33" t="n">
        <v>76.890044</v>
      </c>
      <c r="S33" t="n">
        <v>40.463114</v>
      </c>
      <c r="T33" t="n">
        <v>40.463114</v>
      </c>
      <c r="U33" t="n">
        <v>14.877665</v>
      </c>
      <c r="V33" t="n">
        <v>14.877665</v>
      </c>
      <c r="W33" t="n">
        <v>44.221943</v>
      </c>
      <c r="X33" t="n">
        <v>84.736037</v>
      </c>
    </row>
    <row r="34" ht="21" customHeight="1">
      <c r="A34" t="inlineStr">
        <is>
          <t>Oncorhynchus kisutch</t>
        </is>
      </c>
      <c r="B34" t="n">
        <v>4.22</v>
      </c>
      <c r="C34" t="n">
        <v>1659.586907</v>
      </c>
      <c r="D34" s="11" t="inlineStr">
        <is>
          <t>Salmon</t>
        </is>
      </c>
      <c r="H34" t="n">
        <v>51.919844</v>
      </c>
      <c r="I34" t="n">
        <v>72.51717499999999</v>
      </c>
      <c r="J34" t="n">
        <v>72.7128</v>
      </c>
      <c r="K34" t="n">
        <v>22.031979</v>
      </c>
      <c r="L34" t="n">
        <v>685.4069909999999</v>
      </c>
      <c r="M34" t="n">
        <v>338.23529</v>
      </c>
      <c r="N34" t="n">
        <v>338.23529</v>
      </c>
      <c r="O34" t="n">
        <v>33.272784</v>
      </c>
      <c r="P34" t="n">
        <v>11.018898</v>
      </c>
      <c r="Q34" t="n">
        <v>338.23529</v>
      </c>
      <c r="R34" t="n">
        <v>338.23529</v>
      </c>
      <c r="S34" t="n">
        <v>33.272784</v>
      </c>
      <c r="T34" t="n">
        <v>33.272784</v>
      </c>
      <c r="U34" t="n">
        <v>11.018898</v>
      </c>
      <c r="V34" t="n">
        <v>11.018898</v>
      </c>
      <c r="W34" t="n">
        <v>35.439063</v>
      </c>
      <c r="X34" t="n">
        <v>371.568174</v>
      </c>
    </row>
    <row r="35" ht="21" customHeight="1">
      <c r="A35" t="inlineStr">
        <is>
          <t>Chionoecetes opilio</t>
        </is>
      </c>
      <c r="B35" t="n">
        <v>3.54</v>
      </c>
      <c r="C35" t="n">
        <v>346.73685</v>
      </c>
      <c r="D35" s="11" t="inlineStr">
        <is>
          <t>Crabs and shrimps</t>
        </is>
      </c>
      <c r="H35" t="n">
        <v>20.712164</v>
      </c>
      <c r="I35" t="n">
        <v>30.295516</v>
      </c>
      <c r="J35" t="n">
        <v>30.606649</v>
      </c>
      <c r="K35" t="n">
        <v>30.606649</v>
      </c>
      <c r="L35" t="n">
        <v>181.735308</v>
      </c>
      <c r="M35" t="n">
        <v>76.890044</v>
      </c>
      <c r="N35" t="n">
        <v>76.890044</v>
      </c>
      <c r="O35" t="n">
        <v>40.463114</v>
      </c>
      <c r="P35" t="n">
        <v>14.877665</v>
      </c>
      <c r="Q35" t="n">
        <v>76.890044</v>
      </c>
      <c r="R35" t="n">
        <v>76.890044</v>
      </c>
      <c r="S35" t="n">
        <v>40.463114</v>
      </c>
      <c r="T35" t="n">
        <v>40.463114</v>
      </c>
      <c r="U35" t="n">
        <v>14.877665</v>
      </c>
      <c r="V35" t="n">
        <v>14.877665</v>
      </c>
      <c r="W35" t="n">
        <v>44.221943</v>
      </c>
      <c r="X35" t="n">
        <v>84.736037</v>
      </c>
    </row>
    <row r="36" ht="21" customHeight="1">
      <c r="A36" t="inlineStr">
        <is>
          <t>Bivalvia</t>
        </is>
      </c>
      <c r="B36" t="n">
        <v>2.23</v>
      </c>
      <c r="C36" t="n">
        <v>16.982437</v>
      </c>
      <c r="D36" s="11" t="inlineStr">
        <is>
          <t>2nd level benthos</t>
        </is>
      </c>
      <c r="H36" t="n">
        <v>1.584008</v>
      </c>
      <c r="I36" t="n">
        <v>1.276188</v>
      </c>
      <c r="J36" t="n">
        <v>1.276188</v>
      </c>
      <c r="K36" t="n">
        <v>0.657237</v>
      </c>
      <c r="L36" t="n">
        <v>4.011903</v>
      </c>
      <c r="M36" t="n">
        <v>1.276188</v>
      </c>
      <c r="N36" t="n">
        <v>1.276188</v>
      </c>
      <c r="O36" t="n">
        <v>0.657237</v>
      </c>
      <c r="P36" t="n">
        <v>0.525789</v>
      </c>
      <c r="Q36" t="n">
        <v>1.276188</v>
      </c>
      <c r="R36" t="n">
        <v>1.276188</v>
      </c>
      <c r="S36" t="n">
        <v>0.657237</v>
      </c>
      <c r="T36" t="n">
        <v>0.657237</v>
      </c>
      <c r="U36" t="n">
        <v>0.525789</v>
      </c>
      <c r="V36" t="n">
        <v>0.525789</v>
      </c>
      <c r="W36" t="n">
        <v>0.668758</v>
      </c>
      <c r="X36" t="n">
        <v>1.266224</v>
      </c>
    </row>
    <row r="37" ht="21" customHeight="1">
      <c r="A37" t="inlineStr">
        <is>
          <t>Atheresthes evermanni</t>
        </is>
      </c>
      <c r="B37" t="n">
        <v>4.3</v>
      </c>
      <c r="C37" t="n">
        <v>1995.262315</v>
      </c>
      <c r="D37" s="11" t="inlineStr">
        <is>
          <t>Pleuronectidae</t>
        </is>
      </c>
      <c r="H37" t="n">
        <v>49.019835</v>
      </c>
      <c r="I37" t="n">
        <v>132.917071</v>
      </c>
      <c r="J37" t="n">
        <v>133.413369</v>
      </c>
      <c r="K37" t="n">
        <v>133.413369</v>
      </c>
      <c r="L37" t="n">
        <v>2211.992883</v>
      </c>
      <c r="M37" t="n">
        <v>1092.008595</v>
      </c>
      <c r="N37" t="n">
        <v>1092.008595</v>
      </c>
      <c r="O37" t="n">
        <v>444.213279</v>
      </c>
      <c r="P37" t="n">
        <v>72.464902</v>
      </c>
      <c r="Q37" t="n">
        <v>1092.008595</v>
      </c>
      <c r="R37" t="n">
        <v>1092.008595</v>
      </c>
      <c r="S37" t="n">
        <v>444.213279</v>
      </c>
      <c r="T37" t="n">
        <v>444.213279</v>
      </c>
      <c r="U37" t="n">
        <v>72.464902</v>
      </c>
      <c r="V37" t="n">
        <v>72.464902</v>
      </c>
      <c r="W37" t="n">
        <v>528.999366</v>
      </c>
      <c r="X37" t="n">
        <v>1351.256348</v>
      </c>
    </row>
    <row r="38" ht="21" customHeight="1">
      <c r="A38" t="inlineStr">
        <is>
          <t>Batoidea</t>
        </is>
      </c>
      <c r="B38" t="n">
        <v>3.72</v>
      </c>
      <c r="C38" t="n">
        <v>524.80746</v>
      </c>
      <c r="D38" s="11" t="inlineStr">
        <is>
          <t>Unresolved</t>
        </is>
      </c>
    </row>
    <row r="39" ht="21" customHeight="1">
      <c r="A39" t="inlineStr">
        <is>
          <t>Osmeridae</t>
        </is>
      </c>
      <c r="B39" t="n">
        <v>3.46</v>
      </c>
      <c r="C39" t="n">
        <v>288.40315</v>
      </c>
      <c r="D39" s="11" t="inlineStr">
        <is>
          <t>Unresolved</t>
        </is>
      </c>
    </row>
    <row r="40" ht="21" customHeight="1">
      <c r="A40" t="inlineStr">
        <is>
          <t>Hippoglossus stenolepis</t>
        </is>
      </c>
      <c r="B40" t="n">
        <v>4.14</v>
      </c>
      <c r="C40" t="n">
        <v>1380.384265</v>
      </c>
      <c r="D40" s="11" t="inlineStr">
        <is>
          <t>Pleuronectidae</t>
        </is>
      </c>
      <c r="H40" t="n">
        <v>49.019835</v>
      </c>
      <c r="I40" t="n">
        <v>132.917071</v>
      </c>
      <c r="J40" t="n">
        <v>133.413369</v>
      </c>
      <c r="K40" t="n">
        <v>133.413369</v>
      </c>
      <c r="L40" t="n">
        <v>2211.992883</v>
      </c>
      <c r="M40" t="n">
        <v>1092.008595</v>
      </c>
      <c r="N40" t="n">
        <v>1092.008595</v>
      </c>
      <c r="O40" t="n">
        <v>444.213279</v>
      </c>
      <c r="P40" t="n">
        <v>72.464902</v>
      </c>
      <c r="Q40" t="n">
        <v>1092.008595</v>
      </c>
      <c r="R40" t="n">
        <v>1092.008595</v>
      </c>
      <c r="S40" t="n">
        <v>444.213279</v>
      </c>
      <c r="T40" t="n">
        <v>444.213279</v>
      </c>
      <c r="U40" t="n">
        <v>72.464902</v>
      </c>
      <c r="V40" t="n">
        <v>72.464902</v>
      </c>
      <c r="W40" t="n">
        <v>528.999366</v>
      </c>
      <c r="X40" t="n">
        <v>1351.256348</v>
      </c>
    </row>
    <row r="41" ht="21" customHeight="1">
      <c r="A41" t="inlineStr">
        <is>
          <t>Sebastidae</t>
        </is>
      </c>
      <c r="B41" t="n">
        <v>3.74</v>
      </c>
      <c r="C41" t="n">
        <v>549.540874</v>
      </c>
      <c r="D41" s="11" t="inlineStr">
        <is>
          <t>Other bottom fishes</t>
        </is>
      </c>
      <c r="H41" t="n">
        <v>100.627577</v>
      </c>
      <c r="I41" t="n">
        <v>239.404535</v>
      </c>
      <c r="J41" t="n">
        <v>244.344168</v>
      </c>
      <c r="K41" t="n">
        <v>244.344168</v>
      </c>
      <c r="L41" t="n">
        <v>4898.328707</v>
      </c>
      <c r="M41" t="n">
        <v>2453.810395</v>
      </c>
      <c r="N41" t="n">
        <v>2453.810395</v>
      </c>
      <c r="O41" t="n">
        <v>991.728786</v>
      </c>
      <c r="P41" t="n">
        <v>186.581218</v>
      </c>
      <c r="Q41" t="n">
        <v>2453.810395</v>
      </c>
      <c r="R41" t="n">
        <v>2453.810395</v>
      </c>
      <c r="S41" t="n">
        <v>991.728786</v>
      </c>
      <c r="T41" t="n">
        <v>991.728786</v>
      </c>
      <c r="U41" t="n">
        <v>186.581218</v>
      </c>
      <c r="V41" t="n">
        <v>186.581218</v>
      </c>
      <c r="W41" t="n">
        <v>1168.976189</v>
      </c>
      <c r="X41" t="n">
        <v>3060.457118</v>
      </c>
    </row>
    <row r="42" ht="21" customHeight="1">
      <c r="A42" t="inlineStr">
        <is>
          <t>Decapoda</t>
        </is>
      </c>
      <c r="B42" t="n">
        <v>3.43</v>
      </c>
      <c r="C42" t="n">
        <v>269.15348</v>
      </c>
      <c r="D42" s="11" t="inlineStr">
        <is>
          <t>Crabs and shrimps</t>
        </is>
      </c>
      <c r="H42" t="n">
        <v>20.712164</v>
      </c>
      <c r="I42" t="n">
        <v>30.295516</v>
      </c>
      <c r="J42" t="n">
        <v>30.606649</v>
      </c>
      <c r="K42" t="n">
        <v>30.606649</v>
      </c>
      <c r="L42" t="n">
        <v>181.735308</v>
      </c>
      <c r="M42" t="n">
        <v>76.890044</v>
      </c>
      <c r="N42" t="n">
        <v>76.890044</v>
      </c>
      <c r="O42" t="n">
        <v>40.463114</v>
      </c>
      <c r="P42" t="n">
        <v>14.877665</v>
      </c>
      <c r="Q42" t="n">
        <v>76.890044</v>
      </c>
      <c r="R42" t="n">
        <v>76.890044</v>
      </c>
      <c r="S42" t="n">
        <v>40.463114</v>
      </c>
      <c r="T42" t="n">
        <v>40.463114</v>
      </c>
      <c r="U42" t="n">
        <v>14.877665</v>
      </c>
      <c r="V42" t="n">
        <v>14.877665</v>
      </c>
      <c r="W42" t="n">
        <v>44.221943</v>
      </c>
      <c r="X42" t="n">
        <v>84.736037</v>
      </c>
    </row>
    <row r="43" ht="21" customHeight="1">
      <c r="A43" t="inlineStr">
        <is>
          <t>Octopoda</t>
        </is>
      </c>
      <c r="B43" t="n">
        <v>3.58</v>
      </c>
      <c r="C43" t="n">
        <v>380.189396</v>
      </c>
      <c r="D43" s="11" t="inlineStr">
        <is>
          <t>Carnivorous invertebrates</t>
        </is>
      </c>
      <c r="H43" t="n">
        <v>8.363599000000001</v>
      </c>
      <c r="I43" t="n">
        <v>10.599519</v>
      </c>
      <c r="J43" t="n">
        <v>10.599519</v>
      </c>
      <c r="K43" t="n">
        <v>8.596209999999999</v>
      </c>
      <c r="L43" t="n">
        <v>33.321302</v>
      </c>
      <c r="M43" t="n">
        <v>10.599519</v>
      </c>
      <c r="N43" t="n">
        <v>10.599519</v>
      </c>
      <c r="O43" t="n">
        <v>4.427048</v>
      </c>
      <c r="P43" t="n">
        <v>2.833311</v>
      </c>
      <c r="Q43" t="n">
        <v>10.599519</v>
      </c>
      <c r="R43" t="n">
        <v>10.599519</v>
      </c>
      <c r="S43" t="n">
        <v>4.427048</v>
      </c>
      <c r="T43" t="n">
        <v>4.427048</v>
      </c>
      <c r="U43" t="n">
        <v>2.833311</v>
      </c>
      <c r="V43" t="n">
        <v>2.833311</v>
      </c>
      <c r="W43" t="n">
        <v>4.634727</v>
      </c>
      <c r="X43" t="n">
        <v>11.090676</v>
      </c>
    </row>
    <row r="44" ht="21" customHeight="1">
      <c r="A44" t="inlineStr">
        <is>
          <t>Anoplopoma fimbria</t>
        </is>
      </c>
      <c r="B44" t="n">
        <v>3.84</v>
      </c>
      <c r="C44" t="n">
        <v>691.830971</v>
      </c>
      <c r="D44" s="11" t="inlineStr">
        <is>
          <t>Other bottom fishes</t>
        </is>
      </c>
      <c r="H44" t="n">
        <v>100.627577</v>
      </c>
      <c r="I44" t="n">
        <v>239.404535</v>
      </c>
      <c r="J44" t="n">
        <v>244.344168</v>
      </c>
      <c r="K44" t="n">
        <v>244.344168</v>
      </c>
      <c r="L44" t="n">
        <v>4898.328707</v>
      </c>
      <c r="M44" t="n">
        <v>2453.810395</v>
      </c>
      <c r="N44" t="n">
        <v>2453.810395</v>
      </c>
      <c r="O44" t="n">
        <v>991.728786</v>
      </c>
      <c r="P44" t="n">
        <v>186.581218</v>
      </c>
      <c r="Q44" t="n">
        <v>2453.810395</v>
      </c>
      <c r="R44" t="n">
        <v>2453.810395</v>
      </c>
      <c r="S44" t="n">
        <v>991.728786</v>
      </c>
      <c r="T44" t="n">
        <v>991.728786</v>
      </c>
      <c r="U44" t="n">
        <v>186.581218</v>
      </c>
      <c r="V44" t="n">
        <v>186.581218</v>
      </c>
      <c r="W44" t="n">
        <v>1168.976189</v>
      </c>
      <c r="X44" t="n">
        <v>3060.457118</v>
      </c>
    </row>
    <row r="45" ht="21" customHeight="1">
      <c r="A45" t="inlineStr">
        <is>
          <t>Reinhardtius hippoglossoides</t>
        </is>
      </c>
      <c r="B45" t="n">
        <v>4.38</v>
      </c>
      <c r="C45" t="n">
        <v>2398.832919</v>
      </c>
      <c r="D45" s="11" t="inlineStr">
        <is>
          <t>Pleuronectidae</t>
        </is>
      </c>
      <c r="H45" t="n">
        <v>49.019835</v>
      </c>
      <c r="I45" t="n">
        <v>132.917071</v>
      </c>
      <c r="J45" t="n">
        <v>133.413369</v>
      </c>
      <c r="K45" t="n">
        <v>133.413369</v>
      </c>
      <c r="L45" t="n">
        <v>2211.992883</v>
      </c>
      <c r="M45" t="n">
        <v>1092.008595</v>
      </c>
      <c r="N45" t="n">
        <v>1092.008595</v>
      </c>
      <c r="O45" t="n">
        <v>444.213279</v>
      </c>
      <c r="P45" t="n">
        <v>72.464902</v>
      </c>
      <c r="Q45" t="n">
        <v>1092.008595</v>
      </c>
      <c r="R45" t="n">
        <v>1092.008595</v>
      </c>
      <c r="S45" t="n">
        <v>444.213279</v>
      </c>
      <c r="T45" t="n">
        <v>444.213279</v>
      </c>
      <c r="U45" t="n">
        <v>72.464902</v>
      </c>
      <c r="V45" t="n">
        <v>72.464902</v>
      </c>
      <c r="W45" t="n">
        <v>528.999366</v>
      </c>
      <c r="X45" t="n">
        <v>1351.256348</v>
      </c>
    </row>
    <row r="46" ht="21" customHeight="1">
      <c r="A46" t="inlineStr">
        <is>
          <t>Salmonidae</t>
        </is>
      </c>
      <c r="B46" t="n">
        <v>3.3</v>
      </c>
      <c r="C46" t="n">
        <v>199.526231</v>
      </c>
      <c r="D46" s="11" t="inlineStr">
        <is>
          <t>Salmon</t>
        </is>
      </c>
      <c r="H46" t="n">
        <v>51.919844</v>
      </c>
      <c r="I46" t="n">
        <v>72.51717499999999</v>
      </c>
      <c r="J46" t="n">
        <v>72.7128</v>
      </c>
      <c r="K46" t="n">
        <v>22.031979</v>
      </c>
      <c r="L46" t="n">
        <v>685.4069909999999</v>
      </c>
      <c r="M46" t="n">
        <v>338.23529</v>
      </c>
      <c r="N46" t="n">
        <v>338.23529</v>
      </c>
      <c r="O46" t="n">
        <v>33.272784</v>
      </c>
      <c r="P46" t="n">
        <v>11.018898</v>
      </c>
      <c r="Q46" t="n">
        <v>338.23529</v>
      </c>
      <c r="R46" t="n">
        <v>338.23529</v>
      </c>
      <c r="S46" t="n">
        <v>33.272784</v>
      </c>
      <c r="T46" t="n">
        <v>33.272784</v>
      </c>
      <c r="U46" t="n">
        <v>11.018898</v>
      </c>
      <c r="V46" t="n">
        <v>11.018898</v>
      </c>
      <c r="W46" t="n">
        <v>35.439063</v>
      </c>
      <c r="X46" t="n">
        <v>371.568174</v>
      </c>
    </row>
    <row r="47" ht="21" customHeight="1">
      <c r="A47" t="inlineStr">
        <is>
          <t>Arctoscopus japonicus</t>
        </is>
      </c>
      <c r="B47" t="n">
        <v>3.51</v>
      </c>
      <c r="C47" t="n">
        <v>323.593657</v>
      </c>
      <c r="D47" s="11" t="inlineStr">
        <is>
          <t>Other bottom fishes</t>
        </is>
      </c>
      <c r="H47" t="n">
        <v>100.627577</v>
      </c>
      <c r="I47" t="n">
        <v>239.404535</v>
      </c>
      <c r="J47" t="n">
        <v>244.344168</v>
      </c>
      <c r="K47" t="n">
        <v>244.344168</v>
      </c>
      <c r="L47" t="n">
        <v>4898.328707</v>
      </c>
      <c r="M47" t="n">
        <v>2453.810395</v>
      </c>
      <c r="N47" t="n">
        <v>2453.810395</v>
      </c>
      <c r="O47" t="n">
        <v>991.728786</v>
      </c>
      <c r="P47" t="n">
        <v>186.581218</v>
      </c>
      <c r="Q47" t="n">
        <v>2453.810395</v>
      </c>
      <c r="R47" t="n">
        <v>2453.810395</v>
      </c>
      <c r="S47" t="n">
        <v>991.728786</v>
      </c>
      <c r="T47" t="n">
        <v>991.728786</v>
      </c>
      <c r="U47" t="n">
        <v>186.581218</v>
      </c>
      <c r="V47" t="n">
        <v>186.581218</v>
      </c>
      <c r="W47" t="n">
        <v>1168.976189</v>
      </c>
      <c r="X47" t="n">
        <v>3060.457118</v>
      </c>
    </row>
    <row r="48" ht="21" customHeight="1">
      <c r="A48" t="inlineStr">
        <is>
          <t>Trichiurus lepturus</t>
        </is>
      </c>
      <c r="B48" t="n">
        <v>4.42</v>
      </c>
      <c r="C48" t="n">
        <v>2630.267992</v>
      </c>
      <c r="D48" s="11" t="inlineStr">
        <is>
          <t>Unresolved</t>
        </is>
      </c>
    </row>
    <row r="49" ht="21" customHeight="1">
      <c r="A49" t="inlineStr">
        <is>
          <t>Brachyura</t>
        </is>
      </c>
      <c r="B49" t="n">
        <v>2.6</v>
      </c>
      <c r="C49" t="n">
        <v>39.810717</v>
      </c>
      <c r="D49" s="11" t="inlineStr">
        <is>
          <t>Crabs and shrimps</t>
        </is>
      </c>
      <c r="H49" t="n">
        <v>20.712164</v>
      </c>
      <c r="I49" t="n">
        <v>30.295516</v>
      </c>
      <c r="J49" t="n">
        <v>30.606649</v>
      </c>
      <c r="K49" t="n">
        <v>30.606649</v>
      </c>
      <c r="L49" t="n">
        <v>181.735308</v>
      </c>
      <c r="M49" t="n">
        <v>76.890044</v>
      </c>
      <c r="N49" t="n">
        <v>76.890044</v>
      </c>
      <c r="O49" t="n">
        <v>40.463114</v>
      </c>
      <c r="P49" t="n">
        <v>14.877665</v>
      </c>
      <c r="Q49" t="n">
        <v>76.890044</v>
      </c>
      <c r="R49" t="n">
        <v>76.890044</v>
      </c>
      <c r="S49" t="n">
        <v>40.463114</v>
      </c>
      <c r="T49" t="n">
        <v>40.463114</v>
      </c>
      <c r="U49" t="n">
        <v>14.877665</v>
      </c>
      <c r="V49" t="n">
        <v>14.877665</v>
      </c>
      <c r="W49" t="n">
        <v>44.221943</v>
      </c>
      <c r="X49" t="n">
        <v>84.736037</v>
      </c>
    </row>
    <row r="50" ht="21" customHeight="1">
      <c r="A50" t="inlineStr">
        <is>
          <t>Pandalus borealis</t>
        </is>
      </c>
      <c r="B50" t="n">
        <v>3.07</v>
      </c>
      <c r="C50" t="n">
        <v>117.489755</v>
      </c>
      <c r="D50" s="11" t="inlineStr">
        <is>
          <t>Crabs and shrimps</t>
        </is>
      </c>
      <c r="H50" t="n">
        <v>20.712164</v>
      </c>
      <c r="I50" t="n">
        <v>30.295516</v>
      </c>
      <c r="J50" t="n">
        <v>30.606649</v>
      </c>
      <c r="K50" t="n">
        <v>30.606649</v>
      </c>
      <c r="L50" t="n">
        <v>181.735308</v>
      </c>
      <c r="M50" t="n">
        <v>76.890044</v>
      </c>
      <c r="N50" t="n">
        <v>76.890044</v>
      </c>
      <c r="O50" t="n">
        <v>40.463114</v>
      </c>
      <c r="P50" t="n">
        <v>14.877665</v>
      </c>
      <c r="Q50" t="n">
        <v>76.890044</v>
      </c>
      <c r="R50" t="n">
        <v>76.890044</v>
      </c>
      <c r="S50" t="n">
        <v>40.463114</v>
      </c>
      <c r="T50" t="n">
        <v>40.463114</v>
      </c>
      <c r="U50" t="n">
        <v>14.877665</v>
      </c>
      <c r="V50" t="n">
        <v>14.877665</v>
      </c>
      <c r="W50" t="n">
        <v>44.221943</v>
      </c>
      <c r="X50" t="n">
        <v>84.736037</v>
      </c>
    </row>
    <row r="51" ht="21" customHeight="1">
      <c r="A51" t="inlineStr">
        <is>
          <t>Cephalopoda</t>
        </is>
      </c>
      <c r="B51" t="n">
        <v>3.81</v>
      </c>
      <c r="C51" t="n">
        <v>645.654229</v>
      </c>
      <c r="D51" s="11" t="inlineStr">
        <is>
          <t>Squids | Carnivorous invertebrates</t>
        </is>
      </c>
      <c r="H51" t="n">
        <v>53.999229</v>
      </c>
      <c r="I51" t="n">
        <v>30.832985</v>
      </c>
      <c r="J51" t="n">
        <v>32.774251</v>
      </c>
      <c r="K51" t="n">
        <v>15.907204</v>
      </c>
      <c r="L51" t="n">
        <v>221.666919</v>
      </c>
      <c r="M51" t="n">
        <v>114.35908</v>
      </c>
      <c r="N51" t="n">
        <v>114.35908</v>
      </c>
      <c r="O51" t="n">
        <v>44.636331</v>
      </c>
      <c r="P51" t="n">
        <v>15.096977</v>
      </c>
      <c r="Q51" t="n">
        <v>114.35908</v>
      </c>
      <c r="R51" t="n">
        <v>114.35908</v>
      </c>
      <c r="S51" t="n">
        <v>44.636331</v>
      </c>
      <c r="T51" t="n">
        <v>44.636331</v>
      </c>
      <c r="U51" t="n">
        <v>15.096977</v>
      </c>
      <c r="V51" t="n">
        <v>15.096977</v>
      </c>
      <c r="W51" t="n">
        <v>47.506191</v>
      </c>
      <c r="X51" t="n">
        <v>124.796592</v>
      </c>
    </row>
    <row r="52" ht="21" customHeight="1">
      <c r="A52" t="inlineStr">
        <is>
          <t>Trachurus japonicus</t>
        </is>
      </c>
      <c r="B52" t="n">
        <v>3.4</v>
      </c>
      <c r="C52" t="n">
        <v>251.188643</v>
      </c>
      <c r="D52" s="11" t="inlineStr">
        <is>
          <t>Unresolved</t>
        </is>
      </c>
    </row>
    <row r="53" ht="21" customHeight="1">
      <c r="A53" t="inlineStr">
        <is>
          <t>Mizuhopecten yessoensis</t>
        </is>
      </c>
      <c r="B53" t="n">
        <v>2.1</v>
      </c>
      <c r="C53" t="n">
        <v>12.589254</v>
      </c>
      <c r="D53" s="11" t="inlineStr">
        <is>
          <t>2nd level benthos</t>
        </is>
      </c>
      <c r="H53" t="n">
        <v>1.584008</v>
      </c>
      <c r="I53" t="n">
        <v>1.276188</v>
      </c>
      <c r="J53" t="n">
        <v>1.276188</v>
      </c>
      <c r="K53" t="n">
        <v>0.657237</v>
      </c>
      <c r="L53" t="n">
        <v>4.011903</v>
      </c>
      <c r="M53" t="n">
        <v>1.276188</v>
      </c>
      <c r="N53" t="n">
        <v>1.276188</v>
      </c>
      <c r="O53" t="n">
        <v>0.657237</v>
      </c>
      <c r="P53" t="n">
        <v>0.525789</v>
      </c>
      <c r="Q53" t="n">
        <v>1.276188</v>
      </c>
      <c r="R53" t="n">
        <v>1.276188</v>
      </c>
      <c r="S53" t="n">
        <v>0.657237</v>
      </c>
      <c r="T53" t="n">
        <v>0.657237</v>
      </c>
      <c r="U53" t="n">
        <v>0.525789</v>
      </c>
      <c r="V53" t="n">
        <v>0.525789</v>
      </c>
      <c r="W53" t="n">
        <v>0.668758</v>
      </c>
      <c r="X53" t="n">
        <v>1.266224</v>
      </c>
    </row>
    <row r="54" ht="21" customHeight="1">
      <c r="A54" t="inlineStr">
        <is>
          <t>Octopodidae</t>
        </is>
      </c>
      <c r="B54" t="n">
        <v>3.59</v>
      </c>
      <c r="C54" t="n">
        <v>389.045145</v>
      </c>
      <c r="D54" s="11" t="inlineStr">
        <is>
          <t>Carnivorous invertebrates</t>
        </is>
      </c>
      <c r="H54" t="n">
        <v>8.363599000000001</v>
      </c>
      <c r="I54" t="n">
        <v>10.599519</v>
      </c>
      <c r="J54" t="n">
        <v>10.599519</v>
      </c>
      <c r="K54" t="n">
        <v>8.596209999999999</v>
      </c>
      <c r="L54" t="n">
        <v>33.321302</v>
      </c>
      <c r="M54" t="n">
        <v>10.599519</v>
      </c>
      <c r="N54" t="n">
        <v>10.599519</v>
      </c>
      <c r="O54" t="n">
        <v>4.427048</v>
      </c>
      <c r="P54" t="n">
        <v>2.833311</v>
      </c>
      <c r="Q54" t="n">
        <v>10.599519</v>
      </c>
      <c r="R54" t="n">
        <v>10.599519</v>
      </c>
      <c r="S54" t="n">
        <v>4.427048</v>
      </c>
      <c r="T54" t="n">
        <v>4.427048</v>
      </c>
      <c r="U54" t="n">
        <v>2.833311</v>
      </c>
      <c r="V54" t="n">
        <v>2.833311</v>
      </c>
      <c r="W54" t="n">
        <v>4.634727</v>
      </c>
      <c r="X54" t="n">
        <v>11.090676</v>
      </c>
    </row>
    <row r="55" ht="21" customHeight="1">
      <c r="A55" t="inlineStr">
        <is>
          <t>Sciaenidae</t>
        </is>
      </c>
      <c r="B55" t="n">
        <v>3.76</v>
      </c>
      <c r="C55" t="n">
        <v>575.439937</v>
      </c>
      <c r="D55" s="11" t="inlineStr">
        <is>
          <t>Unresolved</t>
        </is>
      </c>
    </row>
    <row r="56" ht="21" customHeight="1">
      <c r="A56" t="inlineStr">
        <is>
          <t>Carangidae</t>
        </is>
      </c>
      <c r="B56" t="n">
        <v>4.05</v>
      </c>
      <c r="C56" t="n">
        <v>1122.018454</v>
      </c>
      <c r="D56" s="11" t="inlineStr">
        <is>
          <t>Unresolved</t>
        </is>
      </c>
    </row>
    <row r="57" ht="21" customHeight="1">
      <c r="A57" t="inlineStr">
        <is>
          <t>Sebastes</t>
        </is>
      </c>
      <c r="B57" t="n">
        <v>3.79</v>
      </c>
      <c r="C57" t="n">
        <v>616.595002</v>
      </c>
      <c r="D57" s="11" t="inlineStr">
        <is>
          <t>Other bottom fishes</t>
        </is>
      </c>
      <c r="H57" t="n">
        <v>100.627577</v>
      </c>
      <c r="I57" t="n">
        <v>239.404535</v>
      </c>
      <c r="J57" t="n">
        <v>244.344168</v>
      </c>
      <c r="K57" t="n">
        <v>244.344168</v>
      </c>
      <c r="L57" t="n">
        <v>4898.328707</v>
      </c>
      <c r="M57" t="n">
        <v>2453.810395</v>
      </c>
      <c r="N57" t="n">
        <v>2453.810395</v>
      </c>
      <c r="O57" t="n">
        <v>991.728786</v>
      </c>
      <c r="P57" t="n">
        <v>186.581218</v>
      </c>
      <c r="Q57" t="n">
        <v>2453.810395</v>
      </c>
      <c r="R57" t="n">
        <v>2453.810395</v>
      </c>
      <c r="S57" t="n">
        <v>991.728786</v>
      </c>
      <c r="T57" t="n">
        <v>991.728786</v>
      </c>
      <c r="U57" t="n">
        <v>186.581218</v>
      </c>
      <c r="V57" t="n">
        <v>186.581218</v>
      </c>
      <c r="W57" t="n">
        <v>1168.976189</v>
      </c>
      <c r="X57" t="n">
        <v>3060.457118</v>
      </c>
    </row>
    <row r="58" ht="21" customHeight="1">
      <c r="A58" t="inlineStr">
        <is>
          <t>Echinoidea</t>
        </is>
      </c>
      <c r="B58" t="n">
        <v>2.51</v>
      </c>
      <c r="C58" t="n">
        <v>32.359366</v>
      </c>
      <c r="D58" s="11" t="inlineStr">
        <is>
          <t>2nd level benthos</t>
        </is>
      </c>
      <c r="H58" t="n">
        <v>1.584008</v>
      </c>
      <c r="I58" t="n">
        <v>1.276188</v>
      </c>
      <c r="J58" t="n">
        <v>1.276188</v>
      </c>
      <c r="K58" t="n">
        <v>0.657237</v>
      </c>
      <c r="L58" t="n">
        <v>4.011903</v>
      </c>
      <c r="M58" t="n">
        <v>1.276188</v>
      </c>
      <c r="N58" t="n">
        <v>1.276188</v>
      </c>
      <c r="O58" t="n">
        <v>0.657237</v>
      </c>
      <c r="P58" t="n">
        <v>0.525789</v>
      </c>
      <c r="Q58" t="n">
        <v>1.276188</v>
      </c>
      <c r="R58" t="n">
        <v>1.276188</v>
      </c>
      <c r="S58" t="n">
        <v>0.657237</v>
      </c>
      <c r="T58" t="n">
        <v>0.657237</v>
      </c>
      <c r="U58" t="n">
        <v>0.525789</v>
      </c>
      <c r="V58" t="n">
        <v>0.525789</v>
      </c>
      <c r="W58" t="n">
        <v>0.668758</v>
      </c>
      <c r="X58" t="n">
        <v>1.266224</v>
      </c>
    </row>
    <row r="59" ht="21" customHeight="1">
      <c r="A59" t="inlineStr">
        <is>
          <t>Seriola lalandi</t>
        </is>
      </c>
      <c r="D59" s="11" t="inlineStr">
        <is>
          <t>Unresolved</t>
        </is>
      </c>
    </row>
    <row r="60" ht="21" customHeight="1">
      <c r="A60" t="inlineStr">
        <is>
          <t>Mugil cephalus</t>
        </is>
      </c>
      <c r="B60" t="n">
        <v>2.14</v>
      </c>
      <c r="C60" t="n">
        <v>13.803843</v>
      </c>
      <c r="D60" s="11" t="inlineStr">
        <is>
          <t>Unresolved</t>
        </is>
      </c>
    </row>
    <row r="61" ht="21" customHeight="1">
      <c r="A61" t="inlineStr">
        <is>
          <t>Chondrichthyes</t>
        </is>
      </c>
      <c r="B61" t="n">
        <v>4</v>
      </c>
      <c r="C61" t="n">
        <v>1000</v>
      </c>
      <c r="D61" s="11" t="inlineStr">
        <is>
          <t>Unresolved</t>
        </is>
      </c>
    </row>
    <row r="62" ht="21" customHeight="1">
      <c r="A62" t="inlineStr">
        <is>
          <t>Scombridae</t>
        </is>
      </c>
      <c r="B62" t="n">
        <v>4.26</v>
      </c>
      <c r="C62" t="n">
        <v>1819.700859</v>
      </c>
      <c r="D62" s="11" t="inlineStr">
        <is>
          <t>Unresolved</t>
        </is>
      </c>
    </row>
    <row r="63" ht="21" customHeight="1">
      <c r="A63" t="inlineStr">
        <is>
          <t>Sebastes alutus</t>
        </is>
      </c>
      <c r="B63" t="n">
        <v>3.48</v>
      </c>
      <c r="C63" t="n">
        <v>301.995172</v>
      </c>
      <c r="D63" s="11" t="inlineStr">
        <is>
          <t>Other bottom fishes</t>
        </is>
      </c>
      <c r="H63" t="n">
        <v>100.627577</v>
      </c>
      <c r="I63" t="n">
        <v>239.404535</v>
      </c>
      <c r="J63" t="n">
        <v>244.344168</v>
      </c>
      <c r="K63" t="n">
        <v>244.344168</v>
      </c>
      <c r="L63" t="n">
        <v>4898.328707</v>
      </c>
      <c r="M63" t="n">
        <v>2453.810395</v>
      </c>
      <c r="N63" t="n">
        <v>2453.810395</v>
      </c>
      <c r="O63" t="n">
        <v>991.728786</v>
      </c>
      <c r="P63" t="n">
        <v>186.581218</v>
      </c>
      <c r="Q63" t="n">
        <v>2453.810395</v>
      </c>
      <c r="R63" t="n">
        <v>2453.810395</v>
      </c>
      <c r="S63" t="n">
        <v>991.728786</v>
      </c>
      <c r="T63" t="n">
        <v>991.728786</v>
      </c>
      <c r="U63" t="n">
        <v>186.581218</v>
      </c>
      <c r="V63" t="n">
        <v>186.581218</v>
      </c>
      <c r="W63" t="n">
        <v>1168.976189</v>
      </c>
      <c r="X63" t="n">
        <v>3060.457118</v>
      </c>
    </row>
    <row r="64" ht="21" customHeight="1">
      <c r="A64" t="inlineStr">
        <is>
          <t>Oncorhynchus tshawytscha</t>
        </is>
      </c>
      <c r="B64" t="n">
        <v>4.4</v>
      </c>
      <c r="C64" t="n">
        <v>2511.886432</v>
      </c>
      <c r="D64" s="11" t="inlineStr">
        <is>
          <t>Salmon</t>
        </is>
      </c>
      <c r="H64" t="n">
        <v>51.919844</v>
      </c>
      <c r="I64" t="n">
        <v>72.51717499999999</v>
      </c>
      <c r="J64" t="n">
        <v>72.7128</v>
      </c>
      <c r="K64" t="n">
        <v>22.031979</v>
      </c>
      <c r="L64" t="n">
        <v>685.4069909999999</v>
      </c>
      <c r="M64" t="n">
        <v>338.23529</v>
      </c>
      <c r="N64" t="n">
        <v>338.23529</v>
      </c>
      <c r="O64" t="n">
        <v>33.272784</v>
      </c>
      <c r="P64" t="n">
        <v>11.018898</v>
      </c>
      <c r="Q64" t="n">
        <v>338.23529</v>
      </c>
      <c r="R64" t="n">
        <v>338.23529</v>
      </c>
      <c r="S64" t="n">
        <v>33.272784</v>
      </c>
      <c r="T64" t="n">
        <v>33.272784</v>
      </c>
      <c r="U64" t="n">
        <v>11.018898</v>
      </c>
      <c r="V64" t="n">
        <v>11.018898</v>
      </c>
      <c r="W64" t="n">
        <v>35.439063</v>
      </c>
      <c r="X64" t="n">
        <v>371.568174</v>
      </c>
    </row>
    <row r="65" ht="21" customHeight="1">
      <c r="A65" t="inlineStr">
        <is>
          <t>Salvelinus</t>
        </is>
      </c>
      <c r="B65" t="n">
        <v>4.1</v>
      </c>
      <c r="C65" t="n">
        <v>1258.925412</v>
      </c>
      <c r="D65" s="11" t="inlineStr">
        <is>
          <t>Unresolved</t>
        </is>
      </c>
    </row>
    <row r="66" ht="21" customHeight="1">
      <c r="A66" t="inlineStr">
        <is>
          <t>Paralithodes platypus</t>
        </is>
      </c>
      <c r="B66" t="n">
        <v>3.79</v>
      </c>
      <c r="C66" t="n">
        <v>616.595002</v>
      </c>
      <c r="D66" s="11" t="inlineStr">
        <is>
          <t>Crabs and shrimps</t>
        </is>
      </c>
      <c r="H66" t="n">
        <v>20.712164</v>
      </c>
      <c r="I66" t="n">
        <v>30.295516</v>
      </c>
      <c r="J66" t="n">
        <v>30.606649</v>
      </c>
      <c r="K66" t="n">
        <v>30.606649</v>
      </c>
      <c r="L66" t="n">
        <v>181.735308</v>
      </c>
      <c r="M66" t="n">
        <v>76.890044</v>
      </c>
      <c r="N66" t="n">
        <v>76.890044</v>
      </c>
      <c r="O66" t="n">
        <v>40.463114</v>
      </c>
      <c r="P66" t="n">
        <v>14.877665</v>
      </c>
      <c r="Q66" t="n">
        <v>76.890044</v>
      </c>
      <c r="R66" t="n">
        <v>76.890044</v>
      </c>
      <c r="S66" t="n">
        <v>40.463114</v>
      </c>
      <c r="T66" t="n">
        <v>40.463114</v>
      </c>
      <c r="U66" t="n">
        <v>14.877665</v>
      </c>
      <c r="V66" t="n">
        <v>14.877665</v>
      </c>
      <c r="W66" t="n">
        <v>44.221943</v>
      </c>
      <c r="X66" t="n">
        <v>84.736037</v>
      </c>
    </row>
    <row r="67" ht="21" customHeight="1">
      <c r="A67" t="inlineStr">
        <is>
          <t>Pentaceros wheeleri</t>
        </is>
      </c>
      <c r="D67" s="11" t="inlineStr">
        <is>
          <t>Unresolved</t>
        </is>
      </c>
    </row>
    <row r="68" ht="21" customHeight="1">
      <c r="A68" t="inlineStr">
        <is>
          <t>Limanda aspera</t>
        </is>
      </c>
      <c r="D68" s="11" t="inlineStr">
        <is>
          <t>Pleuronectidae</t>
        </is>
      </c>
      <c r="H68" t="n">
        <v>49.019835</v>
      </c>
      <c r="I68" t="n">
        <v>132.917071</v>
      </c>
      <c r="J68" t="n">
        <v>133.413369</v>
      </c>
      <c r="K68" t="n">
        <v>133.413369</v>
      </c>
      <c r="L68" t="n">
        <v>2211.992883</v>
      </c>
      <c r="M68" t="n">
        <v>1092.008595</v>
      </c>
      <c r="N68" t="n">
        <v>1092.008595</v>
      </c>
      <c r="O68" t="n">
        <v>444.213279</v>
      </c>
      <c r="P68" t="n">
        <v>72.464902</v>
      </c>
      <c r="Q68" t="n">
        <v>1092.008595</v>
      </c>
      <c r="R68" t="n">
        <v>1092.008595</v>
      </c>
      <c r="S68" t="n">
        <v>444.213279</v>
      </c>
      <c r="T68" t="n">
        <v>444.213279</v>
      </c>
      <c r="U68" t="n">
        <v>72.464902</v>
      </c>
      <c r="V68" t="n">
        <v>72.464902</v>
      </c>
      <c r="W68" t="n">
        <v>528.999366</v>
      </c>
      <c r="X68" t="n">
        <v>1351.256348</v>
      </c>
    </row>
    <row r="69" ht="21" customHeight="1">
      <c r="A69" t="inlineStr">
        <is>
          <t>Bathylagidae</t>
        </is>
      </c>
      <c r="B69" t="n">
        <v>3.1</v>
      </c>
      <c r="C69" t="n">
        <v>125.892541</v>
      </c>
      <c r="D69" s="11" t="inlineStr">
        <is>
          <t>Bathylagidae</t>
        </is>
      </c>
      <c r="H69" t="n">
        <v>43.737107</v>
      </c>
      <c r="I69" t="n">
        <v>279.580873</v>
      </c>
      <c r="J69" t="n">
        <v>279.862878</v>
      </c>
      <c r="K69" t="n">
        <v>38.621077</v>
      </c>
      <c r="L69" t="n">
        <v>1635.350237</v>
      </c>
      <c r="M69" t="n">
        <v>834.606689</v>
      </c>
      <c r="N69" t="n">
        <v>834.606689</v>
      </c>
      <c r="O69" t="n">
        <v>95.00626099999999</v>
      </c>
      <c r="P69" t="n">
        <v>33.674906</v>
      </c>
      <c r="Q69" t="n">
        <v>834.606689</v>
      </c>
      <c r="R69" t="n">
        <v>834.606689</v>
      </c>
      <c r="S69" t="n">
        <v>95.00626099999999</v>
      </c>
      <c r="T69" t="n">
        <v>95.00626099999999</v>
      </c>
      <c r="U69" t="n">
        <v>33.674906</v>
      </c>
      <c r="V69" t="n">
        <v>33.674906</v>
      </c>
      <c r="W69" t="n">
        <v>100.733154</v>
      </c>
      <c r="X69" t="n">
        <v>862.955541</v>
      </c>
    </row>
    <row r="70" ht="21" customHeight="1">
      <c r="A70" t="inlineStr">
        <is>
          <t>Seriola</t>
        </is>
      </c>
      <c r="B70" t="n">
        <v>4.39</v>
      </c>
      <c r="C70" t="n">
        <v>2454.708916</v>
      </c>
      <c r="D70" s="11" t="inlineStr">
        <is>
          <t>Unresolved</t>
        </is>
      </c>
    </row>
    <row r="71" ht="21" customHeight="1">
      <c r="A71" t="inlineStr">
        <is>
          <t>Thunnus alalunga</t>
        </is>
      </c>
      <c r="B71" t="n">
        <v>4.3</v>
      </c>
      <c r="C71" t="n">
        <v>1995.262315</v>
      </c>
      <c r="D71" s="11" t="inlineStr">
        <is>
          <t>Unresolved</t>
        </is>
      </c>
    </row>
    <row r="72" ht="21" customHeight="1">
      <c r="A72" t="inlineStr">
        <is>
          <t>Loliginidae</t>
        </is>
      </c>
      <c r="B72" t="n">
        <v>3.9</v>
      </c>
      <c r="C72" t="n">
        <v>794.3282349999999</v>
      </c>
      <c r="D72" s="11" t="inlineStr">
        <is>
          <t>Squids</t>
        </is>
      </c>
      <c r="H72" t="n">
        <v>59.815369</v>
      </c>
      <c r="I72" t="n">
        <v>33.411687</v>
      </c>
      <c r="J72" t="n">
        <v>35.600362</v>
      </c>
      <c r="K72" t="n">
        <v>16.838971</v>
      </c>
      <c r="L72" t="n">
        <v>245.671067</v>
      </c>
      <c r="M72" t="n">
        <v>127.58296</v>
      </c>
      <c r="N72" t="n">
        <v>127.58296</v>
      </c>
      <c r="O72" t="n">
        <v>49.760897</v>
      </c>
      <c r="P72" t="n">
        <v>16.659949</v>
      </c>
      <c r="Q72" t="n">
        <v>127.58296</v>
      </c>
      <c r="R72" t="n">
        <v>127.58296</v>
      </c>
      <c r="S72" t="n">
        <v>49.760897</v>
      </c>
      <c r="T72" t="n">
        <v>49.760897</v>
      </c>
      <c r="U72" t="n">
        <v>16.659949</v>
      </c>
      <c r="V72" t="n">
        <v>16.659949</v>
      </c>
      <c r="W72" t="n">
        <v>52.970045</v>
      </c>
      <c r="X72" t="n">
        <v>139.288108</v>
      </c>
    </row>
    <row r="73" ht="21" customHeight="1">
      <c r="A73" t="inlineStr">
        <is>
          <t>Hippoglossoides elassodon</t>
        </is>
      </c>
      <c r="D73" s="11" t="inlineStr">
        <is>
          <t>Pleuronectidae</t>
        </is>
      </c>
      <c r="H73" t="n">
        <v>49.019835</v>
      </c>
      <c r="I73" t="n">
        <v>132.917071</v>
      </c>
      <c r="J73" t="n">
        <v>133.413369</v>
      </c>
      <c r="K73" t="n">
        <v>133.413369</v>
      </c>
      <c r="L73" t="n">
        <v>2211.992883</v>
      </c>
      <c r="M73" t="n">
        <v>1092.008595</v>
      </c>
      <c r="N73" t="n">
        <v>1092.008595</v>
      </c>
      <c r="O73" t="n">
        <v>444.213279</v>
      </c>
      <c r="P73" t="n">
        <v>72.464902</v>
      </c>
      <c r="Q73" t="n">
        <v>1092.008595</v>
      </c>
      <c r="R73" t="n">
        <v>1092.008595</v>
      </c>
      <c r="S73" t="n">
        <v>444.213279</v>
      </c>
      <c r="T73" t="n">
        <v>444.213279</v>
      </c>
      <c r="U73" t="n">
        <v>72.464902</v>
      </c>
      <c r="V73" t="n">
        <v>72.464902</v>
      </c>
      <c r="W73" t="n">
        <v>528.999366</v>
      </c>
      <c r="X73" t="n">
        <v>1351.256348</v>
      </c>
    </row>
    <row r="74" ht="36" customHeight="1">
      <c r="A74" t="inlineStr">
        <is>
          <t>Gadidae</t>
        </is>
      </c>
      <c r="B74" t="n">
        <v>3.84</v>
      </c>
      <c r="C74" t="n">
        <v>691.830971</v>
      </c>
      <c r="D74" s="11" t="inlineStr">
        <is>
          <t>Walleye pollock | Juv. pollock | Other Gadidae</t>
        </is>
      </c>
      <c r="H74" t="n">
        <v>71.112015</v>
      </c>
      <c r="I74" t="n">
        <v>586.263292</v>
      </c>
      <c r="J74" t="n">
        <v>635.16004</v>
      </c>
      <c r="K74" t="n">
        <v>474.721733</v>
      </c>
      <c r="L74" t="n">
        <v>-27110.768695</v>
      </c>
      <c r="M74" t="n">
        <v>-13338.914586</v>
      </c>
      <c r="N74" t="n">
        <v>-13338.914586</v>
      </c>
      <c r="O74" t="n">
        <v>990.233781</v>
      </c>
      <c r="P74" t="n">
        <v>211.227211</v>
      </c>
      <c r="Q74" t="n">
        <v>-13338.914586</v>
      </c>
      <c r="R74" t="n">
        <v>-13338.914586</v>
      </c>
      <c r="S74" t="n">
        <v>990.233781</v>
      </c>
      <c r="T74" t="n">
        <v>990.233781</v>
      </c>
      <c r="U74" t="n">
        <v>211.227211</v>
      </c>
      <c r="V74" t="n">
        <v>211.227211</v>
      </c>
      <c r="W74" t="n">
        <v>1278.607736</v>
      </c>
      <c r="X74" t="n">
        <v>51304.777982</v>
      </c>
    </row>
    <row r="75" ht="36" customHeight="1">
      <c r="A75" t="inlineStr">
        <is>
          <t>Gastropoda</t>
        </is>
      </c>
      <c r="B75" t="n">
        <v>3.06</v>
      </c>
      <c r="C75" t="n">
        <v>114.815362</v>
      </c>
      <c r="D75" s="11" t="inlineStr">
        <is>
          <t>2nd level benthos | Carnivorous invertebrates</t>
        </is>
      </c>
      <c r="H75" t="n">
        <v>3.049394</v>
      </c>
      <c r="I75" t="n">
        <v>3.291395</v>
      </c>
      <c r="J75" t="n">
        <v>3.291395</v>
      </c>
      <c r="K75" t="n">
        <v>2.373219</v>
      </c>
      <c r="L75" t="n">
        <v>10.347032</v>
      </c>
      <c r="M75" t="n">
        <v>3.291395</v>
      </c>
      <c r="N75" t="n">
        <v>3.291395</v>
      </c>
      <c r="O75" t="n">
        <v>1.472069</v>
      </c>
      <c r="P75" t="n">
        <v>1.024553</v>
      </c>
      <c r="Q75" t="n">
        <v>3.291395</v>
      </c>
      <c r="R75" t="n">
        <v>3.291395</v>
      </c>
      <c r="S75" t="n">
        <v>1.472069</v>
      </c>
      <c r="T75" t="n">
        <v>1.472069</v>
      </c>
      <c r="U75" t="n">
        <v>1.024553</v>
      </c>
      <c r="V75" t="n">
        <v>1.024553</v>
      </c>
      <c r="W75" t="n">
        <v>1.525989</v>
      </c>
      <c r="X75" t="n">
        <v>3.389747</v>
      </c>
    </row>
    <row r="76" ht="21" customHeight="1">
      <c r="A76" t="inlineStr">
        <is>
          <t>Berryteuthis magister</t>
        </is>
      </c>
      <c r="D76" s="11" t="inlineStr">
        <is>
          <t>Squids</t>
        </is>
      </c>
      <c r="H76" t="n">
        <v>59.815369</v>
      </c>
      <c r="I76" t="n">
        <v>33.411687</v>
      </c>
      <c r="J76" t="n">
        <v>35.600362</v>
      </c>
      <c r="K76" t="n">
        <v>16.838971</v>
      </c>
      <c r="L76" t="n">
        <v>245.671067</v>
      </c>
      <c r="M76" t="n">
        <v>127.58296</v>
      </c>
      <c r="N76" t="n">
        <v>127.58296</v>
      </c>
      <c r="O76" t="n">
        <v>49.760897</v>
      </c>
      <c r="P76" t="n">
        <v>16.659949</v>
      </c>
      <c r="Q76" t="n">
        <v>127.58296</v>
      </c>
      <c r="R76" t="n">
        <v>127.58296</v>
      </c>
      <c r="S76" t="n">
        <v>49.760897</v>
      </c>
      <c r="T76" t="n">
        <v>49.760897</v>
      </c>
      <c r="U76" t="n">
        <v>16.659949</v>
      </c>
      <c r="V76" t="n">
        <v>16.659949</v>
      </c>
      <c r="W76" t="n">
        <v>52.970045</v>
      </c>
      <c r="X76" t="n">
        <v>139.288108</v>
      </c>
    </row>
    <row r="77" ht="21" customHeight="1">
      <c r="A77" t="inlineStr">
        <is>
          <t>Lutjanidae</t>
        </is>
      </c>
      <c r="B77" t="n">
        <v>4.02</v>
      </c>
      <c r="C77" t="n">
        <v>1047.128548</v>
      </c>
      <c r="D77" s="11" t="inlineStr">
        <is>
          <t>Unresolved</t>
        </is>
      </c>
    </row>
    <row r="78" ht="21" customHeight="1">
      <c r="A78" t="inlineStr">
        <is>
          <t>Clupeidae</t>
        </is>
      </c>
      <c r="B78" t="n">
        <v>3.16</v>
      </c>
      <c r="C78" t="n">
        <v>144.543977</v>
      </c>
      <c r="D78" s="11" t="inlineStr">
        <is>
          <t>Unresolved</t>
        </is>
      </c>
    </row>
    <row r="79" ht="21" customHeight="1">
      <c r="A79" t="inlineStr">
        <is>
          <t>Holothuroidea</t>
        </is>
      </c>
      <c r="B79" t="n">
        <v>2</v>
      </c>
      <c r="C79" t="n">
        <v>10</v>
      </c>
      <c r="D79" s="11" t="inlineStr">
        <is>
          <t>2nd level benthos</t>
        </is>
      </c>
      <c r="H79" t="n">
        <v>1.584008</v>
      </c>
      <c r="I79" t="n">
        <v>1.276188</v>
      </c>
      <c r="J79" t="n">
        <v>1.276188</v>
      </c>
      <c r="K79" t="n">
        <v>0.657237</v>
      </c>
      <c r="L79" t="n">
        <v>4.011903</v>
      </c>
      <c r="M79" t="n">
        <v>1.276188</v>
      </c>
      <c r="N79" t="n">
        <v>1.276188</v>
      </c>
      <c r="O79" t="n">
        <v>0.657237</v>
      </c>
      <c r="P79" t="n">
        <v>0.525789</v>
      </c>
      <c r="Q79" t="n">
        <v>1.276188</v>
      </c>
      <c r="R79" t="n">
        <v>1.276188</v>
      </c>
      <c r="S79" t="n">
        <v>0.657237</v>
      </c>
      <c r="T79" t="n">
        <v>0.657237</v>
      </c>
      <c r="U79" t="n">
        <v>0.525789</v>
      </c>
      <c r="V79" t="n">
        <v>0.525789</v>
      </c>
      <c r="W79" t="n">
        <v>0.668758</v>
      </c>
      <c r="X79" t="n">
        <v>1.266224</v>
      </c>
    </row>
    <row r="80" ht="21" customHeight="1">
      <c r="A80" t="inlineStr">
        <is>
          <t>Dendrobranchiata</t>
        </is>
      </c>
      <c r="B80" t="n">
        <v>3.24</v>
      </c>
      <c r="C80" t="n">
        <v>173.780083</v>
      </c>
      <c r="D80" s="11" t="inlineStr">
        <is>
          <t>Crabs and shrimps</t>
        </is>
      </c>
      <c r="H80" t="n">
        <v>20.712164</v>
      </c>
      <c r="I80" t="n">
        <v>30.295516</v>
      </c>
      <c r="J80" t="n">
        <v>30.606649</v>
      </c>
      <c r="K80" t="n">
        <v>30.606649</v>
      </c>
      <c r="L80" t="n">
        <v>181.735308</v>
      </c>
      <c r="M80" t="n">
        <v>76.890044</v>
      </c>
      <c r="N80" t="n">
        <v>76.890044</v>
      </c>
      <c r="O80" t="n">
        <v>40.463114</v>
      </c>
      <c r="P80" t="n">
        <v>14.877665</v>
      </c>
      <c r="Q80" t="n">
        <v>76.890044</v>
      </c>
      <c r="R80" t="n">
        <v>76.890044</v>
      </c>
      <c r="S80" t="n">
        <v>40.463114</v>
      </c>
      <c r="T80" t="n">
        <v>40.463114</v>
      </c>
      <c r="U80" t="n">
        <v>14.877665</v>
      </c>
      <c r="V80" t="n">
        <v>14.877665</v>
      </c>
      <c r="W80" t="n">
        <v>44.221943</v>
      </c>
      <c r="X80" t="n">
        <v>84.736037</v>
      </c>
    </row>
    <row r="81" ht="21" customHeight="1">
      <c r="A81" t="inlineStr">
        <is>
          <t>Pandalus</t>
        </is>
      </c>
      <c r="D81" s="11" t="inlineStr">
        <is>
          <t>Crabs and shrimps</t>
        </is>
      </c>
      <c r="H81" t="n">
        <v>20.712164</v>
      </c>
      <c r="I81" t="n">
        <v>30.295516</v>
      </c>
      <c r="J81" t="n">
        <v>30.606649</v>
      </c>
      <c r="K81" t="n">
        <v>30.606649</v>
      </c>
      <c r="L81" t="n">
        <v>181.735308</v>
      </c>
      <c r="M81" t="n">
        <v>76.890044</v>
      </c>
      <c r="N81" t="n">
        <v>76.890044</v>
      </c>
      <c r="O81" t="n">
        <v>40.463114</v>
      </c>
      <c r="P81" t="n">
        <v>14.877665</v>
      </c>
      <c r="Q81" t="n">
        <v>76.890044</v>
      </c>
      <c r="R81" t="n">
        <v>76.890044</v>
      </c>
      <c r="S81" t="n">
        <v>40.463114</v>
      </c>
      <c r="T81" t="n">
        <v>40.463114</v>
      </c>
      <c r="U81" t="n">
        <v>14.877665</v>
      </c>
      <c r="V81" t="n">
        <v>14.877665</v>
      </c>
      <c r="W81" t="n">
        <v>44.221943</v>
      </c>
      <c r="X81" t="n">
        <v>84.736037</v>
      </c>
    </row>
    <row r="82" ht="21" customHeight="1">
      <c r="A82" t="inlineStr">
        <is>
          <t>Tetraodontidae</t>
        </is>
      </c>
      <c r="B82" t="n">
        <v>3.5</v>
      </c>
      <c r="C82" t="n">
        <v>316.227766</v>
      </c>
      <c r="D82" s="11" t="inlineStr">
        <is>
          <t>Unresolved</t>
        </is>
      </c>
    </row>
    <row r="83" ht="21" customHeight="1">
      <c r="A83" t="inlineStr">
        <is>
          <t>Muraenesox cinereus</t>
        </is>
      </c>
      <c r="B83" t="n">
        <v>4.38</v>
      </c>
      <c r="C83" t="n">
        <v>2398.832919</v>
      </c>
      <c r="D83" s="11" t="inlineStr">
        <is>
          <t>Unresolved</t>
        </is>
      </c>
    </row>
    <row r="84" ht="21" customHeight="1">
      <c r="A84" t="inlineStr">
        <is>
          <t>Paralichthys olivaceus</t>
        </is>
      </c>
      <c r="B84" t="n">
        <v>4.25</v>
      </c>
      <c r="C84" t="n">
        <v>1778.27941</v>
      </c>
      <c r="D84" s="11" t="inlineStr">
        <is>
          <t>Other bottom fishes</t>
        </is>
      </c>
      <c r="H84" t="n">
        <v>100.627577</v>
      </c>
      <c r="I84" t="n">
        <v>239.404535</v>
      </c>
      <c r="J84" t="n">
        <v>244.344168</v>
      </c>
      <c r="K84" t="n">
        <v>244.344168</v>
      </c>
      <c r="L84" t="n">
        <v>4898.328707</v>
      </c>
      <c r="M84" t="n">
        <v>2453.810395</v>
      </c>
      <c r="N84" t="n">
        <v>2453.810395</v>
      </c>
      <c r="O84" t="n">
        <v>991.728786</v>
      </c>
      <c r="P84" t="n">
        <v>186.581218</v>
      </c>
      <c r="Q84" t="n">
        <v>2453.810395</v>
      </c>
      <c r="R84" t="n">
        <v>2453.810395</v>
      </c>
      <c r="S84" t="n">
        <v>991.728786</v>
      </c>
      <c r="T84" t="n">
        <v>991.728786</v>
      </c>
      <c r="U84" t="n">
        <v>186.581218</v>
      </c>
      <c r="V84" t="n">
        <v>186.581218</v>
      </c>
      <c r="W84" t="n">
        <v>1168.976189</v>
      </c>
      <c r="X84" t="n">
        <v>3060.457118</v>
      </c>
    </row>
    <row r="85" ht="21" customHeight="1">
      <c r="A85" t="inlineStr">
        <is>
          <t>Salvelinus malma</t>
        </is>
      </c>
      <c r="B85" t="n">
        <v>4.4</v>
      </c>
      <c r="C85" t="n">
        <v>2511.886432</v>
      </c>
      <c r="D85" s="11" t="inlineStr">
        <is>
          <t>Unresolved</t>
        </is>
      </c>
    </row>
    <row r="86" ht="21" customHeight="1">
      <c r="A86" t="inlineStr">
        <is>
          <t>Mactridae</t>
        </is>
      </c>
      <c r="B86" t="n">
        <v>2</v>
      </c>
      <c r="C86" t="n">
        <v>10</v>
      </c>
      <c r="D86" s="11" t="inlineStr">
        <is>
          <t>2nd level benthos</t>
        </is>
      </c>
      <c r="H86" t="n">
        <v>1.584008</v>
      </c>
      <c r="I86" t="n">
        <v>1.276188</v>
      </c>
      <c r="J86" t="n">
        <v>1.276188</v>
      </c>
      <c r="K86" t="n">
        <v>0.657237</v>
      </c>
      <c r="L86" t="n">
        <v>4.011903</v>
      </c>
      <c r="M86" t="n">
        <v>1.276188</v>
      </c>
      <c r="N86" t="n">
        <v>1.276188</v>
      </c>
      <c r="O86" t="n">
        <v>0.657237</v>
      </c>
      <c r="P86" t="n">
        <v>0.525789</v>
      </c>
      <c r="Q86" t="n">
        <v>1.276188</v>
      </c>
      <c r="R86" t="n">
        <v>1.276188</v>
      </c>
      <c r="S86" t="n">
        <v>0.657237</v>
      </c>
      <c r="T86" t="n">
        <v>0.657237</v>
      </c>
      <c r="U86" t="n">
        <v>0.525789</v>
      </c>
      <c r="V86" t="n">
        <v>0.525789</v>
      </c>
      <c r="W86" t="n">
        <v>0.668758</v>
      </c>
      <c r="X86" t="n">
        <v>1.266224</v>
      </c>
    </row>
    <row r="87" ht="21" customHeight="1">
      <c r="A87" t="inlineStr">
        <is>
          <t>Cyprinidae</t>
        </is>
      </c>
      <c r="B87" t="n">
        <v>2.8</v>
      </c>
      <c r="C87" t="n">
        <v>63.095734</v>
      </c>
      <c r="D87" s="11" t="inlineStr">
        <is>
          <t>Unresolved</t>
        </is>
      </c>
    </row>
    <row r="88" ht="21" customHeight="1">
      <c r="A88" t="inlineStr">
        <is>
          <t>Paralithodes</t>
        </is>
      </c>
      <c r="D88" s="11" t="inlineStr">
        <is>
          <t>Crabs and shrimps</t>
        </is>
      </c>
      <c r="H88" t="n">
        <v>20.712164</v>
      </c>
      <c r="I88" t="n">
        <v>30.295516</v>
      </c>
      <c r="J88" t="n">
        <v>30.606649</v>
      </c>
      <c r="K88" t="n">
        <v>30.606649</v>
      </c>
      <c r="L88" t="n">
        <v>181.735308</v>
      </c>
      <c r="M88" t="n">
        <v>76.890044</v>
      </c>
      <c r="N88" t="n">
        <v>76.890044</v>
      </c>
      <c r="O88" t="n">
        <v>40.463114</v>
      </c>
      <c r="P88" t="n">
        <v>14.877665</v>
      </c>
      <c r="Q88" t="n">
        <v>76.890044</v>
      </c>
      <c r="R88" t="n">
        <v>76.890044</v>
      </c>
      <c r="S88" t="n">
        <v>40.463114</v>
      </c>
      <c r="T88" t="n">
        <v>40.463114</v>
      </c>
      <c r="U88" t="n">
        <v>14.877665</v>
      </c>
      <c r="V88" t="n">
        <v>14.877665</v>
      </c>
      <c r="W88" t="n">
        <v>44.221943</v>
      </c>
      <c r="X88" t="n">
        <v>84.736037</v>
      </c>
    </row>
    <row r="89" ht="21" customHeight="1">
      <c r="A89" t="inlineStr">
        <is>
          <t>Scorpaeniformes</t>
        </is>
      </c>
      <c r="B89" t="n">
        <v>3.78</v>
      </c>
      <c r="C89" t="n">
        <v>602.559586</v>
      </c>
      <c r="D89" s="11" t="inlineStr">
        <is>
          <t>Cottidae | Other bottom fishes</t>
        </is>
      </c>
      <c r="H89" t="n">
        <v>100.627577</v>
      </c>
      <c r="I89" t="n">
        <v>239.404535</v>
      </c>
      <c r="J89" t="n">
        <v>244.344168</v>
      </c>
      <c r="K89" t="n">
        <v>244.344168</v>
      </c>
      <c r="L89" t="n">
        <v>4898.328707</v>
      </c>
      <c r="M89" t="n">
        <v>2453.810395</v>
      </c>
      <c r="N89" t="n">
        <v>2453.810395</v>
      </c>
      <c r="O89" t="n">
        <v>991.728786</v>
      </c>
      <c r="P89" t="n">
        <v>186.581218</v>
      </c>
      <c r="Q89" t="n">
        <v>2453.810395</v>
      </c>
      <c r="R89" t="n">
        <v>2453.810395</v>
      </c>
      <c r="S89" t="n">
        <v>991.728786</v>
      </c>
      <c r="T89" t="n">
        <v>991.728786</v>
      </c>
      <c r="U89" t="n">
        <v>186.581218</v>
      </c>
      <c r="V89" t="n">
        <v>186.581218</v>
      </c>
      <c r="W89" t="n">
        <v>1168.976189</v>
      </c>
      <c r="X89" t="n">
        <v>3060.457118</v>
      </c>
    </row>
    <row r="90" ht="21" customHeight="1">
      <c r="A90" t="inlineStr">
        <is>
          <t>Pandalus goniurus</t>
        </is>
      </c>
      <c r="B90" t="n">
        <v>2.6</v>
      </c>
      <c r="C90" t="n">
        <v>39.810717</v>
      </c>
      <c r="D90" s="11" t="inlineStr">
        <is>
          <t>Crabs and shrimps</t>
        </is>
      </c>
      <c r="H90" t="n">
        <v>20.712164</v>
      </c>
      <c r="I90" t="n">
        <v>30.295516</v>
      </c>
      <c r="J90" t="n">
        <v>30.606649</v>
      </c>
      <c r="K90" t="n">
        <v>30.606649</v>
      </c>
      <c r="L90" t="n">
        <v>181.735308</v>
      </c>
      <c r="M90" t="n">
        <v>76.890044</v>
      </c>
      <c r="N90" t="n">
        <v>76.890044</v>
      </c>
      <c r="O90" t="n">
        <v>40.463114</v>
      </c>
      <c r="P90" t="n">
        <v>14.877665</v>
      </c>
      <c r="Q90" t="n">
        <v>76.890044</v>
      </c>
      <c r="R90" t="n">
        <v>76.890044</v>
      </c>
      <c r="S90" t="n">
        <v>40.463114</v>
      </c>
      <c r="T90" t="n">
        <v>40.463114</v>
      </c>
      <c r="U90" t="n">
        <v>14.877665</v>
      </c>
      <c r="V90" t="n">
        <v>14.877665</v>
      </c>
      <c r="W90" t="n">
        <v>44.221943</v>
      </c>
      <c r="X90" t="n">
        <v>84.736037</v>
      </c>
    </row>
    <row r="91" ht="21" customHeight="1">
      <c r="A91" t="inlineStr">
        <is>
          <t>Clupeiformes</t>
        </is>
      </c>
      <c r="B91" t="n">
        <v>3.24</v>
      </c>
      <c r="C91" t="n">
        <v>173.780083</v>
      </c>
      <c r="D91" s="11" t="inlineStr">
        <is>
          <t>Unresolved</t>
        </is>
      </c>
    </row>
    <row r="92" ht="21" customHeight="1">
      <c r="A92" t="inlineStr">
        <is>
          <t>Thunnus orientalis</t>
        </is>
      </c>
      <c r="B92" t="n">
        <v>4.05</v>
      </c>
      <c r="C92" t="n">
        <v>1122.018454</v>
      </c>
      <c r="D92" s="11" t="inlineStr">
        <is>
          <t>Unresolved</t>
        </is>
      </c>
    </row>
    <row r="93" ht="21" customHeight="1">
      <c r="A93" t="inlineStr">
        <is>
          <t>Chionoecetes japonicus</t>
        </is>
      </c>
      <c r="B93" t="n">
        <v>3.74</v>
      </c>
      <c r="C93" t="n">
        <v>549.540874</v>
      </c>
      <c r="D93" s="11" t="inlineStr">
        <is>
          <t>Crabs and shrimps</t>
        </is>
      </c>
      <c r="H93" t="n">
        <v>20.712164</v>
      </c>
      <c r="I93" t="n">
        <v>30.295516</v>
      </c>
      <c r="J93" t="n">
        <v>30.606649</v>
      </c>
      <c r="K93" t="n">
        <v>30.606649</v>
      </c>
      <c r="L93" t="n">
        <v>181.735308</v>
      </c>
      <c r="M93" t="n">
        <v>76.890044</v>
      </c>
      <c r="N93" t="n">
        <v>76.890044</v>
      </c>
      <c r="O93" t="n">
        <v>40.463114</v>
      </c>
      <c r="P93" t="n">
        <v>14.877665</v>
      </c>
      <c r="Q93" t="n">
        <v>76.890044</v>
      </c>
      <c r="R93" t="n">
        <v>76.890044</v>
      </c>
      <c r="S93" t="n">
        <v>40.463114</v>
      </c>
      <c r="T93" t="n">
        <v>40.463114</v>
      </c>
      <c r="U93" t="n">
        <v>14.877665</v>
      </c>
      <c r="V93" t="n">
        <v>14.877665</v>
      </c>
      <c r="W93" t="n">
        <v>44.221943</v>
      </c>
      <c r="X93" t="n">
        <v>84.736037</v>
      </c>
    </row>
    <row r="94" ht="21" customHeight="1">
      <c r="A94" t="inlineStr">
        <is>
          <t>Ommastrephidae</t>
        </is>
      </c>
      <c r="B94" t="n">
        <v>4.09</v>
      </c>
      <c r="C94" t="n">
        <v>1230.268771</v>
      </c>
      <c r="D94" s="11" t="inlineStr">
        <is>
          <t>Squids</t>
        </is>
      </c>
      <c r="H94" t="n">
        <v>59.815369</v>
      </c>
      <c r="I94" t="n">
        <v>33.411687</v>
      </c>
      <c r="J94" t="n">
        <v>35.600362</v>
      </c>
      <c r="K94" t="n">
        <v>16.838971</v>
      </c>
      <c r="L94" t="n">
        <v>245.671067</v>
      </c>
      <c r="M94" t="n">
        <v>127.58296</v>
      </c>
      <c r="N94" t="n">
        <v>127.58296</v>
      </c>
      <c r="O94" t="n">
        <v>49.760897</v>
      </c>
      <c r="P94" t="n">
        <v>16.659949</v>
      </c>
      <c r="Q94" t="n">
        <v>127.58296</v>
      </c>
      <c r="R94" t="n">
        <v>127.58296</v>
      </c>
      <c r="S94" t="n">
        <v>49.760897</v>
      </c>
      <c r="T94" t="n">
        <v>49.760897</v>
      </c>
      <c r="U94" t="n">
        <v>16.659949</v>
      </c>
      <c r="V94" t="n">
        <v>16.659949</v>
      </c>
      <c r="W94" t="n">
        <v>52.970045</v>
      </c>
      <c r="X94" t="n">
        <v>139.288108</v>
      </c>
    </row>
    <row r="95" ht="21" customHeight="1">
      <c r="A95" t="inlineStr">
        <is>
          <t>Sebastolobus alascanus</t>
        </is>
      </c>
      <c r="B95" t="n">
        <v>3.62</v>
      </c>
      <c r="C95" t="n">
        <v>416.869383</v>
      </c>
      <c r="D95" s="11" t="inlineStr">
        <is>
          <t>Other bottom fishes</t>
        </is>
      </c>
      <c r="H95" t="n">
        <v>100.627577</v>
      </c>
      <c r="I95" t="n">
        <v>239.404535</v>
      </c>
      <c r="J95" t="n">
        <v>244.344168</v>
      </c>
      <c r="K95" t="n">
        <v>244.344168</v>
      </c>
      <c r="L95" t="n">
        <v>4898.328707</v>
      </c>
      <c r="M95" t="n">
        <v>2453.810395</v>
      </c>
      <c r="N95" t="n">
        <v>2453.810395</v>
      </c>
      <c r="O95" t="n">
        <v>991.728786</v>
      </c>
      <c r="P95" t="n">
        <v>186.581218</v>
      </c>
      <c r="Q95" t="n">
        <v>2453.810395</v>
      </c>
      <c r="R95" t="n">
        <v>2453.810395</v>
      </c>
      <c r="S95" t="n">
        <v>991.728786</v>
      </c>
      <c r="T95" t="n">
        <v>991.728786</v>
      </c>
      <c r="U95" t="n">
        <v>186.581218</v>
      </c>
      <c r="V95" t="n">
        <v>186.581218</v>
      </c>
      <c r="W95" t="n">
        <v>1168.976189</v>
      </c>
      <c r="X95" t="n">
        <v>3060.457118</v>
      </c>
    </row>
    <row r="96" ht="21" customHeight="1">
      <c r="A96" t="inlineStr">
        <is>
          <t>Octopus</t>
        </is>
      </c>
      <c r="B96" t="n">
        <v>3.8</v>
      </c>
      <c r="C96" t="n">
        <v>630.957344</v>
      </c>
      <c r="D96" s="11" t="inlineStr">
        <is>
          <t>Carnivorous invertebrates</t>
        </is>
      </c>
      <c r="H96" t="n">
        <v>8.363599000000001</v>
      </c>
      <c r="I96" t="n">
        <v>10.599519</v>
      </c>
      <c r="J96" t="n">
        <v>10.599519</v>
      </c>
      <c r="K96" t="n">
        <v>8.596209999999999</v>
      </c>
      <c r="L96" t="n">
        <v>33.321302</v>
      </c>
      <c r="M96" t="n">
        <v>10.599519</v>
      </c>
      <c r="N96" t="n">
        <v>10.599519</v>
      </c>
      <c r="O96" t="n">
        <v>4.427048</v>
      </c>
      <c r="P96" t="n">
        <v>2.833311</v>
      </c>
      <c r="Q96" t="n">
        <v>10.599519</v>
      </c>
      <c r="R96" t="n">
        <v>10.599519</v>
      </c>
      <c r="S96" t="n">
        <v>4.427048</v>
      </c>
      <c r="T96" t="n">
        <v>4.427048</v>
      </c>
      <c r="U96" t="n">
        <v>2.833311</v>
      </c>
      <c r="V96" t="n">
        <v>2.833311</v>
      </c>
      <c r="W96" t="n">
        <v>4.634727</v>
      </c>
      <c r="X96" t="n">
        <v>11.090676</v>
      </c>
    </row>
    <row r="97" ht="21" customHeight="1">
      <c r="A97" t="inlineStr">
        <is>
          <t>Pandalus hypsinotus</t>
        </is>
      </c>
      <c r="B97" t="n">
        <v>2.6</v>
      </c>
      <c r="C97" t="n">
        <v>39.810717</v>
      </c>
      <c r="D97" s="11" t="inlineStr">
        <is>
          <t>Crabs and shrimps</t>
        </is>
      </c>
      <c r="H97" t="n">
        <v>20.712164</v>
      </c>
      <c r="I97" t="n">
        <v>30.295516</v>
      </c>
      <c r="J97" t="n">
        <v>30.606649</v>
      </c>
      <c r="K97" t="n">
        <v>30.606649</v>
      </c>
      <c r="L97" t="n">
        <v>181.735308</v>
      </c>
      <c r="M97" t="n">
        <v>76.890044</v>
      </c>
      <c r="N97" t="n">
        <v>76.890044</v>
      </c>
      <c r="O97" t="n">
        <v>40.463114</v>
      </c>
      <c r="P97" t="n">
        <v>14.877665</v>
      </c>
      <c r="Q97" t="n">
        <v>76.890044</v>
      </c>
      <c r="R97" t="n">
        <v>76.890044</v>
      </c>
      <c r="S97" t="n">
        <v>40.463114</v>
      </c>
      <c r="T97" t="n">
        <v>40.463114</v>
      </c>
      <c r="U97" t="n">
        <v>14.877665</v>
      </c>
      <c r="V97" t="n">
        <v>14.877665</v>
      </c>
      <c r="W97" t="n">
        <v>44.221943</v>
      </c>
      <c r="X97" t="n">
        <v>84.736037</v>
      </c>
    </row>
    <row r="98" ht="21" customHeight="1">
      <c r="A98" t="inlineStr">
        <is>
          <t>Squillidae</t>
        </is>
      </c>
      <c r="B98" t="n">
        <v>3.5</v>
      </c>
      <c r="C98" t="n">
        <v>316.227766</v>
      </c>
      <c r="D98" s="11" t="inlineStr">
        <is>
          <t>Carnivorous invertebrates</t>
        </is>
      </c>
      <c r="H98" t="n">
        <v>8.363599000000001</v>
      </c>
      <c r="I98" t="n">
        <v>10.599519</v>
      </c>
      <c r="J98" t="n">
        <v>10.599519</v>
      </c>
      <c r="K98" t="n">
        <v>8.596209999999999</v>
      </c>
      <c r="L98" t="n">
        <v>33.321302</v>
      </c>
      <c r="M98" t="n">
        <v>10.599519</v>
      </c>
      <c r="N98" t="n">
        <v>10.599519</v>
      </c>
      <c r="O98" t="n">
        <v>4.427048</v>
      </c>
      <c r="P98" t="n">
        <v>2.833311</v>
      </c>
      <c r="Q98" t="n">
        <v>10.599519</v>
      </c>
      <c r="R98" t="n">
        <v>10.599519</v>
      </c>
      <c r="S98" t="n">
        <v>4.427048</v>
      </c>
      <c r="T98" t="n">
        <v>4.427048</v>
      </c>
      <c r="U98" t="n">
        <v>2.833311</v>
      </c>
      <c r="V98" t="n">
        <v>2.833311</v>
      </c>
      <c r="W98" t="n">
        <v>4.634727</v>
      </c>
      <c r="X98" t="n">
        <v>11.090676</v>
      </c>
    </row>
    <row r="99" ht="21" customHeight="1">
      <c r="A99" t="inlineStr">
        <is>
          <t>Elasmobranchii</t>
        </is>
      </c>
      <c r="B99" t="n">
        <v>4.05</v>
      </c>
      <c r="C99" t="n">
        <v>1122.018454</v>
      </c>
      <c r="D99" s="11" t="inlineStr">
        <is>
          <t>Unresolved</t>
        </is>
      </c>
    </row>
    <row r="100" ht="21" customHeight="1">
      <c r="A100" t="inlineStr">
        <is>
          <t>Trachurus</t>
        </is>
      </c>
      <c r="B100" t="n">
        <v>3.69</v>
      </c>
      <c r="C100" t="n">
        <v>489.778819</v>
      </c>
      <c r="D100" s="11" t="inlineStr">
        <is>
          <t>Unresolved</t>
        </is>
      </c>
    </row>
    <row r="101" ht="21" customHeight="1">
      <c r="A101" t="inlineStr">
        <is>
          <t>Haliotidae</t>
        </is>
      </c>
      <c r="B101" t="n">
        <v>2</v>
      </c>
      <c r="C101" t="n">
        <v>10</v>
      </c>
      <c r="D101" s="11" t="inlineStr">
        <is>
          <t>2nd level benthos</t>
        </is>
      </c>
      <c r="H101" t="n">
        <v>1.584008</v>
      </c>
      <c r="I101" t="n">
        <v>1.276188</v>
      </c>
      <c r="J101" t="n">
        <v>1.276188</v>
      </c>
      <c r="K101" t="n">
        <v>0.657237</v>
      </c>
      <c r="L101" t="n">
        <v>4.011903</v>
      </c>
      <c r="M101" t="n">
        <v>1.276188</v>
      </c>
      <c r="N101" t="n">
        <v>1.276188</v>
      </c>
      <c r="O101" t="n">
        <v>0.657237</v>
      </c>
      <c r="P101" t="n">
        <v>0.525789</v>
      </c>
      <c r="Q101" t="n">
        <v>1.276188</v>
      </c>
      <c r="R101" t="n">
        <v>1.276188</v>
      </c>
      <c r="S101" t="n">
        <v>0.657237</v>
      </c>
      <c r="T101" t="n">
        <v>0.657237</v>
      </c>
      <c r="U101" t="n">
        <v>0.525789</v>
      </c>
      <c r="V101" t="n">
        <v>0.525789</v>
      </c>
      <c r="W101" t="n">
        <v>0.668758</v>
      </c>
      <c r="X101" t="n">
        <v>1.266224</v>
      </c>
    </row>
    <row r="102" ht="21" customHeight="1">
      <c r="A102" t="inlineStr">
        <is>
          <t>Corbicula japonica</t>
        </is>
      </c>
      <c r="B102" t="n">
        <v>2.05</v>
      </c>
      <c r="C102" t="n">
        <v>11.220185</v>
      </c>
      <c r="D102" s="11" t="inlineStr">
        <is>
          <t>2nd level benthos</t>
        </is>
      </c>
      <c r="H102" t="n">
        <v>1.584008</v>
      </c>
      <c r="I102" t="n">
        <v>1.276188</v>
      </c>
      <c r="J102" t="n">
        <v>1.276188</v>
      </c>
      <c r="K102" t="n">
        <v>0.657237</v>
      </c>
      <c r="L102" t="n">
        <v>4.011903</v>
      </c>
      <c r="M102" t="n">
        <v>1.276188</v>
      </c>
      <c r="N102" t="n">
        <v>1.276188</v>
      </c>
      <c r="O102" t="n">
        <v>0.657237</v>
      </c>
      <c r="P102" t="n">
        <v>0.525789</v>
      </c>
      <c r="Q102" t="n">
        <v>1.276188</v>
      </c>
      <c r="R102" t="n">
        <v>1.276188</v>
      </c>
      <c r="S102" t="n">
        <v>0.657237</v>
      </c>
      <c r="T102" t="n">
        <v>0.657237</v>
      </c>
      <c r="U102" t="n">
        <v>0.525789</v>
      </c>
      <c r="V102" t="n">
        <v>0.525789</v>
      </c>
      <c r="W102" t="n">
        <v>0.668758</v>
      </c>
      <c r="X102" t="n">
        <v>1.266224</v>
      </c>
    </row>
    <row r="103" ht="51" customHeight="1">
      <c r="A103" t="inlineStr">
        <is>
          <t>Gadiformes</t>
        </is>
      </c>
      <c r="D103" s="11" t="inlineStr">
        <is>
          <t>Walleye pollock | Juv. pollock | Other Gadidae | Other bottom fishes</t>
        </is>
      </c>
      <c r="H103" t="n">
        <v>73.919128</v>
      </c>
      <c r="I103" t="n">
        <v>553.2748790000001</v>
      </c>
      <c r="J103" t="n">
        <v>597.991033</v>
      </c>
      <c r="K103" t="n">
        <v>452.811401</v>
      </c>
      <c r="L103" t="n">
        <v>-24066.505507</v>
      </c>
      <c r="M103" t="n">
        <v>-11836.928738</v>
      </c>
      <c r="N103" t="n">
        <v>-11836.928738</v>
      </c>
      <c r="O103" t="n">
        <v>990.3759659999999</v>
      </c>
      <c r="P103" t="n">
        <v>208.883225</v>
      </c>
      <c r="Q103" t="n">
        <v>-11836.928738</v>
      </c>
      <c r="R103" t="n">
        <v>-11836.928738</v>
      </c>
      <c r="S103" t="n">
        <v>990.3759659999999</v>
      </c>
      <c r="T103" t="n">
        <v>990.3759659999999</v>
      </c>
      <c r="U103" t="n">
        <v>208.883225</v>
      </c>
      <c r="V103" t="n">
        <v>208.883225</v>
      </c>
      <c r="W103" t="n">
        <v>1268.181098</v>
      </c>
      <c r="X103" t="n">
        <v>46716.444604</v>
      </c>
    </row>
    <row r="104" ht="21" customHeight="1">
      <c r="A104" t="inlineStr">
        <is>
          <t>Lycodes</t>
        </is>
      </c>
      <c r="B104" t="n">
        <v>3.3</v>
      </c>
      <c r="C104" t="n">
        <v>199.526231</v>
      </c>
      <c r="D104" s="11" t="inlineStr">
        <is>
          <t>Other bottom fishes</t>
        </is>
      </c>
      <c r="H104" t="n">
        <v>100.627577</v>
      </c>
      <c r="I104" t="n">
        <v>239.404535</v>
      </c>
      <c r="J104" t="n">
        <v>244.344168</v>
      </c>
      <c r="K104" t="n">
        <v>244.344168</v>
      </c>
      <c r="L104" t="n">
        <v>4898.328707</v>
      </c>
      <c r="M104" t="n">
        <v>2453.810395</v>
      </c>
      <c r="N104" t="n">
        <v>2453.810395</v>
      </c>
      <c r="O104" t="n">
        <v>991.728786</v>
      </c>
      <c r="P104" t="n">
        <v>186.581218</v>
      </c>
      <c r="Q104" t="n">
        <v>2453.810395</v>
      </c>
      <c r="R104" t="n">
        <v>2453.810395</v>
      </c>
      <c r="S104" t="n">
        <v>991.728786</v>
      </c>
      <c r="T104" t="n">
        <v>991.728786</v>
      </c>
      <c r="U104" t="n">
        <v>186.581218</v>
      </c>
      <c r="V104" t="n">
        <v>186.581218</v>
      </c>
      <c r="W104" t="n">
        <v>1168.976189</v>
      </c>
      <c r="X104" t="n">
        <v>3060.457118</v>
      </c>
    </row>
    <row r="105" ht="51" customHeight="1">
      <c r="A105" t="inlineStr">
        <is>
          <t>Actinopterygii</t>
        </is>
      </c>
      <c r="B105" t="n">
        <v>3.79</v>
      </c>
      <c r="C105" t="n">
        <v>616.595002</v>
      </c>
      <c r="D105" s="11" t="inlineStr">
        <is>
          <t>Other bottom fishes | Other Gadidae | Cottidae | Pleuronectidae</t>
        </is>
      </c>
      <c r="H105" t="n">
        <v>101.097549</v>
      </c>
      <c r="I105" t="n">
        <v>1613.783831</v>
      </c>
      <c r="J105" t="n">
        <v>1979.508926</v>
      </c>
      <c r="K105" t="n">
        <v>765.804151</v>
      </c>
      <c r="L105" t="n">
        <v>-220473.706559</v>
      </c>
      <c r="M105" t="n">
        <v>-108782.700319</v>
      </c>
      <c r="N105" t="n">
        <v>-108782.700319</v>
      </c>
      <c r="O105" t="n">
        <v>3955.276805</v>
      </c>
      <c r="P105" t="n">
        <v>436.949775</v>
      </c>
      <c r="Q105" t="n">
        <v>-108782.700319</v>
      </c>
      <c r="R105" t="n">
        <v>-108782.700319</v>
      </c>
      <c r="S105" t="n">
        <v>3955.276805</v>
      </c>
      <c r="T105" t="n">
        <v>3955.276805</v>
      </c>
      <c r="U105" t="n">
        <v>436.949775</v>
      </c>
      <c r="V105" t="n">
        <v>436.949775</v>
      </c>
      <c r="W105" t="n">
        <v>5951.473602</v>
      </c>
      <c r="X105" t="n">
        <v>381830.794228</v>
      </c>
    </row>
    <row r="106" ht="36" customHeight="1">
      <c r="A106" t="inlineStr">
        <is>
          <t>Miscellaneous aquatic invertebrates</t>
        </is>
      </c>
      <c r="B106" t="n">
        <v>2.43</v>
      </c>
      <c r="C106" t="n">
        <v>26.915348</v>
      </c>
      <c r="D106" s="11" t="inlineStr">
        <is>
          <t>2nd level benthos | Carnivorous invertebrates</t>
        </is>
      </c>
      <c r="H106" t="n">
        <v>3.049394</v>
      </c>
      <c r="I106" t="n">
        <v>3.291395</v>
      </c>
      <c r="J106" t="n">
        <v>3.291395</v>
      </c>
      <c r="K106" t="n">
        <v>2.373219</v>
      </c>
      <c r="L106" t="n">
        <v>10.347032</v>
      </c>
      <c r="M106" t="n">
        <v>3.291395</v>
      </c>
      <c r="N106" t="n">
        <v>3.291395</v>
      </c>
      <c r="O106" t="n">
        <v>1.472069</v>
      </c>
      <c r="P106" t="n">
        <v>1.024553</v>
      </c>
      <c r="Q106" t="n">
        <v>3.291395</v>
      </c>
      <c r="R106" t="n">
        <v>3.291395</v>
      </c>
      <c r="S106" t="n">
        <v>1.472069</v>
      </c>
      <c r="T106" t="n">
        <v>1.472069</v>
      </c>
      <c r="U106" t="n">
        <v>1.024553</v>
      </c>
      <c r="V106" t="n">
        <v>1.024553</v>
      </c>
      <c r="W106" t="n">
        <v>1.525989</v>
      </c>
      <c r="X106" t="n">
        <v>3.389747</v>
      </c>
    </row>
    <row r="107" ht="21" customHeight="1">
      <c r="A107" t="inlineStr">
        <is>
          <t>Erimacrus isenbeckii</t>
        </is>
      </c>
      <c r="B107" t="n">
        <v>2.6</v>
      </c>
      <c r="C107" t="n">
        <v>39.810717</v>
      </c>
      <c r="D107" s="11" t="inlineStr">
        <is>
          <t>Crabs and shrimps</t>
        </is>
      </c>
      <c r="H107" t="n">
        <v>20.712164</v>
      </c>
      <c r="I107" t="n">
        <v>30.295516</v>
      </c>
      <c r="J107" t="n">
        <v>30.606649</v>
      </c>
      <c r="K107" t="n">
        <v>30.606649</v>
      </c>
      <c r="L107" t="n">
        <v>181.735308</v>
      </c>
      <c r="M107" t="n">
        <v>76.890044</v>
      </c>
      <c r="N107" t="n">
        <v>76.890044</v>
      </c>
      <c r="O107" t="n">
        <v>40.463114</v>
      </c>
      <c r="P107" t="n">
        <v>14.877665</v>
      </c>
      <c r="Q107" t="n">
        <v>76.890044</v>
      </c>
      <c r="R107" t="n">
        <v>76.890044</v>
      </c>
      <c r="S107" t="n">
        <v>40.463114</v>
      </c>
      <c r="T107" t="n">
        <v>40.463114</v>
      </c>
      <c r="U107" t="n">
        <v>14.877665</v>
      </c>
      <c r="V107" t="n">
        <v>14.877665</v>
      </c>
      <c r="W107" t="n">
        <v>44.221943</v>
      </c>
      <c r="X107" t="n">
        <v>84.736037</v>
      </c>
    </row>
    <row r="108" ht="21" customHeight="1">
      <c r="A108" t="inlineStr">
        <is>
          <t>Mytilidae</t>
        </is>
      </c>
      <c r="B108" t="n">
        <v>2</v>
      </c>
      <c r="C108" t="n">
        <v>10</v>
      </c>
      <c r="D108" s="11" t="inlineStr">
        <is>
          <t>2nd level benthos</t>
        </is>
      </c>
      <c r="H108" t="n">
        <v>1.584008</v>
      </c>
      <c r="I108" t="n">
        <v>1.276188</v>
      </c>
      <c r="J108" t="n">
        <v>1.276188</v>
      </c>
      <c r="K108" t="n">
        <v>0.657237</v>
      </c>
      <c r="L108" t="n">
        <v>4.011903</v>
      </c>
      <c r="M108" t="n">
        <v>1.276188</v>
      </c>
      <c r="N108" t="n">
        <v>1.276188</v>
      </c>
      <c r="O108" t="n">
        <v>0.657237</v>
      </c>
      <c r="P108" t="n">
        <v>0.525789</v>
      </c>
      <c r="Q108" t="n">
        <v>1.276188</v>
      </c>
      <c r="R108" t="n">
        <v>1.276188</v>
      </c>
      <c r="S108" t="n">
        <v>0.657237</v>
      </c>
      <c r="T108" t="n">
        <v>0.657237</v>
      </c>
      <c r="U108" t="n">
        <v>0.525789</v>
      </c>
      <c r="V108" t="n">
        <v>0.525789</v>
      </c>
      <c r="W108" t="n">
        <v>0.668758</v>
      </c>
      <c r="X108" t="n">
        <v>1.266224</v>
      </c>
    </row>
    <row r="109" ht="21" customHeight="1">
      <c r="A109" t="inlineStr">
        <is>
          <t>Penaeus chinensis</t>
        </is>
      </c>
      <c r="B109" t="n">
        <v>2</v>
      </c>
      <c r="C109" t="n">
        <v>10</v>
      </c>
      <c r="D109" s="11" t="inlineStr">
        <is>
          <t>Crabs and shrimps</t>
        </is>
      </c>
      <c r="H109" t="n">
        <v>20.712164</v>
      </c>
      <c r="I109" t="n">
        <v>30.295516</v>
      </c>
      <c r="J109" t="n">
        <v>30.606649</v>
      </c>
      <c r="K109" t="n">
        <v>30.606649</v>
      </c>
      <c r="L109" t="n">
        <v>181.735308</v>
      </c>
      <c r="M109" t="n">
        <v>76.890044</v>
      </c>
      <c r="N109" t="n">
        <v>76.890044</v>
      </c>
      <c r="O109" t="n">
        <v>40.463114</v>
      </c>
      <c r="P109" t="n">
        <v>14.877665</v>
      </c>
      <c r="Q109" t="n">
        <v>76.890044</v>
      </c>
      <c r="R109" t="n">
        <v>76.890044</v>
      </c>
      <c r="S109" t="n">
        <v>40.463114</v>
      </c>
      <c r="T109" t="n">
        <v>40.463114</v>
      </c>
      <c r="U109" t="n">
        <v>14.877665</v>
      </c>
      <c r="V109" t="n">
        <v>14.877665</v>
      </c>
      <c r="W109" t="n">
        <v>44.221943</v>
      </c>
      <c r="X109" t="n">
        <v>84.736037</v>
      </c>
    </row>
    <row r="110" ht="21" customHeight="1">
      <c r="A110" t="inlineStr">
        <is>
          <t>Congridae</t>
        </is>
      </c>
      <c r="B110" t="n">
        <v>4.18</v>
      </c>
      <c r="C110" t="n">
        <v>1513.561248</v>
      </c>
      <c r="D110" s="11" t="inlineStr">
        <is>
          <t>Unresolved</t>
        </is>
      </c>
    </row>
    <row r="111" ht="21" customHeight="1">
      <c r="A111" t="inlineStr">
        <is>
          <t>Serranidae</t>
        </is>
      </c>
      <c r="B111" t="n">
        <v>3.98</v>
      </c>
      <c r="C111" t="n">
        <v>954.992586</v>
      </c>
      <c r="D111" s="11" t="inlineStr">
        <is>
          <t>Unresolved</t>
        </is>
      </c>
    </row>
    <row r="112" ht="21" customHeight="1">
      <c r="A112" t="inlineStr">
        <is>
          <t>Synodontidae</t>
        </is>
      </c>
      <c r="B112" t="n">
        <v>4.3</v>
      </c>
      <c r="C112" t="n">
        <v>1995.262315</v>
      </c>
      <c r="D112" s="11" t="inlineStr">
        <is>
          <t>Unresolved</t>
        </is>
      </c>
    </row>
    <row r="113" ht="21" customHeight="1">
      <c r="A113" t="inlineStr">
        <is>
          <t>Perciformes</t>
        </is>
      </c>
      <c r="B113" t="n">
        <v>3.53</v>
      </c>
      <c r="C113" t="n">
        <v>338.844156</v>
      </c>
      <c r="D113" s="11" t="inlineStr">
        <is>
          <t>Unresolved</t>
        </is>
      </c>
    </row>
    <row r="114" ht="21" customHeight="1">
      <c r="A114" t="inlineStr">
        <is>
          <t>Ommastrephes bartramii</t>
        </is>
      </c>
      <c r="B114" t="n">
        <v>4.37</v>
      </c>
      <c r="C114" t="n">
        <v>2344.228815</v>
      </c>
      <c r="D114" s="11" t="inlineStr">
        <is>
          <t>Squids</t>
        </is>
      </c>
      <c r="H114" t="n">
        <v>59.815369</v>
      </c>
      <c r="I114" t="n">
        <v>33.411687</v>
      </c>
      <c r="J114" t="n">
        <v>35.600362</v>
      </c>
      <c r="K114" t="n">
        <v>16.838971</v>
      </c>
      <c r="L114" t="n">
        <v>245.671067</v>
      </c>
      <c r="M114" t="n">
        <v>127.58296</v>
      </c>
      <c r="N114" t="n">
        <v>127.58296</v>
      </c>
      <c r="O114" t="n">
        <v>49.760897</v>
      </c>
      <c r="P114" t="n">
        <v>16.659949</v>
      </c>
      <c r="Q114" t="n">
        <v>127.58296</v>
      </c>
      <c r="R114" t="n">
        <v>127.58296</v>
      </c>
      <c r="S114" t="n">
        <v>49.760897</v>
      </c>
      <c r="T114" t="n">
        <v>49.760897</v>
      </c>
      <c r="U114" t="n">
        <v>16.659949</v>
      </c>
      <c r="V114" t="n">
        <v>16.659949</v>
      </c>
      <c r="W114" t="n">
        <v>52.970045</v>
      </c>
      <c r="X114" t="n">
        <v>139.288108</v>
      </c>
    </row>
    <row r="115" ht="21" customHeight="1">
      <c r="A115" t="inlineStr">
        <is>
          <t>Sclerocrangon</t>
        </is>
      </c>
      <c r="B115" t="n">
        <v>2.2</v>
      </c>
      <c r="C115" t="n">
        <v>15.848932</v>
      </c>
      <c r="D115" s="11" t="inlineStr">
        <is>
          <t>Crabs and shrimps</t>
        </is>
      </c>
      <c r="H115" t="n">
        <v>20.712164</v>
      </c>
      <c r="I115" t="n">
        <v>30.295516</v>
      </c>
      <c r="J115" t="n">
        <v>30.606649</v>
      </c>
      <c r="K115" t="n">
        <v>30.606649</v>
      </c>
      <c r="L115" t="n">
        <v>181.735308</v>
      </c>
      <c r="M115" t="n">
        <v>76.890044</v>
      </c>
      <c r="N115" t="n">
        <v>76.890044</v>
      </c>
      <c r="O115" t="n">
        <v>40.463114</v>
      </c>
      <c r="P115" t="n">
        <v>14.877665</v>
      </c>
      <c r="Q115" t="n">
        <v>76.890044</v>
      </c>
      <c r="R115" t="n">
        <v>76.890044</v>
      </c>
      <c r="S115" t="n">
        <v>40.463114</v>
      </c>
      <c r="T115" t="n">
        <v>40.463114</v>
      </c>
      <c r="U115" t="n">
        <v>14.877665</v>
      </c>
      <c r="V115" t="n">
        <v>14.877665</v>
      </c>
      <c r="W115" t="n">
        <v>44.221943</v>
      </c>
      <c r="X115" t="n">
        <v>84.736037</v>
      </c>
    </row>
    <row r="116" ht="21" customHeight="1">
      <c r="A116" t="inlineStr">
        <is>
          <t>Mugilidae</t>
        </is>
      </c>
      <c r="B116" t="n">
        <v>2.53</v>
      </c>
      <c r="C116" t="n">
        <v>33.884416</v>
      </c>
      <c r="D116" s="11" t="inlineStr">
        <is>
          <t>Unresolved</t>
        </is>
      </c>
    </row>
    <row r="117" ht="21" customHeight="1">
      <c r="A117" t="inlineStr">
        <is>
          <t>Hexagrammos otakii</t>
        </is>
      </c>
      <c r="D117" s="11" t="inlineStr">
        <is>
          <t>Other bottom fishes</t>
        </is>
      </c>
      <c r="H117" t="n">
        <v>100.627577</v>
      </c>
      <c r="I117" t="n">
        <v>239.404535</v>
      </c>
      <c r="J117" t="n">
        <v>244.344168</v>
      </c>
      <c r="K117" t="n">
        <v>244.344168</v>
      </c>
      <c r="L117" t="n">
        <v>4898.328707</v>
      </c>
      <c r="M117" t="n">
        <v>2453.810395</v>
      </c>
      <c r="N117" t="n">
        <v>2453.810395</v>
      </c>
      <c r="O117" t="n">
        <v>991.728786</v>
      </c>
      <c r="P117" t="n">
        <v>186.581218</v>
      </c>
      <c r="Q117" t="n">
        <v>2453.810395</v>
      </c>
      <c r="R117" t="n">
        <v>2453.810395</v>
      </c>
      <c r="S117" t="n">
        <v>991.728786</v>
      </c>
      <c r="T117" t="n">
        <v>991.728786</v>
      </c>
      <c r="U117" t="n">
        <v>186.581218</v>
      </c>
      <c r="V117" t="n">
        <v>186.581218</v>
      </c>
      <c r="W117" t="n">
        <v>1168.976189</v>
      </c>
      <c r="X117" t="n">
        <v>3060.457118</v>
      </c>
    </row>
    <row r="118" ht="21" customHeight="1">
      <c r="A118" t="inlineStr">
        <is>
          <t>Hexagrammidae</t>
        </is>
      </c>
      <c r="B118" t="n">
        <v>3.72</v>
      </c>
      <c r="C118" t="n">
        <v>524.80746</v>
      </c>
      <c r="D118" s="11" t="inlineStr">
        <is>
          <t>Other bottom fishes</t>
        </is>
      </c>
      <c r="H118" t="n">
        <v>100.627577</v>
      </c>
      <c r="I118" t="n">
        <v>239.404535</v>
      </c>
      <c r="J118" t="n">
        <v>244.344168</v>
      </c>
      <c r="K118" t="n">
        <v>244.344168</v>
      </c>
      <c r="L118" t="n">
        <v>4898.328707</v>
      </c>
      <c r="M118" t="n">
        <v>2453.810395</v>
      </c>
      <c r="N118" t="n">
        <v>2453.810395</v>
      </c>
      <c r="O118" t="n">
        <v>991.728786</v>
      </c>
      <c r="P118" t="n">
        <v>186.581218</v>
      </c>
      <c r="Q118" t="n">
        <v>2453.810395</v>
      </c>
      <c r="R118" t="n">
        <v>2453.810395</v>
      </c>
      <c r="S118" t="n">
        <v>991.728786</v>
      </c>
      <c r="T118" t="n">
        <v>991.728786</v>
      </c>
      <c r="U118" t="n">
        <v>186.581218</v>
      </c>
      <c r="V118" t="n">
        <v>186.581218</v>
      </c>
      <c r="W118" t="n">
        <v>1168.976189</v>
      </c>
      <c r="X118" t="n">
        <v>3060.457118</v>
      </c>
    </row>
    <row r="119" ht="21" customHeight="1">
      <c r="A119" t="inlineStr">
        <is>
          <t>Marine pelagic fishes not identified</t>
        </is>
      </c>
      <c r="B119" t="n">
        <v>3.35</v>
      </c>
      <c r="C119" t="n">
        <v>223.872114</v>
      </c>
      <c r="D119" s="11" t="inlineStr">
        <is>
          <t>Unresolved</t>
        </is>
      </c>
    </row>
    <row r="120" ht="21" customHeight="1">
      <c r="A120" t="inlineStr">
        <is>
          <t>Beryx</t>
        </is>
      </c>
      <c r="B120" t="n">
        <v>3.97</v>
      </c>
      <c r="C120" t="n">
        <v>933.2543010000001</v>
      </c>
      <c r="D120" s="11" t="inlineStr">
        <is>
          <t>Unresolved</t>
        </is>
      </c>
    </row>
    <row r="121" ht="21" customHeight="1">
      <c r="A121" t="inlineStr">
        <is>
          <t>Apostichopus japonicus</t>
        </is>
      </c>
      <c r="B121" t="n">
        <v>2.3</v>
      </c>
      <c r="C121" t="n">
        <v>19.952623</v>
      </c>
      <c r="D121" s="11" t="inlineStr">
        <is>
          <t>2nd level benthos</t>
        </is>
      </c>
      <c r="H121" t="n">
        <v>1.584008</v>
      </c>
      <c r="I121" t="n">
        <v>1.276188</v>
      </c>
      <c r="J121" t="n">
        <v>1.276188</v>
      </c>
      <c r="K121" t="n">
        <v>0.657237</v>
      </c>
      <c r="L121" t="n">
        <v>4.011903</v>
      </c>
      <c r="M121" t="n">
        <v>1.276188</v>
      </c>
      <c r="N121" t="n">
        <v>1.276188</v>
      </c>
      <c r="O121" t="n">
        <v>0.657237</v>
      </c>
      <c r="P121" t="n">
        <v>0.525789</v>
      </c>
      <c r="Q121" t="n">
        <v>1.276188</v>
      </c>
      <c r="R121" t="n">
        <v>1.276188</v>
      </c>
      <c r="S121" t="n">
        <v>0.657237</v>
      </c>
      <c r="T121" t="n">
        <v>0.657237</v>
      </c>
      <c r="U121" t="n">
        <v>0.525789</v>
      </c>
      <c r="V121" t="n">
        <v>0.525789</v>
      </c>
      <c r="W121" t="n">
        <v>0.668758</v>
      </c>
      <c r="X121" t="n">
        <v>1.266224</v>
      </c>
    </row>
    <row r="122" ht="21" customHeight="1">
      <c r="A122" t="inlineStr">
        <is>
          <t>Crassostrea</t>
        </is>
      </c>
      <c r="B122" t="n">
        <v>2</v>
      </c>
      <c r="C122" t="n">
        <v>10</v>
      </c>
      <c r="D122" s="11" t="inlineStr">
        <is>
          <t>2nd level benthos</t>
        </is>
      </c>
      <c r="H122" t="n">
        <v>1.584008</v>
      </c>
      <c r="I122" t="n">
        <v>1.276188</v>
      </c>
      <c r="J122" t="n">
        <v>1.276188</v>
      </c>
      <c r="K122" t="n">
        <v>0.657237</v>
      </c>
      <c r="L122" t="n">
        <v>4.011903</v>
      </c>
      <c r="M122" t="n">
        <v>1.276188</v>
      </c>
      <c r="N122" t="n">
        <v>1.276188</v>
      </c>
      <c r="O122" t="n">
        <v>0.657237</v>
      </c>
      <c r="P122" t="n">
        <v>0.525789</v>
      </c>
      <c r="Q122" t="n">
        <v>1.276188</v>
      </c>
      <c r="R122" t="n">
        <v>1.276188</v>
      </c>
      <c r="S122" t="n">
        <v>0.657237</v>
      </c>
      <c r="T122" t="n">
        <v>0.657237</v>
      </c>
      <c r="U122" t="n">
        <v>0.525789</v>
      </c>
      <c r="V122" t="n">
        <v>0.525789</v>
      </c>
      <c r="W122" t="n">
        <v>0.668758</v>
      </c>
      <c r="X122" t="n">
        <v>1.266224</v>
      </c>
    </row>
    <row r="123" ht="21" customHeight="1">
      <c r="A123" t="inlineStr">
        <is>
          <t>Stromateidae</t>
        </is>
      </c>
      <c r="B123" t="n">
        <v>3.62</v>
      </c>
      <c r="C123" t="n">
        <v>416.869383</v>
      </c>
      <c r="D123" s="11" t="inlineStr">
        <is>
          <t>Unresolved</t>
        </is>
      </c>
    </row>
    <row r="124" ht="21" customHeight="1">
      <c r="A124" t="inlineStr">
        <is>
          <t>Bramidae</t>
        </is>
      </c>
      <c r="B124" t="n">
        <v>4.14</v>
      </c>
      <c r="C124" t="n">
        <v>1380.384265</v>
      </c>
      <c r="D124" s="11" t="inlineStr">
        <is>
          <t>Unresolved</t>
        </is>
      </c>
    </row>
    <row r="125" ht="21" customHeight="1">
      <c r="A125" t="inlineStr">
        <is>
          <t>Cephea</t>
        </is>
      </c>
      <c r="D125" s="11" t="inlineStr">
        <is>
          <t>Jellyfish</t>
        </is>
      </c>
      <c r="H125" t="n">
        <v>36.025678</v>
      </c>
      <c r="I125" t="n">
        <v>884.265432</v>
      </c>
      <c r="J125" t="n">
        <v>887.654236</v>
      </c>
      <c r="K125" t="n">
        <v>22.191356</v>
      </c>
      <c r="L125" t="n">
        <v>13084.005263</v>
      </c>
      <c r="M125" t="n">
        <v>6242.387754</v>
      </c>
      <c r="N125" t="n">
        <v>6242.387754</v>
      </c>
      <c r="O125" t="n">
        <v>32.743255</v>
      </c>
      <c r="P125" t="n">
        <v>10.354223</v>
      </c>
      <c r="Q125" t="n">
        <v>6242.387754</v>
      </c>
      <c r="R125" t="n">
        <v>6242.387754</v>
      </c>
      <c r="S125" t="n">
        <v>32.743255</v>
      </c>
      <c r="T125" t="n">
        <v>32.743255</v>
      </c>
      <c r="U125" t="n">
        <v>10.354223</v>
      </c>
      <c r="V125" t="n">
        <v>10.354223</v>
      </c>
      <c r="W125" t="n">
        <v>34.864605</v>
      </c>
      <c r="X125" t="n">
        <v>6957.067697</v>
      </c>
    </row>
    <row r="126" ht="21" customHeight="1">
      <c r="A126" t="inlineStr">
        <is>
          <t>Scorpaenidae</t>
        </is>
      </c>
      <c r="D126" s="11" t="inlineStr">
        <is>
          <t>Other bottom fishes</t>
        </is>
      </c>
      <c r="H126" t="n">
        <v>100.627577</v>
      </c>
      <c r="I126" t="n">
        <v>239.404535</v>
      </c>
      <c r="J126" t="n">
        <v>244.344168</v>
      </c>
      <c r="K126" t="n">
        <v>244.344168</v>
      </c>
      <c r="L126" t="n">
        <v>4898.328707</v>
      </c>
      <c r="M126" t="n">
        <v>2453.810395</v>
      </c>
      <c r="N126" t="n">
        <v>2453.810395</v>
      </c>
      <c r="O126" t="n">
        <v>991.728786</v>
      </c>
      <c r="P126" t="n">
        <v>186.581218</v>
      </c>
      <c r="Q126" t="n">
        <v>2453.810395</v>
      </c>
      <c r="R126" t="n">
        <v>2453.810395</v>
      </c>
      <c r="S126" t="n">
        <v>991.728786</v>
      </c>
      <c r="T126" t="n">
        <v>991.728786</v>
      </c>
      <c r="U126" t="n">
        <v>186.581218</v>
      </c>
      <c r="V126" t="n">
        <v>186.581218</v>
      </c>
      <c r="W126" t="n">
        <v>1168.976189</v>
      </c>
      <c r="X126" t="n">
        <v>3060.457118</v>
      </c>
    </row>
    <row r="127" ht="21" customHeight="1">
      <c r="A127" t="inlineStr">
        <is>
          <t>Scyphozoa</t>
        </is>
      </c>
      <c r="B127" t="n">
        <v>3.46</v>
      </c>
      <c r="C127" t="n">
        <v>288.40315</v>
      </c>
      <c r="D127" s="11" t="inlineStr">
        <is>
          <t>Jellyfish</t>
        </is>
      </c>
      <c r="H127" t="n">
        <v>36.025678</v>
      </c>
      <c r="I127" t="n">
        <v>884.265432</v>
      </c>
      <c r="J127" t="n">
        <v>887.654236</v>
      </c>
      <c r="K127" t="n">
        <v>22.191356</v>
      </c>
      <c r="L127" t="n">
        <v>13084.005263</v>
      </c>
      <c r="M127" t="n">
        <v>6242.387754</v>
      </c>
      <c r="N127" t="n">
        <v>6242.387754</v>
      </c>
      <c r="O127" t="n">
        <v>32.743255</v>
      </c>
      <c r="P127" t="n">
        <v>10.354223</v>
      </c>
      <c r="Q127" t="n">
        <v>6242.387754</v>
      </c>
      <c r="R127" t="n">
        <v>6242.387754</v>
      </c>
      <c r="S127" t="n">
        <v>32.743255</v>
      </c>
      <c r="T127" t="n">
        <v>32.743255</v>
      </c>
      <c r="U127" t="n">
        <v>10.354223</v>
      </c>
      <c r="V127" t="n">
        <v>10.354223</v>
      </c>
      <c r="W127" t="n">
        <v>34.864605</v>
      </c>
      <c r="X127" t="n">
        <v>6957.067697</v>
      </c>
    </row>
    <row r="128" ht="21" customHeight="1">
      <c r="A128" t="inlineStr">
        <is>
          <t>Pandalopsis japonica</t>
        </is>
      </c>
      <c r="D128" s="11" t="inlineStr">
        <is>
          <t>Crabs and shrimps</t>
        </is>
      </c>
      <c r="H128" t="n">
        <v>20.712164</v>
      </c>
      <c r="I128" t="n">
        <v>30.295516</v>
      </c>
      <c r="J128" t="n">
        <v>30.606649</v>
      </c>
      <c r="K128" t="n">
        <v>30.606649</v>
      </c>
      <c r="L128" t="n">
        <v>181.735308</v>
      </c>
      <c r="M128" t="n">
        <v>76.890044</v>
      </c>
      <c r="N128" t="n">
        <v>76.890044</v>
      </c>
      <c r="O128" t="n">
        <v>40.463114</v>
      </c>
      <c r="P128" t="n">
        <v>14.877665</v>
      </c>
      <c r="Q128" t="n">
        <v>76.890044</v>
      </c>
      <c r="R128" t="n">
        <v>76.890044</v>
      </c>
      <c r="S128" t="n">
        <v>40.463114</v>
      </c>
      <c r="T128" t="n">
        <v>40.463114</v>
      </c>
      <c r="U128" t="n">
        <v>14.877665</v>
      </c>
      <c r="V128" t="n">
        <v>14.877665</v>
      </c>
      <c r="W128" t="n">
        <v>44.221943</v>
      </c>
      <c r="X128" t="n">
        <v>84.736037</v>
      </c>
    </row>
    <row r="129" ht="21" customHeight="1">
      <c r="A129" t="inlineStr">
        <is>
          <t>Pandalus kessleri</t>
        </is>
      </c>
      <c r="B129" t="n">
        <v>2.6</v>
      </c>
      <c r="C129" t="n">
        <v>39.810717</v>
      </c>
      <c r="D129" s="11" t="inlineStr">
        <is>
          <t>Crabs and shrimps</t>
        </is>
      </c>
      <c r="H129" t="n">
        <v>20.712164</v>
      </c>
      <c r="I129" t="n">
        <v>30.295516</v>
      </c>
      <c r="J129" t="n">
        <v>30.606649</v>
      </c>
      <c r="K129" t="n">
        <v>30.606649</v>
      </c>
      <c r="L129" t="n">
        <v>181.735308</v>
      </c>
      <c r="M129" t="n">
        <v>76.890044</v>
      </c>
      <c r="N129" t="n">
        <v>76.890044</v>
      </c>
      <c r="O129" t="n">
        <v>40.463114</v>
      </c>
      <c r="P129" t="n">
        <v>14.877665</v>
      </c>
      <c r="Q129" t="n">
        <v>76.890044</v>
      </c>
      <c r="R129" t="n">
        <v>76.890044</v>
      </c>
      <c r="S129" t="n">
        <v>40.463114</v>
      </c>
      <c r="T129" t="n">
        <v>40.463114</v>
      </c>
      <c r="U129" t="n">
        <v>14.877665</v>
      </c>
      <c r="V129" t="n">
        <v>14.877665</v>
      </c>
      <c r="W129" t="n">
        <v>44.221943</v>
      </c>
      <c r="X129" t="n">
        <v>84.736037</v>
      </c>
    </row>
    <row r="130" ht="21" customHeight="1">
      <c r="A130" t="inlineStr">
        <is>
          <t>Oncorhynchus masou</t>
        </is>
      </c>
      <c r="B130" t="n">
        <v>3.6</v>
      </c>
      <c r="C130" t="n">
        <v>398.107171</v>
      </c>
      <c r="D130" s="11" t="inlineStr">
        <is>
          <t>Salmon</t>
        </is>
      </c>
      <c r="H130" t="n">
        <v>51.919844</v>
      </c>
      <c r="I130" t="n">
        <v>72.51717499999999</v>
      </c>
      <c r="J130" t="n">
        <v>72.7128</v>
      </c>
      <c r="K130" t="n">
        <v>22.031979</v>
      </c>
      <c r="L130" t="n">
        <v>685.4069909999999</v>
      </c>
      <c r="M130" t="n">
        <v>338.23529</v>
      </c>
      <c r="N130" t="n">
        <v>338.23529</v>
      </c>
      <c r="O130" t="n">
        <v>33.272784</v>
      </c>
      <c r="P130" t="n">
        <v>11.018898</v>
      </c>
      <c r="Q130" t="n">
        <v>338.23529</v>
      </c>
      <c r="R130" t="n">
        <v>338.23529</v>
      </c>
      <c r="S130" t="n">
        <v>33.272784</v>
      </c>
      <c r="T130" t="n">
        <v>33.272784</v>
      </c>
      <c r="U130" t="n">
        <v>11.018898</v>
      </c>
      <c r="V130" t="n">
        <v>11.018898</v>
      </c>
      <c r="W130" t="n">
        <v>35.439063</v>
      </c>
      <c r="X130" t="n">
        <v>371.568174</v>
      </c>
    </row>
    <row r="131" ht="21" customHeight="1">
      <c r="A131" t="inlineStr">
        <is>
          <t>Isurus</t>
        </is>
      </c>
      <c r="B131" t="n">
        <v>4.5</v>
      </c>
      <c r="C131" t="n">
        <v>3162.27766</v>
      </c>
      <c r="D131" s="11" t="inlineStr">
        <is>
          <t>Unresolved</t>
        </is>
      </c>
    </row>
    <row r="132" ht="21" customHeight="1">
      <c r="A132" t="inlineStr">
        <is>
          <t>Paralithodes brevipes</t>
        </is>
      </c>
      <c r="B132" t="n">
        <v>2</v>
      </c>
      <c r="C132" t="n">
        <v>10</v>
      </c>
      <c r="D132" s="11" t="inlineStr">
        <is>
          <t>Crabs and shrimps</t>
        </is>
      </c>
      <c r="H132" t="n">
        <v>20.712164</v>
      </c>
      <c r="I132" t="n">
        <v>30.295516</v>
      </c>
      <c r="J132" t="n">
        <v>30.606649</v>
      </c>
      <c r="K132" t="n">
        <v>30.606649</v>
      </c>
      <c r="L132" t="n">
        <v>181.735308</v>
      </c>
      <c r="M132" t="n">
        <v>76.890044</v>
      </c>
      <c r="N132" t="n">
        <v>76.890044</v>
      </c>
      <c r="O132" t="n">
        <v>40.463114</v>
      </c>
      <c r="P132" t="n">
        <v>14.877665</v>
      </c>
      <c r="Q132" t="n">
        <v>76.890044</v>
      </c>
      <c r="R132" t="n">
        <v>76.890044</v>
      </c>
      <c r="S132" t="n">
        <v>40.463114</v>
      </c>
      <c r="T132" t="n">
        <v>40.463114</v>
      </c>
      <c r="U132" t="n">
        <v>14.877665</v>
      </c>
      <c r="V132" t="n">
        <v>14.877665</v>
      </c>
      <c r="W132" t="n">
        <v>44.221943</v>
      </c>
      <c r="X132" t="n">
        <v>84.736037</v>
      </c>
    </row>
    <row r="133" ht="21" customHeight="1">
      <c r="A133" t="inlineStr">
        <is>
          <t>Metapenaeus</t>
        </is>
      </c>
      <c r="B133" t="n">
        <v>2.7</v>
      </c>
      <c r="C133" t="n">
        <v>50.118723</v>
      </c>
      <c r="D133" s="11" t="inlineStr">
        <is>
          <t>Crabs and shrimps</t>
        </is>
      </c>
      <c r="H133" t="n">
        <v>20.712164</v>
      </c>
      <c r="I133" t="n">
        <v>30.295516</v>
      </c>
      <c r="J133" t="n">
        <v>30.606649</v>
      </c>
      <c r="K133" t="n">
        <v>30.606649</v>
      </c>
      <c r="L133" t="n">
        <v>181.735308</v>
      </c>
      <c r="M133" t="n">
        <v>76.890044</v>
      </c>
      <c r="N133" t="n">
        <v>76.890044</v>
      </c>
      <c r="O133" t="n">
        <v>40.463114</v>
      </c>
      <c r="P133" t="n">
        <v>14.877665</v>
      </c>
      <c r="Q133" t="n">
        <v>76.890044</v>
      </c>
      <c r="R133" t="n">
        <v>76.890044</v>
      </c>
      <c r="S133" t="n">
        <v>40.463114</v>
      </c>
      <c r="T133" t="n">
        <v>40.463114</v>
      </c>
      <c r="U133" t="n">
        <v>14.877665</v>
      </c>
      <c r="V133" t="n">
        <v>14.877665</v>
      </c>
      <c r="W133" t="n">
        <v>44.221943</v>
      </c>
      <c r="X133" t="n">
        <v>84.736037</v>
      </c>
    </row>
    <row r="134" ht="21" customHeight="1">
      <c r="A134" t="inlineStr">
        <is>
          <t>Mola mola</t>
        </is>
      </c>
      <c r="B134" t="n">
        <v>3.68</v>
      </c>
      <c r="C134" t="n">
        <v>478.630092</v>
      </c>
      <c r="D134" s="11" t="inlineStr">
        <is>
          <t>Unresolved</t>
        </is>
      </c>
    </row>
    <row r="135" ht="21" customHeight="1">
      <c r="A135" t="inlineStr">
        <is>
          <t>Magallana gigas</t>
        </is>
      </c>
      <c r="B135" t="n">
        <v>2</v>
      </c>
      <c r="C135" t="n">
        <v>10</v>
      </c>
      <c r="D135" s="11" t="inlineStr">
        <is>
          <t>2nd level benthos</t>
        </is>
      </c>
      <c r="H135" t="n">
        <v>1.584008</v>
      </c>
      <c r="I135" t="n">
        <v>1.276188</v>
      </c>
      <c r="J135" t="n">
        <v>1.276188</v>
      </c>
      <c r="K135" t="n">
        <v>0.657237</v>
      </c>
      <c r="L135" t="n">
        <v>4.011903</v>
      </c>
      <c r="M135" t="n">
        <v>1.276188</v>
      </c>
      <c r="N135" t="n">
        <v>1.276188</v>
      </c>
      <c r="O135" t="n">
        <v>0.657237</v>
      </c>
      <c r="P135" t="n">
        <v>0.525789</v>
      </c>
      <c r="Q135" t="n">
        <v>1.276188</v>
      </c>
      <c r="R135" t="n">
        <v>1.276188</v>
      </c>
      <c r="S135" t="n">
        <v>0.657237</v>
      </c>
      <c r="T135" t="n">
        <v>0.657237</v>
      </c>
      <c r="U135" t="n">
        <v>0.525789</v>
      </c>
      <c r="V135" t="n">
        <v>0.525789</v>
      </c>
      <c r="W135" t="n">
        <v>0.668758</v>
      </c>
      <c r="X135" t="n">
        <v>1.266224</v>
      </c>
    </row>
    <row r="136" ht="21" customHeight="1">
      <c r="A136" t="inlineStr">
        <is>
          <t>Xiphias gladius</t>
        </is>
      </c>
      <c r="B136" t="n">
        <v>4.53</v>
      </c>
      <c r="C136" t="n">
        <v>3388.441561</v>
      </c>
      <c r="D136" s="11" t="inlineStr">
        <is>
          <t>Unresolved</t>
        </is>
      </c>
    </row>
    <row r="137" ht="21" customHeight="1">
      <c r="A137" t="inlineStr">
        <is>
          <t>Decapterus</t>
        </is>
      </c>
      <c r="B137" t="n">
        <v>3.63</v>
      </c>
      <c r="C137" t="n">
        <v>426.579519</v>
      </c>
      <c r="D137" s="11" t="inlineStr">
        <is>
          <t>Unresolved</t>
        </is>
      </c>
    </row>
    <row r="138" ht="21" customHeight="1">
      <c r="A138" t="inlineStr">
        <is>
          <t>Scomberomorus niphonius</t>
        </is>
      </c>
      <c r="B138" t="n">
        <v>4.5</v>
      </c>
      <c r="C138" t="n">
        <v>3162.27766</v>
      </c>
      <c r="D138" s="11" t="inlineStr">
        <is>
          <t>Unresolved</t>
        </is>
      </c>
    </row>
    <row r="139" ht="21" customHeight="1">
      <c r="A139" t="inlineStr">
        <is>
          <t>Panulirus</t>
        </is>
      </c>
      <c r="D139" s="11" t="inlineStr">
        <is>
          <t>Carnivorous invertebrates</t>
        </is>
      </c>
      <c r="H139" t="n">
        <v>8.363599000000001</v>
      </c>
      <c r="I139" t="n">
        <v>10.599519</v>
      </c>
      <c r="J139" t="n">
        <v>10.599519</v>
      </c>
      <c r="K139" t="n">
        <v>8.596209999999999</v>
      </c>
      <c r="L139" t="n">
        <v>33.321302</v>
      </c>
      <c r="M139" t="n">
        <v>10.599519</v>
      </c>
      <c r="N139" t="n">
        <v>10.599519</v>
      </c>
      <c r="O139" t="n">
        <v>4.427048</v>
      </c>
      <c r="P139" t="n">
        <v>2.833311</v>
      </c>
      <c r="Q139" t="n">
        <v>10.599519</v>
      </c>
      <c r="R139" t="n">
        <v>10.599519</v>
      </c>
      <c r="S139" t="n">
        <v>4.427048</v>
      </c>
      <c r="T139" t="n">
        <v>4.427048</v>
      </c>
      <c r="U139" t="n">
        <v>2.833311</v>
      </c>
      <c r="V139" t="n">
        <v>2.833311</v>
      </c>
      <c r="W139" t="n">
        <v>4.634727</v>
      </c>
      <c r="X139" t="n">
        <v>11.090676</v>
      </c>
    </row>
    <row r="140" ht="21" customHeight="1">
      <c r="A140" t="inlineStr">
        <is>
          <t>Rachycentron canadum</t>
        </is>
      </c>
      <c r="B140" t="n">
        <v>3.96</v>
      </c>
      <c r="C140" t="n">
        <v>912.010839</v>
      </c>
      <c r="D140" s="11" t="inlineStr">
        <is>
          <t>Unresolved</t>
        </is>
      </c>
    </row>
    <row r="141" ht="21" customHeight="1">
      <c r="A141" t="inlineStr">
        <is>
          <t>Coregonus</t>
        </is>
      </c>
      <c r="D141" s="11" t="inlineStr">
        <is>
          <t>Unresolved</t>
        </is>
      </c>
    </row>
    <row r="142" ht="21" customHeight="1">
      <c r="A142" t="inlineStr">
        <is>
          <t>Haliotis</t>
        </is>
      </c>
      <c r="D142" s="11" t="inlineStr">
        <is>
          <t>2nd level benthos</t>
        </is>
      </c>
      <c r="H142" t="n">
        <v>1.584008</v>
      </c>
      <c r="I142" t="n">
        <v>1.276188</v>
      </c>
      <c r="J142" t="n">
        <v>1.276188</v>
      </c>
      <c r="K142" t="n">
        <v>0.657237</v>
      </c>
      <c r="L142" t="n">
        <v>4.011903</v>
      </c>
      <c r="M142" t="n">
        <v>1.276188</v>
      </c>
      <c r="N142" t="n">
        <v>1.276188</v>
      </c>
      <c r="O142" t="n">
        <v>0.657237</v>
      </c>
      <c r="P142" t="n">
        <v>0.525789</v>
      </c>
      <c r="Q142" t="n">
        <v>1.276188</v>
      </c>
      <c r="R142" t="n">
        <v>1.276188</v>
      </c>
      <c r="S142" t="n">
        <v>0.657237</v>
      </c>
      <c r="T142" t="n">
        <v>0.657237</v>
      </c>
      <c r="U142" t="n">
        <v>0.525789</v>
      </c>
      <c r="V142" t="n">
        <v>0.525789</v>
      </c>
      <c r="W142" t="n">
        <v>0.668758</v>
      </c>
      <c r="X142" t="n">
        <v>1.266224</v>
      </c>
    </row>
    <row r="143" ht="21" customHeight="1">
      <c r="A143" t="inlineStr">
        <is>
          <t>Seriola dumerili</t>
        </is>
      </c>
      <c r="B143" t="n">
        <v>4.5</v>
      </c>
      <c r="C143" t="n">
        <v>3162.27766</v>
      </c>
      <c r="D143" s="11" t="inlineStr">
        <is>
          <t>Unresolved</t>
        </is>
      </c>
    </row>
    <row r="144" ht="21" customHeight="1">
      <c r="A144" t="inlineStr">
        <is>
          <t>Saurida</t>
        </is>
      </c>
      <c r="B144" t="n">
        <v>4.35</v>
      </c>
      <c r="C144" t="n">
        <v>2238.721139</v>
      </c>
      <c r="D144" s="11" t="inlineStr">
        <is>
          <t>Unresolved</t>
        </is>
      </c>
    </row>
    <row r="145" ht="21" customHeight="1">
      <c r="A145" t="inlineStr">
        <is>
          <t>Prionace glauca</t>
        </is>
      </c>
      <c r="B145" t="n">
        <v>4.35</v>
      </c>
      <c r="C145" t="n">
        <v>2238.721139</v>
      </c>
      <c r="D145" s="11" t="inlineStr">
        <is>
          <t>Unresolved</t>
        </is>
      </c>
    </row>
    <row r="146" ht="21" customHeight="1">
      <c r="A146" t="inlineStr">
        <is>
          <t>Echinozoa</t>
        </is>
      </c>
      <c r="D146" s="11" t="inlineStr">
        <is>
          <t>2nd level benthos</t>
        </is>
      </c>
      <c r="H146" t="n">
        <v>1.584008</v>
      </c>
      <c r="I146" t="n">
        <v>1.276188</v>
      </c>
      <c r="J146" t="n">
        <v>1.276188</v>
      </c>
      <c r="K146" t="n">
        <v>0.657237</v>
      </c>
      <c r="L146" t="n">
        <v>4.011903</v>
      </c>
      <c r="M146" t="n">
        <v>1.276188</v>
      </c>
      <c r="N146" t="n">
        <v>1.276188</v>
      </c>
      <c r="O146" t="n">
        <v>0.657237</v>
      </c>
      <c r="P146" t="n">
        <v>0.525789</v>
      </c>
      <c r="Q146" t="n">
        <v>1.276188</v>
      </c>
      <c r="R146" t="n">
        <v>1.276188</v>
      </c>
      <c r="S146" t="n">
        <v>0.657237</v>
      </c>
      <c r="T146" t="n">
        <v>0.657237</v>
      </c>
      <c r="U146" t="n">
        <v>0.525789</v>
      </c>
      <c r="V146" t="n">
        <v>0.525789</v>
      </c>
      <c r="W146" t="n">
        <v>0.668758</v>
      </c>
      <c r="X146" t="n">
        <v>1.266224</v>
      </c>
    </row>
    <row r="147" ht="21" customHeight="1">
      <c r="A147" t="inlineStr">
        <is>
          <t>Lates calcarifer</t>
        </is>
      </c>
      <c r="B147" t="n">
        <v>4.35</v>
      </c>
      <c r="C147" t="n">
        <v>2238.721139</v>
      </c>
      <c r="D147" s="11" t="inlineStr">
        <is>
          <t>Unresolved</t>
        </is>
      </c>
    </row>
    <row r="148" ht="21" customHeight="1">
      <c r="A148" t="inlineStr">
        <is>
          <t>Rhopilema hispidum</t>
        </is>
      </c>
      <c r="B148" t="n">
        <v>3.46</v>
      </c>
      <c r="C148" t="n">
        <v>288.40315</v>
      </c>
      <c r="D148" s="11" t="inlineStr">
        <is>
          <t>Jellyfish</t>
        </is>
      </c>
      <c r="H148" t="n">
        <v>36.025678</v>
      </c>
      <c r="I148" t="n">
        <v>884.265432</v>
      </c>
      <c r="J148" t="n">
        <v>887.654236</v>
      </c>
      <c r="K148" t="n">
        <v>22.191356</v>
      </c>
      <c r="L148" t="n">
        <v>13084.005263</v>
      </c>
      <c r="M148" t="n">
        <v>6242.387754</v>
      </c>
      <c r="N148" t="n">
        <v>6242.387754</v>
      </c>
      <c r="O148" t="n">
        <v>32.743255</v>
      </c>
      <c r="P148" t="n">
        <v>10.354223</v>
      </c>
      <c r="Q148" t="n">
        <v>6242.387754</v>
      </c>
      <c r="R148" t="n">
        <v>6242.387754</v>
      </c>
      <c r="S148" t="n">
        <v>32.743255</v>
      </c>
      <c r="T148" t="n">
        <v>32.743255</v>
      </c>
      <c r="U148" t="n">
        <v>10.354223</v>
      </c>
      <c r="V148" t="n">
        <v>10.354223</v>
      </c>
      <c r="W148" t="n">
        <v>34.864605</v>
      </c>
      <c r="X148" t="n">
        <v>6957.067697</v>
      </c>
    </row>
    <row r="149" ht="21" customHeight="1">
      <c r="A149" t="inlineStr">
        <is>
          <t>Scaridae</t>
        </is>
      </c>
      <c r="B149" t="n">
        <v>2</v>
      </c>
      <c r="C149" t="n">
        <v>10</v>
      </c>
      <c r="D149" s="11" t="inlineStr">
        <is>
          <t>Unresolved</t>
        </is>
      </c>
    </row>
    <row r="150" ht="21" customHeight="1">
      <c r="A150" t="inlineStr">
        <is>
          <t>Rachycentridae</t>
        </is>
      </c>
      <c r="D150" s="11" t="inlineStr">
        <is>
          <t>Unresolved</t>
        </is>
      </c>
    </row>
    <row r="151" ht="21" customHeight="1">
      <c r="A151" t="inlineStr">
        <is>
          <t>Chanos chanos</t>
        </is>
      </c>
      <c r="B151" t="n">
        <v>2.03</v>
      </c>
      <c r="C151" t="n">
        <v>10.715193</v>
      </c>
      <c r="D151" s="11" t="inlineStr">
        <is>
          <t>Unresolved</t>
        </is>
      </c>
    </row>
    <row r="152" ht="21" customHeight="1">
      <c r="A152" t="inlineStr">
        <is>
          <t>Pinctada</t>
        </is>
      </c>
      <c r="D152" s="11" t="inlineStr">
        <is>
          <t>2nd level benthos</t>
        </is>
      </c>
      <c r="H152" t="n">
        <v>1.584008</v>
      </c>
      <c r="I152" t="n">
        <v>1.276188</v>
      </c>
      <c r="J152" t="n">
        <v>1.276188</v>
      </c>
      <c r="K152" t="n">
        <v>0.657237</v>
      </c>
      <c r="L152" t="n">
        <v>4.011903</v>
      </c>
      <c r="M152" t="n">
        <v>1.276188</v>
      </c>
      <c r="N152" t="n">
        <v>1.276188</v>
      </c>
      <c r="O152" t="n">
        <v>0.657237</v>
      </c>
      <c r="P152" t="n">
        <v>0.525789</v>
      </c>
      <c r="Q152" t="n">
        <v>1.276188</v>
      </c>
      <c r="R152" t="n">
        <v>1.276188</v>
      </c>
      <c r="S152" t="n">
        <v>0.657237</v>
      </c>
      <c r="T152" t="n">
        <v>0.657237</v>
      </c>
      <c r="U152" t="n">
        <v>0.525789</v>
      </c>
      <c r="V152" t="n">
        <v>0.525789</v>
      </c>
      <c r="W152" t="n">
        <v>0.668758</v>
      </c>
      <c r="X152" t="n">
        <v>1.266224</v>
      </c>
    </row>
    <row r="153" ht="21" customHeight="1">
      <c r="A153" t="inlineStr">
        <is>
          <t>Scombroidei</t>
        </is>
      </c>
      <c r="D153" s="11" t="inlineStr">
        <is>
          <t>Unresolved</t>
        </is>
      </c>
    </row>
    <row r="154" ht="21" customHeight="1">
      <c r="A154" t="inlineStr">
        <is>
          <t>Sphyraena barracuda</t>
        </is>
      </c>
      <c r="B154" t="n">
        <v>4.49</v>
      </c>
      <c r="C154" t="n">
        <v>3090.295433</v>
      </c>
      <c r="D154" s="11" t="inlineStr">
        <is>
          <t>Unresolved</t>
        </is>
      </c>
    </row>
    <row r="155" ht="21" customHeight="1">
      <c r="A155" t="inlineStr">
        <is>
          <t>Isurus oxyrinchus</t>
        </is>
      </c>
      <c r="D155" s="11" t="inlineStr">
        <is>
          <t>Unresolved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T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1" t="inlineStr">
        <is>
          <t>Total PPR by method and year — every taxon summed, tonnes wet weight equivalent of primary production.</t>
        </is>
      </c>
    </row>
    <row r="2">
      <c r="A2" t="inlineStr">
        <is>
          <t>Primary producers only; excludes detritus and imports. The simple chain rows are unpartitioned references; model rows use this scope.</t>
        </is>
      </c>
    </row>
    <row r="3">
      <c r="A3" t="inlineStr">
        <is>
          <t>Methods are not alternatives to be averaged. They rest on different assumptions and the spread between them is the result.</t>
        </is>
      </c>
    </row>
    <row r="4">
      <c r="A4" t="inlineStr">
        <is>
          <t>The two grey rows aggregate the catch to a group before exponentiating, which understates the total: SPPR is convex in trophic level, so they measure the Jensen effect rather than the PPR.</t>
        </is>
      </c>
    </row>
    <row r="5">
      <c r="A5" s="4" t="inlineStr">
        <is>
          <t>method</t>
        </is>
      </c>
      <c r="B5" s="4" t="inlineStr">
        <is>
          <t>status</t>
        </is>
      </c>
      <c r="C5" s="4" t="n">
        <v>1950</v>
      </c>
      <c r="D5" s="4" t="n">
        <v>1951</v>
      </c>
      <c r="E5" s="4" t="n">
        <v>1952</v>
      </c>
      <c r="F5" s="4" t="n">
        <v>1953</v>
      </c>
      <c r="G5" s="4" t="n">
        <v>1954</v>
      </c>
      <c r="H5" s="4" t="n">
        <v>1955</v>
      </c>
      <c r="I5" s="4" t="n">
        <v>1956</v>
      </c>
      <c r="J5" s="4" t="n">
        <v>1957</v>
      </c>
      <c r="K5" s="4" t="n">
        <v>1958</v>
      </c>
      <c r="L5" s="4" t="n">
        <v>1959</v>
      </c>
      <c r="M5" s="4" t="n">
        <v>1960</v>
      </c>
      <c r="N5" s="4" t="n">
        <v>1961</v>
      </c>
      <c r="O5" s="4" t="n">
        <v>1962</v>
      </c>
      <c r="P5" s="4" t="n">
        <v>1963</v>
      </c>
      <c r="Q5" s="4" t="n">
        <v>1964</v>
      </c>
      <c r="R5" s="4" t="n">
        <v>1965</v>
      </c>
      <c r="S5" s="4" t="n">
        <v>1966</v>
      </c>
      <c r="T5" s="4" t="n">
        <v>1967</v>
      </c>
      <c r="U5" s="4" t="n">
        <v>1968</v>
      </c>
      <c r="V5" s="4" t="n">
        <v>1969</v>
      </c>
      <c r="W5" s="4" t="n">
        <v>1970</v>
      </c>
      <c r="X5" s="4" t="n">
        <v>1971</v>
      </c>
      <c r="Y5" s="4" t="n">
        <v>1972</v>
      </c>
      <c r="Z5" s="4" t="n">
        <v>1973</v>
      </c>
      <c r="AA5" s="4" t="n">
        <v>1974</v>
      </c>
      <c r="AB5" s="4" t="n">
        <v>1975</v>
      </c>
      <c r="AC5" s="4" t="n">
        <v>1976</v>
      </c>
      <c r="AD5" s="4" t="n">
        <v>1977</v>
      </c>
      <c r="AE5" s="4" t="n">
        <v>1978</v>
      </c>
      <c r="AF5" s="4" t="n">
        <v>1979</v>
      </c>
      <c r="AG5" s="4" t="n">
        <v>1980</v>
      </c>
      <c r="AH5" s="4" t="n">
        <v>1981</v>
      </c>
      <c r="AI5" s="4" t="n">
        <v>1982</v>
      </c>
      <c r="AJ5" s="4" t="n">
        <v>1983</v>
      </c>
      <c r="AK5" s="4" t="n">
        <v>1984</v>
      </c>
      <c r="AL5" s="4" t="n">
        <v>1985</v>
      </c>
      <c r="AM5" s="4" t="n">
        <v>1986</v>
      </c>
      <c r="AN5" s="4" t="n">
        <v>1987</v>
      </c>
      <c r="AO5" s="4" t="n">
        <v>1988</v>
      </c>
      <c r="AP5" s="4" t="n">
        <v>1989</v>
      </c>
      <c r="AQ5" s="4" t="n">
        <v>1990</v>
      </c>
      <c r="AR5" s="4" t="n">
        <v>1991</v>
      </c>
      <c r="AS5" s="4" t="n">
        <v>1992</v>
      </c>
      <c r="AT5" s="4" t="n">
        <v>1993</v>
      </c>
      <c r="AU5" s="4" t="n">
        <v>1994</v>
      </c>
      <c r="AV5" s="4" t="n">
        <v>1995</v>
      </c>
      <c r="AW5" s="4" t="n">
        <v>1996</v>
      </c>
      <c r="AX5" s="4" t="n">
        <v>1997</v>
      </c>
      <c r="AY5" s="4" t="n">
        <v>1998</v>
      </c>
      <c r="AZ5" s="4" t="n">
        <v>1999</v>
      </c>
      <c r="BA5" s="4" t="n">
        <v>2000</v>
      </c>
      <c r="BB5" s="4" t="n">
        <v>2001</v>
      </c>
      <c r="BC5" s="4" t="n">
        <v>2002</v>
      </c>
      <c r="BD5" s="4" t="n">
        <v>2003</v>
      </c>
      <c r="BE5" s="4" t="n">
        <v>2004</v>
      </c>
      <c r="BF5" s="4" t="n">
        <v>2005</v>
      </c>
      <c r="BG5" s="4" t="n">
        <v>2006</v>
      </c>
      <c r="BH5" s="4" t="n">
        <v>2007</v>
      </c>
      <c r="BI5" s="4" t="n">
        <v>2008</v>
      </c>
      <c r="BJ5" s="4" t="n">
        <v>2009</v>
      </c>
      <c r="BK5" s="4" t="n">
        <v>2010</v>
      </c>
      <c r="BL5" s="4" t="n">
        <v>2011</v>
      </c>
      <c r="BM5" s="4" t="n">
        <v>2012</v>
      </c>
      <c r="BN5" s="4" t="n">
        <v>2013</v>
      </c>
      <c r="BO5" s="4" t="n">
        <v>2014</v>
      </c>
      <c r="BP5" s="4" t="n">
        <v>2015</v>
      </c>
      <c r="BQ5" s="4" t="n">
        <v>2016</v>
      </c>
      <c r="BR5" s="4" t="n">
        <v>2017</v>
      </c>
      <c r="BS5" s="4" t="n">
        <v>2018</v>
      </c>
      <c r="BT5" s="4" t="n">
        <v>2019</v>
      </c>
    </row>
    <row r="6">
      <c r="A6" s="3" t="inlineStr">
        <is>
          <t>simple trophic chain, per taxon</t>
        </is>
      </c>
      <c r="B6" t="inlineStr">
        <is>
          <t>ok</t>
        </is>
      </c>
      <c r="C6" t="n">
        <v>538447225.896</v>
      </c>
      <c r="D6" t="n">
        <v>824868979.284</v>
      </c>
      <c r="E6" t="n">
        <v>648640399.201</v>
      </c>
      <c r="F6" t="n">
        <v>854938460.352</v>
      </c>
      <c r="G6" t="n">
        <v>726525927.198</v>
      </c>
      <c r="H6" t="n">
        <v>886972672.151</v>
      </c>
      <c r="I6" t="n">
        <v>909609221.6339999</v>
      </c>
      <c r="J6" t="n">
        <v>1034075139.513</v>
      </c>
      <c r="K6" t="n">
        <v>498794105.483</v>
      </c>
      <c r="L6" t="n">
        <v>549316829.0140001</v>
      </c>
      <c r="M6" t="n">
        <v>466008693.149</v>
      </c>
      <c r="N6" t="n">
        <v>517069944.85</v>
      </c>
      <c r="O6" t="n">
        <v>487268320.398</v>
      </c>
      <c r="P6" t="n">
        <v>584800261.02</v>
      </c>
      <c r="Q6" t="n">
        <v>496547339.437</v>
      </c>
      <c r="R6" t="n">
        <v>659761572.352</v>
      </c>
      <c r="S6" t="n">
        <v>602906920.008</v>
      </c>
      <c r="T6" t="n">
        <v>733040407.224</v>
      </c>
      <c r="U6" t="n">
        <v>730558103.414</v>
      </c>
      <c r="V6" t="n">
        <v>829348282.799</v>
      </c>
      <c r="W6" t="n">
        <v>681753955.103</v>
      </c>
      <c r="X6" t="n">
        <v>831382943.976</v>
      </c>
      <c r="Y6" t="n">
        <v>726962048.467</v>
      </c>
      <c r="Z6" t="n">
        <v>1056630934.456</v>
      </c>
      <c r="AA6" t="n">
        <v>999822157.251</v>
      </c>
      <c r="AB6" t="n">
        <v>1262493251.302</v>
      </c>
      <c r="AC6" t="n">
        <v>1204347559.537</v>
      </c>
      <c r="AD6" t="n">
        <v>1363367810.432</v>
      </c>
      <c r="AE6" t="n">
        <v>1185259895.003</v>
      </c>
      <c r="AF6" t="n">
        <v>1326991255.859</v>
      </c>
      <c r="AG6" t="n">
        <v>1359057632.076</v>
      </c>
      <c r="AH6" t="n">
        <v>1451930523.354</v>
      </c>
      <c r="AI6" t="n">
        <v>1557186722.244</v>
      </c>
      <c r="AJ6" t="n">
        <v>1789666929.727</v>
      </c>
      <c r="AK6" t="n">
        <v>2222465009.103</v>
      </c>
      <c r="AL6" t="n">
        <v>2432114918.185</v>
      </c>
      <c r="AM6" t="n">
        <v>2532339048.286</v>
      </c>
      <c r="AN6" t="n">
        <v>2595868086.644</v>
      </c>
      <c r="AO6" t="n">
        <v>2433206458.038</v>
      </c>
      <c r="AP6" t="n">
        <v>2932307484.528</v>
      </c>
      <c r="AQ6" t="n">
        <v>3055456345.439</v>
      </c>
      <c r="AR6" t="n">
        <v>3252190514.293</v>
      </c>
      <c r="AS6" t="n">
        <v>2916379671.355</v>
      </c>
      <c r="AT6" t="n">
        <v>2768892101.395</v>
      </c>
      <c r="AU6" t="n">
        <v>2486069921.598</v>
      </c>
      <c r="AV6" t="n">
        <v>3040275972.008</v>
      </c>
      <c r="AW6" t="n">
        <v>3295307219.845</v>
      </c>
      <c r="AX6" t="n">
        <v>3386502557.004</v>
      </c>
      <c r="AY6" t="n">
        <v>3025887386.808</v>
      </c>
      <c r="AZ6" t="n">
        <v>2869129506.549</v>
      </c>
      <c r="BA6" t="n">
        <v>2505816807.485</v>
      </c>
      <c r="BB6" t="n">
        <v>2545971959.947</v>
      </c>
      <c r="BC6" t="n">
        <v>1915973389.515</v>
      </c>
      <c r="BD6" t="n">
        <v>2307468182.39</v>
      </c>
      <c r="BE6" t="n">
        <v>1878414809.388</v>
      </c>
      <c r="BF6" t="n">
        <v>2234069749.265</v>
      </c>
      <c r="BG6" t="n">
        <v>2215642053.79</v>
      </c>
      <c r="BH6" t="n">
        <v>2513590305.755</v>
      </c>
      <c r="BI6" t="n">
        <v>2196739234.261</v>
      </c>
      <c r="BJ6" t="n">
        <v>2688961343.23</v>
      </c>
      <c r="BK6" t="n">
        <v>2498602894.136</v>
      </c>
      <c r="BL6" t="n">
        <v>3061549193.456</v>
      </c>
      <c r="BM6" t="n">
        <v>2809538353.54</v>
      </c>
      <c r="BN6" t="n">
        <v>2725016867.582</v>
      </c>
      <c r="BO6" t="n">
        <v>2504736826.23</v>
      </c>
      <c r="BP6" t="n">
        <v>2508969769.23</v>
      </c>
      <c r="BQ6" t="n">
        <v>2683229419.329</v>
      </c>
      <c r="BR6" t="n">
        <v>2555357731.152</v>
      </c>
      <c r="BS6" t="n">
        <v>3156910928.104</v>
      </c>
      <c r="BT6" t="n">
        <v>2799543442.983</v>
      </c>
    </row>
    <row r="7">
      <c r="A7" s="17" t="inlineStr">
        <is>
          <t>simple, aggregated to SAU functional group</t>
        </is>
      </c>
      <c r="B7" t="inlineStr">
        <is>
          <t>Jensen comparison, not a PPR estimate</t>
        </is>
      </c>
      <c r="C7" t="n">
        <v>385996526.057</v>
      </c>
      <c r="D7" t="n">
        <v>567431487.632</v>
      </c>
      <c r="E7" t="n">
        <v>457232477.894</v>
      </c>
      <c r="F7" t="n">
        <v>582377484.266</v>
      </c>
      <c r="G7" t="n">
        <v>507651367.178</v>
      </c>
      <c r="H7" t="n">
        <v>609364218.281</v>
      </c>
      <c r="I7" t="n">
        <v>635416553.641</v>
      </c>
      <c r="J7" t="n">
        <v>719046088.409</v>
      </c>
      <c r="K7" t="n">
        <v>403961764.576</v>
      </c>
      <c r="L7" t="n">
        <v>437429684.69</v>
      </c>
      <c r="M7" t="n">
        <v>399796613.189</v>
      </c>
      <c r="N7" t="n">
        <v>435009872.024</v>
      </c>
      <c r="O7" t="n">
        <v>421204130.748</v>
      </c>
      <c r="P7" t="n">
        <v>475705183.365</v>
      </c>
      <c r="Q7" t="n">
        <v>424884371.35</v>
      </c>
      <c r="R7" t="n">
        <v>538679329.3430001</v>
      </c>
      <c r="S7" t="n">
        <v>524820653.827</v>
      </c>
      <c r="T7" t="n">
        <v>612405410.98</v>
      </c>
      <c r="U7" t="n">
        <v>655841949.803</v>
      </c>
      <c r="V7" t="n">
        <v>689985559.766</v>
      </c>
      <c r="W7" t="n">
        <v>612459568.415</v>
      </c>
      <c r="X7" t="n">
        <v>704375504.085</v>
      </c>
      <c r="Y7" t="n">
        <v>650423722.952</v>
      </c>
      <c r="Z7" t="n">
        <v>906133632.526</v>
      </c>
      <c r="AA7" t="n">
        <v>898543506.7130001</v>
      </c>
      <c r="AB7" t="n">
        <v>1083705379.122</v>
      </c>
      <c r="AC7" t="n">
        <v>1070439532.873</v>
      </c>
      <c r="AD7" t="n">
        <v>1164209114.907</v>
      </c>
      <c r="AE7" t="n">
        <v>1051519816.413</v>
      </c>
      <c r="AF7" t="n">
        <v>1133647785.314</v>
      </c>
      <c r="AG7" t="n">
        <v>1179842711.035</v>
      </c>
      <c r="AH7" t="n">
        <v>1250914282.534</v>
      </c>
      <c r="AI7" t="n">
        <v>1396006560.313</v>
      </c>
      <c r="AJ7" t="n">
        <v>1549372012.571</v>
      </c>
      <c r="AK7" t="n">
        <v>2014375701.227</v>
      </c>
      <c r="AL7" t="n">
        <v>2166204273.793</v>
      </c>
      <c r="AM7" t="n">
        <v>2317007977.968</v>
      </c>
      <c r="AN7" t="n">
        <v>2299608089.596</v>
      </c>
      <c r="AO7" t="n">
        <v>2214093519.253</v>
      </c>
      <c r="AP7" t="n">
        <v>2565098942.826</v>
      </c>
      <c r="AQ7" t="n">
        <v>2741300031.666</v>
      </c>
      <c r="AR7" t="n">
        <v>2830172478.623</v>
      </c>
      <c r="AS7" t="n">
        <v>2585808406.281</v>
      </c>
      <c r="AT7" t="n">
        <v>2343488426.928</v>
      </c>
      <c r="AU7" t="n">
        <v>2098379473.476</v>
      </c>
      <c r="AV7" t="n">
        <v>2589214991.849</v>
      </c>
      <c r="AW7" t="n">
        <v>2873934143.517</v>
      </c>
      <c r="AX7" t="n">
        <v>2887490039.546</v>
      </c>
      <c r="AY7" t="n">
        <v>2543567140.704</v>
      </c>
      <c r="AZ7" t="n">
        <v>2357231544.991</v>
      </c>
      <c r="BA7" t="n">
        <v>1999881087.25</v>
      </c>
      <c r="BB7" t="n">
        <v>2022915197.168</v>
      </c>
      <c r="BC7" t="n">
        <v>1498307614.799</v>
      </c>
      <c r="BD7" t="n">
        <v>1788833208.771</v>
      </c>
      <c r="BE7" t="n">
        <v>1435468445.474</v>
      </c>
      <c r="BF7" t="n">
        <v>1672079581.24</v>
      </c>
      <c r="BG7" t="n">
        <v>1686491620.552</v>
      </c>
      <c r="BH7" t="n">
        <v>1920107664.152</v>
      </c>
      <c r="BI7" t="n">
        <v>1682504309.195</v>
      </c>
      <c r="BJ7" t="n">
        <v>1963627410.635</v>
      </c>
      <c r="BK7" t="n">
        <v>1903394361.324</v>
      </c>
      <c r="BL7" t="n">
        <v>2208534996.641</v>
      </c>
      <c r="BM7" t="n">
        <v>2060223032.665</v>
      </c>
      <c r="BN7" t="n">
        <v>2019540392.731</v>
      </c>
      <c r="BO7" t="n">
        <v>1884101688.877</v>
      </c>
      <c r="BP7" t="n">
        <v>1920402152.639</v>
      </c>
      <c r="BQ7" t="n">
        <v>2007365281.028</v>
      </c>
      <c r="BR7" t="n">
        <v>1957346967.425</v>
      </c>
      <c r="BS7" t="n">
        <v>2323100056.765</v>
      </c>
      <c r="BT7" t="n">
        <v>2131158645.148</v>
      </c>
    </row>
    <row r="8">
      <c r="A8" s="17" t="inlineStr">
        <is>
          <t>simple, aggregated to SAU commercial group</t>
        </is>
      </c>
      <c r="B8" t="inlineStr">
        <is>
          <t>Jensen comparison, not a PPR estimate</t>
        </is>
      </c>
      <c r="C8" t="n">
        <v>407568869.949</v>
      </c>
      <c r="D8" t="n">
        <v>630257223.777</v>
      </c>
      <c r="E8" t="n">
        <v>498793486.493</v>
      </c>
      <c r="F8" t="n">
        <v>669226412.086</v>
      </c>
      <c r="G8" t="n">
        <v>563339006.523</v>
      </c>
      <c r="H8" t="n">
        <v>686765452.706</v>
      </c>
      <c r="I8" t="n">
        <v>706141341.651</v>
      </c>
      <c r="J8" t="n">
        <v>810398179.098</v>
      </c>
      <c r="K8" t="n">
        <v>388906695.358</v>
      </c>
      <c r="L8" t="n">
        <v>419590773.683</v>
      </c>
      <c r="M8" t="n">
        <v>360392740.222</v>
      </c>
      <c r="N8" t="n">
        <v>400335629.598</v>
      </c>
      <c r="O8" t="n">
        <v>376400850.961</v>
      </c>
      <c r="P8" t="n">
        <v>449690220.024</v>
      </c>
      <c r="Q8" t="n">
        <v>401140028.665</v>
      </c>
      <c r="R8" t="n">
        <v>521388749.352</v>
      </c>
      <c r="S8" t="n">
        <v>496114805.853</v>
      </c>
      <c r="T8" t="n">
        <v>590995399.9960001</v>
      </c>
      <c r="U8" t="n">
        <v>605975258.173</v>
      </c>
      <c r="V8" t="n">
        <v>671614291.589</v>
      </c>
      <c r="W8" t="n">
        <v>581793909.52</v>
      </c>
      <c r="X8" t="n">
        <v>693224880.8839999</v>
      </c>
      <c r="Y8" t="n">
        <v>616495069.863</v>
      </c>
      <c r="Z8" t="n">
        <v>892566254.851</v>
      </c>
      <c r="AA8" t="n">
        <v>865872971.692</v>
      </c>
      <c r="AB8" t="n">
        <v>1083605155.938</v>
      </c>
      <c r="AC8" t="n">
        <v>1059353245.299</v>
      </c>
      <c r="AD8" t="n">
        <v>1169818516.33</v>
      </c>
      <c r="AE8" t="n">
        <v>1037102117.025</v>
      </c>
      <c r="AF8" t="n">
        <v>1135345866.57</v>
      </c>
      <c r="AG8" t="n">
        <v>1163580802.776</v>
      </c>
      <c r="AH8" t="n">
        <v>1243294922.407</v>
      </c>
      <c r="AI8" t="n">
        <v>1354218131.236</v>
      </c>
      <c r="AJ8" t="n">
        <v>1547158222.21</v>
      </c>
      <c r="AK8" t="n">
        <v>1926341929.373</v>
      </c>
      <c r="AL8" t="n">
        <v>2071915233.792</v>
      </c>
      <c r="AM8" t="n">
        <v>2208923402.412</v>
      </c>
      <c r="AN8" t="n">
        <v>2236694870.369</v>
      </c>
      <c r="AO8" t="n">
        <v>2149918051.385</v>
      </c>
      <c r="AP8" t="n">
        <v>2563523016.658</v>
      </c>
      <c r="AQ8" t="n">
        <v>2701245897.901</v>
      </c>
      <c r="AR8" t="n">
        <v>2864326748.303</v>
      </c>
      <c r="AS8" t="n">
        <v>2574278946.506</v>
      </c>
      <c r="AT8" t="n">
        <v>2427799635.014</v>
      </c>
      <c r="AU8" t="n">
        <v>2165440814.421</v>
      </c>
      <c r="AV8" t="n">
        <v>2656873856.795</v>
      </c>
      <c r="AW8" t="n">
        <v>2909232957.874</v>
      </c>
      <c r="AX8" t="n">
        <v>2984581136.241</v>
      </c>
      <c r="AY8" t="n">
        <v>2630368465.524</v>
      </c>
      <c r="AZ8" t="n">
        <v>2440960379.78</v>
      </c>
      <c r="BA8" t="n">
        <v>2084430745.296</v>
      </c>
      <c r="BB8" t="n">
        <v>2141949023.75</v>
      </c>
      <c r="BC8" t="n">
        <v>1538546174.013</v>
      </c>
      <c r="BD8" t="n">
        <v>1922892516.05</v>
      </c>
      <c r="BE8" t="n">
        <v>1522974798.962</v>
      </c>
      <c r="BF8" t="n">
        <v>1822894930.861</v>
      </c>
      <c r="BG8" t="n">
        <v>1806345600.355</v>
      </c>
      <c r="BH8" t="n">
        <v>2064261514.18</v>
      </c>
      <c r="BI8" t="n">
        <v>1780661428.873</v>
      </c>
      <c r="BJ8" t="n">
        <v>2185098615.537</v>
      </c>
      <c r="BK8" t="n">
        <v>2031074715.949</v>
      </c>
      <c r="BL8" t="n">
        <v>2505998795.856</v>
      </c>
      <c r="BM8" t="n">
        <v>2262505277.825</v>
      </c>
      <c r="BN8" t="n">
        <v>2176275147.601</v>
      </c>
      <c r="BO8" t="n">
        <v>1997807797.624</v>
      </c>
      <c r="BP8" t="n">
        <v>2012564340.847</v>
      </c>
      <c r="BQ8" t="n">
        <v>2148468352.836</v>
      </c>
      <c r="BR8" t="n">
        <v>2054636240.924</v>
      </c>
      <c r="BS8" t="n">
        <v>2536809348.029</v>
      </c>
      <c r="BT8" t="n">
        <v>2242784197.927</v>
      </c>
    </row>
    <row r="9">
      <c r="A9" s="18" t="inlineStr">
        <is>
          <t>SPPR_1986</t>
        </is>
      </c>
      <c r="B9" s="8" t="inlineStr">
        <is>
          <t>did not resolve for any mapped group</t>
        </is>
      </c>
    </row>
    <row r="10">
      <c r="A10" s="18" t="inlineStr">
        <is>
          <t>SPPR_1995_TE0.1</t>
        </is>
      </c>
      <c r="B10" s="8" t="inlineStr">
        <is>
          <t>did not resolve for any mapped group</t>
        </is>
      </c>
    </row>
    <row r="11">
      <c r="A11" s="18" t="inlineStr">
        <is>
          <t>SPPR_1995_TEmean</t>
        </is>
      </c>
      <c r="B11" s="8" t="inlineStr">
        <is>
          <t>did not resolve for any mapped group</t>
        </is>
      </c>
    </row>
    <row r="12">
      <c r="A12" t="inlineStr">
        <is>
          <t>Ulanowicz_globalTEmean</t>
        </is>
      </c>
      <c r="B12" t="inlineStr">
        <is>
          <t>ok</t>
        </is>
      </c>
      <c r="C12" t="n">
        <v>43260470.321</v>
      </c>
      <c r="D12" t="n">
        <v>51498230.804</v>
      </c>
      <c r="E12" t="n">
        <v>48104930.448</v>
      </c>
      <c r="F12" t="n">
        <v>53308542.422</v>
      </c>
      <c r="G12" t="n">
        <v>53957311.945</v>
      </c>
      <c r="H12" t="n">
        <v>63788696.936</v>
      </c>
      <c r="I12" t="n">
        <v>69104709.318</v>
      </c>
      <c r="J12" t="n">
        <v>79551235.33400001</v>
      </c>
      <c r="K12" t="n">
        <v>62965384.956</v>
      </c>
      <c r="L12" t="n">
        <v>60802733.894</v>
      </c>
      <c r="M12" t="n">
        <v>53912656.419</v>
      </c>
      <c r="N12" t="n">
        <v>61827918.698</v>
      </c>
      <c r="O12" t="n">
        <v>55648903.448</v>
      </c>
      <c r="P12" t="n">
        <v>69270092.28399999</v>
      </c>
      <c r="Q12" t="n">
        <v>69940941.691</v>
      </c>
      <c r="R12" t="n">
        <v>84428375.374</v>
      </c>
      <c r="S12" t="n">
        <v>83138805.601</v>
      </c>
      <c r="T12" t="n">
        <v>92237060.14</v>
      </c>
      <c r="U12" t="n">
        <v>102300201.298</v>
      </c>
      <c r="V12" t="n">
        <v>105273062.288</v>
      </c>
      <c r="W12" t="n">
        <v>102179310.061</v>
      </c>
      <c r="X12" t="n">
        <v>115803267.503</v>
      </c>
      <c r="Y12" t="n">
        <v>109048377.965</v>
      </c>
      <c r="Z12" t="n">
        <v>151329618.004</v>
      </c>
      <c r="AA12" t="n">
        <v>154730438.62</v>
      </c>
      <c r="AB12" t="n">
        <v>182603944.239</v>
      </c>
      <c r="AC12" t="n">
        <v>185886961.787</v>
      </c>
      <c r="AD12" t="n">
        <v>190476013.64</v>
      </c>
      <c r="AE12" t="n">
        <v>170344008.486</v>
      </c>
      <c r="AF12" t="n">
        <v>180868399.664</v>
      </c>
      <c r="AG12" t="n">
        <v>187052209.314</v>
      </c>
      <c r="AH12" t="n">
        <v>207476102.843</v>
      </c>
      <c r="AI12" t="n">
        <v>234132799.473</v>
      </c>
      <c r="AJ12" t="n">
        <v>254784851.831</v>
      </c>
      <c r="AK12" t="n">
        <v>340628750.132</v>
      </c>
      <c r="AL12" t="n">
        <v>357791439.357</v>
      </c>
      <c r="AM12" t="n">
        <v>395112312.92</v>
      </c>
      <c r="AN12" t="n">
        <v>384932313.809</v>
      </c>
      <c r="AO12" t="n">
        <v>381460888.443</v>
      </c>
      <c r="AP12" t="n">
        <v>411462435.051</v>
      </c>
      <c r="AQ12" t="n">
        <v>456270160.582</v>
      </c>
      <c r="AR12" t="n">
        <v>434384887.905</v>
      </c>
      <c r="AS12" t="n">
        <v>426372022.833</v>
      </c>
      <c r="AT12" t="n">
        <v>365001427.456</v>
      </c>
      <c r="AU12" t="n">
        <v>308314099.167</v>
      </c>
      <c r="AV12" t="n">
        <v>381732748.3</v>
      </c>
      <c r="AW12" t="n">
        <v>448232356.613</v>
      </c>
      <c r="AX12" t="n">
        <v>437941298.714</v>
      </c>
      <c r="AY12" t="n">
        <v>390369181.096</v>
      </c>
      <c r="AZ12" t="n">
        <v>345968131.336</v>
      </c>
      <c r="BA12" t="n">
        <v>297024793.975</v>
      </c>
      <c r="BB12" t="n">
        <v>299401039.425</v>
      </c>
      <c r="BC12" t="n">
        <v>205764042.026</v>
      </c>
      <c r="BD12" t="n">
        <v>262560935.818</v>
      </c>
      <c r="BE12" t="n">
        <v>211193355.512</v>
      </c>
      <c r="BF12" t="n">
        <v>231292049.787</v>
      </c>
      <c r="BG12" t="n">
        <v>234893778.702</v>
      </c>
      <c r="BH12" t="n">
        <v>260234426.457</v>
      </c>
      <c r="BI12" t="n">
        <v>235700538.84</v>
      </c>
      <c r="BJ12" t="n">
        <v>252029143.887</v>
      </c>
      <c r="BK12" t="n">
        <v>275604670.253</v>
      </c>
      <c r="BL12" t="n">
        <v>285174752.385</v>
      </c>
      <c r="BM12" t="n">
        <v>289063414.314</v>
      </c>
      <c r="BN12" t="n">
        <v>279360352.839</v>
      </c>
      <c r="BO12" t="n">
        <v>286847552.477</v>
      </c>
      <c r="BP12" t="n">
        <v>282140990.985</v>
      </c>
      <c r="BQ12" t="n">
        <v>297800433.188</v>
      </c>
      <c r="BR12" t="n">
        <v>298226715.88</v>
      </c>
      <c r="BS12" t="n">
        <v>312035556.023</v>
      </c>
      <c r="BT12" t="n">
        <v>309066133.811</v>
      </c>
    </row>
    <row r="13">
      <c r="A13" t="inlineStr">
        <is>
          <t>Ulanowicz_TE</t>
        </is>
      </c>
      <c r="B13" t="inlineStr">
        <is>
          <t>ok</t>
        </is>
      </c>
      <c r="C13" t="n">
        <v>286128388.583</v>
      </c>
      <c r="D13" t="n">
        <v>314759765.254</v>
      </c>
      <c r="E13" t="n">
        <v>303876685.644</v>
      </c>
      <c r="F13" t="n">
        <v>325926958.322</v>
      </c>
      <c r="G13" t="n">
        <v>392601146.061</v>
      </c>
      <c r="H13" t="n">
        <v>450863587.064</v>
      </c>
      <c r="I13" t="n">
        <v>489058249.573</v>
      </c>
      <c r="J13" t="n">
        <v>528884707.972</v>
      </c>
      <c r="K13" t="n">
        <v>417446802.93</v>
      </c>
      <c r="L13" t="n">
        <v>422784473.9</v>
      </c>
      <c r="M13" t="n">
        <v>450011715.919</v>
      </c>
      <c r="N13" t="n">
        <v>519384263.633</v>
      </c>
      <c r="O13" t="n">
        <v>480483553.826</v>
      </c>
      <c r="P13" t="n">
        <v>538201806.904</v>
      </c>
      <c r="Q13" t="n">
        <v>522589986.042</v>
      </c>
      <c r="R13" t="n">
        <v>604219140.933</v>
      </c>
      <c r="S13" t="n">
        <v>536503324.29</v>
      </c>
      <c r="T13" t="n">
        <v>607060232.488</v>
      </c>
      <c r="U13" t="n">
        <v>669671193.816</v>
      </c>
      <c r="V13" t="n">
        <v>735232432.102</v>
      </c>
      <c r="W13" t="n">
        <v>712295512.7130001</v>
      </c>
      <c r="X13" t="n">
        <v>832520790.962</v>
      </c>
      <c r="Y13" t="n">
        <v>759720269.679</v>
      </c>
      <c r="Z13" t="n">
        <v>1048016142.625</v>
      </c>
      <c r="AA13" t="n">
        <v>1071989960.383</v>
      </c>
      <c r="AB13" t="n">
        <v>1238903277.979</v>
      </c>
      <c r="AC13" t="n">
        <v>1282955951.669</v>
      </c>
      <c r="AD13" t="n">
        <v>1307146111.671</v>
      </c>
      <c r="AE13" t="n">
        <v>1179209830.818</v>
      </c>
      <c r="AF13" t="n">
        <v>1267766190.238</v>
      </c>
      <c r="AG13" t="n">
        <v>1322803576.619</v>
      </c>
      <c r="AH13" t="n">
        <v>1576022234.428</v>
      </c>
      <c r="AI13" t="n">
        <v>1803605550.355</v>
      </c>
      <c r="AJ13" t="n">
        <v>1927609687.626</v>
      </c>
      <c r="AK13" t="n">
        <v>2608329095.086</v>
      </c>
      <c r="AL13" t="n">
        <v>2789201484.756</v>
      </c>
      <c r="AM13" t="n">
        <v>3044344577.44</v>
      </c>
      <c r="AN13" t="n">
        <v>2954346923.005</v>
      </c>
      <c r="AO13" t="n">
        <v>2900650436.241</v>
      </c>
      <c r="AP13" t="n">
        <v>2982377813.779</v>
      </c>
      <c r="AQ13" t="n">
        <v>3307480697.175</v>
      </c>
      <c r="AR13" t="n">
        <v>2978740040.291</v>
      </c>
      <c r="AS13" t="n">
        <v>3228537271.736</v>
      </c>
      <c r="AT13" t="n">
        <v>2620034551.245</v>
      </c>
      <c r="AU13" t="n">
        <v>2115131418.088</v>
      </c>
      <c r="AV13" t="n">
        <v>2618099905.648</v>
      </c>
      <c r="AW13" t="n">
        <v>3017750510.245</v>
      </c>
      <c r="AX13" t="n">
        <v>2874646233.975</v>
      </c>
      <c r="AY13" t="n">
        <v>2606271438.072</v>
      </c>
      <c r="AZ13" t="n">
        <v>2344361556.958</v>
      </c>
      <c r="BA13" t="n">
        <v>1992612521.542</v>
      </c>
      <c r="BB13" t="n">
        <v>2026817463.76</v>
      </c>
      <c r="BC13" t="n">
        <v>1390100539.374</v>
      </c>
      <c r="BD13" t="n">
        <v>1812866362.932</v>
      </c>
      <c r="BE13" t="n">
        <v>1527651809.384</v>
      </c>
      <c r="BF13" t="n">
        <v>1614597464.952</v>
      </c>
      <c r="BG13" t="n">
        <v>1611402544.053</v>
      </c>
      <c r="BH13" t="n">
        <v>1780644834.69</v>
      </c>
      <c r="BI13" t="n">
        <v>1715916834.044</v>
      </c>
      <c r="BJ13" t="n">
        <v>1793154033.594</v>
      </c>
      <c r="BK13" t="n">
        <v>2037013841.69</v>
      </c>
      <c r="BL13" t="n">
        <v>1977669038.968</v>
      </c>
      <c r="BM13" t="n">
        <v>2024722476.057</v>
      </c>
      <c r="BN13" t="n">
        <v>1938359794.854</v>
      </c>
      <c r="BO13" t="n">
        <v>2115692193.198</v>
      </c>
      <c r="BP13" t="n">
        <v>2009447113.706</v>
      </c>
      <c r="BQ13" t="n">
        <v>2171095514.783</v>
      </c>
      <c r="BR13" t="n">
        <v>2211199612.008</v>
      </c>
      <c r="BS13" t="n">
        <v>2305546852.642</v>
      </c>
      <c r="BT13" t="n">
        <v>2342291348.278</v>
      </c>
    </row>
    <row r="14">
      <c r="A14" t="inlineStr">
        <is>
          <t>EwE_TE_noEE</t>
        </is>
      </c>
      <c r="B14" t="inlineStr">
        <is>
          <t>ok</t>
        </is>
      </c>
      <c r="C14" t="n">
        <v>333202155.619</v>
      </c>
      <c r="D14" t="n">
        <v>365386392.192</v>
      </c>
      <c r="E14" t="n">
        <v>353129686.345</v>
      </c>
      <c r="F14" t="n">
        <v>378684315.761</v>
      </c>
      <c r="G14" t="n">
        <v>461553785.369</v>
      </c>
      <c r="H14" t="n">
        <v>528944652.364</v>
      </c>
      <c r="I14" t="n">
        <v>572732913.1109999</v>
      </c>
      <c r="J14" t="n">
        <v>614561012.829</v>
      </c>
      <c r="K14" t="n">
        <v>478349012.502</v>
      </c>
      <c r="L14" t="n">
        <v>485592576.696</v>
      </c>
      <c r="M14" t="n">
        <v>522974615.878</v>
      </c>
      <c r="N14" t="n">
        <v>605636994.524</v>
      </c>
      <c r="O14" t="n">
        <v>559769072.712</v>
      </c>
      <c r="P14" t="n">
        <v>621240697.304</v>
      </c>
      <c r="Q14" t="n">
        <v>599913959.233</v>
      </c>
      <c r="R14" t="n">
        <v>683538308.971</v>
      </c>
      <c r="S14" t="n">
        <v>593251622.46</v>
      </c>
      <c r="T14" t="n">
        <v>670957209.826</v>
      </c>
      <c r="U14" t="n">
        <v>738674772.659</v>
      </c>
      <c r="V14" t="n">
        <v>819832517.161</v>
      </c>
      <c r="W14" t="n">
        <v>786762501.7819999</v>
      </c>
      <c r="X14" t="n">
        <v>923408400.3</v>
      </c>
      <c r="Y14" t="n">
        <v>838117554.643</v>
      </c>
      <c r="Z14" t="n">
        <v>1143437578.286</v>
      </c>
      <c r="AA14" t="n">
        <v>1165665108.698</v>
      </c>
      <c r="AB14" t="n">
        <v>1338806503.41</v>
      </c>
      <c r="AC14" t="n">
        <v>1382383142.077</v>
      </c>
      <c r="AD14" t="n">
        <v>1414954070.534</v>
      </c>
      <c r="AE14" t="n">
        <v>1267265362.764</v>
      </c>
      <c r="AF14" t="n">
        <v>1370851139.867</v>
      </c>
      <c r="AG14" t="n">
        <v>1429592125.675</v>
      </c>
      <c r="AH14" t="n">
        <v>1728199317.052</v>
      </c>
      <c r="AI14" t="n">
        <v>1975865141.266</v>
      </c>
      <c r="AJ14" t="n">
        <v>2104911083.672</v>
      </c>
      <c r="AK14" t="n">
        <v>2843923541.797</v>
      </c>
      <c r="AL14" t="n">
        <v>3060170001.722</v>
      </c>
      <c r="AM14" t="n">
        <v>3328767464.342</v>
      </c>
      <c r="AN14" t="n">
        <v>3230867496.097</v>
      </c>
      <c r="AO14" t="n">
        <v>3162876524.725</v>
      </c>
      <c r="AP14" t="n">
        <v>3214228411.021</v>
      </c>
      <c r="AQ14" t="n">
        <v>3557989299.496</v>
      </c>
      <c r="AR14" t="n">
        <v>3168830400.384</v>
      </c>
      <c r="AS14" t="n">
        <v>3504833321.874</v>
      </c>
      <c r="AT14" t="n">
        <v>2824038068.314</v>
      </c>
      <c r="AU14" t="n">
        <v>2261028908.558</v>
      </c>
      <c r="AV14" t="n">
        <v>2793706341.719</v>
      </c>
      <c r="AW14" t="n">
        <v>3196629203.256</v>
      </c>
      <c r="AX14" t="n">
        <v>3046124039.046</v>
      </c>
      <c r="AY14" t="n">
        <v>2791141826.216</v>
      </c>
      <c r="AZ14" t="n">
        <v>2534438540.766</v>
      </c>
      <c r="BA14" t="n">
        <v>2168695692.668</v>
      </c>
      <c r="BB14" t="n">
        <v>2198991103.401</v>
      </c>
      <c r="BC14" t="n">
        <v>1525110466.408</v>
      </c>
      <c r="BD14" t="n">
        <v>1979568230.562</v>
      </c>
      <c r="BE14" t="n">
        <v>1695414221.076</v>
      </c>
      <c r="BF14" t="n">
        <v>1781687443.705</v>
      </c>
      <c r="BG14" t="n">
        <v>1768857077.043</v>
      </c>
      <c r="BH14" t="n">
        <v>1945790821.205</v>
      </c>
      <c r="BI14" t="n">
        <v>1902038341.715</v>
      </c>
      <c r="BJ14" t="n">
        <v>1993880722.011</v>
      </c>
      <c r="BK14" t="n">
        <v>2263701900.542</v>
      </c>
      <c r="BL14" t="n">
        <v>2180167805.993</v>
      </c>
      <c r="BM14" t="n">
        <v>2235449116.85</v>
      </c>
      <c r="BN14" t="n">
        <v>2139668357.952</v>
      </c>
      <c r="BO14" t="n">
        <v>2362057136.771</v>
      </c>
      <c r="BP14" t="n">
        <v>2220486735.742</v>
      </c>
      <c r="BQ14" t="n">
        <v>2405861466.392</v>
      </c>
      <c r="BR14" t="n">
        <v>2454781261.121</v>
      </c>
      <c r="BS14" t="n">
        <v>2565506987.673</v>
      </c>
      <c r="BT14" t="n">
        <v>2609212285.275</v>
      </c>
    </row>
    <row r="15">
      <c r="A15" t="inlineStr">
        <is>
          <t>EwE_TE_EE</t>
        </is>
      </c>
      <c r="B15" t="inlineStr">
        <is>
          <t>ok</t>
        </is>
      </c>
      <c r="C15" t="n">
        <v>164094424.674</v>
      </c>
      <c r="D15" t="n">
        <v>178893524.396</v>
      </c>
      <c r="E15" t="n">
        <v>174515565.328</v>
      </c>
      <c r="F15" t="n">
        <v>185772827.658</v>
      </c>
      <c r="G15" t="n">
        <v>216852914.886</v>
      </c>
      <c r="H15" t="n">
        <v>250819679.859</v>
      </c>
      <c r="I15" t="n">
        <v>275379993.315</v>
      </c>
      <c r="J15" t="n">
        <v>307879748.32</v>
      </c>
      <c r="K15" t="n">
        <v>267377814.851</v>
      </c>
      <c r="L15" t="n">
        <v>268983762.536</v>
      </c>
      <c r="M15" t="n">
        <v>274606855.075</v>
      </c>
      <c r="N15" t="n">
        <v>312119904.405</v>
      </c>
      <c r="O15" t="n">
        <v>290819736.418</v>
      </c>
      <c r="P15" t="n">
        <v>336872060.741</v>
      </c>
      <c r="Q15" t="n">
        <v>335624760.979</v>
      </c>
      <c r="R15" t="n">
        <v>411532442.868</v>
      </c>
      <c r="S15" t="n">
        <v>397635961.425</v>
      </c>
      <c r="T15" t="n">
        <v>450079745.259</v>
      </c>
      <c r="U15" t="n">
        <v>501687709.932</v>
      </c>
      <c r="V15" t="n">
        <v>529589160.623</v>
      </c>
      <c r="W15" t="n">
        <v>533204434.974</v>
      </c>
      <c r="X15" t="n">
        <v>614952409.595</v>
      </c>
      <c r="Y15" t="n">
        <v>573400090.22</v>
      </c>
      <c r="Z15" t="n">
        <v>820652247.8940001</v>
      </c>
      <c r="AA15" t="n">
        <v>850454029.798</v>
      </c>
      <c r="AB15" t="n">
        <v>1001504289.492</v>
      </c>
      <c r="AC15" t="n">
        <v>1050583882.979</v>
      </c>
      <c r="AD15" t="n">
        <v>1052538140.29</v>
      </c>
      <c r="AE15" t="n">
        <v>975163737.2180001</v>
      </c>
      <c r="AF15" t="n">
        <v>1026386699.168</v>
      </c>
      <c r="AG15" t="n">
        <v>1073022973.846</v>
      </c>
      <c r="AH15" t="n">
        <v>1220277888.295</v>
      </c>
      <c r="AI15" t="n">
        <v>1402654155.204</v>
      </c>
      <c r="AJ15" t="n">
        <v>1511839961.592</v>
      </c>
      <c r="AK15" t="n">
        <v>2059784647.843</v>
      </c>
      <c r="AL15" t="n">
        <v>2155736652.183</v>
      </c>
      <c r="AM15" t="n">
        <v>2383157259.966</v>
      </c>
      <c r="AN15" t="n">
        <v>2307625131.711</v>
      </c>
      <c r="AO15" t="n">
        <v>2290449827.587</v>
      </c>
      <c r="AP15" t="n">
        <v>2439980398.339</v>
      </c>
      <c r="AQ15" t="n">
        <v>2724459603.219</v>
      </c>
      <c r="AR15" t="n">
        <v>2529445746.026</v>
      </c>
      <c r="AS15" t="n">
        <v>2583421957.759</v>
      </c>
      <c r="AT15" t="n">
        <v>2135543729.649</v>
      </c>
      <c r="AU15" t="n">
        <v>1764454459.234</v>
      </c>
      <c r="AV15" t="n">
        <v>2196733237.864</v>
      </c>
      <c r="AW15" t="n">
        <v>2592242928.786</v>
      </c>
      <c r="AX15" t="n">
        <v>2458570989.337</v>
      </c>
      <c r="AY15" t="n">
        <v>2156555902.912</v>
      </c>
      <c r="AZ15" t="n">
        <v>1880094064.209</v>
      </c>
      <c r="BA15" t="n">
        <v>1561101824.55</v>
      </c>
      <c r="BB15" t="n">
        <v>1605611233.873</v>
      </c>
      <c r="BC15" t="n">
        <v>1056599467.481</v>
      </c>
      <c r="BD15" t="n">
        <v>1405647447.689</v>
      </c>
      <c r="BE15" t="n">
        <v>1119659768.234</v>
      </c>
      <c r="BF15" t="n">
        <v>1202779114.747</v>
      </c>
      <c r="BG15" t="n">
        <v>1221560441.783</v>
      </c>
      <c r="BH15" t="n">
        <v>1371530526.505</v>
      </c>
      <c r="BI15" t="n">
        <v>1260458499.894</v>
      </c>
      <c r="BJ15" t="n">
        <v>1291823260.003</v>
      </c>
      <c r="BK15" t="n">
        <v>1481759143.919</v>
      </c>
      <c r="BL15" t="n">
        <v>1470464483.575</v>
      </c>
      <c r="BM15" t="n">
        <v>1500621131.66</v>
      </c>
      <c r="BN15" t="n">
        <v>1434774901.393</v>
      </c>
      <c r="BO15" t="n">
        <v>1510636897.855</v>
      </c>
      <c r="BP15" t="n">
        <v>1486619498.851</v>
      </c>
      <c r="BQ15" t="n">
        <v>1594088503.894</v>
      </c>
      <c r="BR15" t="n">
        <v>1615588891.859</v>
      </c>
      <c r="BS15" t="n">
        <v>1662877278.618</v>
      </c>
      <c r="BT15" t="n">
        <v>1689428474.837</v>
      </c>
    </row>
    <row r="16">
      <c r="A16" s="18" t="inlineStr">
        <is>
          <t>SPPR_2015</t>
        </is>
      </c>
      <c r="B16" s="8" t="inlineStr">
        <is>
          <t>DIVERGED - negative SPPR in a source-model group</t>
        </is>
      </c>
      <c r="C16" t="n">
        <v>-27496975965.649</v>
      </c>
      <c r="D16" t="n">
        <v>-29513909551.075</v>
      </c>
      <c r="E16" t="n">
        <v>-28709761996.64</v>
      </c>
      <c r="F16" t="n">
        <v>-30660103615.079</v>
      </c>
      <c r="G16" t="n">
        <v>-40541963664.678</v>
      </c>
      <c r="H16" t="n">
        <v>-45788439865.49</v>
      </c>
      <c r="I16" t="n">
        <v>-49008555997.364</v>
      </c>
      <c r="J16" t="n">
        <v>-49981419197.003</v>
      </c>
      <c r="K16" t="n">
        <v>-35080783391.095</v>
      </c>
      <c r="L16" t="n">
        <v>-36257032574.983</v>
      </c>
      <c r="M16" t="n">
        <v>-42831242471.654</v>
      </c>
      <c r="N16" t="n">
        <v>-50694535685.361</v>
      </c>
      <c r="O16" t="n">
        <v>-46666130298.197</v>
      </c>
      <c r="P16" t="n">
        <v>-48494484072.214</v>
      </c>
      <c r="Q16" t="n">
        <v>-44963052876.6</v>
      </c>
      <c r="R16" t="n">
        <v>-45591868204.33</v>
      </c>
      <c r="S16" t="n">
        <v>-31705977718.743</v>
      </c>
      <c r="T16" t="n">
        <v>-35838868690.637</v>
      </c>
      <c r="U16" t="n">
        <v>-38556236279.159</v>
      </c>
      <c r="V16" t="n">
        <v>-48087262725.948</v>
      </c>
      <c r="W16" t="n">
        <v>-41777000606.303</v>
      </c>
      <c r="X16" t="n">
        <v>-51187645736.558</v>
      </c>
      <c r="Y16" t="n">
        <v>-43688979937.609</v>
      </c>
      <c r="Z16" t="n">
        <v>-52478057016.296</v>
      </c>
      <c r="AA16" t="n">
        <v>-51157381212.005</v>
      </c>
      <c r="AB16" t="n">
        <v>-53817924299.117</v>
      </c>
      <c r="AC16" t="n">
        <v>-53145199660.725</v>
      </c>
      <c r="AD16" t="n">
        <v>-58162023880.98</v>
      </c>
      <c r="AE16" t="n">
        <v>-46656424908.236</v>
      </c>
      <c r="AF16" t="n">
        <v>-55566728294.578</v>
      </c>
      <c r="AG16" t="n">
        <v>-57655372429.3</v>
      </c>
      <c r="AH16" t="n">
        <v>-84792900646.75999</v>
      </c>
      <c r="AI16" t="n">
        <v>-96068781619.47701</v>
      </c>
      <c r="AJ16" t="n">
        <v>-98456186090.16901</v>
      </c>
      <c r="AK16" t="n">
        <v>-130738599280.58</v>
      </c>
      <c r="AL16" t="n">
        <v>-151891343183.672</v>
      </c>
      <c r="AM16" t="n">
        <v>-158365785094.847</v>
      </c>
      <c r="AN16" t="n">
        <v>-154170745180.052</v>
      </c>
      <c r="AO16" t="n">
        <v>-145303627491.9</v>
      </c>
      <c r="AP16" t="n">
        <v>-125432330645.447</v>
      </c>
      <c r="AQ16" t="n">
        <v>-134892239402.4</v>
      </c>
      <c r="AR16" t="n">
        <v>-98800007194.73</v>
      </c>
      <c r="AS16" t="n">
        <v>-152173419457.104</v>
      </c>
      <c r="AT16" t="n">
        <v>-110428381136.496</v>
      </c>
      <c r="AU16" t="n">
        <v>-77041638369.14</v>
      </c>
      <c r="AV16" t="n">
        <v>-92340205075.94299</v>
      </c>
      <c r="AW16" t="n">
        <v>-91471789902.886</v>
      </c>
      <c r="AX16" t="n">
        <v>-87653792970.94099</v>
      </c>
      <c r="AY16" t="n">
        <v>-98061306756.957</v>
      </c>
      <c r="AZ16" t="n">
        <v>-103204000632.781</v>
      </c>
      <c r="BA16" t="n">
        <v>-96547148103.72</v>
      </c>
      <c r="BB16" t="n">
        <v>-93900905049.965</v>
      </c>
      <c r="BC16" t="n">
        <v>-74931016557.901</v>
      </c>
      <c r="BD16" t="n">
        <v>-91901023437.823</v>
      </c>
      <c r="BE16" t="n">
        <v>-94762671955.765</v>
      </c>
      <c r="BF16" t="n">
        <v>-93618188019.545</v>
      </c>
      <c r="BG16" t="n">
        <v>-87616348385.674</v>
      </c>
      <c r="BH16" t="n">
        <v>-91239719266.53</v>
      </c>
      <c r="BI16" t="n">
        <v>-105173662235.386</v>
      </c>
      <c r="BJ16" t="n">
        <v>-113828438601.681</v>
      </c>
      <c r="BK16" t="n">
        <v>-128727513359.204</v>
      </c>
      <c r="BL16" t="n">
        <v>-113722282836.759</v>
      </c>
      <c r="BM16" t="n">
        <v>-118559217309.529</v>
      </c>
      <c r="BN16" t="n">
        <v>-113306931344.167</v>
      </c>
      <c r="BO16" t="n">
        <v>-140568202711.034</v>
      </c>
      <c r="BP16" t="n">
        <v>-119091826251.261</v>
      </c>
      <c r="BQ16" t="n">
        <v>-133056812725.295</v>
      </c>
      <c r="BR16" t="n">
        <v>-138462516950.911</v>
      </c>
      <c r="BS16" t="n">
        <v>-148247332465.766</v>
      </c>
      <c r="BT16" t="n">
        <v>-152537729742.305</v>
      </c>
    </row>
    <row r="17">
      <c r="A17" s="18" t="inlineStr">
        <is>
          <t>new_TE_noEEfix</t>
        </is>
      </c>
      <c r="B17" s="8" t="inlineStr">
        <is>
          <t>DIVERGED - negative SPPR in a source-model group</t>
        </is>
      </c>
      <c r="C17" t="n">
        <v>-13559675604.049</v>
      </c>
      <c r="D17" t="n">
        <v>-14554330831.526</v>
      </c>
      <c r="E17" t="n">
        <v>-14157519224.557</v>
      </c>
      <c r="F17" t="n">
        <v>-15119433376.144</v>
      </c>
      <c r="G17" t="n">
        <v>-19996002245.375</v>
      </c>
      <c r="H17" t="n">
        <v>-22583151282.955</v>
      </c>
      <c r="I17" t="n">
        <v>-24170932652.062</v>
      </c>
      <c r="J17" t="n">
        <v>-24646727774.016</v>
      </c>
      <c r="K17" t="n">
        <v>-17292676176.389</v>
      </c>
      <c r="L17" t="n">
        <v>-17874201314.579</v>
      </c>
      <c r="M17" t="n">
        <v>-21120635321.877</v>
      </c>
      <c r="N17" t="n">
        <v>-24998871095.065</v>
      </c>
      <c r="O17" t="n">
        <v>-23012467479.251</v>
      </c>
      <c r="P17" t="n">
        <v>-23909305784.985</v>
      </c>
      <c r="Q17" t="n">
        <v>-22165416602.764</v>
      </c>
      <c r="R17" t="n">
        <v>-22468784086.918</v>
      </c>
      <c r="S17" t="n">
        <v>-15613808262.118</v>
      </c>
      <c r="T17" t="n">
        <v>-17649357394.889</v>
      </c>
      <c r="U17" t="n">
        <v>-18985517286.093</v>
      </c>
      <c r="V17" t="n">
        <v>-23688779435.327</v>
      </c>
      <c r="W17" t="n">
        <v>-20573046293.025</v>
      </c>
      <c r="X17" t="n">
        <v>-25211467661.627</v>
      </c>
      <c r="Y17" t="n">
        <v>-21512805472.988</v>
      </c>
      <c r="Z17" t="n">
        <v>-25827509848.183</v>
      </c>
      <c r="AA17" t="n">
        <v>-25172568618.256</v>
      </c>
      <c r="AB17" t="n">
        <v>-26470550047.759</v>
      </c>
      <c r="AC17" t="n">
        <v>-26134296005.652</v>
      </c>
      <c r="AD17" t="n">
        <v>-28610222342.751</v>
      </c>
      <c r="AE17" t="n">
        <v>-22938400225.574</v>
      </c>
      <c r="AF17" t="n">
        <v>-27332299638.25</v>
      </c>
      <c r="AG17" t="n">
        <v>-28359085390.694</v>
      </c>
      <c r="AH17" t="n">
        <v>-41743390112.394</v>
      </c>
      <c r="AI17" t="n">
        <v>-47292357598.555</v>
      </c>
      <c r="AJ17" t="n">
        <v>-48460182442.791</v>
      </c>
      <c r="AK17" t="n">
        <v>-64344476613.412</v>
      </c>
      <c r="AL17" t="n">
        <v>-74778814470.034</v>
      </c>
      <c r="AM17" t="n">
        <v>-77952591891.60001</v>
      </c>
      <c r="AN17" t="n">
        <v>-75888770518.286</v>
      </c>
      <c r="AO17" t="n">
        <v>-71512184048.362</v>
      </c>
      <c r="AP17" t="n">
        <v>-61687154339.06</v>
      </c>
      <c r="AQ17" t="n">
        <v>-66329129349.892</v>
      </c>
      <c r="AR17" t="n">
        <v>-48528739837.891</v>
      </c>
      <c r="AS17" t="n">
        <v>-74877704575.004</v>
      </c>
      <c r="AT17" t="n">
        <v>-54311539238.621</v>
      </c>
      <c r="AU17" t="n">
        <v>-37864189760.215</v>
      </c>
      <c r="AV17" t="n">
        <v>-45375064027.809</v>
      </c>
      <c r="AW17" t="n">
        <v>-44906098594.684</v>
      </c>
      <c r="AX17" t="n">
        <v>-43031549473.381</v>
      </c>
      <c r="AY17" t="n">
        <v>-48199521100.177</v>
      </c>
      <c r="AZ17" t="n">
        <v>-50767085174.539</v>
      </c>
      <c r="BA17" t="n">
        <v>-47511861171.144</v>
      </c>
      <c r="BB17" t="n">
        <v>-46201679722.233</v>
      </c>
      <c r="BC17" t="n">
        <v>-36890686357.874</v>
      </c>
      <c r="BD17" t="n">
        <v>-45235399380.072</v>
      </c>
      <c r="BE17" t="n">
        <v>-46676638350.152</v>
      </c>
      <c r="BF17" t="n">
        <v>-46103288082.274</v>
      </c>
      <c r="BG17" t="n">
        <v>-43137890309.034</v>
      </c>
      <c r="BH17" t="n">
        <v>-44912715599.585</v>
      </c>
      <c r="BI17" t="n">
        <v>-51803373704.22</v>
      </c>
      <c r="BJ17" t="n">
        <v>-56073800093.326</v>
      </c>
      <c r="BK17" t="n">
        <v>-63410681793.004</v>
      </c>
      <c r="BL17" t="n">
        <v>-56003290427.766</v>
      </c>
      <c r="BM17" t="n">
        <v>-58387366892.496</v>
      </c>
      <c r="BN17" t="n">
        <v>-55800632671.219</v>
      </c>
      <c r="BO17" t="n">
        <v>-69253782159.472</v>
      </c>
      <c r="BP17" t="n">
        <v>-58652213208.284</v>
      </c>
      <c r="BQ17" t="n">
        <v>-65536582592.837</v>
      </c>
      <c r="BR17" t="n">
        <v>-68203345184.104</v>
      </c>
      <c r="BS17" t="n">
        <v>-73030499437.967</v>
      </c>
      <c r="BT17" t="n">
        <v>-75145824962.71001</v>
      </c>
    </row>
    <row r="18">
      <c r="A18" s="18" t="inlineStr">
        <is>
          <t>new_TE_EEfix</t>
        </is>
      </c>
      <c r="B18" s="8" t="inlineStr">
        <is>
          <t>FAILED diagnostic for this SPPR_new configuration</t>
        </is>
      </c>
      <c r="C18" t="n">
        <v>-13559675604.049</v>
      </c>
      <c r="D18" t="n">
        <v>-14554330831.526</v>
      </c>
      <c r="E18" t="n">
        <v>-14157519224.557</v>
      </c>
      <c r="F18" t="n">
        <v>-15119433376.144</v>
      </c>
      <c r="G18" t="n">
        <v>-19996002245.375</v>
      </c>
      <c r="H18" t="n">
        <v>-22583151282.955</v>
      </c>
      <c r="I18" t="n">
        <v>-24170932652.062</v>
      </c>
      <c r="J18" t="n">
        <v>-24646727774.016</v>
      </c>
      <c r="K18" t="n">
        <v>-17292676176.389</v>
      </c>
      <c r="L18" t="n">
        <v>-17874201314.579</v>
      </c>
      <c r="M18" t="n">
        <v>-21120635321.877</v>
      </c>
      <c r="N18" t="n">
        <v>-24998871095.065</v>
      </c>
      <c r="O18" t="n">
        <v>-23012467479.251</v>
      </c>
      <c r="P18" t="n">
        <v>-23909305784.985</v>
      </c>
      <c r="Q18" t="n">
        <v>-22165416602.764</v>
      </c>
      <c r="R18" t="n">
        <v>-22468784086.918</v>
      </c>
      <c r="S18" t="n">
        <v>-15613808262.118</v>
      </c>
      <c r="T18" t="n">
        <v>-17649357394.889</v>
      </c>
      <c r="U18" t="n">
        <v>-18985517286.093</v>
      </c>
      <c r="V18" t="n">
        <v>-23688779435.327</v>
      </c>
      <c r="W18" t="n">
        <v>-20573046293.025</v>
      </c>
      <c r="X18" t="n">
        <v>-25211467661.627</v>
      </c>
      <c r="Y18" t="n">
        <v>-21512805472.988</v>
      </c>
      <c r="Z18" t="n">
        <v>-25827509848.183</v>
      </c>
      <c r="AA18" t="n">
        <v>-25172568618.256</v>
      </c>
      <c r="AB18" t="n">
        <v>-26470550047.759</v>
      </c>
      <c r="AC18" t="n">
        <v>-26134296005.652</v>
      </c>
      <c r="AD18" t="n">
        <v>-28610222342.751</v>
      </c>
      <c r="AE18" t="n">
        <v>-22938400225.574</v>
      </c>
      <c r="AF18" t="n">
        <v>-27332299638.25</v>
      </c>
      <c r="AG18" t="n">
        <v>-28359085390.694</v>
      </c>
      <c r="AH18" t="n">
        <v>-41743390112.394</v>
      </c>
      <c r="AI18" t="n">
        <v>-47292357598.555</v>
      </c>
      <c r="AJ18" t="n">
        <v>-48460182442.791</v>
      </c>
      <c r="AK18" t="n">
        <v>-64344476613.412</v>
      </c>
      <c r="AL18" t="n">
        <v>-74778814470.034</v>
      </c>
      <c r="AM18" t="n">
        <v>-77952591891.60001</v>
      </c>
      <c r="AN18" t="n">
        <v>-75888770518.286</v>
      </c>
      <c r="AO18" t="n">
        <v>-71512184048.362</v>
      </c>
      <c r="AP18" t="n">
        <v>-61687154339.06</v>
      </c>
      <c r="AQ18" t="n">
        <v>-66329129349.892</v>
      </c>
      <c r="AR18" t="n">
        <v>-48528739837.891</v>
      </c>
      <c r="AS18" t="n">
        <v>-74877704575.004</v>
      </c>
      <c r="AT18" t="n">
        <v>-54311539238.621</v>
      </c>
      <c r="AU18" t="n">
        <v>-37864189760.215</v>
      </c>
      <c r="AV18" t="n">
        <v>-45375064027.809</v>
      </c>
      <c r="AW18" t="n">
        <v>-44906098594.684</v>
      </c>
      <c r="AX18" t="n">
        <v>-43031549473.381</v>
      </c>
      <c r="AY18" t="n">
        <v>-48199521100.177</v>
      </c>
      <c r="AZ18" t="n">
        <v>-50767085174.539</v>
      </c>
      <c r="BA18" t="n">
        <v>-47511861171.144</v>
      </c>
      <c r="BB18" t="n">
        <v>-46201679722.233</v>
      </c>
      <c r="BC18" t="n">
        <v>-36890686357.874</v>
      </c>
      <c r="BD18" t="n">
        <v>-45235399380.072</v>
      </c>
      <c r="BE18" t="n">
        <v>-46676638350.152</v>
      </c>
      <c r="BF18" t="n">
        <v>-46103288082.274</v>
      </c>
      <c r="BG18" t="n">
        <v>-43137890309.034</v>
      </c>
      <c r="BH18" t="n">
        <v>-44912715599.585</v>
      </c>
      <c r="BI18" t="n">
        <v>-51803373704.22</v>
      </c>
      <c r="BJ18" t="n">
        <v>-56073800093.326</v>
      </c>
      <c r="BK18" t="n">
        <v>-63410681793.004</v>
      </c>
      <c r="BL18" t="n">
        <v>-56003290427.766</v>
      </c>
      <c r="BM18" t="n">
        <v>-58387366892.496</v>
      </c>
      <c r="BN18" t="n">
        <v>-55800632671.219</v>
      </c>
      <c r="BO18" t="n">
        <v>-69253782159.472</v>
      </c>
      <c r="BP18" t="n">
        <v>-58652213208.284</v>
      </c>
      <c r="BQ18" t="n">
        <v>-65536582592.837</v>
      </c>
      <c r="BR18" t="n">
        <v>-68203345184.104</v>
      </c>
      <c r="BS18" t="n">
        <v>-73030499437.967</v>
      </c>
      <c r="BT18" t="n">
        <v>-75145824962.71001</v>
      </c>
    </row>
    <row r="19">
      <c r="A19" t="inlineStr">
        <is>
          <t>new_GE</t>
        </is>
      </c>
      <c r="B19" t="inlineStr">
        <is>
          <t>ok</t>
        </is>
      </c>
      <c r="C19" t="n">
        <v>637638457.278</v>
      </c>
      <c r="D19" t="n">
        <v>688785986.895</v>
      </c>
      <c r="E19" t="n">
        <v>675321476.605</v>
      </c>
      <c r="F19" t="n">
        <v>725771494.702</v>
      </c>
      <c r="G19" t="n">
        <v>885159317.399</v>
      </c>
      <c r="H19" t="n">
        <v>1017396377.31</v>
      </c>
      <c r="I19" t="n">
        <v>1104588604.942</v>
      </c>
      <c r="J19" t="n">
        <v>1181464493.91</v>
      </c>
      <c r="K19" t="n">
        <v>939226556.074</v>
      </c>
      <c r="L19" t="n">
        <v>942006602.566</v>
      </c>
      <c r="M19" t="n">
        <v>989698222.001</v>
      </c>
      <c r="N19" t="n">
        <v>1160313279.644</v>
      </c>
      <c r="O19" t="n">
        <v>1057347359.215</v>
      </c>
      <c r="P19" t="n">
        <v>1173490049.456</v>
      </c>
      <c r="Q19" t="n">
        <v>1138127459.096</v>
      </c>
      <c r="R19" t="n">
        <v>1256347443.616</v>
      </c>
      <c r="S19" t="n">
        <v>1063981273.629</v>
      </c>
      <c r="T19" t="n">
        <v>1182230358.165</v>
      </c>
      <c r="U19" t="n">
        <v>1307523997.413</v>
      </c>
      <c r="V19" t="n">
        <v>1457888012.594</v>
      </c>
      <c r="W19" t="n">
        <v>1374284053.642</v>
      </c>
      <c r="X19" t="n">
        <v>1625101032.401</v>
      </c>
      <c r="Y19" t="n">
        <v>1479637166.286</v>
      </c>
      <c r="Z19" t="n">
        <v>1948184350.618</v>
      </c>
      <c r="AA19" t="n">
        <v>1971844103.36</v>
      </c>
      <c r="AB19" t="n">
        <v>2233420932.718</v>
      </c>
      <c r="AC19" t="n">
        <v>2287353427.269</v>
      </c>
      <c r="AD19" t="n">
        <v>2375261316.872</v>
      </c>
      <c r="AE19" t="n">
        <v>2082330529.18</v>
      </c>
      <c r="AF19" t="n">
        <v>2269180642.299</v>
      </c>
      <c r="AG19" t="n">
        <v>2348209789.464</v>
      </c>
      <c r="AH19" t="n">
        <v>2895417957.033</v>
      </c>
      <c r="AI19" t="n">
        <v>3282623672.201</v>
      </c>
      <c r="AJ19" t="n">
        <v>3465605505.78</v>
      </c>
      <c r="AK19" t="n">
        <v>4646400375.986</v>
      </c>
      <c r="AL19" t="n">
        <v>5057902540.492</v>
      </c>
      <c r="AM19" t="n">
        <v>5491497019.78</v>
      </c>
      <c r="AN19" t="n">
        <v>5313070013.964</v>
      </c>
      <c r="AO19" t="n">
        <v>5190389170.215</v>
      </c>
      <c r="AP19" t="n">
        <v>5127805174.785</v>
      </c>
      <c r="AQ19" t="n">
        <v>5660717851.917</v>
      </c>
      <c r="AR19" t="n">
        <v>4926644495.948</v>
      </c>
      <c r="AS19" t="n">
        <v>5643887875.971</v>
      </c>
      <c r="AT19" t="n">
        <v>4491734809.759</v>
      </c>
      <c r="AU19" t="n">
        <v>3542194450.994</v>
      </c>
      <c r="AV19" t="n">
        <v>4349589869.02</v>
      </c>
      <c r="AW19" t="n">
        <v>4920994481.523</v>
      </c>
      <c r="AX19" t="n">
        <v>4722276127.985</v>
      </c>
      <c r="AY19" t="n">
        <v>4446599820.415</v>
      </c>
      <c r="AZ19" t="n">
        <v>4115367919.426</v>
      </c>
      <c r="BA19" t="n">
        <v>3611548083.793</v>
      </c>
      <c r="BB19" t="n">
        <v>3620525347.719</v>
      </c>
      <c r="BC19" t="n">
        <v>2575844028.526</v>
      </c>
      <c r="BD19" t="n">
        <v>3303496708.104</v>
      </c>
      <c r="BE19" t="n">
        <v>2918993983.454</v>
      </c>
      <c r="BF19" t="n">
        <v>3030278840.567</v>
      </c>
      <c r="BG19" t="n">
        <v>2971786325.582</v>
      </c>
      <c r="BH19" t="n">
        <v>3225625557.869</v>
      </c>
      <c r="BI19" t="n">
        <v>3234220895.575</v>
      </c>
      <c r="BJ19" t="n">
        <v>3398645488.447</v>
      </c>
      <c r="BK19" t="n">
        <v>3852227394.164</v>
      </c>
      <c r="BL19" t="n">
        <v>3655933300.907</v>
      </c>
      <c r="BM19" t="n">
        <v>3773225425.672</v>
      </c>
      <c r="BN19" t="n">
        <v>3602436198.162</v>
      </c>
      <c r="BO19" t="n">
        <v>4070234525.155</v>
      </c>
      <c r="BP19" t="n">
        <v>3741737466.928</v>
      </c>
      <c r="BQ19" t="n">
        <v>4069730771.346</v>
      </c>
      <c r="BR19" t="n">
        <v>4162179180.473</v>
      </c>
      <c r="BS19" t="n">
        <v>4341788574.914</v>
      </c>
      <c r="BT19" t="n">
        <v>4422864588.93</v>
      </c>
    </row>
    <row r="20">
      <c r="A20" t="inlineStr">
        <is>
          <t>new_WithEgestion</t>
        </is>
      </c>
      <c r="B20" t="inlineStr">
        <is>
          <t>ok</t>
        </is>
      </c>
      <c r="C20" t="n">
        <v>93801306.54000001</v>
      </c>
      <c r="D20" t="n">
        <v>102343828.498</v>
      </c>
      <c r="E20" t="n">
        <v>100486966.525</v>
      </c>
      <c r="F20" t="n">
        <v>106906705.174</v>
      </c>
      <c r="G20" t="n">
        <v>122478970.752</v>
      </c>
      <c r="H20" t="n">
        <v>141952436.77</v>
      </c>
      <c r="I20" t="n">
        <v>155491308.895</v>
      </c>
      <c r="J20" t="n">
        <v>176050005.571</v>
      </c>
      <c r="K20" t="n">
        <v>152997104.536</v>
      </c>
      <c r="L20" t="n">
        <v>149606364.675</v>
      </c>
      <c r="M20" t="n">
        <v>147787107.819</v>
      </c>
      <c r="N20" t="n">
        <v>171062908.369</v>
      </c>
      <c r="O20" t="n">
        <v>156305861.041</v>
      </c>
      <c r="P20" t="n">
        <v>183424709.713</v>
      </c>
      <c r="Q20" t="n">
        <v>184249469.131</v>
      </c>
      <c r="R20" t="n">
        <v>216656225.159</v>
      </c>
      <c r="S20" t="n">
        <v>204619348.112</v>
      </c>
      <c r="T20" t="n">
        <v>228540992.739</v>
      </c>
      <c r="U20" t="n">
        <v>255851229.832</v>
      </c>
      <c r="V20" t="n">
        <v>270435611.259</v>
      </c>
      <c r="W20" t="n">
        <v>265800920.036</v>
      </c>
      <c r="X20" t="n">
        <v>305541512.403</v>
      </c>
      <c r="Y20" t="n">
        <v>285280011.298</v>
      </c>
      <c r="Z20" t="n">
        <v>396804110.914</v>
      </c>
      <c r="AA20" t="n">
        <v>407940770.743</v>
      </c>
      <c r="AB20" t="n">
        <v>475785778.459</v>
      </c>
      <c r="AC20" t="n">
        <v>492029811.369</v>
      </c>
      <c r="AD20" t="n">
        <v>499244748.259</v>
      </c>
      <c r="AE20" t="n">
        <v>451489020.876</v>
      </c>
      <c r="AF20" t="n">
        <v>478490169.846</v>
      </c>
      <c r="AG20" t="n">
        <v>498007584.108</v>
      </c>
      <c r="AH20" t="n">
        <v>573080863.553</v>
      </c>
      <c r="AI20" t="n">
        <v>654790911.24</v>
      </c>
      <c r="AJ20" t="n">
        <v>703362591.163</v>
      </c>
      <c r="AK20" t="n">
        <v>952468316.655</v>
      </c>
      <c r="AL20" t="n">
        <v>1005310356.7</v>
      </c>
      <c r="AM20" t="n">
        <v>1108339505.03</v>
      </c>
      <c r="AN20" t="n">
        <v>1073521400.943</v>
      </c>
      <c r="AO20" t="n">
        <v>1062529209.129</v>
      </c>
      <c r="AP20" t="n">
        <v>1111965545.396</v>
      </c>
      <c r="AQ20" t="n">
        <v>1238578518.744</v>
      </c>
      <c r="AR20" t="n">
        <v>1138838166.927</v>
      </c>
      <c r="AS20" t="n">
        <v>1181692337.817</v>
      </c>
      <c r="AT20" t="n">
        <v>973052890.796</v>
      </c>
      <c r="AU20" t="n">
        <v>798255224.564</v>
      </c>
      <c r="AV20" t="n">
        <v>990709259.631</v>
      </c>
      <c r="AW20" t="n">
        <v>1163578298.603</v>
      </c>
      <c r="AX20" t="n">
        <v>1115410435.17</v>
      </c>
      <c r="AY20" t="n">
        <v>997672940.033</v>
      </c>
      <c r="AZ20" t="n">
        <v>880698726.005</v>
      </c>
      <c r="BA20" t="n">
        <v>745593911.62</v>
      </c>
      <c r="BB20" t="n">
        <v>757405635.913</v>
      </c>
      <c r="BC20" t="n">
        <v>509029117.096</v>
      </c>
      <c r="BD20" t="n">
        <v>666765629.2589999</v>
      </c>
      <c r="BE20" t="n">
        <v>544832263.354</v>
      </c>
      <c r="BF20" t="n">
        <v>580609454.546</v>
      </c>
      <c r="BG20" t="n">
        <v>585480986.993</v>
      </c>
      <c r="BH20" t="n">
        <v>648375424.999</v>
      </c>
      <c r="BI20" t="n">
        <v>606719682.12</v>
      </c>
      <c r="BJ20" t="n">
        <v>626679215.01</v>
      </c>
      <c r="BK20" t="n">
        <v>715599925.979</v>
      </c>
      <c r="BL20" t="n">
        <v>705978157.904</v>
      </c>
      <c r="BM20" t="n">
        <v>724782694.219</v>
      </c>
      <c r="BN20" t="n">
        <v>693839145.756</v>
      </c>
      <c r="BO20" t="n">
        <v>740073277.196</v>
      </c>
      <c r="BP20" t="n">
        <v>717257498.646</v>
      </c>
      <c r="BQ20" t="n">
        <v>769929236.329</v>
      </c>
      <c r="BR20" t="n">
        <v>781344613.5700001</v>
      </c>
      <c r="BS20" t="n">
        <v>804386986.807</v>
      </c>
      <c r="BT20" t="n">
        <v>816578233.015</v>
      </c>
    </row>
    <row r="21">
      <c r="A21" s="18" t="inlineStr">
        <is>
          <t>sym_TE_asPP</t>
        </is>
      </c>
      <c r="B21" s="8" t="inlineStr">
        <is>
          <t>DIVERGED - negative SPPR in a source-model group</t>
        </is>
      </c>
      <c r="C21" t="n">
        <v>-13559675604.049</v>
      </c>
      <c r="D21" t="n">
        <v>-14554330831.526</v>
      </c>
      <c r="E21" t="n">
        <v>-14157519224.557</v>
      </c>
      <c r="F21" t="n">
        <v>-15119433376.144</v>
      </c>
      <c r="G21" t="n">
        <v>-19996002245.375</v>
      </c>
      <c r="H21" t="n">
        <v>-22583151282.955</v>
      </c>
      <c r="I21" t="n">
        <v>-24170932652.062</v>
      </c>
      <c r="J21" t="n">
        <v>-24646727774.016</v>
      </c>
      <c r="K21" t="n">
        <v>-17292676176.389</v>
      </c>
      <c r="L21" t="n">
        <v>-17874201314.579</v>
      </c>
      <c r="M21" t="n">
        <v>-21120635321.877</v>
      </c>
      <c r="N21" t="n">
        <v>-24998871095.065</v>
      </c>
      <c r="O21" t="n">
        <v>-23012467479.251</v>
      </c>
      <c r="P21" t="n">
        <v>-23909305784.985</v>
      </c>
      <c r="Q21" t="n">
        <v>-22165416602.764</v>
      </c>
      <c r="R21" t="n">
        <v>-22468784086.918</v>
      </c>
      <c r="S21" t="n">
        <v>-15613808262.118</v>
      </c>
      <c r="T21" t="n">
        <v>-17649357394.889</v>
      </c>
      <c r="U21" t="n">
        <v>-18985517286.093</v>
      </c>
      <c r="V21" t="n">
        <v>-23688779435.327</v>
      </c>
      <c r="W21" t="n">
        <v>-20573046293.025</v>
      </c>
      <c r="X21" t="n">
        <v>-25211467661.627</v>
      </c>
      <c r="Y21" t="n">
        <v>-21512805472.988</v>
      </c>
      <c r="Z21" t="n">
        <v>-25827509848.183</v>
      </c>
      <c r="AA21" t="n">
        <v>-25172568618.256</v>
      </c>
      <c r="AB21" t="n">
        <v>-26470550047.759</v>
      </c>
      <c r="AC21" t="n">
        <v>-26134296005.652</v>
      </c>
      <c r="AD21" t="n">
        <v>-28610222342.751</v>
      </c>
      <c r="AE21" t="n">
        <v>-22938400225.574</v>
      </c>
      <c r="AF21" t="n">
        <v>-27332299638.25</v>
      </c>
      <c r="AG21" t="n">
        <v>-28359085390.694</v>
      </c>
      <c r="AH21" t="n">
        <v>-41743390112.394</v>
      </c>
      <c r="AI21" t="n">
        <v>-47292357598.555</v>
      </c>
      <c r="AJ21" t="n">
        <v>-48460182442.791</v>
      </c>
      <c r="AK21" t="n">
        <v>-64344476613.412</v>
      </c>
      <c r="AL21" t="n">
        <v>-74778814470.034</v>
      </c>
      <c r="AM21" t="n">
        <v>-77952591891.60001</v>
      </c>
      <c r="AN21" t="n">
        <v>-75888770518.286</v>
      </c>
      <c r="AO21" t="n">
        <v>-71512184048.362</v>
      </c>
      <c r="AP21" t="n">
        <v>-61687154339.06</v>
      </c>
      <c r="AQ21" t="n">
        <v>-66329129349.892</v>
      </c>
      <c r="AR21" t="n">
        <v>-48528739837.891</v>
      </c>
      <c r="AS21" t="n">
        <v>-74877704575.004</v>
      </c>
      <c r="AT21" t="n">
        <v>-54311539238.621</v>
      </c>
      <c r="AU21" t="n">
        <v>-37864189760.215</v>
      </c>
      <c r="AV21" t="n">
        <v>-45375064027.809</v>
      </c>
      <c r="AW21" t="n">
        <v>-44906098594.684</v>
      </c>
      <c r="AX21" t="n">
        <v>-43031549473.381</v>
      </c>
      <c r="AY21" t="n">
        <v>-48199521100.177</v>
      </c>
      <c r="AZ21" t="n">
        <v>-50767085174.539</v>
      </c>
      <c r="BA21" t="n">
        <v>-47511861171.144</v>
      </c>
      <c r="BB21" t="n">
        <v>-46201679722.233</v>
      </c>
      <c r="BC21" t="n">
        <v>-36890686357.874</v>
      </c>
      <c r="BD21" t="n">
        <v>-45235399380.072</v>
      </c>
      <c r="BE21" t="n">
        <v>-46676638350.152</v>
      </c>
      <c r="BF21" t="n">
        <v>-46103288082.274</v>
      </c>
      <c r="BG21" t="n">
        <v>-43137890309.034</v>
      </c>
      <c r="BH21" t="n">
        <v>-44912715599.585</v>
      </c>
      <c r="BI21" t="n">
        <v>-51803373704.22</v>
      </c>
      <c r="BJ21" t="n">
        <v>-56073800093.326</v>
      </c>
      <c r="BK21" t="n">
        <v>-63410681793.004</v>
      </c>
      <c r="BL21" t="n">
        <v>-56003290427.766</v>
      </c>
      <c r="BM21" t="n">
        <v>-58387366892.496</v>
      </c>
      <c r="BN21" t="n">
        <v>-55800632671.219</v>
      </c>
      <c r="BO21" t="n">
        <v>-69253782159.472</v>
      </c>
      <c r="BP21" t="n">
        <v>-58652213208.284</v>
      </c>
      <c r="BQ21" t="n">
        <v>-65536582592.837</v>
      </c>
      <c r="BR21" t="n">
        <v>-68203345184.104</v>
      </c>
      <c r="BS21" t="n">
        <v>-73030499437.967</v>
      </c>
      <c r="BT21" t="n">
        <v>-75145824962.71001</v>
      </c>
    </row>
    <row r="22">
      <c r="A22" s="18" t="inlineStr">
        <is>
          <t>sym_TE_asDC</t>
        </is>
      </c>
      <c r="B22" s="8" t="inlineStr">
        <is>
          <t>DIVERGED - negative SPPR in a source-model group</t>
        </is>
      </c>
      <c r="C22" t="n">
        <v>-13559675604.049</v>
      </c>
      <c r="D22" t="n">
        <v>-14554330831.526</v>
      </c>
      <c r="E22" t="n">
        <v>-14157519224.557</v>
      </c>
      <c r="F22" t="n">
        <v>-15119433376.144</v>
      </c>
      <c r="G22" t="n">
        <v>-19996002245.375</v>
      </c>
      <c r="H22" t="n">
        <v>-22583151282.955</v>
      </c>
      <c r="I22" t="n">
        <v>-24170932652.062</v>
      </c>
      <c r="J22" t="n">
        <v>-24646727774.016</v>
      </c>
      <c r="K22" t="n">
        <v>-17292676176.389</v>
      </c>
      <c r="L22" t="n">
        <v>-17874201314.579</v>
      </c>
      <c r="M22" t="n">
        <v>-21120635321.877</v>
      </c>
      <c r="N22" t="n">
        <v>-24998871095.065</v>
      </c>
      <c r="O22" t="n">
        <v>-23012467479.251</v>
      </c>
      <c r="P22" t="n">
        <v>-23909305784.985</v>
      </c>
      <c r="Q22" t="n">
        <v>-22165416602.764</v>
      </c>
      <c r="R22" t="n">
        <v>-22468784086.918</v>
      </c>
      <c r="S22" t="n">
        <v>-15613808262.118</v>
      </c>
      <c r="T22" t="n">
        <v>-17649357394.889</v>
      </c>
      <c r="U22" t="n">
        <v>-18985517286.093</v>
      </c>
      <c r="V22" t="n">
        <v>-23688779435.327</v>
      </c>
      <c r="W22" t="n">
        <v>-20573046293.025</v>
      </c>
      <c r="X22" t="n">
        <v>-25211467661.627</v>
      </c>
      <c r="Y22" t="n">
        <v>-21512805472.988</v>
      </c>
      <c r="Z22" t="n">
        <v>-25827509848.183</v>
      </c>
      <c r="AA22" t="n">
        <v>-25172568618.256</v>
      </c>
      <c r="AB22" t="n">
        <v>-26470550047.759</v>
      </c>
      <c r="AC22" t="n">
        <v>-26134296005.652</v>
      </c>
      <c r="AD22" t="n">
        <v>-28610222342.751</v>
      </c>
      <c r="AE22" t="n">
        <v>-22938400225.574</v>
      </c>
      <c r="AF22" t="n">
        <v>-27332299638.25</v>
      </c>
      <c r="AG22" t="n">
        <v>-28359085390.694</v>
      </c>
      <c r="AH22" t="n">
        <v>-41743390112.394</v>
      </c>
      <c r="AI22" t="n">
        <v>-47292357598.555</v>
      </c>
      <c r="AJ22" t="n">
        <v>-48460182442.791</v>
      </c>
      <c r="AK22" t="n">
        <v>-64344476613.412</v>
      </c>
      <c r="AL22" t="n">
        <v>-74778814470.034</v>
      </c>
      <c r="AM22" t="n">
        <v>-77952591891.60001</v>
      </c>
      <c r="AN22" t="n">
        <v>-75888770518.286</v>
      </c>
      <c r="AO22" t="n">
        <v>-71512184048.362</v>
      </c>
      <c r="AP22" t="n">
        <v>-61687154339.06</v>
      </c>
      <c r="AQ22" t="n">
        <v>-66329129349.892</v>
      </c>
      <c r="AR22" t="n">
        <v>-48528739837.891</v>
      </c>
      <c r="AS22" t="n">
        <v>-74877704575.004</v>
      </c>
      <c r="AT22" t="n">
        <v>-54311539238.621</v>
      </c>
      <c r="AU22" t="n">
        <v>-37864189760.215</v>
      </c>
      <c r="AV22" t="n">
        <v>-45375064027.809</v>
      </c>
      <c r="AW22" t="n">
        <v>-44906098594.684</v>
      </c>
      <c r="AX22" t="n">
        <v>-43031549473.381</v>
      </c>
      <c r="AY22" t="n">
        <v>-48199521100.177</v>
      </c>
      <c r="AZ22" t="n">
        <v>-50767085174.539</v>
      </c>
      <c r="BA22" t="n">
        <v>-47511861171.144</v>
      </c>
      <c r="BB22" t="n">
        <v>-46201679722.233</v>
      </c>
      <c r="BC22" t="n">
        <v>-36890686357.874</v>
      </c>
      <c r="BD22" t="n">
        <v>-45235399380.072</v>
      </c>
      <c r="BE22" t="n">
        <v>-46676638350.152</v>
      </c>
      <c r="BF22" t="n">
        <v>-46103288082.274</v>
      </c>
      <c r="BG22" t="n">
        <v>-43137890309.034</v>
      </c>
      <c r="BH22" t="n">
        <v>-44912715599.585</v>
      </c>
      <c r="BI22" t="n">
        <v>-51803373704.22</v>
      </c>
      <c r="BJ22" t="n">
        <v>-56073800093.326</v>
      </c>
      <c r="BK22" t="n">
        <v>-63410681793.004</v>
      </c>
      <c r="BL22" t="n">
        <v>-56003290427.766</v>
      </c>
      <c r="BM22" t="n">
        <v>-58387366892.496</v>
      </c>
      <c r="BN22" t="n">
        <v>-55800632671.219</v>
      </c>
      <c r="BO22" t="n">
        <v>-69253782159.472</v>
      </c>
      <c r="BP22" t="n">
        <v>-58652213208.284</v>
      </c>
      <c r="BQ22" t="n">
        <v>-65536582592.837</v>
      </c>
      <c r="BR22" t="n">
        <v>-68203345184.104</v>
      </c>
      <c r="BS22" t="n">
        <v>-73030499437.967</v>
      </c>
      <c r="BT22" t="n">
        <v>-75145824962.71001</v>
      </c>
    </row>
    <row r="23">
      <c r="A23" t="inlineStr">
        <is>
          <t>sym_GE_asPP</t>
        </is>
      </c>
      <c r="B23" t="inlineStr">
        <is>
          <t>ok</t>
        </is>
      </c>
      <c r="C23" t="n">
        <v>637638457.278</v>
      </c>
      <c r="D23" t="n">
        <v>688785986.895</v>
      </c>
      <c r="E23" t="n">
        <v>675321476.605</v>
      </c>
      <c r="F23" t="n">
        <v>725771494.702</v>
      </c>
      <c r="G23" t="n">
        <v>885159317.399</v>
      </c>
      <c r="H23" t="n">
        <v>1017396377.31</v>
      </c>
      <c r="I23" t="n">
        <v>1104588604.942</v>
      </c>
      <c r="J23" t="n">
        <v>1181464493.91</v>
      </c>
      <c r="K23" t="n">
        <v>939226556.074</v>
      </c>
      <c r="L23" t="n">
        <v>942006602.566</v>
      </c>
      <c r="M23" t="n">
        <v>989698222.001</v>
      </c>
      <c r="N23" t="n">
        <v>1160313279.644</v>
      </c>
      <c r="O23" t="n">
        <v>1057347359.215</v>
      </c>
      <c r="P23" t="n">
        <v>1173490049.456</v>
      </c>
      <c r="Q23" t="n">
        <v>1138127459.096</v>
      </c>
      <c r="R23" t="n">
        <v>1256347443.616</v>
      </c>
      <c r="S23" t="n">
        <v>1063981273.629</v>
      </c>
      <c r="T23" t="n">
        <v>1182230358.165</v>
      </c>
      <c r="U23" t="n">
        <v>1307523997.413</v>
      </c>
      <c r="V23" t="n">
        <v>1457888012.594</v>
      </c>
      <c r="W23" t="n">
        <v>1374284053.642</v>
      </c>
      <c r="X23" t="n">
        <v>1625101032.401</v>
      </c>
      <c r="Y23" t="n">
        <v>1479637166.286</v>
      </c>
      <c r="Z23" t="n">
        <v>1948184350.618</v>
      </c>
      <c r="AA23" t="n">
        <v>1971844103.36</v>
      </c>
      <c r="AB23" t="n">
        <v>2233420932.718</v>
      </c>
      <c r="AC23" t="n">
        <v>2287353427.269</v>
      </c>
      <c r="AD23" t="n">
        <v>2375261316.872</v>
      </c>
      <c r="AE23" t="n">
        <v>2082330529.18</v>
      </c>
      <c r="AF23" t="n">
        <v>2269180642.299</v>
      </c>
      <c r="AG23" t="n">
        <v>2348209789.464</v>
      </c>
      <c r="AH23" t="n">
        <v>2895417957.033</v>
      </c>
      <c r="AI23" t="n">
        <v>3282623672.201</v>
      </c>
      <c r="AJ23" t="n">
        <v>3465605505.78</v>
      </c>
      <c r="AK23" t="n">
        <v>4646400375.986</v>
      </c>
      <c r="AL23" t="n">
        <v>5057902540.492</v>
      </c>
      <c r="AM23" t="n">
        <v>5491497019.78</v>
      </c>
      <c r="AN23" t="n">
        <v>5313070013.964</v>
      </c>
      <c r="AO23" t="n">
        <v>5190389170.215</v>
      </c>
      <c r="AP23" t="n">
        <v>5127805174.785</v>
      </c>
      <c r="AQ23" t="n">
        <v>5660717851.917</v>
      </c>
      <c r="AR23" t="n">
        <v>4926644495.948</v>
      </c>
      <c r="AS23" t="n">
        <v>5643887875.971</v>
      </c>
      <c r="AT23" t="n">
        <v>4491734809.759</v>
      </c>
      <c r="AU23" t="n">
        <v>3542194450.994</v>
      </c>
      <c r="AV23" t="n">
        <v>4349589869.02</v>
      </c>
      <c r="AW23" t="n">
        <v>4920994481.523</v>
      </c>
      <c r="AX23" t="n">
        <v>4722276127.985</v>
      </c>
      <c r="AY23" t="n">
        <v>4446599820.415</v>
      </c>
      <c r="AZ23" t="n">
        <v>4115367919.426</v>
      </c>
      <c r="BA23" t="n">
        <v>3611548083.793</v>
      </c>
      <c r="BB23" t="n">
        <v>3620525347.719</v>
      </c>
      <c r="BC23" t="n">
        <v>2575844028.526</v>
      </c>
      <c r="BD23" t="n">
        <v>3303496708.104</v>
      </c>
      <c r="BE23" t="n">
        <v>2918993983.454</v>
      </c>
      <c r="BF23" t="n">
        <v>3030278840.567</v>
      </c>
      <c r="BG23" t="n">
        <v>2971786325.582</v>
      </c>
      <c r="BH23" t="n">
        <v>3225625557.869</v>
      </c>
      <c r="BI23" t="n">
        <v>3234220895.575</v>
      </c>
      <c r="BJ23" t="n">
        <v>3398645488.447</v>
      </c>
      <c r="BK23" t="n">
        <v>3852227394.164</v>
      </c>
      <c r="BL23" t="n">
        <v>3655933300.907</v>
      </c>
      <c r="BM23" t="n">
        <v>3773225425.672</v>
      </c>
      <c r="BN23" t="n">
        <v>3602436198.162</v>
      </c>
      <c r="BO23" t="n">
        <v>4070234525.155</v>
      </c>
      <c r="BP23" t="n">
        <v>3741737466.928</v>
      </c>
      <c r="BQ23" t="n">
        <v>4069730771.346</v>
      </c>
      <c r="BR23" t="n">
        <v>4162179180.473</v>
      </c>
      <c r="BS23" t="n">
        <v>4341788574.914</v>
      </c>
      <c r="BT23" t="n">
        <v>4422864588.93</v>
      </c>
    </row>
    <row r="24">
      <c r="A24" t="inlineStr">
        <is>
          <t>sym_GE_asDC</t>
        </is>
      </c>
      <c r="B24" t="inlineStr">
        <is>
          <t>ok</t>
        </is>
      </c>
      <c r="C24" t="n">
        <v>637638457.278</v>
      </c>
      <c r="D24" t="n">
        <v>688785986.895</v>
      </c>
      <c r="E24" t="n">
        <v>675321476.605</v>
      </c>
      <c r="F24" t="n">
        <v>725771494.702</v>
      </c>
      <c r="G24" t="n">
        <v>885159317.399</v>
      </c>
      <c r="H24" t="n">
        <v>1017396377.31</v>
      </c>
      <c r="I24" t="n">
        <v>1104588604.942</v>
      </c>
      <c r="J24" t="n">
        <v>1181464493.91</v>
      </c>
      <c r="K24" t="n">
        <v>939226556.074</v>
      </c>
      <c r="L24" t="n">
        <v>942006602.566</v>
      </c>
      <c r="M24" t="n">
        <v>989698222.001</v>
      </c>
      <c r="N24" t="n">
        <v>1160313279.644</v>
      </c>
      <c r="O24" t="n">
        <v>1057347359.215</v>
      </c>
      <c r="P24" t="n">
        <v>1173490049.456</v>
      </c>
      <c r="Q24" t="n">
        <v>1138127459.096</v>
      </c>
      <c r="R24" t="n">
        <v>1256347443.616</v>
      </c>
      <c r="S24" t="n">
        <v>1063981273.629</v>
      </c>
      <c r="T24" t="n">
        <v>1182230358.165</v>
      </c>
      <c r="U24" t="n">
        <v>1307523997.413</v>
      </c>
      <c r="V24" t="n">
        <v>1457888012.594</v>
      </c>
      <c r="W24" t="n">
        <v>1374284053.642</v>
      </c>
      <c r="X24" t="n">
        <v>1625101032.401</v>
      </c>
      <c r="Y24" t="n">
        <v>1479637166.286</v>
      </c>
      <c r="Z24" t="n">
        <v>1948184350.618</v>
      </c>
      <c r="AA24" t="n">
        <v>1971844103.36</v>
      </c>
      <c r="AB24" t="n">
        <v>2233420932.718</v>
      </c>
      <c r="AC24" t="n">
        <v>2287353427.269</v>
      </c>
      <c r="AD24" t="n">
        <v>2375261316.872</v>
      </c>
      <c r="AE24" t="n">
        <v>2082330529.18</v>
      </c>
      <c r="AF24" t="n">
        <v>2269180642.299</v>
      </c>
      <c r="AG24" t="n">
        <v>2348209789.464</v>
      </c>
      <c r="AH24" t="n">
        <v>2895417957.033</v>
      </c>
      <c r="AI24" t="n">
        <v>3282623672.201</v>
      </c>
      <c r="AJ24" t="n">
        <v>3465605505.78</v>
      </c>
      <c r="AK24" t="n">
        <v>4646400375.986</v>
      </c>
      <c r="AL24" t="n">
        <v>5057902540.492</v>
      </c>
      <c r="AM24" t="n">
        <v>5491497019.78</v>
      </c>
      <c r="AN24" t="n">
        <v>5313070013.964</v>
      </c>
      <c r="AO24" t="n">
        <v>5190389170.215</v>
      </c>
      <c r="AP24" t="n">
        <v>5127805174.785</v>
      </c>
      <c r="AQ24" t="n">
        <v>5660717851.917</v>
      </c>
      <c r="AR24" t="n">
        <v>4926644495.948</v>
      </c>
      <c r="AS24" t="n">
        <v>5643887875.971</v>
      </c>
      <c r="AT24" t="n">
        <v>4491734809.759</v>
      </c>
      <c r="AU24" t="n">
        <v>3542194450.994</v>
      </c>
      <c r="AV24" t="n">
        <v>4349589869.02</v>
      </c>
      <c r="AW24" t="n">
        <v>4920994481.523</v>
      </c>
      <c r="AX24" t="n">
        <v>4722276127.985</v>
      </c>
      <c r="AY24" t="n">
        <v>4446599820.415</v>
      </c>
      <c r="AZ24" t="n">
        <v>4115367919.426</v>
      </c>
      <c r="BA24" t="n">
        <v>3611548083.793</v>
      </c>
      <c r="BB24" t="n">
        <v>3620525347.719</v>
      </c>
      <c r="BC24" t="n">
        <v>2575844028.526</v>
      </c>
      <c r="BD24" t="n">
        <v>3303496708.104</v>
      </c>
      <c r="BE24" t="n">
        <v>2918993983.454</v>
      </c>
      <c r="BF24" t="n">
        <v>3030278840.567</v>
      </c>
      <c r="BG24" t="n">
        <v>2971786325.582</v>
      </c>
      <c r="BH24" t="n">
        <v>3225625557.869</v>
      </c>
      <c r="BI24" t="n">
        <v>3234220895.575</v>
      </c>
      <c r="BJ24" t="n">
        <v>3398645488.447</v>
      </c>
      <c r="BK24" t="n">
        <v>3852227394.164</v>
      </c>
      <c r="BL24" t="n">
        <v>3655933300.907</v>
      </c>
      <c r="BM24" t="n">
        <v>3773225425.672</v>
      </c>
      <c r="BN24" t="n">
        <v>3602436198.162</v>
      </c>
      <c r="BO24" t="n">
        <v>4070234525.155</v>
      </c>
      <c r="BP24" t="n">
        <v>3741737466.928</v>
      </c>
      <c r="BQ24" t="n">
        <v>4069730771.346</v>
      </c>
      <c r="BR24" t="n">
        <v>4162179180.473</v>
      </c>
      <c r="BS24" t="n">
        <v>4341788574.914</v>
      </c>
      <c r="BT24" t="n">
        <v>4422864588.93</v>
      </c>
    </row>
    <row r="25">
      <c r="A25" t="inlineStr">
        <is>
          <t>sym_WithEgestion_asPP</t>
        </is>
      </c>
      <c r="B25" t="inlineStr">
        <is>
          <t>ok</t>
        </is>
      </c>
      <c r="C25" t="n">
        <v>93801306.54000001</v>
      </c>
      <c r="D25" t="n">
        <v>102343828.498</v>
      </c>
      <c r="E25" t="n">
        <v>100486966.525</v>
      </c>
      <c r="F25" t="n">
        <v>106906705.174</v>
      </c>
      <c r="G25" t="n">
        <v>122478970.752</v>
      </c>
      <c r="H25" t="n">
        <v>141952436.77</v>
      </c>
      <c r="I25" t="n">
        <v>155491308.895</v>
      </c>
      <c r="J25" t="n">
        <v>176050005.571</v>
      </c>
      <c r="K25" t="n">
        <v>152997104.536</v>
      </c>
      <c r="L25" t="n">
        <v>149606364.675</v>
      </c>
      <c r="M25" t="n">
        <v>147787107.819</v>
      </c>
      <c r="N25" t="n">
        <v>171062908.369</v>
      </c>
      <c r="O25" t="n">
        <v>156305861.041</v>
      </c>
      <c r="P25" t="n">
        <v>183424709.713</v>
      </c>
      <c r="Q25" t="n">
        <v>184249469.131</v>
      </c>
      <c r="R25" t="n">
        <v>216656225.159</v>
      </c>
      <c r="S25" t="n">
        <v>204619348.112</v>
      </c>
      <c r="T25" t="n">
        <v>228540992.739</v>
      </c>
      <c r="U25" t="n">
        <v>255851229.832</v>
      </c>
      <c r="V25" t="n">
        <v>270435611.259</v>
      </c>
      <c r="W25" t="n">
        <v>265800920.036</v>
      </c>
      <c r="X25" t="n">
        <v>305541512.403</v>
      </c>
      <c r="Y25" t="n">
        <v>285280011.298</v>
      </c>
      <c r="Z25" t="n">
        <v>396804110.914</v>
      </c>
      <c r="AA25" t="n">
        <v>407940770.743</v>
      </c>
      <c r="AB25" t="n">
        <v>475785778.459</v>
      </c>
      <c r="AC25" t="n">
        <v>492029811.369</v>
      </c>
      <c r="AD25" t="n">
        <v>499244748.259</v>
      </c>
      <c r="AE25" t="n">
        <v>451489020.876</v>
      </c>
      <c r="AF25" t="n">
        <v>478490169.846</v>
      </c>
      <c r="AG25" t="n">
        <v>498007584.108</v>
      </c>
      <c r="AH25" t="n">
        <v>573080863.553</v>
      </c>
      <c r="AI25" t="n">
        <v>654790911.24</v>
      </c>
      <c r="AJ25" t="n">
        <v>703362591.163</v>
      </c>
      <c r="AK25" t="n">
        <v>952468316.655</v>
      </c>
      <c r="AL25" t="n">
        <v>1005310356.7</v>
      </c>
      <c r="AM25" t="n">
        <v>1108339505.03</v>
      </c>
      <c r="AN25" t="n">
        <v>1073521400.943</v>
      </c>
      <c r="AO25" t="n">
        <v>1062529209.129</v>
      </c>
      <c r="AP25" t="n">
        <v>1111965545.396</v>
      </c>
      <c r="AQ25" t="n">
        <v>1238578518.744</v>
      </c>
      <c r="AR25" t="n">
        <v>1138838166.927</v>
      </c>
      <c r="AS25" t="n">
        <v>1181692337.817</v>
      </c>
      <c r="AT25" t="n">
        <v>973052890.796</v>
      </c>
      <c r="AU25" t="n">
        <v>798255224.564</v>
      </c>
      <c r="AV25" t="n">
        <v>990709259.631</v>
      </c>
      <c r="AW25" t="n">
        <v>1163578298.603</v>
      </c>
      <c r="AX25" t="n">
        <v>1115410435.17</v>
      </c>
      <c r="AY25" t="n">
        <v>997672940.033</v>
      </c>
      <c r="AZ25" t="n">
        <v>880698726.005</v>
      </c>
      <c r="BA25" t="n">
        <v>745593911.62</v>
      </c>
      <c r="BB25" t="n">
        <v>757405635.913</v>
      </c>
      <c r="BC25" t="n">
        <v>509029117.096</v>
      </c>
      <c r="BD25" t="n">
        <v>666765629.2589999</v>
      </c>
      <c r="BE25" t="n">
        <v>544832263.354</v>
      </c>
      <c r="BF25" t="n">
        <v>580609454.546</v>
      </c>
      <c r="BG25" t="n">
        <v>585480986.993</v>
      </c>
      <c r="BH25" t="n">
        <v>648375424.999</v>
      </c>
      <c r="BI25" t="n">
        <v>606719682.12</v>
      </c>
      <c r="BJ25" t="n">
        <v>626679215.01</v>
      </c>
      <c r="BK25" t="n">
        <v>715599925.979</v>
      </c>
      <c r="BL25" t="n">
        <v>705978157.904</v>
      </c>
      <c r="BM25" t="n">
        <v>724782694.219</v>
      </c>
      <c r="BN25" t="n">
        <v>693839145.756</v>
      </c>
      <c r="BO25" t="n">
        <v>740073277.196</v>
      </c>
      <c r="BP25" t="n">
        <v>717257498.646</v>
      </c>
      <c r="BQ25" t="n">
        <v>769929236.329</v>
      </c>
      <c r="BR25" t="n">
        <v>781344613.5700001</v>
      </c>
      <c r="BS25" t="n">
        <v>804386986.807</v>
      </c>
      <c r="BT25" t="n">
        <v>816578233.015</v>
      </c>
    </row>
    <row r="26">
      <c r="A26" t="inlineStr">
        <is>
          <t>sym_WithEgestion_asDC</t>
        </is>
      </c>
      <c r="B26" t="inlineStr">
        <is>
          <t>ok</t>
        </is>
      </c>
      <c r="C26" t="n">
        <v>93801306.54000001</v>
      </c>
      <c r="D26" t="n">
        <v>102343828.498</v>
      </c>
      <c r="E26" t="n">
        <v>100486966.525</v>
      </c>
      <c r="F26" t="n">
        <v>106906705.174</v>
      </c>
      <c r="G26" t="n">
        <v>122478970.752</v>
      </c>
      <c r="H26" t="n">
        <v>141952436.77</v>
      </c>
      <c r="I26" t="n">
        <v>155491308.895</v>
      </c>
      <c r="J26" t="n">
        <v>176050005.571</v>
      </c>
      <c r="K26" t="n">
        <v>152997104.536</v>
      </c>
      <c r="L26" t="n">
        <v>149606364.675</v>
      </c>
      <c r="M26" t="n">
        <v>147787107.819</v>
      </c>
      <c r="N26" t="n">
        <v>171062908.369</v>
      </c>
      <c r="O26" t="n">
        <v>156305861.041</v>
      </c>
      <c r="P26" t="n">
        <v>183424709.713</v>
      </c>
      <c r="Q26" t="n">
        <v>184249469.131</v>
      </c>
      <c r="R26" t="n">
        <v>216656225.159</v>
      </c>
      <c r="S26" t="n">
        <v>204619348.112</v>
      </c>
      <c r="T26" t="n">
        <v>228540992.739</v>
      </c>
      <c r="U26" t="n">
        <v>255851229.832</v>
      </c>
      <c r="V26" t="n">
        <v>270435611.259</v>
      </c>
      <c r="W26" t="n">
        <v>265800920.036</v>
      </c>
      <c r="X26" t="n">
        <v>305541512.403</v>
      </c>
      <c r="Y26" t="n">
        <v>285280011.298</v>
      </c>
      <c r="Z26" t="n">
        <v>396804110.914</v>
      </c>
      <c r="AA26" t="n">
        <v>407940770.743</v>
      </c>
      <c r="AB26" t="n">
        <v>475785778.459</v>
      </c>
      <c r="AC26" t="n">
        <v>492029811.369</v>
      </c>
      <c r="AD26" t="n">
        <v>499244748.259</v>
      </c>
      <c r="AE26" t="n">
        <v>451489020.876</v>
      </c>
      <c r="AF26" t="n">
        <v>478490169.846</v>
      </c>
      <c r="AG26" t="n">
        <v>498007584.108</v>
      </c>
      <c r="AH26" t="n">
        <v>573080863.553</v>
      </c>
      <c r="AI26" t="n">
        <v>654790911.24</v>
      </c>
      <c r="AJ26" t="n">
        <v>703362591.163</v>
      </c>
      <c r="AK26" t="n">
        <v>952468316.655</v>
      </c>
      <c r="AL26" t="n">
        <v>1005310356.7</v>
      </c>
      <c r="AM26" t="n">
        <v>1108339505.03</v>
      </c>
      <c r="AN26" t="n">
        <v>1073521400.943</v>
      </c>
      <c r="AO26" t="n">
        <v>1062529209.129</v>
      </c>
      <c r="AP26" t="n">
        <v>1111965545.396</v>
      </c>
      <c r="AQ26" t="n">
        <v>1238578518.744</v>
      </c>
      <c r="AR26" t="n">
        <v>1138838166.927</v>
      </c>
      <c r="AS26" t="n">
        <v>1181692337.817</v>
      </c>
      <c r="AT26" t="n">
        <v>973052890.796</v>
      </c>
      <c r="AU26" t="n">
        <v>798255224.564</v>
      </c>
      <c r="AV26" t="n">
        <v>990709259.631</v>
      </c>
      <c r="AW26" t="n">
        <v>1163578298.603</v>
      </c>
      <c r="AX26" t="n">
        <v>1115410435.17</v>
      </c>
      <c r="AY26" t="n">
        <v>997672940.033</v>
      </c>
      <c r="AZ26" t="n">
        <v>880698726.005</v>
      </c>
      <c r="BA26" t="n">
        <v>745593911.62</v>
      </c>
      <c r="BB26" t="n">
        <v>757405635.913</v>
      </c>
      <c r="BC26" t="n">
        <v>509029117.096</v>
      </c>
      <c r="BD26" t="n">
        <v>666765629.2589999</v>
      </c>
      <c r="BE26" t="n">
        <v>544832263.354</v>
      </c>
      <c r="BF26" t="n">
        <v>580609454.546</v>
      </c>
      <c r="BG26" t="n">
        <v>585480986.993</v>
      </c>
      <c r="BH26" t="n">
        <v>648375424.999</v>
      </c>
      <c r="BI26" t="n">
        <v>606719682.12</v>
      </c>
      <c r="BJ26" t="n">
        <v>626679215.01</v>
      </c>
      <c r="BK26" t="n">
        <v>715599925.979</v>
      </c>
      <c r="BL26" t="n">
        <v>705978157.904</v>
      </c>
      <c r="BM26" t="n">
        <v>724782694.219</v>
      </c>
      <c r="BN26" t="n">
        <v>693839145.756</v>
      </c>
      <c r="BO26" t="n">
        <v>740073277.196</v>
      </c>
      <c r="BP26" t="n">
        <v>717257498.646</v>
      </c>
      <c r="BQ26" t="n">
        <v>769929236.329</v>
      </c>
      <c r="BR26" t="n">
        <v>781344613.5700001</v>
      </c>
      <c r="BS26" t="n">
        <v>804386986.807</v>
      </c>
      <c r="BT26" t="n">
        <v>816578233.015</v>
      </c>
    </row>
    <row r="27">
      <c r="A27" t="inlineStr">
        <is>
          <t>MC_new_GE</t>
        </is>
      </c>
      <c r="B27" t="inlineStr">
        <is>
          <t>ok</t>
        </is>
      </c>
      <c r="C27" t="n">
        <v>904834297.156</v>
      </c>
      <c r="D27" t="n">
        <v>975959506.352</v>
      </c>
      <c r="E27" t="n">
        <v>955622805.1670001</v>
      </c>
      <c r="F27" t="n">
        <v>1027304703.766</v>
      </c>
      <c r="G27" t="n">
        <v>1273149025.129</v>
      </c>
      <c r="H27" t="n">
        <v>1458906558.271</v>
      </c>
      <c r="I27" t="n">
        <v>1579629707.24</v>
      </c>
      <c r="J27" t="n">
        <v>1670249946.755</v>
      </c>
      <c r="K27" t="n">
        <v>1295642732.495</v>
      </c>
      <c r="L27" t="n">
        <v>1307629523.107</v>
      </c>
      <c r="M27" t="n">
        <v>1402308087.554</v>
      </c>
      <c r="N27" t="n">
        <v>1648048451.273</v>
      </c>
      <c r="O27" t="n">
        <v>1503431235.259</v>
      </c>
      <c r="P27" t="n">
        <v>1645645539.604</v>
      </c>
      <c r="Q27" t="n">
        <v>1581380980.729</v>
      </c>
      <c r="R27" t="n">
        <v>1716574892.798</v>
      </c>
      <c r="S27" t="n">
        <v>1405244413.138</v>
      </c>
      <c r="T27" t="n">
        <v>1562946965.194</v>
      </c>
      <c r="U27" t="n">
        <v>1721148414.904</v>
      </c>
      <c r="V27" t="n">
        <v>1954098966.426</v>
      </c>
      <c r="W27" t="n">
        <v>1817229227.678</v>
      </c>
      <c r="X27" t="n">
        <v>2164413878.045</v>
      </c>
      <c r="Y27" t="n">
        <v>1951825120.049</v>
      </c>
      <c r="Z27" t="n">
        <v>2529178103.365</v>
      </c>
      <c r="AA27" t="n">
        <v>2545940122.063</v>
      </c>
      <c r="AB27" t="n">
        <v>2853751073.375</v>
      </c>
      <c r="AC27" t="n">
        <v>2910020503.306</v>
      </c>
      <c r="AD27" t="n">
        <v>3045137314.202</v>
      </c>
      <c r="AE27" t="n">
        <v>2639086964.927</v>
      </c>
      <c r="AF27" t="n">
        <v>2908387057.896</v>
      </c>
      <c r="AG27" t="n">
        <v>3007659385.061</v>
      </c>
      <c r="AH27" t="n">
        <v>3803706328.273</v>
      </c>
      <c r="AI27" t="n">
        <v>4307447667.285</v>
      </c>
      <c r="AJ27" t="n">
        <v>4524071559.298</v>
      </c>
      <c r="AK27" t="n">
        <v>6051428338.241</v>
      </c>
      <c r="AL27" t="n">
        <v>6656400093.775</v>
      </c>
      <c r="AM27" t="n">
        <v>7183963202.59</v>
      </c>
      <c r="AN27" t="n">
        <v>6953591532.802</v>
      </c>
      <c r="AO27" t="n">
        <v>6758012636.224</v>
      </c>
      <c r="AP27" t="n">
        <v>6543825898.028</v>
      </c>
      <c r="AQ27" t="n">
        <v>7198359071.497</v>
      </c>
      <c r="AR27" t="n">
        <v>6131245023.417</v>
      </c>
      <c r="AS27" t="n">
        <v>7299060183.596</v>
      </c>
      <c r="AT27" t="n">
        <v>5734623397.479</v>
      </c>
      <c r="AU27" t="n">
        <v>4452065638.32</v>
      </c>
      <c r="AV27" t="n">
        <v>5447580570.738</v>
      </c>
      <c r="AW27" t="n">
        <v>6068983578.394</v>
      </c>
      <c r="AX27" t="n">
        <v>5824421483.39</v>
      </c>
      <c r="AY27" t="n">
        <v>5597918145.981</v>
      </c>
      <c r="AZ27" t="n">
        <v>5272689112.346</v>
      </c>
      <c r="BA27" t="n">
        <v>4677354139.791</v>
      </c>
      <c r="BB27" t="n">
        <v>4667756976.088</v>
      </c>
      <c r="BC27" t="n">
        <v>3382734889.406</v>
      </c>
      <c r="BD27" t="n">
        <v>4307618766.315</v>
      </c>
      <c r="BE27" t="n">
        <v>3903862325.668</v>
      </c>
      <c r="BF27" t="n">
        <v>4019152623.255</v>
      </c>
      <c r="BG27" t="n">
        <v>3909228201.491</v>
      </c>
      <c r="BH27" t="n">
        <v>4215252108.172</v>
      </c>
      <c r="BI27" t="n">
        <v>4323587321.449</v>
      </c>
      <c r="BJ27" t="n">
        <v>4567807355.459</v>
      </c>
      <c r="BK27" t="n">
        <v>5170668520.184</v>
      </c>
      <c r="BL27" t="n">
        <v>4847423731.091</v>
      </c>
      <c r="BM27" t="n">
        <v>5011328792.784</v>
      </c>
      <c r="BN27" t="n">
        <v>4783368023.199</v>
      </c>
      <c r="BO27" t="n">
        <v>5497198943.784</v>
      </c>
      <c r="BP27" t="n">
        <v>4977180055.18</v>
      </c>
      <c r="BQ27" t="n">
        <v>5437450833.38</v>
      </c>
      <c r="BR27" t="n">
        <v>5576434943.649</v>
      </c>
      <c r="BS27" t="n">
        <v>5843398563.255</v>
      </c>
      <c r="BT27" t="n">
        <v>5961240883.814</v>
      </c>
    </row>
    <row r="28">
      <c r="A28" s="18" t="inlineStr">
        <is>
          <t>MC_new_TE_EEfix</t>
        </is>
      </c>
      <c r="B28" s="8" t="inlineStr">
        <is>
          <t>IMPLAUSIBLE - up to 174x the trophic-chain estimate; the solve is near-singular for this model</t>
        </is>
      </c>
      <c r="C28" t="n">
        <v>49128022009.511</v>
      </c>
      <c r="D28" t="n">
        <v>52860132244.015</v>
      </c>
      <c r="E28" t="n">
        <v>51407475538.917</v>
      </c>
      <c r="F28" t="n">
        <v>55032811918.006</v>
      </c>
      <c r="G28" t="n">
        <v>71953111664.84</v>
      </c>
      <c r="H28" t="n">
        <v>81474343868.38499</v>
      </c>
      <c r="I28" t="n">
        <v>87340715172.655</v>
      </c>
      <c r="J28" t="n">
        <v>89474278315.48199</v>
      </c>
      <c r="K28" t="n">
        <v>63573530017.555</v>
      </c>
      <c r="L28" t="n">
        <v>65527514938.505</v>
      </c>
      <c r="M28" t="n">
        <v>76198892674.39301</v>
      </c>
      <c r="N28" t="n">
        <v>90077888237.08</v>
      </c>
      <c r="O28" t="n">
        <v>82796374008.851</v>
      </c>
      <c r="P28" t="n">
        <v>86705251474.30099</v>
      </c>
      <c r="Q28" t="n">
        <v>80765494519.817</v>
      </c>
      <c r="R28" t="n">
        <v>82857844395.914</v>
      </c>
      <c r="S28" t="n">
        <v>59303383811.272</v>
      </c>
      <c r="T28" t="n">
        <v>66822372414.148</v>
      </c>
      <c r="U28" t="n">
        <v>72150479392.028</v>
      </c>
      <c r="V28" t="n">
        <v>88486852516.825</v>
      </c>
      <c r="W28" t="n">
        <v>77854174188.435</v>
      </c>
      <c r="X28" t="n">
        <v>94982946423.228</v>
      </c>
      <c r="Y28" t="n">
        <v>81891170950.29601</v>
      </c>
      <c r="Z28" t="n">
        <v>99844576931.992</v>
      </c>
      <c r="AA28" t="n">
        <v>97980236841.47501</v>
      </c>
      <c r="AB28" t="n">
        <v>104530289223.604</v>
      </c>
      <c r="AC28" t="n">
        <v>104011779694.206</v>
      </c>
      <c r="AD28" t="n">
        <v>112735349755.95</v>
      </c>
      <c r="AE28" t="n">
        <v>92080176156.24001</v>
      </c>
      <c r="AF28" t="n">
        <v>107768129357.424</v>
      </c>
      <c r="AG28" t="n">
        <v>111687512600.089</v>
      </c>
      <c r="AH28" t="n">
        <v>159173815566.384</v>
      </c>
      <c r="AI28" t="n">
        <v>180243187422.858</v>
      </c>
      <c r="AJ28" t="n">
        <v>185625352015.292</v>
      </c>
      <c r="AK28" t="n">
        <v>246723877096.515</v>
      </c>
      <c r="AL28" t="n">
        <v>283651578568.543</v>
      </c>
      <c r="AM28" t="n">
        <v>297710476738.019</v>
      </c>
      <c r="AN28" t="n">
        <v>289498726667.575</v>
      </c>
      <c r="AO28" t="n">
        <v>274504129145.25</v>
      </c>
      <c r="AP28" t="n">
        <v>242835524294.401</v>
      </c>
      <c r="AQ28" t="n">
        <v>262411635216.1</v>
      </c>
      <c r="AR28" t="n">
        <v>199314738807.35</v>
      </c>
      <c r="AS28" t="n">
        <v>289360688194.482</v>
      </c>
      <c r="AT28" t="n">
        <v>213716590390.961</v>
      </c>
      <c r="AU28" t="n">
        <v>152888531740.463</v>
      </c>
      <c r="AV28" t="n">
        <v>184096733259.16</v>
      </c>
      <c r="AW28" t="n">
        <v>187690112226.732</v>
      </c>
      <c r="AX28" t="n">
        <v>179931478152.068</v>
      </c>
      <c r="AY28" t="n">
        <v>193784329791.007</v>
      </c>
      <c r="AZ28" t="n">
        <v>199018465063.722</v>
      </c>
      <c r="BA28" t="n">
        <v>184164945727.91</v>
      </c>
      <c r="BB28" t="n">
        <v>180160603176.794</v>
      </c>
      <c r="BC28" t="n">
        <v>141080404124.667</v>
      </c>
      <c r="BD28" t="n">
        <v>174305573376.988</v>
      </c>
      <c r="BE28" t="n">
        <v>175280882792.355</v>
      </c>
      <c r="BF28" t="n">
        <v>174617754035.198</v>
      </c>
      <c r="BG28" t="n">
        <v>164614302913.474</v>
      </c>
      <c r="BH28" t="n">
        <v>172692104158.872</v>
      </c>
      <c r="BI28" t="n">
        <v>194555643934.786</v>
      </c>
      <c r="BJ28" t="n">
        <v>209858301145.481</v>
      </c>
      <c r="BK28" t="n">
        <v>237061943638.534</v>
      </c>
      <c r="BL28" t="n">
        <v>211885711592.354</v>
      </c>
      <c r="BM28" t="n">
        <v>220438556167.021</v>
      </c>
      <c r="BN28" t="n">
        <v>210621676993.092</v>
      </c>
      <c r="BO28" t="n">
        <v>257618223135.002</v>
      </c>
      <c r="BP28" t="n">
        <v>220873646709.193</v>
      </c>
      <c r="BQ28" t="n">
        <v>245679233246.626</v>
      </c>
      <c r="BR28" t="n">
        <v>254910309240.72</v>
      </c>
      <c r="BS28" t="n">
        <v>272071672677.539</v>
      </c>
      <c r="BT28" t="n">
        <v>279358860750.673</v>
      </c>
    </row>
    <row r="30">
      <c r="A30" t="inlineStr">
        <is>
          <t>Catch tonnage on a named group: 235,876,743 of 242,338,606 (97.3 %). Unresolved taxa contribute nothing to the model rows and everything to the simple row, so the two are not directly comparable until coverage is 100 %.</t>
        </is>
      </c>
    </row>
    <row r="31">
      <c r="A31" s="18" t="inlineStr">
        <is>
          <t>9 of 20 methods are flagged above. A flagged row is a property of this model under that method, not of the mapping; see model_health in the SPPR workbook.</t>
        </is>
      </c>
    </row>
    <row r="32">
      <c r="A32" t="inlineStr">
        <is>
          <t>Coverage by year, %:</t>
        </is>
      </c>
    </row>
    <row r="33">
      <c r="A33" t="inlineStr">
        <is>
          <t>catch on a named group, %</t>
        </is>
      </c>
      <c r="B33" t="inlineStr"/>
      <c r="C33" t="n">
        <v>93.87</v>
      </c>
      <c r="D33" t="n">
        <v>94.84</v>
      </c>
      <c r="E33" t="n">
        <v>94.55</v>
      </c>
      <c r="F33" t="n">
        <v>94.75</v>
      </c>
      <c r="G33" t="n">
        <v>93.43000000000001</v>
      </c>
      <c r="H33" t="n">
        <v>93.51000000000001</v>
      </c>
      <c r="I33" t="n">
        <v>94.66</v>
      </c>
      <c r="J33" t="n">
        <v>95</v>
      </c>
      <c r="K33" t="n">
        <v>93.17</v>
      </c>
      <c r="L33" t="n">
        <v>93.23999999999999</v>
      </c>
      <c r="M33" t="n">
        <v>92.93000000000001</v>
      </c>
      <c r="N33" t="n">
        <v>92.98</v>
      </c>
      <c r="O33" t="n">
        <v>91.70999999999999</v>
      </c>
      <c r="P33" t="n">
        <v>93.05</v>
      </c>
      <c r="Q33" t="n">
        <v>94.67</v>
      </c>
      <c r="R33" t="n">
        <v>94.59999999999999</v>
      </c>
      <c r="S33" t="n">
        <v>94.75</v>
      </c>
      <c r="T33" t="n">
        <v>94.98</v>
      </c>
      <c r="U33" t="n">
        <v>94.81</v>
      </c>
      <c r="V33" t="n">
        <v>94.59999999999999</v>
      </c>
      <c r="W33" t="n">
        <v>93.81</v>
      </c>
      <c r="X33" t="n">
        <v>94.42</v>
      </c>
      <c r="Y33" t="n">
        <v>92.93000000000001</v>
      </c>
      <c r="Z33" t="n">
        <v>93.63</v>
      </c>
      <c r="AA33" t="n">
        <v>93.87</v>
      </c>
      <c r="AB33" t="n">
        <v>95.26000000000001</v>
      </c>
      <c r="AC33" t="n">
        <v>95.78</v>
      </c>
      <c r="AD33" t="n">
        <v>95.56</v>
      </c>
      <c r="AE33" t="n">
        <v>94.11</v>
      </c>
      <c r="AF33" t="n">
        <v>95.37</v>
      </c>
      <c r="AG33" t="n">
        <v>95.54000000000001</v>
      </c>
      <c r="AH33" t="n">
        <v>96.3</v>
      </c>
      <c r="AI33" t="n">
        <v>96.87</v>
      </c>
      <c r="AJ33" t="n">
        <v>97.77</v>
      </c>
      <c r="AK33" t="n">
        <v>97.55</v>
      </c>
      <c r="AL33" t="n">
        <v>97.65000000000001</v>
      </c>
      <c r="AM33" t="n">
        <v>97.75</v>
      </c>
      <c r="AN33" t="n">
        <v>98.5</v>
      </c>
      <c r="AO33" t="n">
        <v>98.81</v>
      </c>
      <c r="AP33" t="n">
        <v>98.94</v>
      </c>
      <c r="AQ33" t="n">
        <v>99.05</v>
      </c>
      <c r="AR33" t="n">
        <v>98.94</v>
      </c>
      <c r="AS33" t="n">
        <v>98.76000000000001</v>
      </c>
      <c r="AT33" t="n">
        <v>98.37</v>
      </c>
      <c r="AU33" t="n">
        <v>98.25</v>
      </c>
      <c r="AV33" t="n">
        <v>98.52</v>
      </c>
      <c r="AW33" t="n">
        <v>98.29000000000001</v>
      </c>
      <c r="AX33" t="n">
        <v>98.54000000000001</v>
      </c>
      <c r="AY33" t="n">
        <v>98.66</v>
      </c>
      <c r="AZ33" t="n">
        <v>98.47</v>
      </c>
      <c r="BA33" t="n">
        <v>98.20999999999999</v>
      </c>
      <c r="BB33" t="n">
        <v>98.12</v>
      </c>
      <c r="BC33" t="n">
        <v>97.40000000000001</v>
      </c>
      <c r="BD33" t="n">
        <v>97.78</v>
      </c>
      <c r="BE33" t="n">
        <v>97.09</v>
      </c>
      <c r="BF33" t="n">
        <v>97.17</v>
      </c>
      <c r="BG33" t="n">
        <v>97.25</v>
      </c>
      <c r="BH33" t="n">
        <v>97.38</v>
      </c>
      <c r="BI33" t="n">
        <v>97.09999999999999</v>
      </c>
      <c r="BJ33" t="n">
        <v>97.88</v>
      </c>
      <c r="BK33" t="n">
        <v>98.06</v>
      </c>
      <c r="BL33" t="n">
        <v>97.91</v>
      </c>
      <c r="BM33" t="n">
        <v>97.97</v>
      </c>
      <c r="BN33" t="n">
        <v>98.02</v>
      </c>
      <c r="BO33" t="n">
        <v>97.58</v>
      </c>
      <c r="BP33" t="n">
        <v>98.08</v>
      </c>
      <c r="BQ33" t="n">
        <v>98.22</v>
      </c>
      <c r="BR33" t="n">
        <v>98.13</v>
      </c>
      <c r="BS33" t="n">
        <v>98.04000000000001</v>
      </c>
      <c r="BT33" t="n">
        <v>98.05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1" t="inlineStr">
        <is>
          <t>Recycling diagnostics from diagnose_sppr()</t>
        </is>
      </c>
    </row>
    <row r="2" ht="32" customHeight="1">
      <c r="A2" s="20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19" t="inlineStr">
        <is>
          <t>model</t>
        </is>
      </c>
      <c r="B4" s="19" t="inlineStr">
        <is>
          <t>TE_option</t>
        </is>
      </c>
      <c r="C4" s="19" t="inlineStr">
        <is>
          <t>b</t>
        </is>
      </c>
      <c r="D4" s="19" t="inlineStr">
        <is>
          <t>rho living</t>
        </is>
      </c>
      <c r="E4" s="19" t="inlineStr">
        <is>
          <t>diagnostic status</t>
        </is>
      </c>
      <c r="F4" s="19" t="inlineStr">
        <is>
          <t>b converges</t>
        </is>
      </c>
      <c r="G4" s="19" t="inlineStr">
        <is>
          <t>living converges</t>
        </is>
      </c>
      <c r="H4" s="19" t="inlineStr">
        <is>
          <t>input balanced</t>
        </is>
      </c>
      <c r="I4" s="19" t="inlineStr">
        <is>
          <t>configuration</t>
        </is>
      </c>
    </row>
    <row r="5">
      <c r="A5" t="inlineStr">
        <is>
          <t>52_1_Sea_of_Okhotsk_NE_(1980)</t>
        </is>
      </c>
      <c r="B5" t="inlineStr">
        <is>
          <t>GE</t>
        </is>
      </c>
      <c r="C5" s="21" t="n">
        <v>0.152043528728438</v>
      </c>
      <c r="D5" s="21" t="n">
        <v>0.8671658823517999</v>
      </c>
      <c r="E5" t="inlineStr">
        <is>
          <t>WARN</t>
        </is>
      </c>
      <c r="F5" t="b">
        <v>1</v>
      </c>
      <c r="G5" t="b">
        <v>1</v>
      </c>
      <c r="H5" t="b">
        <v>1</v>
      </c>
      <c r="I5" t="inlineStr">
        <is>
          <t>{"TE_option": "GE", "det_collapse_mode": "never", "det_external_sppr": 0, "det_open_mode": "none", "det_theta": 1, "explicit_TE": false, "method": "single_detritus", "model": "Sea_of_Okhotsk_NE (1980)", "would_pool": false}</t>
        </is>
      </c>
    </row>
    <row r="6">
      <c r="A6" t="inlineStr">
        <is>
          <t>52_1_Sea_of_Okhotsk_NE_(1980)</t>
        </is>
      </c>
      <c r="B6" t="inlineStr">
        <is>
          <t>TE</t>
        </is>
      </c>
      <c r="C6" s="21" t="n">
        <v>0</v>
      </c>
      <c r="D6" s="21" t="n">
        <v>1.025120053532563</v>
      </c>
      <c r="E6" t="inlineStr">
        <is>
          <t>FAIL</t>
        </is>
      </c>
      <c r="F6" t="b">
        <v>1</v>
      </c>
      <c r="G6" t="b">
        <v>0</v>
      </c>
      <c r="H6" t="b">
        <v>1</v>
      </c>
      <c r="I6" t="inlineStr">
        <is>
          <t>{"TE_option": "TE", "det_collapse_mode": "never", "det_external_sppr": 0, "det_open_mode": "none", "det_theta": 1, "explicit_TE": false, "method": null, "model": "Sea_of_Okhotsk_NE (1980)", "would_pool": false}</t>
        </is>
      </c>
    </row>
    <row r="7">
      <c r="A7" t="inlineStr">
        <is>
          <t>52_1_Sea_of_Okhotsk_NE_(1980)</t>
        </is>
      </c>
      <c r="B7" t="inlineStr">
        <is>
          <t>With Egestion</t>
        </is>
      </c>
      <c r="C7" s="21" t="n">
        <v>0.137750257963045</v>
      </c>
      <c r="D7" s="21" t="n">
        <v>0.69373270588144</v>
      </c>
      <c r="E7" t="inlineStr">
        <is>
          <t>WARN</t>
        </is>
      </c>
      <c r="F7" t="b">
        <v>1</v>
      </c>
      <c r="G7" t="b">
        <v>1</v>
      </c>
      <c r="H7" t="b">
        <v>1</v>
      </c>
      <c r="I7" t="inlineStr">
        <is>
          <t>{"TE_option": "With Egestion", "det_collapse_mode": "never", "det_external_sppr": 0, "det_open_mode": "none", "det_theta": 1, "explicit_TE": false, "method": "single_detritus", "model": "Sea_of_Okhotsk_NE (1980)", "would_pool": false}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158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0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>
      <c r="A1" s="1" t="inlineStr">
        <is>
          <t>PPR per taxon for one year — pick the year in the yellow cell.</t>
        </is>
      </c>
    </row>
    <row r="2">
      <c r="A2" t="inlineStr">
        <is>
          <t>PPR = that year's catch for the taxon x the taxon's SPPR under each method. Everything below recalculates when the year changes.</t>
        </is>
      </c>
    </row>
    <row r="4">
      <c r="A4" s="2" t="inlineStr">
        <is>
          <t>Year</t>
        </is>
      </c>
      <c r="B4" s="22" t="n">
        <v>2019</v>
      </c>
      <c r="C4" s="17" t="inlineStr">
        <is>
          <t>choose any year from 1950 to 2019</t>
        </is>
      </c>
    </row>
    <row r="6">
      <c r="A6" s="4" t="inlineStr">
        <is>
          <t>taxon</t>
        </is>
      </c>
      <c r="B6" s="4" t="inlineStr">
        <is>
          <t>Ecopath group</t>
        </is>
      </c>
      <c r="C6" s="4" t="inlineStr">
        <is>
          <t>catch tonnes</t>
        </is>
      </c>
      <c r="D6" s="4" t="inlineStr">
        <is>
          <t>SPPR_1986</t>
        </is>
      </c>
      <c r="E6" s="4" t="inlineStr">
        <is>
          <t>SPPR_1995_TE0.1</t>
        </is>
      </c>
      <c r="F6" s="4" t="inlineStr">
        <is>
          <t>SPPR_1995_TEmean</t>
        </is>
      </c>
      <c r="G6" s="4" t="inlineStr">
        <is>
          <t>Ulanowicz_globalTEmean</t>
        </is>
      </c>
      <c r="H6" s="4" t="inlineStr">
        <is>
          <t>Ulanowicz_TE</t>
        </is>
      </c>
      <c r="I6" s="4" t="inlineStr">
        <is>
          <t>EwE_TE_noEE</t>
        </is>
      </c>
      <c r="J6" s="4" t="inlineStr">
        <is>
          <t>EwE_TE_EE</t>
        </is>
      </c>
      <c r="K6" s="4" t="inlineStr">
        <is>
          <t>SPPR_2015</t>
        </is>
      </c>
      <c r="L6" s="4" t="inlineStr">
        <is>
          <t>new_TE_noEEfix</t>
        </is>
      </c>
      <c r="M6" s="4" t="inlineStr">
        <is>
          <t>new_TE_EEfix</t>
        </is>
      </c>
      <c r="N6" s="4" t="inlineStr">
        <is>
          <t>new_GE</t>
        </is>
      </c>
      <c r="O6" s="4" t="inlineStr">
        <is>
          <t>new_WithEgestion</t>
        </is>
      </c>
      <c r="P6" s="4" t="inlineStr">
        <is>
          <t>sym_TE_asPP</t>
        </is>
      </c>
      <c r="Q6" s="4" t="inlineStr">
        <is>
          <t>sym_TE_asDC</t>
        </is>
      </c>
      <c r="R6" s="4" t="inlineStr">
        <is>
          <t>sym_GE_asPP</t>
        </is>
      </c>
      <c r="S6" s="4" t="inlineStr">
        <is>
          <t>sym_GE_asDC</t>
        </is>
      </c>
      <c r="T6" s="4" t="inlineStr">
        <is>
          <t>sym_WithEgestion_asPP</t>
        </is>
      </c>
      <c r="U6" s="4" t="inlineStr">
        <is>
          <t>sym_WithEgestion_asDC</t>
        </is>
      </c>
      <c r="V6" s="4" t="inlineStr">
        <is>
          <t>MC_new_GE</t>
        </is>
      </c>
      <c r="W6" s="4" t="inlineStr">
        <is>
          <t>MC_new_TE_EEfix</t>
        </is>
      </c>
    </row>
    <row r="7">
      <c r="A7" s="2" t="inlineStr">
        <is>
          <t>ALL TAXA</t>
        </is>
      </c>
      <c r="C7" s="2">
        <f>SUM(C8:C158)</f>
        <v/>
      </c>
      <c r="D7" s="2">
        <f>IF(COUNT(D8:D158)=0,"",SUM(D8:D158))</f>
        <v/>
      </c>
      <c r="E7" s="2">
        <f>IF(COUNT(E8:E158)=0,"",SUM(E8:E158))</f>
        <v/>
      </c>
      <c r="F7" s="2">
        <f>IF(COUNT(F8:F158)=0,"",SUM(F8:F158))</f>
        <v/>
      </c>
      <c r="G7" s="2">
        <f>IF(COUNT(G8:G158)=0,"",SUM(G8:G158))</f>
        <v/>
      </c>
      <c r="H7" s="2">
        <f>IF(COUNT(H8:H158)=0,"",SUM(H8:H158))</f>
        <v/>
      </c>
      <c r="I7" s="2">
        <f>IF(COUNT(I8:I158)=0,"",SUM(I8:I158))</f>
        <v/>
      </c>
      <c r="J7" s="2">
        <f>IF(COUNT(J8:J158)=0,"",SUM(J8:J158))</f>
        <v/>
      </c>
      <c r="K7" s="2">
        <f>IF(COUNT(K8:K158)=0,"",SUM(K8:K158))</f>
        <v/>
      </c>
      <c r="L7" s="2">
        <f>IF(COUNT(L8:L158)=0,"",SUM(L8:L158))</f>
        <v/>
      </c>
      <c r="M7" s="2">
        <f>IF(COUNT(M8:M158)=0,"",SUM(M8:M158))</f>
        <v/>
      </c>
      <c r="N7" s="2">
        <f>IF(COUNT(N8:N158)=0,"",SUM(N8:N158))</f>
        <v/>
      </c>
      <c r="O7" s="2">
        <f>IF(COUNT(O8:O158)=0,"",SUM(O8:O158))</f>
        <v/>
      </c>
      <c r="P7" s="2">
        <f>IF(COUNT(P8:P158)=0,"",SUM(P8:P158))</f>
        <v/>
      </c>
      <c r="Q7" s="2">
        <f>IF(COUNT(Q8:Q158)=0,"",SUM(Q8:Q158))</f>
        <v/>
      </c>
      <c r="R7" s="2">
        <f>IF(COUNT(R8:R158)=0,"",SUM(R8:R158))</f>
        <v/>
      </c>
      <c r="S7" s="2">
        <f>IF(COUNT(S8:S158)=0,"",SUM(S8:S158))</f>
        <v/>
      </c>
      <c r="T7" s="2">
        <f>IF(COUNT(T8:T158)=0,"",SUM(T8:T158))</f>
        <v/>
      </c>
      <c r="U7" s="2">
        <f>IF(COUNT(U8:U158)=0,"",SUM(U8:U158))</f>
        <v/>
      </c>
      <c r="V7" s="2">
        <f>IF(COUNT(V8:V158)=0,"",SUM(V8:V158))</f>
        <v/>
      </c>
      <c r="W7" s="2">
        <f>IF(COUNT(W8:W158)=0,"",SUM(W8:W158))</f>
        <v/>
      </c>
    </row>
    <row r="8">
      <c r="A8" t="inlineStr">
        <is>
          <t>Gadus chalcogrammus</t>
        </is>
      </c>
      <c r="B8">
        <f>IFERROR(INDEX(SPPR!$D:$D,MATCH($A8,SPPR!$A:$A,0)),"")</f>
        <v/>
      </c>
      <c r="C8">
        <f>IFERROR(INDEX(Catch!$E:$BV,MATCH($A8,Catch!$A:$A,0),MATCH($B$4,Catch!$E$1:$BV$1,0)),0)</f>
        <v/>
      </c>
      <c r="D8">
        <f>IFERROR(IF(ISNUMBER(INDEX(SPPR!$E:$X,MATCH($A8,SPPR!$A:$A,0),1)),$C8*INDEX(SPPR!$E:$X,MATCH($A8,SPPR!$A:$A,0),1),""),"")</f>
        <v/>
      </c>
      <c r="E8">
        <f>IFERROR(IF(ISNUMBER(INDEX(SPPR!$E:$X,MATCH($A8,SPPR!$A:$A,0),2)),$C8*INDEX(SPPR!$E:$X,MATCH($A8,SPPR!$A:$A,0),2),""),"")</f>
        <v/>
      </c>
      <c r="F8">
        <f>IFERROR(IF(ISNUMBER(INDEX(SPPR!$E:$X,MATCH($A8,SPPR!$A:$A,0),3)),$C8*INDEX(SPPR!$E:$X,MATCH($A8,SPPR!$A:$A,0),3),""),"")</f>
        <v/>
      </c>
      <c r="G8">
        <f>IFERROR(IF(ISNUMBER(INDEX(SPPR!$E:$X,MATCH($A8,SPPR!$A:$A,0),4)),$C8*INDEX(SPPR!$E:$X,MATCH($A8,SPPR!$A:$A,0),4),""),"")</f>
        <v/>
      </c>
      <c r="H8">
        <f>IFERROR(IF(ISNUMBER(INDEX(SPPR!$E:$X,MATCH($A8,SPPR!$A:$A,0),5)),$C8*INDEX(SPPR!$E:$X,MATCH($A8,SPPR!$A:$A,0),5),""),"")</f>
        <v/>
      </c>
      <c r="I8">
        <f>IFERROR(IF(ISNUMBER(INDEX(SPPR!$E:$X,MATCH($A8,SPPR!$A:$A,0),6)),$C8*INDEX(SPPR!$E:$X,MATCH($A8,SPPR!$A:$A,0),6),""),"")</f>
        <v/>
      </c>
      <c r="J8">
        <f>IFERROR(IF(ISNUMBER(INDEX(SPPR!$E:$X,MATCH($A8,SPPR!$A:$A,0),7)),$C8*INDEX(SPPR!$E:$X,MATCH($A8,SPPR!$A:$A,0),7),""),"")</f>
        <v/>
      </c>
      <c r="K8">
        <f>IFERROR(IF(ISNUMBER(INDEX(SPPR!$E:$X,MATCH($A8,SPPR!$A:$A,0),8)),$C8*INDEX(SPPR!$E:$X,MATCH($A8,SPPR!$A:$A,0),8),""),"")</f>
        <v/>
      </c>
      <c r="L8">
        <f>IFERROR(IF(ISNUMBER(INDEX(SPPR!$E:$X,MATCH($A8,SPPR!$A:$A,0),9)),$C8*INDEX(SPPR!$E:$X,MATCH($A8,SPPR!$A:$A,0),9),""),"")</f>
        <v/>
      </c>
      <c r="M8">
        <f>IFERROR(IF(ISNUMBER(INDEX(SPPR!$E:$X,MATCH($A8,SPPR!$A:$A,0),10)),$C8*INDEX(SPPR!$E:$X,MATCH($A8,SPPR!$A:$A,0),10),""),"")</f>
        <v/>
      </c>
      <c r="N8">
        <f>IFERROR(IF(ISNUMBER(INDEX(SPPR!$E:$X,MATCH($A8,SPPR!$A:$A,0),11)),$C8*INDEX(SPPR!$E:$X,MATCH($A8,SPPR!$A:$A,0),11),""),"")</f>
        <v/>
      </c>
      <c r="O8">
        <f>IFERROR(IF(ISNUMBER(INDEX(SPPR!$E:$X,MATCH($A8,SPPR!$A:$A,0),12)),$C8*INDEX(SPPR!$E:$X,MATCH($A8,SPPR!$A:$A,0),12),""),"")</f>
        <v/>
      </c>
      <c r="P8">
        <f>IFERROR(IF(ISNUMBER(INDEX(SPPR!$E:$X,MATCH($A8,SPPR!$A:$A,0),13)),$C8*INDEX(SPPR!$E:$X,MATCH($A8,SPPR!$A:$A,0),13),""),"")</f>
        <v/>
      </c>
      <c r="Q8">
        <f>IFERROR(IF(ISNUMBER(INDEX(SPPR!$E:$X,MATCH($A8,SPPR!$A:$A,0),14)),$C8*INDEX(SPPR!$E:$X,MATCH($A8,SPPR!$A:$A,0),14),""),"")</f>
        <v/>
      </c>
      <c r="R8">
        <f>IFERROR(IF(ISNUMBER(INDEX(SPPR!$E:$X,MATCH($A8,SPPR!$A:$A,0),15)),$C8*INDEX(SPPR!$E:$X,MATCH($A8,SPPR!$A:$A,0),15),""),"")</f>
        <v/>
      </c>
      <c r="S8">
        <f>IFERROR(IF(ISNUMBER(INDEX(SPPR!$E:$X,MATCH($A8,SPPR!$A:$A,0),16)),$C8*INDEX(SPPR!$E:$X,MATCH($A8,SPPR!$A:$A,0),16),""),"")</f>
        <v/>
      </c>
      <c r="T8">
        <f>IFERROR(IF(ISNUMBER(INDEX(SPPR!$E:$X,MATCH($A8,SPPR!$A:$A,0),17)),$C8*INDEX(SPPR!$E:$X,MATCH($A8,SPPR!$A:$A,0),17),""),"")</f>
        <v/>
      </c>
      <c r="U8">
        <f>IFERROR(IF(ISNUMBER(INDEX(SPPR!$E:$X,MATCH($A8,SPPR!$A:$A,0),18)),$C8*INDEX(SPPR!$E:$X,MATCH($A8,SPPR!$A:$A,0),18),""),"")</f>
        <v/>
      </c>
      <c r="V8">
        <f>IFERROR(IF(ISNUMBER(INDEX(SPPR!$E:$X,MATCH($A8,SPPR!$A:$A,0),19)),$C8*INDEX(SPPR!$E:$X,MATCH($A8,SPPR!$A:$A,0),19),""),"")</f>
        <v/>
      </c>
      <c r="W8">
        <f>IFERROR(IF(ISNUMBER(INDEX(SPPR!$E:$X,MATCH($A8,SPPR!$A:$A,0),20)),$C8*INDEX(SPPR!$E:$X,MATCH($A8,SPPR!$A:$A,0),20),""),"")</f>
        <v/>
      </c>
    </row>
    <row r="9">
      <c r="A9" t="inlineStr">
        <is>
          <t>Clupea pallasii</t>
        </is>
      </c>
      <c r="B9">
        <f>IFERROR(INDEX(SPPR!$D:$D,MATCH($A9,SPPR!$A:$A,0)),"")</f>
        <v/>
      </c>
      <c r="C9">
        <f>IFERROR(INDEX(Catch!$E:$BV,MATCH($A9,Catch!$A:$A,0),MATCH($B$4,Catch!$E$1:$BV$1,0)),0)</f>
        <v/>
      </c>
      <c r="D9">
        <f>IFERROR(IF(ISNUMBER(INDEX(SPPR!$E:$X,MATCH($A9,SPPR!$A:$A,0),1)),$C9*INDEX(SPPR!$E:$X,MATCH($A9,SPPR!$A:$A,0),1),""),"")</f>
        <v/>
      </c>
      <c r="E9">
        <f>IFERROR(IF(ISNUMBER(INDEX(SPPR!$E:$X,MATCH($A9,SPPR!$A:$A,0),2)),$C9*INDEX(SPPR!$E:$X,MATCH($A9,SPPR!$A:$A,0),2),""),"")</f>
        <v/>
      </c>
      <c r="F9">
        <f>IFERROR(IF(ISNUMBER(INDEX(SPPR!$E:$X,MATCH($A9,SPPR!$A:$A,0),3)),$C9*INDEX(SPPR!$E:$X,MATCH($A9,SPPR!$A:$A,0),3),""),"")</f>
        <v/>
      </c>
      <c r="G9">
        <f>IFERROR(IF(ISNUMBER(INDEX(SPPR!$E:$X,MATCH($A9,SPPR!$A:$A,0),4)),$C9*INDEX(SPPR!$E:$X,MATCH($A9,SPPR!$A:$A,0),4),""),"")</f>
        <v/>
      </c>
      <c r="H9">
        <f>IFERROR(IF(ISNUMBER(INDEX(SPPR!$E:$X,MATCH($A9,SPPR!$A:$A,0),5)),$C9*INDEX(SPPR!$E:$X,MATCH($A9,SPPR!$A:$A,0),5),""),"")</f>
        <v/>
      </c>
      <c r="I9">
        <f>IFERROR(IF(ISNUMBER(INDEX(SPPR!$E:$X,MATCH($A9,SPPR!$A:$A,0),6)),$C9*INDEX(SPPR!$E:$X,MATCH($A9,SPPR!$A:$A,0),6),""),"")</f>
        <v/>
      </c>
      <c r="J9">
        <f>IFERROR(IF(ISNUMBER(INDEX(SPPR!$E:$X,MATCH($A9,SPPR!$A:$A,0),7)),$C9*INDEX(SPPR!$E:$X,MATCH($A9,SPPR!$A:$A,0),7),""),"")</f>
        <v/>
      </c>
      <c r="K9">
        <f>IFERROR(IF(ISNUMBER(INDEX(SPPR!$E:$X,MATCH($A9,SPPR!$A:$A,0),8)),$C9*INDEX(SPPR!$E:$X,MATCH($A9,SPPR!$A:$A,0),8),""),"")</f>
        <v/>
      </c>
      <c r="L9">
        <f>IFERROR(IF(ISNUMBER(INDEX(SPPR!$E:$X,MATCH($A9,SPPR!$A:$A,0),9)),$C9*INDEX(SPPR!$E:$X,MATCH($A9,SPPR!$A:$A,0),9),""),"")</f>
        <v/>
      </c>
      <c r="M9">
        <f>IFERROR(IF(ISNUMBER(INDEX(SPPR!$E:$X,MATCH($A9,SPPR!$A:$A,0),10)),$C9*INDEX(SPPR!$E:$X,MATCH($A9,SPPR!$A:$A,0),10),""),"")</f>
        <v/>
      </c>
      <c r="N9">
        <f>IFERROR(IF(ISNUMBER(INDEX(SPPR!$E:$X,MATCH($A9,SPPR!$A:$A,0),11)),$C9*INDEX(SPPR!$E:$X,MATCH($A9,SPPR!$A:$A,0),11),""),"")</f>
        <v/>
      </c>
      <c r="O9">
        <f>IFERROR(IF(ISNUMBER(INDEX(SPPR!$E:$X,MATCH($A9,SPPR!$A:$A,0),12)),$C9*INDEX(SPPR!$E:$X,MATCH($A9,SPPR!$A:$A,0),12),""),"")</f>
        <v/>
      </c>
      <c r="P9">
        <f>IFERROR(IF(ISNUMBER(INDEX(SPPR!$E:$X,MATCH($A9,SPPR!$A:$A,0),13)),$C9*INDEX(SPPR!$E:$X,MATCH($A9,SPPR!$A:$A,0),13),""),"")</f>
        <v/>
      </c>
      <c r="Q9">
        <f>IFERROR(IF(ISNUMBER(INDEX(SPPR!$E:$X,MATCH($A9,SPPR!$A:$A,0),14)),$C9*INDEX(SPPR!$E:$X,MATCH($A9,SPPR!$A:$A,0),14),""),"")</f>
        <v/>
      </c>
      <c r="R9">
        <f>IFERROR(IF(ISNUMBER(INDEX(SPPR!$E:$X,MATCH($A9,SPPR!$A:$A,0),15)),$C9*INDEX(SPPR!$E:$X,MATCH($A9,SPPR!$A:$A,0),15),""),"")</f>
        <v/>
      </c>
      <c r="S9">
        <f>IFERROR(IF(ISNUMBER(INDEX(SPPR!$E:$X,MATCH($A9,SPPR!$A:$A,0),16)),$C9*INDEX(SPPR!$E:$X,MATCH($A9,SPPR!$A:$A,0),16),""),"")</f>
        <v/>
      </c>
      <c r="T9">
        <f>IFERROR(IF(ISNUMBER(INDEX(SPPR!$E:$X,MATCH($A9,SPPR!$A:$A,0),17)),$C9*INDEX(SPPR!$E:$X,MATCH($A9,SPPR!$A:$A,0),17),""),"")</f>
        <v/>
      </c>
      <c r="U9">
        <f>IFERROR(IF(ISNUMBER(INDEX(SPPR!$E:$X,MATCH($A9,SPPR!$A:$A,0),18)),$C9*INDEX(SPPR!$E:$X,MATCH($A9,SPPR!$A:$A,0),18),""),"")</f>
        <v/>
      </c>
      <c r="V9">
        <f>IFERROR(IF(ISNUMBER(INDEX(SPPR!$E:$X,MATCH($A9,SPPR!$A:$A,0),19)),$C9*INDEX(SPPR!$E:$X,MATCH($A9,SPPR!$A:$A,0),19),""),"")</f>
        <v/>
      </c>
      <c r="W9">
        <f>IFERROR(IF(ISNUMBER(INDEX(SPPR!$E:$X,MATCH($A9,SPPR!$A:$A,0),20)),$C9*INDEX(SPPR!$E:$X,MATCH($A9,SPPR!$A:$A,0),20),""),"")</f>
        <v/>
      </c>
    </row>
    <row r="10">
      <c r="A10" t="inlineStr">
        <is>
          <t>Marine fishes not identified</t>
        </is>
      </c>
      <c r="B10">
        <f>IFERROR(INDEX(SPPR!$D:$D,MATCH($A10,SPPR!$A:$A,0)),"")</f>
        <v/>
      </c>
      <c r="C10">
        <f>IFERROR(INDEX(Catch!$E:$BV,MATCH($A10,Catch!$A:$A,0),MATCH($B$4,Catch!$E$1:$BV$1,0)),0)</f>
        <v/>
      </c>
      <c r="D10">
        <f>IFERROR(IF(ISNUMBER(INDEX(SPPR!$E:$X,MATCH($A10,SPPR!$A:$A,0),1)),$C10*INDEX(SPPR!$E:$X,MATCH($A10,SPPR!$A:$A,0),1),""),"")</f>
        <v/>
      </c>
      <c r="E10">
        <f>IFERROR(IF(ISNUMBER(INDEX(SPPR!$E:$X,MATCH($A10,SPPR!$A:$A,0),2)),$C10*INDEX(SPPR!$E:$X,MATCH($A10,SPPR!$A:$A,0),2),""),"")</f>
        <v/>
      </c>
      <c r="F10">
        <f>IFERROR(IF(ISNUMBER(INDEX(SPPR!$E:$X,MATCH($A10,SPPR!$A:$A,0),3)),$C10*INDEX(SPPR!$E:$X,MATCH($A10,SPPR!$A:$A,0),3),""),"")</f>
        <v/>
      </c>
      <c r="G10">
        <f>IFERROR(IF(ISNUMBER(INDEX(SPPR!$E:$X,MATCH($A10,SPPR!$A:$A,0),4)),$C10*INDEX(SPPR!$E:$X,MATCH($A10,SPPR!$A:$A,0),4),""),"")</f>
        <v/>
      </c>
      <c r="H10">
        <f>IFERROR(IF(ISNUMBER(INDEX(SPPR!$E:$X,MATCH($A10,SPPR!$A:$A,0),5)),$C10*INDEX(SPPR!$E:$X,MATCH($A10,SPPR!$A:$A,0),5),""),"")</f>
        <v/>
      </c>
      <c r="I10">
        <f>IFERROR(IF(ISNUMBER(INDEX(SPPR!$E:$X,MATCH($A10,SPPR!$A:$A,0),6)),$C10*INDEX(SPPR!$E:$X,MATCH($A10,SPPR!$A:$A,0),6),""),"")</f>
        <v/>
      </c>
      <c r="J10">
        <f>IFERROR(IF(ISNUMBER(INDEX(SPPR!$E:$X,MATCH($A10,SPPR!$A:$A,0),7)),$C10*INDEX(SPPR!$E:$X,MATCH($A10,SPPR!$A:$A,0),7),""),"")</f>
        <v/>
      </c>
      <c r="K10">
        <f>IFERROR(IF(ISNUMBER(INDEX(SPPR!$E:$X,MATCH($A10,SPPR!$A:$A,0),8)),$C10*INDEX(SPPR!$E:$X,MATCH($A10,SPPR!$A:$A,0),8),""),"")</f>
        <v/>
      </c>
      <c r="L10">
        <f>IFERROR(IF(ISNUMBER(INDEX(SPPR!$E:$X,MATCH($A10,SPPR!$A:$A,0),9)),$C10*INDEX(SPPR!$E:$X,MATCH($A10,SPPR!$A:$A,0),9),""),"")</f>
        <v/>
      </c>
      <c r="M10">
        <f>IFERROR(IF(ISNUMBER(INDEX(SPPR!$E:$X,MATCH($A10,SPPR!$A:$A,0),10)),$C10*INDEX(SPPR!$E:$X,MATCH($A10,SPPR!$A:$A,0),10),""),"")</f>
        <v/>
      </c>
      <c r="N10">
        <f>IFERROR(IF(ISNUMBER(INDEX(SPPR!$E:$X,MATCH($A10,SPPR!$A:$A,0),11)),$C10*INDEX(SPPR!$E:$X,MATCH($A10,SPPR!$A:$A,0),11),""),"")</f>
        <v/>
      </c>
      <c r="O10">
        <f>IFERROR(IF(ISNUMBER(INDEX(SPPR!$E:$X,MATCH($A10,SPPR!$A:$A,0),12)),$C10*INDEX(SPPR!$E:$X,MATCH($A10,SPPR!$A:$A,0),12),""),"")</f>
        <v/>
      </c>
      <c r="P10">
        <f>IFERROR(IF(ISNUMBER(INDEX(SPPR!$E:$X,MATCH($A10,SPPR!$A:$A,0),13)),$C10*INDEX(SPPR!$E:$X,MATCH($A10,SPPR!$A:$A,0),13),""),"")</f>
        <v/>
      </c>
      <c r="Q10">
        <f>IFERROR(IF(ISNUMBER(INDEX(SPPR!$E:$X,MATCH($A10,SPPR!$A:$A,0),14)),$C10*INDEX(SPPR!$E:$X,MATCH($A10,SPPR!$A:$A,0),14),""),"")</f>
        <v/>
      </c>
      <c r="R10">
        <f>IFERROR(IF(ISNUMBER(INDEX(SPPR!$E:$X,MATCH($A10,SPPR!$A:$A,0),15)),$C10*INDEX(SPPR!$E:$X,MATCH($A10,SPPR!$A:$A,0),15),""),"")</f>
        <v/>
      </c>
      <c r="S10">
        <f>IFERROR(IF(ISNUMBER(INDEX(SPPR!$E:$X,MATCH($A10,SPPR!$A:$A,0),16)),$C10*INDEX(SPPR!$E:$X,MATCH($A10,SPPR!$A:$A,0),16),""),"")</f>
        <v/>
      </c>
      <c r="T10">
        <f>IFERROR(IF(ISNUMBER(INDEX(SPPR!$E:$X,MATCH($A10,SPPR!$A:$A,0),17)),$C10*INDEX(SPPR!$E:$X,MATCH($A10,SPPR!$A:$A,0),17),""),"")</f>
        <v/>
      </c>
      <c r="U10">
        <f>IFERROR(IF(ISNUMBER(INDEX(SPPR!$E:$X,MATCH($A10,SPPR!$A:$A,0),18)),$C10*INDEX(SPPR!$E:$X,MATCH($A10,SPPR!$A:$A,0),18),""),"")</f>
        <v/>
      </c>
      <c r="V10">
        <f>IFERROR(IF(ISNUMBER(INDEX(SPPR!$E:$X,MATCH($A10,SPPR!$A:$A,0),19)),$C10*INDEX(SPPR!$E:$X,MATCH($A10,SPPR!$A:$A,0),19),""),"")</f>
        <v/>
      </c>
      <c r="W10">
        <f>IFERROR(IF(ISNUMBER(INDEX(SPPR!$E:$X,MATCH($A10,SPPR!$A:$A,0),20)),$C10*INDEX(SPPR!$E:$X,MATCH($A10,SPPR!$A:$A,0),20),""),"")</f>
        <v/>
      </c>
    </row>
    <row r="11">
      <c r="A11" t="inlineStr">
        <is>
          <t>Oncorhynchus gorbuscha</t>
        </is>
      </c>
      <c r="B11">
        <f>IFERROR(INDEX(SPPR!$D:$D,MATCH($A11,SPPR!$A:$A,0)),"")</f>
        <v/>
      </c>
      <c r="C11">
        <f>IFERROR(INDEX(Catch!$E:$BV,MATCH($A11,Catch!$A:$A,0),MATCH($B$4,Catch!$E$1:$BV$1,0)),0)</f>
        <v/>
      </c>
      <c r="D11">
        <f>IFERROR(IF(ISNUMBER(INDEX(SPPR!$E:$X,MATCH($A11,SPPR!$A:$A,0),1)),$C11*INDEX(SPPR!$E:$X,MATCH($A11,SPPR!$A:$A,0),1),""),"")</f>
        <v/>
      </c>
      <c r="E11">
        <f>IFERROR(IF(ISNUMBER(INDEX(SPPR!$E:$X,MATCH($A11,SPPR!$A:$A,0),2)),$C11*INDEX(SPPR!$E:$X,MATCH($A11,SPPR!$A:$A,0),2),""),"")</f>
        <v/>
      </c>
      <c r="F11">
        <f>IFERROR(IF(ISNUMBER(INDEX(SPPR!$E:$X,MATCH($A11,SPPR!$A:$A,0),3)),$C11*INDEX(SPPR!$E:$X,MATCH($A11,SPPR!$A:$A,0),3),""),"")</f>
        <v/>
      </c>
      <c r="G11">
        <f>IFERROR(IF(ISNUMBER(INDEX(SPPR!$E:$X,MATCH($A11,SPPR!$A:$A,0),4)),$C11*INDEX(SPPR!$E:$X,MATCH($A11,SPPR!$A:$A,0),4),""),"")</f>
        <v/>
      </c>
      <c r="H11">
        <f>IFERROR(IF(ISNUMBER(INDEX(SPPR!$E:$X,MATCH($A11,SPPR!$A:$A,0),5)),$C11*INDEX(SPPR!$E:$X,MATCH($A11,SPPR!$A:$A,0),5),""),"")</f>
        <v/>
      </c>
      <c r="I11">
        <f>IFERROR(IF(ISNUMBER(INDEX(SPPR!$E:$X,MATCH($A11,SPPR!$A:$A,0),6)),$C11*INDEX(SPPR!$E:$X,MATCH($A11,SPPR!$A:$A,0),6),""),"")</f>
        <v/>
      </c>
      <c r="J11">
        <f>IFERROR(IF(ISNUMBER(INDEX(SPPR!$E:$X,MATCH($A11,SPPR!$A:$A,0),7)),$C11*INDEX(SPPR!$E:$X,MATCH($A11,SPPR!$A:$A,0),7),""),"")</f>
        <v/>
      </c>
      <c r="K11">
        <f>IFERROR(IF(ISNUMBER(INDEX(SPPR!$E:$X,MATCH($A11,SPPR!$A:$A,0),8)),$C11*INDEX(SPPR!$E:$X,MATCH($A11,SPPR!$A:$A,0),8),""),"")</f>
        <v/>
      </c>
      <c r="L11">
        <f>IFERROR(IF(ISNUMBER(INDEX(SPPR!$E:$X,MATCH($A11,SPPR!$A:$A,0),9)),$C11*INDEX(SPPR!$E:$X,MATCH($A11,SPPR!$A:$A,0),9),""),"")</f>
        <v/>
      </c>
      <c r="M11">
        <f>IFERROR(IF(ISNUMBER(INDEX(SPPR!$E:$X,MATCH($A11,SPPR!$A:$A,0),10)),$C11*INDEX(SPPR!$E:$X,MATCH($A11,SPPR!$A:$A,0),10),""),"")</f>
        <v/>
      </c>
      <c r="N11">
        <f>IFERROR(IF(ISNUMBER(INDEX(SPPR!$E:$X,MATCH($A11,SPPR!$A:$A,0),11)),$C11*INDEX(SPPR!$E:$X,MATCH($A11,SPPR!$A:$A,0),11),""),"")</f>
        <v/>
      </c>
      <c r="O11">
        <f>IFERROR(IF(ISNUMBER(INDEX(SPPR!$E:$X,MATCH($A11,SPPR!$A:$A,0),12)),$C11*INDEX(SPPR!$E:$X,MATCH($A11,SPPR!$A:$A,0),12),""),"")</f>
        <v/>
      </c>
      <c r="P11">
        <f>IFERROR(IF(ISNUMBER(INDEX(SPPR!$E:$X,MATCH($A11,SPPR!$A:$A,0),13)),$C11*INDEX(SPPR!$E:$X,MATCH($A11,SPPR!$A:$A,0),13),""),"")</f>
        <v/>
      </c>
      <c r="Q11">
        <f>IFERROR(IF(ISNUMBER(INDEX(SPPR!$E:$X,MATCH($A11,SPPR!$A:$A,0),14)),$C11*INDEX(SPPR!$E:$X,MATCH($A11,SPPR!$A:$A,0),14),""),"")</f>
        <v/>
      </c>
      <c r="R11">
        <f>IFERROR(IF(ISNUMBER(INDEX(SPPR!$E:$X,MATCH($A11,SPPR!$A:$A,0),15)),$C11*INDEX(SPPR!$E:$X,MATCH($A11,SPPR!$A:$A,0),15),""),"")</f>
        <v/>
      </c>
      <c r="S11">
        <f>IFERROR(IF(ISNUMBER(INDEX(SPPR!$E:$X,MATCH($A11,SPPR!$A:$A,0),16)),$C11*INDEX(SPPR!$E:$X,MATCH($A11,SPPR!$A:$A,0),16),""),"")</f>
        <v/>
      </c>
      <c r="T11">
        <f>IFERROR(IF(ISNUMBER(INDEX(SPPR!$E:$X,MATCH($A11,SPPR!$A:$A,0),17)),$C11*INDEX(SPPR!$E:$X,MATCH($A11,SPPR!$A:$A,0),17),""),"")</f>
        <v/>
      </c>
      <c r="U11">
        <f>IFERROR(IF(ISNUMBER(INDEX(SPPR!$E:$X,MATCH($A11,SPPR!$A:$A,0),18)),$C11*INDEX(SPPR!$E:$X,MATCH($A11,SPPR!$A:$A,0),18),""),"")</f>
        <v/>
      </c>
      <c r="V11">
        <f>IFERROR(IF(ISNUMBER(INDEX(SPPR!$E:$X,MATCH($A11,SPPR!$A:$A,0),19)),$C11*INDEX(SPPR!$E:$X,MATCH($A11,SPPR!$A:$A,0),19),""),"")</f>
        <v/>
      </c>
      <c r="W11">
        <f>IFERROR(IF(ISNUMBER(INDEX(SPPR!$E:$X,MATCH($A11,SPPR!$A:$A,0),20)),$C11*INDEX(SPPR!$E:$X,MATCH($A11,SPPR!$A:$A,0),20),""),"")</f>
        <v/>
      </c>
    </row>
    <row r="12">
      <c r="A12" t="inlineStr">
        <is>
          <t>Sardinops sagax</t>
        </is>
      </c>
      <c r="B12">
        <f>IFERROR(INDEX(SPPR!$D:$D,MATCH($A12,SPPR!$A:$A,0)),"")</f>
        <v/>
      </c>
      <c r="C12">
        <f>IFERROR(INDEX(Catch!$E:$BV,MATCH($A12,Catch!$A:$A,0),MATCH($B$4,Catch!$E$1:$BV$1,0)),0)</f>
        <v/>
      </c>
      <c r="D12">
        <f>IFERROR(IF(ISNUMBER(INDEX(SPPR!$E:$X,MATCH($A12,SPPR!$A:$A,0),1)),$C12*INDEX(SPPR!$E:$X,MATCH($A12,SPPR!$A:$A,0),1),""),"")</f>
        <v/>
      </c>
      <c r="E12">
        <f>IFERROR(IF(ISNUMBER(INDEX(SPPR!$E:$X,MATCH($A12,SPPR!$A:$A,0),2)),$C12*INDEX(SPPR!$E:$X,MATCH($A12,SPPR!$A:$A,0),2),""),"")</f>
        <v/>
      </c>
      <c r="F12">
        <f>IFERROR(IF(ISNUMBER(INDEX(SPPR!$E:$X,MATCH($A12,SPPR!$A:$A,0),3)),$C12*INDEX(SPPR!$E:$X,MATCH($A12,SPPR!$A:$A,0),3),""),"")</f>
        <v/>
      </c>
      <c r="G12">
        <f>IFERROR(IF(ISNUMBER(INDEX(SPPR!$E:$X,MATCH($A12,SPPR!$A:$A,0),4)),$C12*INDEX(SPPR!$E:$X,MATCH($A12,SPPR!$A:$A,0),4),""),"")</f>
        <v/>
      </c>
      <c r="H12">
        <f>IFERROR(IF(ISNUMBER(INDEX(SPPR!$E:$X,MATCH($A12,SPPR!$A:$A,0),5)),$C12*INDEX(SPPR!$E:$X,MATCH($A12,SPPR!$A:$A,0),5),""),"")</f>
        <v/>
      </c>
      <c r="I12">
        <f>IFERROR(IF(ISNUMBER(INDEX(SPPR!$E:$X,MATCH($A12,SPPR!$A:$A,0),6)),$C12*INDEX(SPPR!$E:$X,MATCH($A12,SPPR!$A:$A,0),6),""),"")</f>
        <v/>
      </c>
      <c r="J12">
        <f>IFERROR(IF(ISNUMBER(INDEX(SPPR!$E:$X,MATCH($A12,SPPR!$A:$A,0),7)),$C12*INDEX(SPPR!$E:$X,MATCH($A12,SPPR!$A:$A,0),7),""),"")</f>
        <v/>
      </c>
      <c r="K12">
        <f>IFERROR(IF(ISNUMBER(INDEX(SPPR!$E:$X,MATCH($A12,SPPR!$A:$A,0),8)),$C12*INDEX(SPPR!$E:$X,MATCH($A12,SPPR!$A:$A,0),8),""),"")</f>
        <v/>
      </c>
      <c r="L12">
        <f>IFERROR(IF(ISNUMBER(INDEX(SPPR!$E:$X,MATCH($A12,SPPR!$A:$A,0),9)),$C12*INDEX(SPPR!$E:$X,MATCH($A12,SPPR!$A:$A,0),9),""),"")</f>
        <v/>
      </c>
      <c r="M12">
        <f>IFERROR(IF(ISNUMBER(INDEX(SPPR!$E:$X,MATCH($A12,SPPR!$A:$A,0),10)),$C12*INDEX(SPPR!$E:$X,MATCH($A12,SPPR!$A:$A,0),10),""),"")</f>
        <v/>
      </c>
      <c r="N12">
        <f>IFERROR(IF(ISNUMBER(INDEX(SPPR!$E:$X,MATCH($A12,SPPR!$A:$A,0),11)),$C12*INDEX(SPPR!$E:$X,MATCH($A12,SPPR!$A:$A,0),11),""),"")</f>
        <v/>
      </c>
      <c r="O12">
        <f>IFERROR(IF(ISNUMBER(INDEX(SPPR!$E:$X,MATCH($A12,SPPR!$A:$A,0),12)),$C12*INDEX(SPPR!$E:$X,MATCH($A12,SPPR!$A:$A,0),12),""),"")</f>
        <v/>
      </c>
      <c r="P12">
        <f>IFERROR(IF(ISNUMBER(INDEX(SPPR!$E:$X,MATCH($A12,SPPR!$A:$A,0),13)),$C12*INDEX(SPPR!$E:$X,MATCH($A12,SPPR!$A:$A,0),13),""),"")</f>
        <v/>
      </c>
      <c r="Q12">
        <f>IFERROR(IF(ISNUMBER(INDEX(SPPR!$E:$X,MATCH($A12,SPPR!$A:$A,0),14)),$C12*INDEX(SPPR!$E:$X,MATCH($A12,SPPR!$A:$A,0),14),""),"")</f>
        <v/>
      </c>
      <c r="R12">
        <f>IFERROR(IF(ISNUMBER(INDEX(SPPR!$E:$X,MATCH($A12,SPPR!$A:$A,0),15)),$C12*INDEX(SPPR!$E:$X,MATCH($A12,SPPR!$A:$A,0),15),""),"")</f>
        <v/>
      </c>
      <c r="S12">
        <f>IFERROR(IF(ISNUMBER(INDEX(SPPR!$E:$X,MATCH($A12,SPPR!$A:$A,0),16)),$C12*INDEX(SPPR!$E:$X,MATCH($A12,SPPR!$A:$A,0),16),""),"")</f>
        <v/>
      </c>
      <c r="T12">
        <f>IFERROR(IF(ISNUMBER(INDEX(SPPR!$E:$X,MATCH($A12,SPPR!$A:$A,0),17)),$C12*INDEX(SPPR!$E:$X,MATCH($A12,SPPR!$A:$A,0),17),""),"")</f>
        <v/>
      </c>
      <c r="U12">
        <f>IFERROR(IF(ISNUMBER(INDEX(SPPR!$E:$X,MATCH($A12,SPPR!$A:$A,0),18)),$C12*INDEX(SPPR!$E:$X,MATCH($A12,SPPR!$A:$A,0),18),""),"")</f>
        <v/>
      </c>
      <c r="V12">
        <f>IFERROR(IF(ISNUMBER(INDEX(SPPR!$E:$X,MATCH($A12,SPPR!$A:$A,0),19)),$C12*INDEX(SPPR!$E:$X,MATCH($A12,SPPR!$A:$A,0),19),""),"")</f>
        <v/>
      </c>
      <c r="W12">
        <f>IFERROR(IF(ISNUMBER(INDEX(SPPR!$E:$X,MATCH($A12,SPPR!$A:$A,0),20)),$C12*INDEX(SPPR!$E:$X,MATCH($A12,SPPR!$A:$A,0),20),""),"")</f>
        <v/>
      </c>
    </row>
    <row r="13">
      <c r="A13" t="inlineStr">
        <is>
          <t>Gadus macrocephalus</t>
        </is>
      </c>
      <c r="B13">
        <f>IFERROR(INDEX(SPPR!$D:$D,MATCH($A13,SPPR!$A:$A,0)),"")</f>
        <v/>
      </c>
      <c r="C13">
        <f>IFERROR(INDEX(Catch!$E:$BV,MATCH($A13,Catch!$A:$A,0),MATCH($B$4,Catch!$E$1:$BV$1,0)),0)</f>
        <v/>
      </c>
      <c r="D13">
        <f>IFERROR(IF(ISNUMBER(INDEX(SPPR!$E:$X,MATCH($A13,SPPR!$A:$A,0),1)),$C13*INDEX(SPPR!$E:$X,MATCH($A13,SPPR!$A:$A,0),1),""),"")</f>
        <v/>
      </c>
      <c r="E13">
        <f>IFERROR(IF(ISNUMBER(INDEX(SPPR!$E:$X,MATCH($A13,SPPR!$A:$A,0),2)),$C13*INDEX(SPPR!$E:$X,MATCH($A13,SPPR!$A:$A,0),2),""),"")</f>
        <v/>
      </c>
      <c r="F13">
        <f>IFERROR(IF(ISNUMBER(INDEX(SPPR!$E:$X,MATCH($A13,SPPR!$A:$A,0),3)),$C13*INDEX(SPPR!$E:$X,MATCH($A13,SPPR!$A:$A,0),3),""),"")</f>
        <v/>
      </c>
      <c r="G13">
        <f>IFERROR(IF(ISNUMBER(INDEX(SPPR!$E:$X,MATCH($A13,SPPR!$A:$A,0),4)),$C13*INDEX(SPPR!$E:$X,MATCH($A13,SPPR!$A:$A,0),4),""),"")</f>
        <v/>
      </c>
      <c r="H13">
        <f>IFERROR(IF(ISNUMBER(INDEX(SPPR!$E:$X,MATCH($A13,SPPR!$A:$A,0),5)),$C13*INDEX(SPPR!$E:$X,MATCH($A13,SPPR!$A:$A,0),5),""),"")</f>
        <v/>
      </c>
      <c r="I13">
        <f>IFERROR(IF(ISNUMBER(INDEX(SPPR!$E:$X,MATCH($A13,SPPR!$A:$A,0),6)),$C13*INDEX(SPPR!$E:$X,MATCH($A13,SPPR!$A:$A,0),6),""),"")</f>
        <v/>
      </c>
      <c r="J13">
        <f>IFERROR(IF(ISNUMBER(INDEX(SPPR!$E:$X,MATCH($A13,SPPR!$A:$A,0),7)),$C13*INDEX(SPPR!$E:$X,MATCH($A13,SPPR!$A:$A,0),7),""),"")</f>
        <v/>
      </c>
      <c r="K13">
        <f>IFERROR(IF(ISNUMBER(INDEX(SPPR!$E:$X,MATCH($A13,SPPR!$A:$A,0),8)),$C13*INDEX(SPPR!$E:$X,MATCH($A13,SPPR!$A:$A,0),8),""),"")</f>
        <v/>
      </c>
      <c r="L13">
        <f>IFERROR(IF(ISNUMBER(INDEX(SPPR!$E:$X,MATCH($A13,SPPR!$A:$A,0),9)),$C13*INDEX(SPPR!$E:$X,MATCH($A13,SPPR!$A:$A,0),9),""),"")</f>
        <v/>
      </c>
      <c r="M13">
        <f>IFERROR(IF(ISNUMBER(INDEX(SPPR!$E:$X,MATCH($A13,SPPR!$A:$A,0),10)),$C13*INDEX(SPPR!$E:$X,MATCH($A13,SPPR!$A:$A,0),10),""),"")</f>
        <v/>
      </c>
      <c r="N13">
        <f>IFERROR(IF(ISNUMBER(INDEX(SPPR!$E:$X,MATCH($A13,SPPR!$A:$A,0),11)),$C13*INDEX(SPPR!$E:$X,MATCH($A13,SPPR!$A:$A,0),11),""),"")</f>
        <v/>
      </c>
      <c r="O13">
        <f>IFERROR(IF(ISNUMBER(INDEX(SPPR!$E:$X,MATCH($A13,SPPR!$A:$A,0),12)),$C13*INDEX(SPPR!$E:$X,MATCH($A13,SPPR!$A:$A,0),12),""),"")</f>
        <v/>
      </c>
      <c r="P13">
        <f>IFERROR(IF(ISNUMBER(INDEX(SPPR!$E:$X,MATCH($A13,SPPR!$A:$A,0),13)),$C13*INDEX(SPPR!$E:$X,MATCH($A13,SPPR!$A:$A,0),13),""),"")</f>
        <v/>
      </c>
      <c r="Q13">
        <f>IFERROR(IF(ISNUMBER(INDEX(SPPR!$E:$X,MATCH($A13,SPPR!$A:$A,0),14)),$C13*INDEX(SPPR!$E:$X,MATCH($A13,SPPR!$A:$A,0),14),""),"")</f>
        <v/>
      </c>
      <c r="R13">
        <f>IFERROR(IF(ISNUMBER(INDEX(SPPR!$E:$X,MATCH($A13,SPPR!$A:$A,0),15)),$C13*INDEX(SPPR!$E:$X,MATCH($A13,SPPR!$A:$A,0),15),""),"")</f>
        <v/>
      </c>
      <c r="S13">
        <f>IFERROR(IF(ISNUMBER(INDEX(SPPR!$E:$X,MATCH($A13,SPPR!$A:$A,0),16)),$C13*INDEX(SPPR!$E:$X,MATCH($A13,SPPR!$A:$A,0),16),""),"")</f>
        <v/>
      </c>
      <c r="T13">
        <f>IFERROR(IF(ISNUMBER(INDEX(SPPR!$E:$X,MATCH($A13,SPPR!$A:$A,0),17)),$C13*INDEX(SPPR!$E:$X,MATCH($A13,SPPR!$A:$A,0),17),""),"")</f>
        <v/>
      </c>
      <c r="U13">
        <f>IFERROR(IF(ISNUMBER(INDEX(SPPR!$E:$X,MATCH($A13,SPPR!$A:$A,0),18)),$C13*INDEX(SPPR!$E:$X,MATCH($A13,SPPR!$A:$A,0),18),""),"")</f>
        <v/>
      </c>
      <c r="V13">
        <f>IFERROR(IF(ISNUMBER(INDEX(SPPR!$E:$X,MATCH($A13,SPPR!$A:$A,0),19)),$C13*INDEX(SPPR!$E:$X,MATCH($A13,SPPR!$A:$A,0),19),""),"")</f>
        <v/>
      </c>
      <c r="W13">
        <f>IFERROR(IF(ISNUMBER(INDEX(SPPR!$E:$X,MATCH($A13,SPPR!$A:$A,0),20)),$C13*INDEX(SPPR!$E:$X,MATCH($A13,SPPR!$A:$A,0),20),""),"")</f>
        <v/>
      </c>
    </row>
    <row r="14">
      <c r="A14" t="inlineStr">
        <is>
          <t>Oncorhynchus</t>
        </is>
      </c>
      <c r="B14">
        <f>IFERROR(INDEX(SPPR!$D:$D,MATCH($A14,SPPR!$A:$A,0)),"")</f>
        <v/>
      </c>
      <c r="C14">
        <f>IFERROR(INDEX(Catch!$E:$BV,MATCH($A14,Catch!$A:$A,0),MATCH($B$4,Catch!$E$1:$BV$1,0)),0)</f>
        <v/>
      </c>
      <c r="D14">
        <f>IFERROR(IF(ISNUMBER(INDEX(SPPR!$E:$X,MATCH($A14,SPPR!$A:$A,0),1)),$C14*INDEX(SPPR!$E:$X,MATCH($A14,SPPR!$A:$A,0),1),""),"")</f>
        <v/>
      </c>
      <c r="E14">
        <f>IFERROR(IF(ISNUMBER(INDEX(SPPR!$E:$X,MATCH($A14,SPPR!$A:$A,0),2)),$C14*INDEX(SPPR!$E:$X,MATCH($A14,SPPR!$A:$A,0),2),""),"")</f>
        <v/>
      </c>
      <c r="F14">
        <f>IFERROR(IF(ISNUMBER(INDEX(SPPR!$E:$X,MATCH($A14,SPPR!$A:$A,0),3)),$C14*INDEX(SPPR!$E:$X,MATCH($A14,SPPR!$A:$A,0),3),""),"")</f>
        <v/>
      </c>
      <c r="G14">
        <f>IFERROR(IF(ISNUMBER(INDEX(SPPR!$E:$X,MATCH($A14,SPPR!$A:$A,0),4)),$C14*INDEX(SPPR!$E:$X,MATCH($A14,SPPR!$A:$A,0),4),""),"")</f>
        <v/>
      </c>
      <c r="H14">
        <f>IFERROR(IF(ISNUMBER(INDEX(SPPR!$E:$X,MATCH($A14,SPPR!$A:$A,0),5)),$C14*INDEX(SPPR!$E:$X,MATCH($A14,SPPR!$A:$A,0),5),""),"")</f>
        <v/>
      </c>
      <c r="I14">
        <f>IFERROR(IF(ISNUMBER(INDEX(SPPR!$E:$X,MATCH($A14,SPPR!$A:$A,0),6)),$C14*INDEX(SPPR!$E:$X,MATCH($A14,SPPR!$A:$A,0),6),""),"")</f>
        <v/>
      </c>
      <c r="J14">
        <f>IFERROR(IF(ISNUMBER(INDEX(SPPR!$E:$X,MATCH($A14,SPPR!$A:$A,0),7)),$C14*INDEX(SPPR!$E:$X,MATCH($A14,SPPR!$A:$A,0),7),""),"")</f>
        <v/>
      </c>
      <c r="K14">
        <f>IFERROR(IF(ISNUMBER(INDEX(SPPR!$E:$X,MATCH($A14,SPPR!$A:$A,0),8)),$C14*INDEX(SPPR!$E:$X,MATCH($A14,SPPR!$A:$A,0),8),""),"")</f>
        <v/>
      </c>
      <c r="L14">
        <f>IFERROR(IF(ISNUMBER(INDEX(SPPR!$E:$X,MATCH($A14,SPPR!$A:$A,0),9)),$C14*INDEX(SPPR!$E:$X,MATCH($A14,SPPR!$A:$A,0),9),""),"")</f>
        <v/>
      </c>
      <c r="M14">
        <f>IFERROR(IF(ISNUMBER(INDEX(SPPR!$E:$X,MATCH($A14,SPPR!$A:$A,0),10)),$C14*INDEX(SPPR!$E:$X,MATCH($A14,SPPR!$A:$A,0),10),""),"")</f>
        <v/>
      </c>
      <c r="N14">
        <f>IFERROR(IF(ISNUMBER(INDEX(SPPR!$E:$X,MATCH($A14,SPPR!$A:$A,0),11)),$C14*INDEX(SPPR!$E:$X,MATCH($A14,SPPR!$A:$A,0),11),""),"")</f>
        <v/>
      </c>
      <c r="O14">
        <f>IFERROR(IF(ISNUMBER(INDEX(SPPR!$E:$X,MATCH($A14,SPPR!$A:$A,0),12)),$C14*INDEX(SPPR!$E:$X,MATCH($A14,SPPR!$A:$A,0),12),""),"")</f>
        <v/>
      </c>
      <c r="P14">
        <f>IFERROR(IF(ISNUMBER(INDEX(SPPR!$E:$X,MATCH($A14,SPPR!$A:$A,0),13)),$C14*INDEX(SPPR!$E:$X,MATCH($A14,SPPR!$A:$A,0),13),""),"")</f>
        <v/>
      </c>
      <c r="Q14">
        <f>IFERROR(IF(ISNUMBER(INDEX(SPPR!$E:$X,MATCH($A14,SPPR!$A:$A,0),14)),$C14*INDEX(SPPR!$E:$X,MATCH($A14,SPPR!$A:$A,0),14),""),"")</f>
        <v/>
      </c>
      <c r="R14">
        <f>IFERROR(IF(ISNUMBER(INDEX(SPPR!$E:$X,MATCH($A14,SPPR!$A:$A,0),15)),$C14*INDEX(SPPR!$E:$X,MATCH($A14,SPPR!$A:$A,0),15),""),"")</f>
        <v/>
      </c>
      <c r="S14">
        <f>IFERROR(IF(ISNUMBER(INDEX(SPPR!$E:$X,MATCH($A14,SPPR!$A:$A,0),16)),$C14*INDEX(SPPR!$E:$X,MATCH($A14,SPPR!$A:$A,0),16),""),"")</f>
        <v/>
      </c>
      <c r="T14">
        <f>IFERROR(IF(ISNUMBER(INDEX(SPPR!$E:$X,MATCH($A14,SPPR!$A:$A,0),17)),$C14*INDEX(SPPR!$E:$X,MATCH($A14,SPPR!$A:$A,0),17),""),"")</f>
        <v/>
      </c>
      <c r="U14">
        <f>IFERROR(IF(ISNUMBER(INDEX(SPPR!$E:$X,MATCH($A14,SPPR!$A:$A,0),18)),$C14*INDEX(SPPR!$E:$X,MATCH($A14,SPPR!$A:$A,0),18),""),"")</f>
        <v/>
      </c>
      <c r="V14">
        <f>IFERROR(IF(ISNUMBER(INDEX(SPPR!$E:$X,MATCH($A14,SPPR!$A:$A,0),19)),$C14*INDEX(SPPR!$E:$X,MATCH($A14,SPPR!$A:$A,0),19),""),"")</f>
        <v/>
      </c>
      <c r="W14">
        <f>IFERROR(IF(ISNUMBER(INDEX(SPPR!$E:$X,MATCH($A14,SPPR!$A:$A,0),20)),$C14*INDEX(SPPR!$E:$X,MATCH($A14,SPPR!$A:$A,0),20),""),"")</f>
        <v/>
      </c>
    </row>
    <row r="15">
      <c r="A15" t="inlineStr">
        <is>
          <t>Oncorhynchus keta</t>
        </is>
      </c>
      <c r="B15">
        <f>IFERROR(INDEX(SPPR!$D:$D,MATCH($A15,SPPR!$A:$A,0)),"")</f>
        <v/>
      </c>
      <c r="C15">
        <f>IFERROR(INDEX(Catch!$E:$BV,MATCH($A15,Catch!$A:$A,0),MATCH($B$4,Catch!$E$1:$BV$1,0)),0)</f>
        <v/>
      </c>
      <c r="D15">
        <f>IFERROR(IF(ISNUMBER(INDEX(SPPR!$E:$X,MATCH($A15,SPPR!$A:$A,0),1)),$C15*INDEX(SPPR!$E:$X,MATCH($A15,SPPR!$A:$A,0),1),""),"")</f>
        <v/>
      </c>
      <c r="E15">
        <f>IFERROR(IF(ISNUMBER(INDEX(SPPR!$E:$X,MATCH($A15,SPPR!$A:$A,0),2)),$C15*INDEX(SPPR!$E:$X,MATCH($A15,SPPR!$A:$A,0),2),""),"")</f>
        <v/>
      </c>
      <c r="F15">
        <f>IFERROR(IF(ISNUMBER(INDEX(SPPR!$E:$X,MATCH($A15,SPPR!$A:$A,0),3)),$C15*INDEX(SPPR!$E:$X,MATCH($A15,SPPR!$A:$A,0),3),""),"")</f>
        <v/>
      </c>
      <c r="G15">
        <f>IFERROR(IF(ISNUMBER(INDEX(SPPR!$E:$X,MATCH($A15,SPPR!$A:$A,0),4)),$C15*INDEX(SPPR!$E:$X,MATCH($A15,SPPR!$A:$A,0),4),""),"")</f>
        <v/>
      </c>
      <c r="H15">
        <f>IFERROR(IF(ISNUMBER(INDEX(SPPR!$E:$X,MATCH($A15,SPPR!$A:$A,0),5)),$C15*INDEX(SPPR!$E:$X,MATCH($A15,SPPR!$A:$A,0),5),""),"")</f>
        <v/>
      </c>
      <c r="I15">
        <f>IFERROR(IF(ISNUMBER(INDEX(SPPR!$E:$X,MATCH($A15,SPPR!$A:$A,0),6)),$C15*INDEX(SPPR!$E:$X,MATCH($A15,SPPR!$A:$A,0),6),""),"")</f>
        <v/>
      </c>
      <c r="J15">
        <f>IFERROR(IF(ISNUMBER(INDEX(SPPR!$E:$X,MATCH($A15,SPPR!$A:$A,0),7)),$C15*INDEX(SPPR!$E:$X,MATCH($A15,SPPR!$A:$A,0),7),""),"")</f>
        <v/>
      </c>
      <c r="K15">
        <f>IFERROR(IF(ISNUMBER(INDEX(SPPR!$E:$X,MATCH($A15,SPPR!$A:$A,0),8)),$C15*INDEX(SPPR!$E:$X,MATCH($A15,SPPR!$A:$A,0),8),""),"")</f>
        <v/>
      </c>
      <c r="L15">
        <f>IFERROR(IF(ISNUMBER(INDEX(SPPR!$E:$X,MATCH($A15,SPPR!$A:$A,0),9)),$C15*INDEX(SPPR!$E:$X,MATCH($A15,SPPR!$A:$A,0),9),""),"")</f>
        <v/>
      </c>
      <c r="M15">
        <f>IFERROR(IF(ISNUMBER(INDEX(SPPR!$E:$X,MATCH($A15,SPPR!$A:$A,0),10)),$C15*INDEX(SPPR!$E:$X,MATCH($A15,SPPR!$A:$A,0),10),""),"")</f>
        <v/>
      </c>
      <c r="N15">
        <f>IFERROR(IF(ISNUMBER(INDEX(SPPR!$E:$X,MATCH($A15,SPPR!$A:$A,0),11)),$C15*INDEX(SPPR!$E:$X,MATCH($A15,SPPR!$A:$A,0),11),""),"")</f>
        <v/>
      </c>
      <c r="O15">
        <f>IFERROR(IF(ISNUMBER(INDEX(SPPR!$E:$X,MATCH($A15,SPPR!$A:$A,0),12)),$C15*INDEX(SPPR!$E:$X,MATCH($A15,SPPR!$A:$A,0),12),""),"")</f>
        <v/>
      </c>
      <c r="P15">
        <f>IFERROR(IF(ISNUMBER(INDEX(SPPR!$E:$X,MATCH($A15,SPPR!$A:$A,0),13)),$C15*INDEX(SPPR!$E:$X,MATCH($A15,SPPR!$A:$A,0),13),""),"")</f>
        <v/>
      </c>
      <c r="Q15">
        <f>IFERROR(IF(ISNUMBER(INDEX(SPPR!$E:$X,MATCH($A15,SPPR!$A:$A,0),14)),$C15*INDEX(SPPR!$E:$X,MATCH($A15,SPPR!$A:$A,0),14),""),"")</f>
        <v/>
      </c>
      <c r="R15">
        <f>IFERROR(IF(ISNUMBER(INDEX(SPPR!$E:$X,MATCH($A15,SPPR!$A:$A,0),15)),$C15*INDEX(SPPR!$E:$X,MATCH($A15,SPPR!$A:$A,0),15),""),"")</f>
        <v/>
      </c>
      <c r="S15">
        <f>IFERROR(IF(ISNUMBER(INDEX(SPPR!$E:$X,MATCH($A15,SPPR!$A:$A,0),16)),$C15*INDEX(SPPR!$E:$X,MATCH($A15,SPPR!$A:$A,0),16),""),"")</f>
        <v/>
      </c>
      <c r="T15">
        <f>IFERROR(IF(ISNUMBER(INDEX(SPPR!$E:$X,MATCH($A15,SPPR!$A:$A,0),17)),$C15*INDEX(SPPR!$E:$X,MATCH($A15,SPPR!$A:$A,0),17),""),"")</f>
        <v/>
      </c>
      <c r="U15">
        <f>IFERROR(IF(ISNUMBER(INDEX(SPPR!$E:$X,MATCH($A15,SPPR!$A:$A,0),18)),$C15*INDEX(SPPR!$E:$X,MATCH($A15,SPPR!$A:$A,0),18),""),"")</f>
        <v/>
      </c>
      <c r="V15">
        <f>IFERROR(IF(ISNUMBER(INDEX(SPPR!$E:$X,MATCH($A15,SPPR!$A:$A,0),19)),$C15*INDEX(SPPR!$E:$X,MATCH($A15,SPPR!$A:$A,0),19),""),"")</f>
        <v/>
      </c>
      <c r="W15">
        <f>IFERROR(IF(ISNUMBER(INDEX(SPPR!$E:$X,MATCH($A15,SPPR!$A:$A,0),20)),$C15*INDEX(SPPR!$E:$X,MATCH($A15,SPPR!$A:$A,0),20),""),"")</f>
        <v/>
      </c>
    </row>
    <row r="16">
      <c r="A16" t="inlineStr">
        <is>
          <t>Pleuronectiformes</t>
        </is>
      </c>
      <c r="B16">
        <f>IFERROR(INDEX(SPPR!$D:$D,MATCH($A16,SPPR!$A:$A,0)),"")</f>
        <v/>
      </c>
      <c r="C16">
        <f>IFERROR(INDEX(Catch!$E:$BV,MATCH($A16,Catch!$A:$A,0),MATCH($B$4,Catch!$E$1:$BV$1,0)),0)</f>
        <v/>
      </c>
      <c r="D16">
        <f>IFERROR(IF(ISNUMBER(INDEX(SPPR!$E:$X,MATCH($A16,SPPR!$A:$A,0),1)),$C16*INDEX(SPPR!$E:$X,MATCH($A16,SPPR!$A:$A,0),1),""),"")</f>
        <v/>
      </c>
      <c r="E16">
        <f>IFERROR(IF(ISNUMBER(INDEX(SPPR!$E:$X,MATCH($A16,SPPR!$A:$A,0),2)),$C16*INDEX(SPPR!$E:$X,MATCH($A16,SPPR!$A:$A,0),2),""),"")</f>
        <v/>
      </c>
      <c r="F16">
        <f>IFERROR(IF(ISNUMBER(INDEX(SPPR!$E:$X,MATCH($A16,SPPR!$A:$A,0),3)),$C16*INDEX(SPPR!$E:$X,MATCH($A16,SPPR!$A:$A,0),3),""),"")</f>
        <v/>
      </c>
      <c r="G16">
        <f>IFERROR(IF(ISNUMBER(INDEX(SPPR!$E:$X,MATCH($A16,SPPR!$A:$A,0),4)),$C16*INDEX(SPPR!$E:$X,MATCH($A16,SPPR!$A:$A,0),4),""),"")</f>
        <v/>
      </c>
      <c r="H16">
        <f>IFERROR(IF(ISNUMBER(INDEX(SPPR!$E:$X,MATCH($A16,SPPR!$A:$A,0),5)),$C16*INDEX(SPPR!$E:$X,MATCH($A16,SPPR!$A:$A,0),5),""),"")</f>
        <v/>
      </c>
      <c r="I16">
        <f>IFERROR(IF(ISNUMBER(INDEX(SPPR!$E:$X,MATCH($A16,SPPR!$A:$A,0),6)),$C16*INDEX(SPPR!$E:$X,MATCH($A16,SPPR!$A:$A,0),6),""),"")</f>
        <v/>
      </c>
      <c r="J16">
        <f>IFERROR(IF(ISNUMBER(INDEX(SPPR!$E:$X,MATCH($A16,SPPR!$A:$A,0),7)),$C16*INDEX(SPPR!$E:$X,MATCH($A16,SPPR!$A:$A,0),7),""),"")</f>
        <v/>
      </c>
      <c r="K16">
        <f>IFERROR(IF(ISNUMBER(INDEX(SPPR!$E:$X,MATCH($A16,SPPR!$A:$A,0),8)),$C16*INDEX(SPPR!$E:$X,MATCH($A16,SPPR!$A:$A,0),8),""),"")</f>
        <v/>
      </c>
      <c r="L16">
        <f>IFERROR(IF(ISNUMBER(INDEX(SPPR!$E:$X,MATCH($A16,SPPR!$A:$A,0),9)),$C16*INDEX(SPPR!$E:$X,MATCH($A16,SPPR!$A:$A,0),9),""),"")</f>
        <v/>
      </c>
      <c r="M16">
        <f>IFERROR(IF(ISNUMBER(INDEX(SPPR!$E:$X,MATCH($A16,SPPR!$A:$A,0),10)),$C16*INDEX(SPPR!$E:$X,MATCH($A16,SPPR!$A:$A,0),10),""),"")</f>
        <v/>
      </c>
      <c r="N16">
        <f>IFERROR(IF(ISNUMBER(INDEX(SPPR!$E:$X,MATCH($A16,SPPR!$A:$A,0),11)),$C16*INDEX(SPPR!$E:$X,MATCH($A16,SPPR!$A:$A,0),11),""),"")</f>
        <v/>
      </c>
      <c r="O16">
        <f>IFERROR(IF(ISNUMBER(INDEX(SPPR!$E:$X,MATCH($A16,SPPR!$A:$A,0),12)),$C16*INDEX(SPPR!$E:$X,MATCH($A16,SPPR!$A:$A,0),12),""),"")</f>
        <v/>
      </c>
      <c r="P16">
        <f>IFERROR(IF(ISNUMBER(INDEX(SPPR!$E:$X,MATCH($A16,SPPR!$A:$A,0),13)),$C16*INDEX(SPPR!$E:$X,MATCH($A16,SPPR!$A:$A,0),13),""),"")</f>
        <v/>
      </c>
      <c r="Q16">
        <f>IFERROR(IF(ISNUMBER(INDEX(SPPR!$E:$X,MATCH($A16,SPPR!$A:$A,0),14)),$C16*INDEX(SPPR!$E:$X,MATCH($A16,SPPR!$A:$A,0),14),""),"")</f>
        <v/>
      </c>
      <c r="R16">
        <f>IFERROR(IF(ISNUMBER(INDEX(SPPR!$E:$X,MATCH($A16,SPPR!$A:$A,0),15)),$C16*INDEX(SPPR!$E:$X,MATCH($A16,SPPR!$A:$A,0),15),""),"")</f>
        <v/>
      </c>
      <c r="S16">
        <f>IFERROR(IF(ISNUMBER(INDEX(SPPR!$E:$X,MATCH($A16,SPPR!$A:$A,0),16)),$C16*INDEX(SPPR!$E:$X,MATCH($A16,SPPR!$A:$A,0),16),""),"")</f>
        <v/>
      </c>
      <c r="T16">
        <f>IFERROR(IF(ISNUMBER(INDEX(SPPR!$E:$X,MATCH($A16,SPPR!$A:$A,0),17)),$C16*INDEX(SPPR!$E:$X,MATCH($A16,SPPR!$A:$A,0),17),""),"")</f>
        <v/>
      </c>
      <c r="U16">
        <f>IFERROR(IF(ISNUMBER(INDEX(SPPR!$E:$X,MATCH($A16,SPPR!$A:$A,0),18)),$C16*INDEX(SPPR!$E:$X,MATCH($A16,SPPR!$A:$A,0),18),""),"")</f>
        <v/>
      </c>
      <c r="V16">
        <f>IFERROR(IF(ISNUMBER(INDEX(SPPR!$E:$X,MATCH($A16,SPPR!$A:$A,0),19)),$C16*INDEX(SPPR!$E:$X,MATCH($A16,SPPR!$A:$A,0),19),""),"")</f>
        <v/>
      </c>
      <c r="W16">
        <f>IFERROR(IF(ISNUMBER(INDEX(SPPR!$E:$X,MATCH($A16,SPPR!$A:$A,0),20)),$C16*INDEX(SPPR!$E:$X,MATCH($A16,SPPR!$A:$A,0),20),""),"")</f>
        <v/>
      </c>
    </row>
    <row r="17">
      <c r="A17" t="inlineStr">
        <is>
          <t>Paralithodes camtschaticus</t>
        </is>
      </c>
      <c r="B17">
        <f>IFERROR(INDEX(SPPR!$D:$D,MATCH($A17,SPPR!$A:$A,0)),"")</f>
        <v/>
      </c>
      <c r="C17">
        <f>IFERROR(INDEX(Catch!$E:$BV,MATCH($A17,Catch!$A:$A,0),MATCH($B$4,Catch!$E$1:$BV$1,0)),0)</f>
        <v/>
      </c>
      <c r="D17">
        <f>IFERROR(IF(ISNUMBER(INDEX(SPPR!$E:$X,MATCH($A17,SPPR!$A:$A,0),1)),$C17*INDEX(SPPR!$E:$X,MATCH($A17,SPPR!$A:$A,0),1),""),"")</f>
        <v/>
      </c>
      <c r="E17">
        <f>IFERROR(IF(ISNUMBER(INDEX(SPPR!$E:$X,MATCH($A17,SPPR!$A:$A,0),2)),$C17*INDEX(SPPR!$E:$X,MATCH($A17,SPPR!$A:$A,0),2),""),"")</f>
        <v/>
      </c>
      <c r="F17">
        <f>IFERROR(IF(ISNUMBER(INDEX(SPPR!$E:$X,MATCH($A17,SPPR!$A:$A,0),3)),$C17*INDEX(SPPR!$E:$X,MATCH($A17,SPPR!$A:$A,0),3),""),"")</f>
        <v/>
      </c>
      <c r="G17">
        <f>IFERROR(IF(ISNUMBER(INDEX(SPPR!$E:$X,MATCH($A17,SPPR!$A:$A,0),4)),$C17*INDEX(SPPR!$E:$X,MATCH($A17,SPPR!$A:$A,0),4),""),"")</f>
        <v/>
      </c>
      <c r="H17">
        <f>IFERROR(IF(ISNUMBER(INDEX(SPPR!$E:$X,MATCH($A17,SPPR!$A:$A,0),5)),$C17*INDEX(SPPR!$E:$X,MATCH($A17,SPPR!$A:$A,0),5),""),"")</f>
        <v/>
      </c>
      <c r="I17">
        <f>IFERROR(IF(ISNUMBER(INDEX(SPPR!$E:$X,MATCH($A17,SPPR!$A:$A,0),6)),$C17*INDEX(SPPR!$E:$X,MATCH($A17,SPPR!$A:$A,0),6),""),"")</f>
        <v/>
      </c>
      <c r="J17">
        <f>IFERROR(IF(ISNUMBER(INDEX(SPPR!$E:$X,MATCH($A17,SPPR!$A:$A,0),7)),$C17*INDEX(SPPR!$E:$X,MATCH($A17,SPPR!$A:$A,0),7),""),"")</f>
        <v/>
      </c>
      <c r="K17">
        <f>IFERROR(IF(ISNUMBER(INDEX(SPPR!$E:$X,MATCH($A17,SPPR!$A:$A,0),8)),$C17*INDEX(SPPR!$E:$X,MATCH($A17,SPPR!$A:$A,0),8),""),"")</f>
        <v/>
      </c>
      <c r="L17">
        <f>IFERROR(IF(ISNUMBER(INDEX(SPPR!$E:$X,MATCH($A17,SPPR!$A:$A,0),9)),$C17*INDEX(SPPR!$E:$X,MATCH($A17,SPPR!$A:$A,0),9),""),"")</f>
        <v/>
      </c>
      <c r="M17">
        <f>IFERROR(IF(ISNUMBER(INDEX(SPPR!$E:$X,MATCH($A17,SPPR!$A:$A,0),10)),$C17*INDEX(SPPR!$E:$X,MATCH($A17,SPPR!$A:$A,0),10),""),"")</f>
        <v/>
      </c>
      <c r="N17">
        <f>IFERROR(IF(ISNUMBER(INDEX(SPPR!$E:$X,MATCH($A17,SPPR!$A:$A,0),11)),$C17*INDEX(SPPR!$E:$X,MATCH($A17,SPPR!$A:$A,0),11),""),"")</f>
        <v/>
      </c>
      <c r="O17">
        <f>IFERROR(IF(ISNUMBER(INDEX(SPPR!$E:$X,MATCH($A17,SPPR!$A:$A,0),12)),$C17*INDEX(SPPR!$E:$X,MATCH($A17,SPPR!$A:$A,0),12),""),"")</f>
        <v/>
      </c>
      <c r="P17">
        <f>IFERROR(IF(ISNUMBER(INDEX(SPPR!$E:$X,MATCH($A17,SPPR!$A:$A,0),13)),$C17*INDEX(SPPR!$E:$X,MATCH($A17,SPPR!$A:$A,0),13),""),"")</f>
        <v/>
      </c>
      <c r="Q17">
        <f>IFERROR(IF(ISNUMBER(INDEX(SPPR!$E:$X,MATCH($A17,SPPR!$A:$A,0),14)),$C17*INDEX(SPPR!$E:$X,MATCH($A17,SPPR!$A:$A,0),14),""),"")</f>
        <v/>
      </c>
      <c r="R17">
        <f>IFERROR(IF(ISNUMBER(INDEX(SPPR!$E:$X,MATCH($A17,SPPR!$A:$A,0),15)),$C17*INDEX(SPPR!$E:$X,MATCH($A17,SPPR!$A:$A,0),15),""),"")</f>
        <v/>
      </c>
      <c r="S17">
        <f>IFERROR(IF(ISNUMBER(INDEX(SPPR!$E:$X,MATCH($A17,SPPR!$A:$A,0),16)),$C17*INDEX(SPPR!$E:$X,MATCH($A17,SPPR!$A:$A,0),16),""),"")</f>
        <v/>
      </c>
      <c r="T17">
        <f>IFERROR(IF(ISNUMBER(INDEX(SPPR!$E:$X,MATCH($A17,SPPR!$A:$A,0),17)),$C17*INDEX(SPPR!$E:$X,MATCH($A17,SPPR!$A:$A,0),17),""),"")</f>
        <v/>
      </c>
      <c r="U17">
        <f>IFERROR(IF(ISNUMBER(INDEX(SPPR!$E:$X,MATCH($A17,SPPR!$A:$A,0),18)),$C17*INDEX(SPPR!$E:$X,MATCH($A17,SPPR!$A:$A,0),18),""),"")</f>
        <v/>
      </c>
      <c r="V17">
        <f>IFERROR(IF(ISNUMBER(INDEX(SPPR!$E:$X,MATCH($A17,SPPR!$A:$A,0),19)),$C17*INDEX(SPPR!$E:$X,MATCH($A17,SPPR!$A:$A,0),19),""),"")</f>
        <v/>
      </c>
      <c r="W17">
        <f>IFERROR(IF(ISNUMBER(INDEX(SPPR!$E:$X,MATCH($A17,SPPR!$A:$A,0),20)),$C17*INDEX(SPPR!$E:$X,MATCH($A17,SPPR!$A:$A,0),20),""),"")</f>
        <v/>
      </c>
    </row>
    <row r="18">
      <c r="A18" t="inlineStr">
        <is>
          <t>Pleurogrammus azonus</t>
        </is>
      </c>
      <c r="B18">
        <f>IFERROR(INDEX(SPPR!$D:$D,MATCH($A18,SPPR!$A:$A,0)),"")</f>
        <v/>
      </c>
      <c r="C18">
        <f>IFERROR(INDEX(Catch!$E:$BV,MATCH($A18,Catch!$A:$A,0),MATCH($B$4,Catch!$E$1:$BV$1,0)),0)</f>
        <v/>
      </c>
      <c r="D18">
        <f>IFERROR(IF(ISNUMBER(INDEX(SPPR!$E:$X,MATCH($A18,SPPR!$A:$A,0),1)),$C18*INDEX(SPPR!$E:$X,MATCH($A18,SPPR!$A:$A,0),1),""),"")</f>
        <v/>
      </c>
      <c r="E18">
        <f>IFERROR(IF(ISNUMBER(INDEX(SPPR!$E:$X,MATCH($A18,SPPR!$A:$A,0),2)),$C18*INDEX(SPPR!$E:$X,MATCH($A18,SPPR!$A:$A,0),2),""),"")</f>
        <v/>
      </c>
      <c r="F18">
        <f>IFERROR(IF(ISNUMBER(INDEX(SPPR!$E:$X,MATCH($A18,SPPR!$A:$A,0),3)),$C18*INDEX(SPPR!$E:$X,MATCH($A18,SPPR!$A:$A,0),3),""),"")</f>
        <v/>
      </c>
      <c r="G18">
        <f>IFERROR(IF(ISNUMBER(INDEX(SPPR!$E:$X,MATCH($A18,SPPR!$A:$A,0),4)),$C18*INDEX(SPPR!$E:$X,MATCH($A18,SPPR!$A:$A,0),4),""),"")</f>
        <v/>
      </c>
      <c r="H18">
        <f>IFERROR(IF(ISNUMBER(INDEX(SPPR!$E:$X,MATCH($A18,SPPR!$A:$A,0),5)),$C18*INDEX(SPPR!$E:$X,MATCH($A18,SPPR!$A:$A,0),5),""),"")</f>
        <v/>
      </c>
      <c r="I18">
        <f>IFERROR(IF(ISNUMBER(INDEX(SPPR!$E:$X,MATCH($A18,SPPR!$A:$A,0),6)),$C18*INDEX(SPPR!$E:$X,MATCH($A18,SPPR!$A:$A,0),6),""),"")</f>
        <v/>
      </c>
      <c r="J18">
        <f>IFERROR(IF(ISNUMBER(INDEX(SPPR!$E:$X,MATCH($A18,SPPR!$A:$A,0),7)),$C18*INDEX(SPPR!$E:$X,MATCH($A18,SPPR!$A:$A,0),7),""),"")</f>
        <v/>
      </c>
      <c r="K18">
        <f>IFERROR(IF(ISNUMBER(INDEX(SPPR!$E:$X,MATCH($A18,SPPR!$A:$A,0),8)),$C18*INDEX(SPPR!$E:$X,MATCH($A18,SPPR!$A:$A,0),8),""),"")</f>
        <v/>
      </c>
      <c r="L18">
        <f>IFERROR(IF(ISNUMBER(INDEX(SPPR!$E:$X,MATCH($A18,SPPR!$A:$A,0),9)),$C18*INDEX(SPPR!$E:$X,MATCH($A18,SPPR!$A:$A,0),9),""),"")</f>
        <v/>
      </c>
      <c r="M18">
        <f>IFERROR(IF(ISNUMBER(INDEX(SPPR!$E:$X,MATCH($A18,SPPR!$A:$A,0),10)),$C18*INDEX(SPPR!$E:$X,MATCH($A18,SPPR!$A:$A,0),10),""),"")</f>
        <v/>
      </c>
      <c r="N18">
        <f>IFERROR(IF(ISNUMBER(INDEX(SPPR!$E:$X,MATCH($A18,SPPR!$A:$A,0),11)),$C18*INDEX(SPPR!$E:$X,MATCH($A18,SPPR!$A:$A,0),11),""),"")</f>
        <v/>
      </c>
      <c r="O18">
        <f>IFERROR(IF(ISNUMBER(INDEX(SPPR!$E:$X,MATCH($A18,SPPR!$A:$A,0),12)),$C18*INDEX(SPPR!$E:$X,MATCH($A18,SPPR!$A:$A,0),12),""),"")</f>
        <v/>
      </c>
      <c r="P18">
        <f>IFERROR(IF(ISNUMBER(INDEX(SPPR!$E:$X,MATCH($A18,SPPR!$A:$A,0),13)),$C18*INDEX(SPPR!$E:$X,MATCH($A18,SPPR!$A:$A,0),13),""),"")</f>
        <v/>
      </c>
      <c r="Q18">
        <f>IFERROR(IF(ISNUMBER(INDEX(SPPR!$E:$X,MATCH($A18,SPPR!$A:$A,0),14)),$C18*INDEX(SPPR!$E:$X,MATCH($A18,SPPR!$A:$A,0),14),""),"")</f>
        <v/>
      </c>
      <c r="R18">
        <f>IFERROR(IF(ISNUMBER(INDEX(SPPR!$E:$X,MATCH($A18,SPPR!$A:$A,0),15)),$C18*INDEX(SPPR!$E:$X,MATCH($A18,SPPR!$A:$A,0),15),""),"")</f>
        <v/>
      </c>
      <c r="S18">
        <f>IFERROR(IF(ISNUMBER(INDEX(SPPR!$E:$X,MATCH($A18,SPPR!$A:$A,0),16)),$C18*INDEX(SPPR!$E:$X,MATCH($A18,SPPR!$A:$A,0),16),""),"")</f>
        <v/>
      </c>
      <c r="T18">
        <f>IFERROR(IF(ISNUMBER(INDEX(SPPR!$E:$X,MATCH($A18,SPPR!$A:$A,0),17)),$C18*INDEX(SPPR!$E:$X,MATCH($A18,SPPR!$A:$A,0),17),""),"")</f>
        <v/>
      </c>
      <c r="U18">
        <f>IFERROR(IF(ISNUMBER(INDEX(SPPR!$E:$X,MATCH($A18,SPPR!$A:$A,0),18)),$C18*INDEX(SPPR!$E:$X,MATCH($A18,SPPR!$A:$A,0),18),""),"")</f>
        <v/>
      </c>
      <c r="V18">
        <f>IFERROR(IF(ISNUMBER(INDEX(SPPR!$E:$X,MATCH($A18,SPPR!$A:$A,0),19)),$C18*INDEX(SPPR!$E:$X,MATCH($A18,SPPR!$A:$A,0),19),""),"")</f>
        <v/>
      </c>
      <c r="W18">
        <f>IFERROR(IF(ISNUMBER(INDEX(SPPR!$E:$X,MATCH($A18,SPPR!$A:$A,0),20)),$C18*INDEX(SPPR!$E:$X,MATCH($A18,SPPR!$A:$A,0),20),""),"")</f>
        <v/>
      </c>
    </row>
    <row r="19">
      <c r="A19" t="inlineStr">
        <is>
          <t>Scomber</t>
        </is>
      </c>
      <c r="B19">
        <f>IFERROR(INDEX(SPPR!$D:$D,MATCH($A19,SPPR!$A:$A,0)),"")</f>
        <v/>
      </c>
      <c r="C19">
        <f>IFERROR(INDEX(Catch!$E:$BV,MATCH($A19,Catch!$A:$A,0),MATCH($B$4,Catch!$E$1:$BV$1,0)),0)</f>
        <v/>
      </c>
      <c r="D19">
        <f>IFERROR(IF(ISNUMBER(INDEX(SPPR!$E:$X,MATCH($A19,SPPR!$A:$A,0),1)),$C19*INDEX(SPPR!$E:$X,MATCH($A19,SPPR!$A:$A,0),1),""),"")</f>
        <v/>
      </c>
      <c r="E19">
        <f>IFERROR(IF(ISNUMBER(INDEX(SPPR!$E:$X,MATCH($A19,SPPR!$A:$A,0),2)),$C19*INDEX(SPPR!$E:$X,MATCH($A19,SPPR!$A:$A,0),2),""),"")</f>
        <v/>
      </c>
      <c r="F19">
        <f>IFERROR(IF(ISNUMBER(INDEX(SPPR!$E:$X,MATCH($A19,SPPR!$A:$A,0),3)),$C19*INDEX(SPPR!$E:$X,MATCH($A19,SPPR!$A:$A,0),3),""),"")</f>
        <v/>
      </c>
      <c r="G19">
        <f>IFERROR(IF(ISNUMBER(INDEX(SPPR!$E:$X,MATCH($A19,SPPR!$A:$A,0),4)),$C19*INDEX(SPPR!$E:$X,MATCH($A19,SPPR!$A:$A,0),4),""),"")</f>
        <v/>
      </c>
      <c r="H19">
        <f>IFERROR(IF(ISNUMBER(INDEX(SPPR!$E:$X,MATCH($A19,SPPR!$A:$A,0),5)),$C19*INDEX(SPPR!$E:$X,MATCH($A19,SPPR!$A:$A,0),5),""),"")</f>
        <v/>
      </c>
      <c r="I19">
        <f>IFERROR(IF(ISNUMBER(INDEX(SPPR!$E:$X,MATCH($A19,SPPR!$A:$A,0),6)),$C19*INDEX(SPPR!$E:$X,MATCH($A19,SPPR!$A:$A,0),6),""),"")</f>
        <v/>
      </c>
      <c r="J19">
        <f>IFERROR(IF(ISNUMBER(INDEX(SPPR!$E:$X,MATCH($A19,SPPR!$A:$A,0),7)),$C19*INDEX(SPPR!$E:$X,MATCH($A19,SPPR!$A:$A,0),7),""),"")</f>
        <v/>
      </c>
      <c r="K19">
        <f>IFERROR(IF(ISNUMBER(INDEX(SPPR!$E:$X,MATCH($A19,SPPR!$A:$A,0),8)),$C19*INDEX(SPPR!$E:$X,MATCH($A19,SPPR!$A:$A,0),8),""),"")</f>
        <v/>
      </c>
      <c r="L19">
        <f>IFERROR(IF(ISNUMBER(INDEX(SPPR!$E:$X,MATCH($A19,SPPR!$A:$A,0),9)),$C19*INDEX(SPPR!$E:$X,MATCH($A19,SPPR!$A:$A,0),9),""),"")</f>
        <v/>
      </c>
      <c r="M19">
        <f>IFERROR(IF(ISNUMBER(INDEX(SPPR!$E:$X,MATCH($A19,SPPR!$A:$A,0),10)),$C19*INDEX(SPPR!$E:$X,MATCH($A19,SPPR!$A:$A,0),10),""),"")</f>
        <v/>
      </c>
      <c r="N19">
        <f>IFERROR(IF(ISNUMBER(INDEX(SPPR!$E:$X,MATCH($A19,SPPR!$A:$A,0),11)),$C19*INDEX(SPPR!$E:$X,MATCH($A19,SPPR!$A:$A,0),11),""),"")</f>
        <v/>
      </c>
      <c r="O19">
        <f>IFERROR(IF(ISNUMBER(INDEX(SPPR!$E:$X,MATCH($A19,SPPR!$A:$A,0),12)),$C19*INDEX(SPPR!$E:$X,MATCH($A19,SPPR!$A:$A,0),12),""),"")</f>
        <v/>
      </c>
      <c r="P19">
        <f>IFERROR(IF(ISNUMBER(INDEX(SPPR!$E:$X,MATCH($A19,SPPR!$A:$A,0),13)),$C19*INDEX(SPPR!$E:$X,MATCH($A19,SPPR!$A:$A,0),13),""),"")</f>
        <v/>
      </c>
      <c r="Q19">
        <f>IFERROR(IF(ISNUMBER(INDEX(SPPR!$E:$X,MATCH($A19,SPPR!$A:$A,0),14)),$C19*INDEX(SPPR!$E:$X,MATCH($A19,SPPR!$A:$A,0),14),""),"")</f>
        <v/>
      </c>
      <c r="R19">
        <f>IFERROR(IF(ISNUMBER(INDEX(SPPR!$E:$X,MATCH($A19,SPPR!$A:$A,0),15)),$C19*INDEX(SPPR!$E:$X,MATCH($A19,SPPR!$A:$A,0),15),""),"")</f>
        <v/>
      </c>
      <c r="S19">
        <f>IFERROR(IF(ISNUMBER(INDEX(SPPR!$E:$X,MATCH($A19,SPPR!$A:$A,0),16)),$C19*INDEX(SPPR!$E:$X,MATCH($A19,SPPR!$A:$A,0),16),""),"")</f>
        <v/>
      </c>
      <c r="T19">
        <f>IFERROR(IF(ISNUMBER(INDEX(SPPR!$E:$X,MATCH($A19,SPPR!$A:$A,0),17)),$C19*INDEX(SPPR!$E:$X,MATCH($A19,SPPR!$A:$A,0),17),""),"")</f>
        <v/>
      </c>
      <c r="U19">
        <f>IFERROR(IF(ISNUMBER(INDEX(SPPR!$E:$X,MATCH($A19,SPPR!$A:$A,0),18)),$C19*INDEX(SPPR!$E:$X,MATCH($A19,SPPR!$A:$A,0),18),""),"")</f>
        <v/>
      </c>
      <c r="V19">
        <f>IFERROR(IF(ISNUMBER(INDEX(SPPR!$E:$X,MATCH($A19,SPPR!$A:$A,0),19)),$C19*INDEX(SPPR!$E:$X,MATCH($A19,SPPR!$A:$A,0),19),""),"")</f>
        <v/>
      </c>
      <c r="W19">
        <f>IFERROR(IF(ISNUMBER(INDEX(SPPR!$E:$X,MATCH($A19,SPPR!$A:$A,0),20)),$C19*INDEX(SPPR!$E:$X,MATCH($A19,SPPR!$A:$A,0),20),""),"")</f>
        <v/>
      </c>
    </row>
    <row r="20">
      <c r="A20" t="inlineStr">
        <is>
          <t>Teuthida</t>
        </is>
      </c>
      <c r="B20">
        <f>IFERROR(INDEX(SPPR!$D:$D,MATCH($A20,SPPR!$A:$A,0)),"")</f>
        <v/>
      </c>
      <c r="C20">
        <f>IFERROR(INDEX(Catch!$E:$BV,MATCH($A20,Catch!$A:$A,0),MATCH($B$4,Catch!$E$1:$BV$1,0)),0)</f>
        <v/>
      </c>
      <c r="D20">
        <f>IFERROR(IF(ISNUMBER(INDEX(SPPR!$E:$X,MATCH($A20,SPPR!$A:$A,0),1)),$C20*INDEX(SPPR!$E:$X,MATCH($A20,SPPR!$A:$A,0),1),""),"")</f>
        <v/>
      </c>
      <c r="E20">
        <f>IFERROR(IF(ISNUMBER(INDEX(SPPR!$E:$X,MATCH($A20,SPPR!$A:$A,0),2)),$C20*INDEX(SPPR!$E:$X,MATCH($A20,SPPR!$A:$A,0),2),""),"")</f>
        <v/>
      </c>
      <c r="F20">
        <f>IFERROR(IF(ISNUMBER(INDEX(SPPR!$E:$X,MATCH($A20,SPPR!$A:$A,0),3)),$C20*INDEX(SPPR!$E:$X,MATCH($A20,SPPR!$A:$A,0),3),""),"")</f>
        <v/>
      </c>
      <c r="G20">
        <f>IFERROR(IF(ISNUMBER(INDEX(SPPR!$E:$X,MATCH($A20,SPPR!$A:$A,0),4)),$C20*INDEX(SPPR!$E:$X,MATCH($A20,SPPR!$A:$A,0),4),""),"")</f>
        <v/>
      </c>
      <c r="H20">
        <f>IFERROR(IF(ISNUMBER(INDEX(SPPR!$E:$X,MATCH($A20,SPPR!$A:$A,0),5)),$C20*INDEX(SPPR!$E:$X,MATCH($A20,SPPR!$A:$A,0),5),""),"")</f>
        <v/>
      </c>
      <c r="I20">
        <f>IFERROR(IF(ISNUMBER(INDEX(SPPR!$E:$X,MATCH($A20,SPPR!$A:$A,0),6)),$C20*INDEX(SPPR!$E:$X,MATCH($A20,SPPR!$A:$A,0),6),""),"")</f>
        <v/>
      </c>
      <c r="J20">
        <f>IFERROR(IF(ISNUMBER(INDEX(SPPR!$E:$X,MATCH($A20,SPPR!$A:$A,0),7)),$C20*INDEX(SPPR!$E:$X,MATCH($A20,SPPR!$A:$A,0),7),""),"")</f>
        <v/>
      </c>
      <c r="K20">
        <f>IFERROR(IF(ISNUMBER(INDEX(SPPR!$E:$X,MATCH($A20,SPPR!$A:$A,0),8)),$C20*INDEX(SPPR!$E:$X,MATCH($A20,SPPR!$A:$A,0),8),""),"")</f>
        <v/>
      </c>
      <c r="L20">
        <f>IFERROR(IF(ISNUMBER(INDEX(SPPR!$E:$X,MATCH($A20,SPPR!$A:$A,0),9)),$C20*INDEX(SPPR!$E:$X,MATCH($A20,SPPR!$A:$A,0),9),""),"")</f>
        <v/>
      </c>
      <c r="M20">
        <f>IFERROR(IF(ISNUMBER(INDEX(SPPR!$E:$X,MATCH($A20,SPPR!$A:$A,0),10)),$C20*INDEX(SPPR!$E:$X,MATCH($A20,SPPR!$A:$A,0),10),""),"")</f>
        <v/>
      </c>
      <c r="N20">
        <f>IFERROR(IF(ISNUMBER(INDEX(SPPR!$E:$X,MATCH($A20,SPPR!$A:$A,0),11)),$C20*INDEX(SPPR!$E:$X,MATCH($A20,SPPR!$A:$A,0),11),""),"")</f>
        <v/>
      </c>
      <c r="O20">
        <f>IFERROR(IF(ISNUMBER(INDEX(SPPR!$E:$X,MATCH($A20,SPPR!$A:$A,0),12)),$C20*INDEX(SPPR!$E:$X,MATCH($A20,SPPR!$A:$A,0),12),""),"")</f>
        <v/>
      </c>
      <c r="P20">
        <f>IFERROR(IF(ISNUMBER(INDEX(SPPR!$E:$X,MATCH($A20,SPPR!$A:$A,0),13)),$C20*INDEX(SPPR!$E:$X,MATCH($A20,SPPR!$A:$A,0),13),""),"")</f>
        <v/>
      </c>
      <c r="Q20">
        <f>IFERROR(IF(ISNUMBER(INDEX(SPPR!$E:$X,MATCH($A20,SPPR!$A:$A,0),14)),$C20*INDEX(SPPR!$E:$X,MATCH($A20,SPPR!$A:$A,0),14),""),"")</f>
        <v/>
      </c>
      <c r="R20">
        <f>IFERROR(IF(ISNUMBER(INDEX(SPPR!$E:$X,MATCH($A20,SPPR!$A:$A,0),15)),$C20*INDEX(SPPR!$E:$X,MATCH($A20,SPPR!$A:$A,0),15),""),"")</f>
        <v/>
      </c>
      <c r="S20">
        <f>IFERROR(IF(ISNUMBER(INDEX(SPPR!$E:$X,MATCH($A20,SPPR!$A:$A,0),16)),$C20*INDEX(SPPR!$E:$X,MATCH($A20,SPPR!$A:$A,0),16),""),"")</f>
        <v/>
      </c>
      <c r="T20">
        <f>IFERROR(IF(ISNUMBER(INDEX(SPPR!$E:$X,MATCH($A20,SPPR!$A:$A,0),17)),$C20*INDEX(SPPR!$E:$X,MATCH($A20,SPPR!$A:$A,0),17),""),"")</f>
        <v/>
      </c>
      <c r="U20">
        <f>IFERROR(IF(ISNUMBER(INDEX(SPPR!$E:$X,MATCH($A20,SPPR!$A:$A,0),18)),$C20*INDEX(SPPR!$E:$X,MATCH($A20,SPPR!$A:$A,0),18),""),"")</f>
        <v/>
      </c>
      <c r="V20">
        <f>IFERROR(IF(ISNUMBER(INDEX(SPPR!$E:$X,MATCH($A20,SPPR!$A:$A,0),19)),$C20*INDEX(SPPR!$E:$X,MATCH($A20,SPPR!$A:$A,0),19),""),"")</f>
        <v/>
      </c>
      <c r="W20">
        <f>IFERROR(IF(ISNUMBER(INDEX(SPPR!$E:$X,MATCH($A20,SPPR!$A:$A,0),20)),$C20*INDEX(SPPR!$E:$X,MATCH($A20,SPPR!$A:$A,0),20),""),"")</f>
        <v/>
      </c>
    </row>
    <row r="21">
      <c r="A21" t="inlineStr">
        <is>
          <t>Eleginus gracilis</t>
        </is>
      </c>
      <c r="B21">
        <f>IFERROR(INDEX(SPPR!$D:$D,MATCH($A21,SPPR!$A:$A,0)),"")</f>
        <v/>
      </c>
      <c r="C21">
        <f>IFERROR(INDEX(Catch!$E:$BV,MATCH($A21,Catch!$A:$A,0),MATCH($B$4,Catch!$E$1:$BV$1,0)),0)</f>
        <v/>
      </c>
      <c r="D21">
        <f>IFERROR(IF(ISNUMBER(INDEX(SPPR!$E:$X,MATCH($A21,SPPR!$A:$A,0),1)),$C21*INDEX(SPPR!$E:$X,MATCH($A21,SPPR!$A:$A,0),1),""),"")</f>
        <v/>
      </c>
      <c r="E21">
        <f>IFERROR(IF(ISNUMBER(INDEX(SPPR!$E:$X,MATCH($A21,SPPR!$A:$A,0),2)),$C21*INDEX(SPPR!$E:$X,MATCH($A21,SPPR!$A:$A,0),2),""),"")</f>
        <v/>
      </c>
      <c r="F21">
        <f>IFERROR(IF(ISNUMBER(INDEX(SPPR!$E:$X,MATCH($A21,SPPR!$A:$A,0),3)),$C21*INDEX(SPPR!$E:$X,MATCH($A21,SPPR!$A:$A,0),3),""),"")</f>
        <v/>
      </c>
      <c r="G21">
        <f>IFERROR(IF(ISNUMBER(INDEX(SPPR!$E:$X,MATCH($A21,SPPR!$A:$A,0),4)),$C21*INDEX(SPPR!$E:$X,MATCH($A21,SPPR!$A:$A,0),4),""),"")</f>
        <v/>
      </c>
      <c r="H21">
        <f>IFERROR(IF(ISNUMBER(INDEX(SPPR!$E:$X,MATCH($A21,SPPR!$A:$A,0),5)),$C21*INDEX(SPPR!$E:$X,MATCH($A21,SPPR!$A:$A,0),5),""),"")</f>
        <v/>
      </c>
      <c r="I21">
        <f>IFERROR(IF(ISNUMBER(INDEX(SPPR!$E:$X,MATCH($A21,SPPR!$A:$A,0),6)),$C21*INDEX(SPPR!$E:$X,MATCH($A21,SPPR!$A:$A,0),6),""),"")</f>
        <v/>
      </c>
      <c r="J21">
        <f>IFERROR(IF(ISNUMBER(INDEX(SPPR!$E:$X,MATCH($A21,SPPR!$A:$A,0),7)),$C21*INDEX(SPPR!$E:$X,MATCH($A21,SPPR!$A:$A,0),7),""),"")</f>
        <v/>
      </c>
      <c r="K21">
        <f>IFERROR(IF(ISNUMBER(INDEX(SPPR!$E:$X,MATCH($A21,SPPR!$A:$A,0),8)),$C21*INDEX(SPPR!$E:$X,MATCH($A21,SPPR!$A:$A,0),8),""),"")</f>
        <v/>
      </c>
      <c r="L21">
        <f>IFERROR(IF(ISNUMBER(INDEX(SPPR!$E:$X,MATCH($A21,SPPR!$A:$A,0),9)),$C21*INDEX(SPPR!$E:$X,MATCH($A21,SPPR!$A:$A,0),9),""),"")</f>
        <v/>
      </c>
      <c r="M21">
        <f>IFERROR(IF(ISNUMBER(INDEX(SPPR!$E:$X,MATCH($A21,SPPR!$A:$A,0),10)),$C21*INDEX(SPPR!$E:$X,MATCH($A21,SPPR!$A:$A,0),10),""),"")</f>
        <v/>
      </c>
      <c r="N21">
        <f>IFERROR(IF(ISNUMBER(INDEX(SPPR!$E:$X,MATCH($A21,SPPR!$A:$A,0),11)),$C21*INDEX(SPPR!$E:$X,MATCH($A21,SPPR!$A:$A,0),11),""),"")</f>
        <v/>
      </c>
      <c r="O21">
        <f>IFERROR(IF(ISNUMBER(INDEX(SPPR!$E:$X,MATCH($A21,SPPR!$A:$A,0),12)),$C21*INDEX(SPPR!$E:$X,MATCH($A21,SPPR!$A:$A,0),12),""),"")</f>
        <v/>
      </c>
      <c r="P21">
        <f>IFERROR(IF(ISNUMBER(INDEX(SPPR!$E:$X,MATCH($A21,SPPR!$A:$A,0),13)),$C21*INDEX(SPPR!$E:$X,MATCH($A21,SPPR!$A:$A,0),13),""),"")</f>
        <v/>
      </c>
      <c r="Q21">
        <f>IFERROR(IF(ISNUMBER(INDEX(SPPR!$E:$X,MATCH($A21,SPPR!$A:$A,0),14)),$C21*INDEX(SPPR!$E:$X,MATCH($A21,SPPR!$A:$A,0),14),""),"")</f>
        <v/>
      </c>
      <c r="R21">
        <f>IFERROR(IF(ISNUMBER(INDEX(SPPR!$E:$X,MATCH($A21,SPPR!$A:$A,0),15)),$C21*INDEX(SPPR!$E:$X,MATCH($A21,SPPR!$A:$A,0),15),""),"")</f>
        <v/>
      </c>
      <c r="S21">
        <f>IFERROR(IF(ISNUMBER(INDEX(SPPR!$E:$X,MATCH($A21,SPPR!$A:$A,0),16)),$C21*INDEX(SPPR!$E:$X,MATCH($A21,SPPR!$A:$A,0),16),""),"")</f>
        <v/>
      </c>
      <c r="T21">
        <f>IFERROR(IF(ISNUMBER(INDEX(SPPR!$E:$X,MATCH($A21,SPPR!$A:$A,0),17)),$C21*INDEX(SPPR!$E:$X,MATCH($A21,SPPR!$A:$A,0),17),""),"")</f>
        <v/>
      </c>
      <c r="U21">
        <f>IFERROR(IF(ISNUMBER(INDEX(SPPR!$E:$X,MATCH($A21,SPPR!$A:$A,0),18)),$C21*INDEX(SPPR!$E:$X,MATCH($A21,SPPR!$A:$A,0),18),""),"")</f>
        <v/>
      </c>
      <c r="V21">
        <f>IFERROR(IF(ISNUMBER(INDEX(SPPR!$E:$X,MATCH($A21,SPPR!$A:$A,0),19)),$C21*INDEX(SPPR!$E:$X,MATCH($A21,SPPR!$A:$A,0),19),""),"")</f>
        <v/>
      </c>
      <c r="W21">
        <f>IFERROR(IF(ISNUMBER(INDEX(SPPR!$E:$X,MATCH($A21,SPPR!$A:$A,0),20)),$C21*INDEX(SPPR!$E:$X,MATCH($A21,SPPR!$A:$A,0),20),""),"")</f>
        <v/>
      </c>
    </row>
    <row r="22">
      <c r="A22" t="inlineStr">
        <is>
          <t>Ammodytes personatus</t>
        </is>
      </c>
      <c r="B22">
        <f>IFERROR(INDEX(SPPR!$D:$D,MATCH($A22,SPPR!$A:$A,0)),"")</f>
        <v/>
      </c>
      <c r="C22">
        <f>IFERROR(INDEX(Catch!$E:$BV,MATCH($A22,Catch!$A:$A,0),MATCH($B$4,Catch!$E$1:$BV$1,0)),0)</f>
        <v/>
      </c>
      <c r="D22">
        <f>IFERROR(IF(ISNUMBER(INDEX(SPPR!$E:$X,MATCH($A22,SPPR!$A:$A,0),1)),$C22*INDEX(SPPR!$E:$X,MATCH($A22,SPPR!$A:$A,0),1),""),"")</f>
        <v/>
      </c>
      <c r="E22">
        <f>IFERROR(IF(ISNUMBER(INDEX(SPPR!$E:$X,MATCH($A22,SPPR!$A:$A,0),2)),$C22*INDEX(SPPR!$E:$X,MATCH($A22,SPPR!$A:$A,0),2),""),"")</f>
        <v/>
      </c>
      <c r="F22">
        <f>IFERROR(IF(ISNUMBER(INDEX(SPPR!$E:$X,MATCH($A22,SPPR!$A:$A,0),3)),$C22*INDEX(SPPR!$E:$X,MATCH($A22,SPPR!$A:$A,0),3),""),"")</f>
        <v/>
      </c>
      <c r="G22">
        <f>IFERROR(IF(ISNUMBER(INDEX(SPPR!$E:$X,MATCH($A22,SPPR!$A:$A,0),4)),$C22*INDEX(SPPR!$E:$X,MATCH($A22,SPPR!$A:$A,0),4),""),"")</f>
        <v/>
      </c>
      <c r="H22">
        <f>IFERROR(IF(ISNUMBER(INDEX(SPPR!$E:$X,MATCH($A22,SPPR!$A:$A,0),5)),$C22*INDEX(SPPR!$E:$X,MATCH($A22,SPPR!$A:$A,0),5),""),"")</f>
        <v/>
      </c>
      <c r="I22">
        <f>IFERROR(IF(ISNUMBER(INDEX(SPPR!$E:$X,MATCH($A22,SPPR!$A:$A,0),6)),$C22*INDEX(SPPR!$E:$X,MATCH($A22,SPPR!$A:$A,0),6),""),"")</f>
        <v/>
      </c>
      <c r="J22">
        <f>IFERROR(IF(ISNUMBER(INDEX(SPPR!$E:$X,MATCH($A22,SPPR!$A:$A,0),7)),$C22*INDEX(SPPR!$E:$X,MATCH($A22,SPPR!$A:$A,0),7),""),"")</f>
        <v/>
      </c>
      <c r="K22">
        <f>IFERROR(IF(ISNUMBER(INDEX(SPPR!$E:$X,MATCH($A22,SPPR!$A:$A,0),8)),$C22*INDEX(SPPR!$E:$X,MATCH($A22,SPPR!$A:$A,0),8),""),"")</f>
        <v/>
      </c>
      <c r="L22">
        <f>IFERROR(IF(ISNUMBER(INDEX(SPPR!$E:$X,MATCH($A22,SPPR!$A:$A,0),9)),$C22*INDEX(SPPR!$E:$X,MATCH($A22,SPPR!$A:$A,0),9),""),"")</f>
        <v/>
      </c>
      <c r="M22">
        <f>IFERROR(IF(ISNUMBER(INDEX(SPPR!$E:$X,MATCH($A22,SPPR!$A:$A,0),10)),$C22*INDEX(SPPR!$E:$X,MATCH($A22,SPPR!$A:$A,0),10),""),"")</f>
        <v/>
      </c>
      <c r="N22">
        <f>IFERROR(IF(ISNUMBER(INDEX(SPPR!$E:$X,MATCH($A22,SPPR!$A:$A,0),11)),$C22*INDEX(SPPR!$E:$X,MATCH($A22,SPPR!$A:$A,0),11),""),"")</f>
        <v/>
      </c>
      <c r="O22">
        <f>IFERROR(IF(ISNUMBER(INDEX(SPPR!$E:$X,MATCH($A22,SPPR!$A:$A,0),12)),$C22*INDEX(SPPR!$E:$X,MATCH($A22,SPPR!$A:$A,0),12),""),"")</f>
        <v/>
      </c>
      <c r="P22">
        <f>IFERROR(IF(ISNUMBER(INDEX(SPPR!$E:$X,MATCH($A22,SPPR!$A:$A,0),13)),$C22*INDEX(SPPR!$E:$X,MATCH($A22,SPPR!$A:$A,0),13),""),"")</f>
        <v/>
      </c>
      <c r="Q22">
        <f>IFERROR(IF(ISNUMBER(INDEX(SPPR!$E:$X,MATCH($A22,SPPR!$A:$A,0),14)),$C22*INDEX(SPPR!$E:$X,MATCH($A22,SPPR!$A:$A,0),14),""),"")</f>
        <v/>
      </c>
      <c r="R22">
        <f>IFERROR(IF(ISNUMBER(INDEX(SPPR!$E:$X,MATCH($A22,SPPR!$A:$A,0),15)),$C22*INDEX(SPPR!$E:$X,MATCH($A22,SPPR!$A:$A,0),15),""),"")</f>
        <v/>
      </c>
      <c r="S22">
        <f>IFERROR(IF(ISNUMBER(INDEX(SPPR!$E:$X,MATCH($A22,SPPR!$A:$A,0),16)),$C22*INDEX(SPPR!$E:$X,MATCH($A22,SPPR!$A:$A,0),16),""),"")</f>
        <v/>
      </c>
      <c r="T22">
        <f>IFERROR(IF(ISNUMBER(INDEX(SPPR!$E:$X,MATCH($A22,SPPR!$A:$A,0),17)),$C22*INDEX(SPPR!$E:$X,MATCH($A22,SPPR!$A:$A,0),17),""),"")</f>
        <v/>
      </c>
      <c r="U22">
        <f>IFERROR(IF(ISNUMBER(INDEX(SPPR!$E:$X,MATCH($A22,SPPR!$A:$A,0),18)),$C22*INDEX(SPPR!$E:$X,MATCH($A22,SPPR!$A:$A,0),18),""),"")</f>
        <v/>
      </c>
      <c r="V22">
        <f>IFERROR(IF(ISNUMBER(INDEX(SPPR!$E:$X,MATCH($A22,SPPR!$A:$A,0),19)),$C22*INDEX(SPPR!$E:$X,MATCH($A22,SPPR!$A:$A,0),19),""),"")</f>
        <v/>
      </c>
      <c r="W22">
        <f>IFERROR(IF(ISNUMBER(INDEX(SPPR!$E:$X,MATCH($A22,SPPR!$A:$A,0),20)),$C22*INDEX(SPPR!$E:$X,MATCH($A22,SPPR!$A:$A,0),20),""),"")</f>
        <v/>
      </c>
    </row>
    <row r="23">
      <c r="A23" t="inlineStr">
        <is>
          <t>Todarodes pacificus</t>
        </is>
      </c>
      <c r="B23">
        <f>IFERROR(INDEX(SPPR!$D:$D,MATCH($A23,SPPR!$A:$A,0)),"")</f>
        <v/>
      </c>
      <c r="C23">
        <f>IFERROR(INDEX(Catch!$E:$BV,MATCH($A23,Catch!$A:$A,0),MATCH($B$4,Catch!$E$1:$BV$1,0)),0)</f>
        <v/>
      </c>
      <c r="D23">
        <f>IFERROR(IF(ISNUMBER(INDEX(SPPR!$E:$X,MATCH($A23,SPPR!$A:$A,0),1)),$C23*INDEX(SPPR!$E:$X,MATCH($A23,SPPR!$A:$A,0),1),""),"")</f>
        <v/>
      </c>
      <c r="E23">
        <f>IFERROR(IF(ISNUMBER(INDEX(SPPR!$E:$X,MATCH($A23,SPPR!$A:$A,0),2)),$C23*INDEX(SPPR!$E:$X,MATCH($A23,SPPR!$A:$A,0),2),""),"")</f>
        <v/>
      </c>
      <c r="F23">
        <f>IFERROR(IF(ISNUMBER(INDEX(SPPR!$E:$X,MATCH($A23,SPPR!$A:$A,0),3)),$C23*INDEX(SPPR!$E:$X,MATCH($A23,SPPR!$A:$A,0),3),""),"")</f>
        <v/>
      </c>
      <c r="G23">
        <f>IFERROR(IF(ISNUMBER(INDEX(SPPR!$E:$X,MATCH($A23,SPPR!$A:$A,0),4)),$C23*INDEX(SPPR!$E:$X,MATCH($A23,SPPR!$A:$A,0),4),""),"")</f>
        <v/>
      </c>
      <c r="H23">
        <f>IFERROR(IF(ISNUMBER(INDEX(SPPR!$E:$X,MATCH($A23,SPPR!$A:$A,0),5)),$C23*INDEX(SPPR!$E:$X,MATCH($A23,SPPR!$A:$A,0),5),""),"")</f>
        <v/>
      </c>
      <c r="I23">
        <f>IFERROR(IF(ISNUMBER(INDEX(SPPR!$E:$X,MATCH($A23,SPPR!$A:$A,0),6)),$C23*INDEX(SPPR!$E:$X,MATCH($A23,SPPR!$A:$A,0),6),""),"")</f>
        <v/>
      </c>
      <c r="J23">
        <f>IFERROR(IF(ISNUMBER(INDEX(SPPR!$E:$X,MATCH($A23,SPPR!$A:$A,0),7)),$C23*INDEX(SPPR!$E:$X,MATCH($A23,SPPR!$A:$A,0),7),""),"")</f>
        <v/>
      </c>
      <c r="K23">
        <f>IFERROR(IF(ISNUMBER(INDEX(SPPR!$E:$X,MATCH($A23,SPPR!$A:$A,0),8)),$C23*INDEX(SPPR!$E:$X,MATCH($A23,SPPR!$A:$A,0),8),""),"")</f>
        <v/>
      </c>
      <c r="L23">
        <f>IFERROR(IF(ISNUMBER(INDEX(SPPR!$E:$X,MATCH($A23,SPPR!$A:$A,0),9)),$C23*INDEX(SPPR!$E:$X,MATCH($A23,SPPR!$A:$A,0),9),""),"")</f>
        <v/>
      </c>
      <c r="M23">
        <f>IFERROR(IF(ISNUMBER(INDEX(SPPR!$E:$X,MATCH($A23,SPPR!$A:$A,0),10)),$C23*INDEX(SPPR!$E:$X,MATCH($A23,SPPR!$A:$A,0),10),""),"")</f>
        <v/>
      </c>
      <c r="N23">
        <f>IFERROR(IF(ISNUMBER(INDEX(SPPR!$E:$X,MATCH($A23,SPPR!$A:$A,0),11)),$C23*INDEX(SPPR!$E:$X,MATCH($A23,SPPR!$A:$A,0),11),""),"")</f>
        <v/>
      </c>
      <c r="O23">
        <f>IFERROR(IF(ISNUMBER(INDEX(SPPR!$E:$X,MATCH($A23,SPPR!$A:$A,0),12)),$C23*INDEX(SPPR!$E:$X,MATCH($A23,SPPR!$A:$A,0),12),""),"")</f>
        <v/>
      </c>
      <c r="P23">
        <f>IFERROR(IF(ISNUMBER(INDEX(SPPR!$E:$X,MATCH($A23,SPPR!$A:$A,0),13)),$C23*INDEX(SPPR!$E:$X,MATCH($A23,SPPR!$A:$A,0),13),""),"")</f>
        <v/>
      </c>
      <c r="Q23">
        <f>IFERROR(IF(ISNUMBER(INDEX(SPPR!$E:$X,MATCH($A23,SPPR!$A:$A,0),14)),$C23*INDEX(SPPR!$E:$X,MATCH($A23,SPPR!$A:$A,0),14),""),"")</f>
        <v/>
      </c>
      <c r="R23">
        <f>IFERROR(IF(ISNUMBER(INDEX(SPPR!$E:$X,MATCH($A23,SPPR!$A:$A,0),15)),$C23*INDEX(SPPR!$E:$X,MATCH($A23,SPPR!$A:$A,0),15),""),"")</f>
        <v/>
      </c>
      <c r="S23">
        <f>IFERROR(IF(ISNUMBER(INDEX(SPPR!$E:$X,MATCH($A23,SPPR!$A:$A,0),16)),$C23*INDEX(SPPR!$E:$X,MATCH($A23,SPPR!$A:$A,0),16),""),"")</f>
        <v/>
      </c>
      <c r="T23">
        <f>IFERROR(IF(ISNUMBER(INDEX(SPPR!$E:$X,MATCH($A23,SPPR!$A:$A,0),17)),$C23*INDEX(SPPR!$E:$X,MATCH($A23,SPPR!$A:$A,0),17),""),"")</f>
        <v/>
      </c>
      <c r="U23">
        <f>IFERROR(IF(ISNUMBER(INDEX(SPPR!$E:$X,MATCH($A23,SPPR!$A:$A,0),18)),$C23*INDEX(SPPR!$E:$X,MATCH($A23,SPPR!$A:$A,0),18),""),"")</f>
        <v/>
      </c>
      <c r="V23">
        <f>IFERROR(IF(ISNUMBER(INDEX(SPPR!$E:$X,MATCH($A23,SPPR!$A:$A,0),19)),$C23*INDEX(SPPR!$E:$X,MATCH($A23,SPPR!$A:$A,0),19),""),"")</f>
        <v/>
      </c>
      <c r="W23">
        <f>IFERROR(IF(ISNUMBER(INDEX(SPPR!$E:$X,MATCH($A23,SPPR!$A:$A,0),20)),$C23*INDEX(SPPR!$E:$X,MATCH($A23,SPPR!$A:$A,0),20),""),"")</f>
        <v/>
      </c>
    </row>
    <row r="24">
      <c r="A24" t="inlineStr">
        <is>
          <t>Mollusca</t>
        </is>
      </c>
      <c r="B24">
        <f>IFERROR(INDEX(SPPR!$D:$D,MATCH($A24,SPPR!$A:$A,0)),"")</f>
        <v/>
      </c>
      <c r="C24">
        <f>IFERROR(INDEX(Catch!$E:$BV,MATCH($A24,Catch!$A:$A,0),MATCH($B$4,Catch!$E$1:$BV$1,0)),0)</f>
        <v/>
      </c>
      <c r="D24">
        <f>IFERROR(IF(ISNUMBER(INDEX(SPPR!$E:$X,MATCH($A24,SPPR!$A:$A,0),1)),$C24*INDEX(SPPR!$E:$X,MATCH($A24,SPPR!$A:$A,0),1),""),"")</f>
        <v/>
      </c>
      <c r="E24">
        <f>IFERROR(IF(ISNUMBER(INDEX(SPPR!$E:$X,MATCH($A24,SPPR!$A:$A,0),2)),$C24*INDEX(SPPR!$E:$X,MATCH($A24,SPPR!$A:$A,0),2),""),"")</f>
        <v/>
      </c>
      <c r="F24">
        <f>IFERROR(IF(ISNUMBER(INDEX(SPPR!$E:$X,MATCH($A24,SPPR!$A:$A,0),3)),$C24*INDEX(SPPR!$E:$X,MATCH($A24,SPPR!$A:$A,0),3),""),"")</f>
        <v/>
      </c>
      <c r="G24">
        <f>IFERROR(IF(ISNUMBER(INDEX(SPPR!$E:$X,MATCH($A24,SPPR!$A:$A,0),4)),$C24*INDEX(SPPR!$E:$X,MATCH($A24,SPPR!$A:$A,0),4),""),"")</f>
        <v/>
      </c>
      <c r="H24">
        <f>IFERROR(IF(ISNUMBER(INDEX(SPPR!$E:$X,MATCH($A24,SPPR!$A:$A,0),5)),$C24*INDEX(SPPR!$E:$X,MATCH($A24,SPPR!$A:$A,0),5),""),"")</f>
        <v/>
      </c>
      <c r="I24">
        <f>IFERROR(IF(ISNUMBER(INDEX(SPPR!$E:$X,MATCH($A24,SPPR!$A:$A,0),6)),$C24*INDEX(SPPR!$E:$X,MATCH($A24,SPPR!$A:$A,0),6),""),"")</f>
        <v/>
      </c>
      <c r="J24">
        <f>IFERROR(IF(ISNUMBER(INDEX(SPPR!$E:$X,MATCH($A24,SPPR!$A:$A,0),7)),$C24*INDEX(SPPR!$E:$X,MATCH($A24,SPPR!$A:$A,0),7),""),"")</f>
        <v/>
      </c>
      <c r="K24">
        <f>IFERROR(IF(ISNUMBER(INDEX(SPPR!$E:$X,MATCH($A24,SPPR!$A:$A,0),8)),$C24*INDEX(SPPR!$E:$X,MATCH($A24,SPPR!$A:$A,0),8),""),"")</f>
        <v/>
      </c>
      <c r="L24">
        <f>IFERROR(IF(ISNUMBER(INDEX(SPPR!$E:$X,MATCH($A24,SPPR!$A:$A,0),9)),$C24*INDEX(SPPR!$E:$X,MATCH($A24,SPPR!$A:$A,0),9),""),"")</f>
        <v/>
      </c>
      <c r="M24">
        <f>IFERROR(IF(ISNUMBER(INDEX(SPPR!$E:$X,MATCH($A24,SPPR!$A:$A,0),10)),$C24*INDEX(SPPR!$E:$X,MATCH($A24,SPPR!$A:$A,0),10),""),"")</f>
        <v/>
      </c>
      <c r="N24">
        <f>IFERROR(IF(ISNUMBER(INDEX(SPPR!$E:$X,MATCH($A24,SPPR!$A:$A,0),11)),$C24*INDEX(SPPR!$E:$X,MATCH($A24,SPPR!$A:$A,0),11),""),"")</f>
        <v/>
      </c>
      <c r="O24">
        <f>IFERROR(IF(ISNUMBER(INDEX(SPPR!$E:$X,MATCH($A24,SPPR!$A:$A,0),12)),$C24*INDEX(SPPR!$E:$X,MATCH($A24,SPPR!$A:$A,0),12),""),"")</f>
        <v/>
      </c>
      <c r="P24">
        <f>IFERROR(IF(ISNUMBER(INDEX(SPPR!$E:$X,MATCH($A24,SPPR!$A:$A,0),13)),$C24*INDEX(SPPR!$E:$X,MATCH($A24,SPPR!$A:$A,0),13),""),"")</f>
        <v/>
      </c>
      <c r="Q24">
        <f>IFERROR(IF(ISNUMBER(INDEX(SPPR!$E:$X,MATCH($A24,SPPR!$A:$A,0),14)),$C24*INDEX(SPPR!$E:$X,MATCH($A24,SPPR!$A:$A,0),14),""),"")</f>
        <v/>
      </c>
      <c r="R24">
        <f>IFERROR(IF(ISNUMBER(INDEX(SPPR!$E:$X,MATCH($A24,SPPR!$A:$A,0),15)),$C24*INDEX(SPPR!$E:$X,MATCH($A24,SPPR!$A:$A,0),15),""),"")</f>
        <v/>
      </c>
      <c r="S24">
        <f>IFERROR(IF(ISNUMBER(INDEX(SPPR!$E:$X,MATCH($A24,SPPR!$A:$A,0),16)),$C24*INDEX(SPPR!$E:$X,MATCH($A24,SPPR!$A:$A,0),16),""),"")</f>
        <v/>
      </c>
      <c r="T24">
        <f>IFERROR(IF(ISNUMBER(INDEX(SPPR!$E:$X,MATCH($A24,SPPR!$A:$A,0),17)),$C24*INDEX(SPPR!$E:$X,MATCH($A24,SPPR!$A:$A,0),17),""),"")</f>
        <v/>
      </c>
      <c r="U24">
        <f>IFERROR(IF(ISNUMBER(INDEX(SPPR!$E:$X,MATCH($A24,SPPR!$A:$A,0),18)),$C24*INDEX(SPPR!$E:$X,MATCH($A24,SPPR!$A:$A,0),18),""),"")</f>
        <v/>
      </c>
      <c r="V24">
        <f>IFERROR(IF(ISNUMBER(INDEX(SPPR!$E:$X,MATCH($A24,SPPR!$A:$A,0),19)),$C24*INDEX(SPPR!$E:$X,MATCH($A24,SPPR!$A:$A,0),19),""),"")</f>
        <v/>
      </c>
      <c r="W24">
        <f>IFERROR(IF(ISNUMBER(INDEX(SPPR!$E:$X,MATCH($A24,SPPR!$A:$A,0),20)),$C24*INDEX(SPPR!$E:$X,MATCH($A24,SPPR!$A:$A,0),20),""),"")</f>
        <v/>
      </c>
    </row>
    <row r="25">
      <c r="A25" t="inlineStr">
        <is>
          <t>Cololabis saira</t>
        </is>
      </c>
      <c r="B25">
        <f>IFERROR(INDEX(SPPR!$D:$D,MATCH($A25,SPPR!$A:$A,0)),"")</f>
        <v/>
      </c>
      <c r="C25">
        <f>IFERROR(INDEX(Catch!$E:$BV,MATCH($A25,Catch!$A:$A,0),MATCH($B$4,Catch!$E$1:$BV$1,0)),0)</f>
        <v/>
      </c>
      <c r="D25">
        <f>IFERROR(IF(ISNUMBER(INDEX(SPPR!$E:$X,MATCH($A25,SPPR!$A:$A,0),1)),$C25*INDEX(SPPR!$E:$X,MATCH($A25,SPPR!$A:$A,0),1),""),"")</f>
        <v/>
      </c>
      <c r="E25">
        <f>IFERROR(IF(ISNUMBER(INDEX(SPPR!$E:$X,MATCH($A25,SPPR!$A:$A,0),2)),$C25*INDEX(SPPR!$E:$X,MATCH($A25,SPPR!$A:$A,0),2),""),"")</f>
        <v/>
      </c>
      <c r="F25">
        <f>IFERROR(IF(ISNUMBER(INDEX(SPPR!$E:$X,MATCH($A25,SPPR!$A:$A,0),3)),$C25*INDEX(SPPR!$E:$X,MATCH($A25,SPPR!$A:$A,0),3),""),"")</f>
        <v/>
      </c>
      <c r="G25">
        <f>IFERROR(IF(ISNUMBER(INDEX(SPPR!$E:$X,MATCH($A25,SPPR!$A:$A,0),4)),$C25*INDEX(SPPR!$E:$X,MATCH($A25,SPPR!$A:$A,0),4),""),"")</f>
        <v/>
      </c>
      <c r="H25">
        <f>IFERROR(IF(ISNUMBER(INDEX(SPPR!$E:$X,MATCH($A25,SPPR!$A:$A,0),5)),$C25*INDEX(SPPR!$E:$X,MATCH($A25,SPPR!$A:$A,0),5),""),"")</f>
        <v/>
      </c>
      <c r="I25">
        <f>IFERROR(IF(ISNUMBER(INDEX(SPPR!$E:$X,MATCH($A25,SPPR!$A:$A,0),6)),$C25*INDEX(SPPR!$E:$X,MATCH($A25,SPPR!$A:$A,0),6),""),"")</f>
        <v/>
      </c>
      <c r="J25">
        <f>IFERROR(IF(ISNUMBER(INDEX(SPPR!$E:$X,MATCH($A25,SPPR!$A:$A,0),7)),$C25*INDEX(SPPR!$E:$X,MATCH($A25,SPPR!$A:$A,0),7),""),"")</f>
        <v/>
      </c>
      <c r="K25">
        <f>IFERROR(IF(ISNUMBER(INDEX(SPPR!$E:$X,MATCH($A25,SPPR!$A:$A,0),8)),$C25*INDEX(SPPR!$E:$X,MATCH($A25,SPPR!$A:$A,0),8),""),"")</f>
        <v/>
      </c>
      <c r="L25">
        <f>IFERROR(IF(ISNUMBER(INDEX(SPPR!$E:$X,MATCH($A25,SPPR!$A:$A,0),9)),$C25*INDEX(SPPR!$E:$X,MATCH($A25,SPPR!$A:$A,0),9),""),"")</f>
        <v/>
      </c>
      <c r="M25">
        <f>IFERROR(IF(ISNUMBER(INDEX(SPPR!$E:$X,MATCH($A25,SPPR!$A:$A,0),10)),$C25*INDEX(SPPR!$E:$X,MATCH($A25,SPPR!$A:$A,0),10),""),"")</f>
        <v/>
      </c>
      <c r="N25">
        <f>IFERROR(IF(ISNUMBER(INDEX(SPPR!$E:$X,MATCH($A25,SPPR!$A:$A,0),11)),$C25*INDEX(SPPR!$E:$X,MATCH($A25,SPPR!$A:$A,0),11),""),"")</f>
        <v/>
      </c>
      <c r="O25">
        <f>IFERROR(IF(ISNUMBER(INDEX(SPPR!$E:$X,MATCH($A25,SPPR!$A:$A,0),12)),$C25*INDEX(SPPR!$E:$X,MATCH($A25,SPPR!$A:$A,0),12),""),"")</f>
        <v/>
      </c>
      <c r="P25">
        <f>IFERROR(IF(ISNUMBER(INDEX(SPPR!$E:$X,MATCH($A25,SPPR!$A:$A,0),13)),$C25*INDEX(SPPR!$E:$X,MATCH($A25,SPPR!$A:$A,0),13),""),"")</f>
        <v/>
      </c>
      <c r="Q25">
        <f>IFERROR(IF(ISNUMBER(INDEX(SPPR!$E:$X,MATCH($A25,SPPR!$A:$A,0),14)),$C25*INDEX(SPPR!$E:$X,MATCH($A25,SPPR!$A:$A,0),14),""),"")</f>
        <v/>
      </c>
      <c r="R25">
        <f>IFERROR(IF(ISNUMBER(INDEX(SPPR!$E:$X,MATCH($A25,SPPR!$A:$A,0),15)),$C25*INDEX(SPPR!$E:$X,MATCH($A25,SPPR!$A:$A,0),15),""),"")</f>
        <v/>
      </c>
      <c r="S25">
        <f>IFERROR(IF(ISNUMBER(INDEX(SPPR!$E:$X,MATCH($A25,SPPR!$A:$A,0),16)),$C25*INDEX(SPPR!$E:$X,MATCH($A25,SPPR!$A:$A,0),16),""),"")</f>
        <v/>
      </c>
      <c r="T25">
        <f>IFERROR(IF(ISNUMBER(INDEX(SPPR!$E:$X,MATCH($A25,SPPR!$A:$A,0),17)),$C25*INDEX(SPPR!$E:$X,MATCH($A25,SPPR!$A:$A,0),17),""),"")</f>
        <v/>
      </c>
      <c r="U25">
        <f>IFERROR(IF(ISNUMBER(INDEX(SPPR!$E:$X,MATCH($A25,SPPR!$A:$A,0),18)),$C25*INDEX(SPPR!$E:$X,MATCH($A25,SPPR!$A:$A,0),18),""),"")</f>
        <v/>
      </c>
      <c r="V25">
        <f>IFERROR(IF(ISNUMBER(INDEX(SPPR!$E:$X,MATCH($A25,SPPR!$A:$A,0),19)),$C25*INDEX(SPPR!$E:$X,MATCH($A25,SPPR!$A:$A,0),19),""),"")</f>
        <v/>
      </c>
      <c r="W25">
        <f>IFERROR(IF(ISNUMBER(INDEX(SPPR!$E:$X,MATCH($A25,SPPR!$A:$A,0),20)),$C25*INDEX(SPPR!$E:$X,MATCH($A25,SPPR!$A:$A,0),20),""),"")</f>
        <v/>
      </c>
    </row>
    <row r="26">
      <c r="A26" t="inlineStr">
        <is>
          <t>Pleurogrammus monopterygius</t>
        </is>
      </c>
      <c r="B26">
        <f>IFERROR(INDEX(SPPR!$D:$D,MATCH($A26,SPPR!$A:$A,0)),"")</f>
        <v/>
      </c>
      <c r="C26">
        <f>IFERROR(INDEX(Catch!$E:$BV,MATCH($A26,Catch!$A:$A,0),MATCH($B$4,Catch!$E$1:$BV$1,0)),0)</f>
        <v/>
      </c>
      <c r="D26">
        <f>IFERROR(IF(ISNUMBER(INDEX(SPPR!$E:$X,MATCH($A26,SPPR!$A:$A,0),1)),$C26*INDEX(SPPR!$E:$X,MATCH($A26,SPPR!$A:$A,0),1),""),"")</f>
        <v/>
      </c>
      <c r="E26">
        <f>IFERROR(IF(ISNUMBER(INDEX(SPPR!$E:$X,MATCH($A26,SPPR!$A:$A,0),2)),$C26*INDEX(SPPR!$E:$X,MATCH($A26,SPPR!$A:$A,0),2),""),"")</f>
        <v/>
      </c>
      <c r="F26">
        <f>IFERROR(IF(ISNUMBER(INDEX(SPPR!$E:$X,MATCH($A26,SPPR!$A:$A,0),3)),$C26*INDEX(SPPR!$E:$X,MATCH($A26,SPPR!$A:$A,0),3),""),"")</f>
        <v/>
      </c>
      <c r="G26">
        <f>IFERROR(IF(ISNUMBER(INDEX(SPPR!$E:$X,MATCH($A26,SPPR!$A:$A,0),4)),$C26*INDEX(SPPR!$E:$X,MATCH($A26,SPPR!$A:$A,0),4),""),"")</f>
        <v/>
      </c>
      <c r="H26">
        <f>IFERROR(IF(ISNUMBER(INDEX(SPPR!$E:$X,MATCH($A26,SPPR!$A:$A,0),5)),$C26*INDEX(SPPR!$E:$X,MATCH($A26,SPPR!$A:$A,0),5),""),"")</f>
        <v/>
      </c>
      <c r="I26">
        <f>IFERROR(IF(ISNUMBER(INDEX(SPPR!$E:$X,MATCH($A26,SPPR!$A:$A,0),6)),$C26*INDEX(SPPR!$E:$X,MATCH($A26,SPPR!$A:$A,0),6),""),"")</f>
        <v/>
      </c>
      <c r="J26">
        <f>IFERROR(IF(ISNUMBER(INDEX(SPPR!$E:$X,MATCH($A26,SPPR!$A:$A,0),7)),$C26*INDEX(SPPR!$E:$X,MATCH($A26,SPPR!$A:$A,0),7),""),"")</f>
        <v/>
      </c>
      <c r="K26">
        <f>IFERROR(IF(ISNUMBER(INDEX(SPPR!$E:$X,MATCH($A26,SPPR!$A:$A,0),8)),$C26*INDEX(SPPR!$E:$X,MATCH($A26,SPPR!$A:$A,0),8),""),"")</f>
        <v/>
      </c>
      <c r="L26">
        <f>IFERROR(IF(ISNUMBER(INDEX(SPPR!$E:$X,MATCH($A26,SPPR!$A:$A,0),9)),$C26*INDEX(SPPR!$E:$X,MATCH($A26,SPPR!$A:$A,0),9),""),"")</f>
        <v/>
      </c>
      <c r="M26">
        <f>IFERROR(IF(ISNUMBER(INDEX(SPPR!$E:$X,MATCH($A26,SPPR!$A:$A,0),10)),$C26*INDEX(SPPR!$E:$X,MATCH($A26,SPPR!$A:$A,0),10),""),"")</f>
        <v/>
      </c>
      <c r="N26">
        <f>IFERROR(IF(ISNUMBER(INDEX(SPPR!$E:$X,MATCH($A26,SPPR!$A:$A,0),11)),$C26*INDEX(SPPR!$E:$X,MATCH($A26,SPPR!$A:$A,0),11),""),"")</f>
        <v/>
      </c>
      <c r="O26">
        <f>IFERROR(IF(ISNUMBER(INDEX(SPPR!$E:$X,MATCH($A26,SPPR!$A:$A,0),12)),$C26*INDEX(SPPR!$E:$X,MATCH($A26,SPPR!$A:$A,0),12),""),"")</f>
        <v/>
      </c>
      <c r="P26">
        <f>IFERROR(IF(ISNUMBER(INDEX(SPPR!$E:$X,MATCH($A26,SPPR!$A:$A,0),13)),$C26*INDEX(SPPR!$E:$X,MATCH($A26,SPPR!$A:$A,0),13),""),"")</f>
        <v/>
      </c>
      <c r="Q26">
        <f>IFERROR(IF(ISNUMBER(INDEX(SPPR!$E:$X,MATCH($A26,SPPR!$A:$A,0),14)),$C26*INDEX(SPPR!$E:$X,MATCH($A26,SPPR!$A:$A,0),14),""),"")</f>
        <v/>
      </c>
      <c r="R26">
        <f>IFERROR(IF(ISNUMBER(INDEX(SPPR!$E:$X,MATCH($A26,SPPR!$A:$A,0),15)),$C26*INDEX(SPPR!$E:$X,MATCH($A26,SPPR!$A:$A,0),15),""),"")</f>
        <v/>
      </c>
      <c r="S26">
        <f>IFERROR(IF(ISNUMBER(INDEX(SPPR!$E:$X,MATCH($A26,SPPR!$A:$A,0),16)),$C26*INDEX(SPPR!$E:$X,MATCH($A26,SPPR!$A:$A,0),16),""),"")</f>
        <v/>
      </c>
      <c r="T26">
        <f>IFERROR(IF(ISNUMBER(INDEX(SPPR!$E:$X,MATCH($A26,SPPR!$A:$A,0),17)),$C26*INDEX(SPPR!$E:$X,MATCH($A26,SPPR!$A:$A,0),17),""),"")</f>
        <v/>
      </c>
      <c r="U26">
        <f>IFERROR(IF(ISNUMBER(INDEX(SPPR!$E:$X,MATCH($A26,SPPR!$A:$A,0),18)),$C26*INDEX(SPPR!$E:$X,MATCH($A26,SPPR!$A:$A,0),18),""),"")</f>
        <v/>
      </c>
      <c r="V26">
        <f>IFERROR(IF(ISNUMBER(INDEX(SPPR!$E:$X,MATCH($A26,SPPR!$A:$A,0),19)),$C26*INDEX(SPPR!$E:$X,MATCH($A26,SPPR!$A:$A,0),19),""),"")</f>
        <v/>
      </c>
      <c r="W26">
        <f>IFERROR(IF(ISNUMBER(INDEX(SPPR!$E:$X,MATCH($A26,SPPR!$A:$A,0),20)),$C26*INDEX(SPPR!$E:$X,MATCH($A26,SPPR!$A:$A,0),20),""),"")</f>
        <v/>
      </c>
    </row>
    <row r="27">
      <c r="A27" t="inlineStr">
        <is>
          <t>Oncorhynchus nerka</t>
        </is>
      </c>
      <c r="B27">
        <f>IFERROR(INDEX(SPPR!$D:$D,MATCH($A27,SPPR!$A:$A,0)),"")</f>
        <v/>
      </c>
      <c r="C27">
        <f>IFERROR(INDEX(Catch!$E:$BV,MATCH($A27,Catch!$A:$A,0),MATCH($B$4,Catch!$E$1:$BV$1,0)),0)</f>
        <v/>
      </c>
      <c r="D27">
        <f>IFERROR(IF(ISNUMBER(INDEX(SPPR!$E:$X,MATCH($A27,SPPR!$A:$A,0),1)),$C27*INDEX(SPPR!$E:$X,MATCH($A27,SPPR!$A:$A,0),1),""),"")</f>
        <v/>
      </c>
      <c r="E27">
        <f>IFERROR(IF(ISNUMBER(INDEX(SPPR!$E:$X,MATCH($A27,SPPR!$A:$A,0),2)),$C27*INDEX(SPPR!$E:$X,MATCH($A27,SPPR!$A:$A,0),2),""),"")</f>
        <v/>
      </c>
      <c r="F27">
        <f>IFERROR(IF(ISNUMBER(INDEX(SPPR!$E:$X,MATCH($A27,SPPR!$A:$A,0),3)),$C27*INDEX(SPPR!$E:$X,MATCH($A27,SPPR!$A:$A,0),3),""),"")</f>
        <v/>
      </c>
      <c r="G27">
        <f>IFERROR(IF(ISNUMBER(INDEX(SPPR!$E:$X,MATCH($A27,SPPR!$A:$A,0),4)),$C27*INDEX(SPPR!$E:$X,MATCH($A27,SPPR!$A:$A,0),4),""),"")</f>
        <v/>
      </c>
      <c r="H27">
        <f>IFERROR(IF(ISNUMBER(INDEX(SPPR!$E:$X,MATCH($A27,SPPR!$A:$A,0),5)),$C27*INDEX(SPPR!$E:$X,MATCH($A27,SPPR!$A:$A,0),5),""),"")</f>
        <v/>
      </c>
      <c r="I27">
        <f>IFERROR(IF(ISNUMBER(INDEX(SPPR!$E:$X,MATCH($A27,SPPR!$A:$A,0),6)),$C27*INDEX(SPPR!$E:$X,MATCH($A27,SPPR!$A:$A,0),6),""),"")</f>
        <v/>
      </c>
      <c r="J27">
        <f>IFERROR(IF(ISNUMBER(INDEX(SPPR!$E:$X,MATCH($A27,SPPR!$A:$A,0),7)),$C27*INDEX(SPPR!$E:$X,MATCH($A27,SPPR!$A:$A,0),7),""),"")</f>
        <v/>
      </c>
      <c r="K27">
        <f>IFERROR(IF(ISNUMBER(INDEX(SPPR!$E:$X,MATCH($A27,SPPR!$A:$A,0),8)),$C27*INDEX(SPPR!$E:$X,MATCH($A27,SPPR!$A:$A,0),8),""),"")</f>
        <v/>
      </c>
      <c r="L27">
        <f>IFERROR(IF(ISNUMBER(INDEX(SPPR!$E:$X,MATCH($A27,SPPR!$A:$A,0),9)),$C27*INDEX(SPPR!$E:$X,MATCH($A27,SPPR!$A:$A,0),9),""),"")</f>
        <v/>
      </c>
      <c r="M27">
        <f>IFERROR(IF(ISNUMBER(INDEX(SPPR!$E:$X,MATCH($A27,SPPR!$A:$A,0),10)),$C27*INDEX(SPPR!$E:$X,MATCH($A27,SPPR!$A:$A,0),10),""),"")</f>
        <v/>
      </c>
      <c r="N27">
        <f>IFERROR(IF(ISNUMBER(INDEX(SPPR!$E:$X,MATCH($A27,SPPR!$A:$A,0),11)),$C27*INDEX(SPPR!$E:$X,MATCH($A27,SPPR!$A:$A,0),11),""),"")</f>
        <v/>
      </c>
      <c r="O27">
        <f>IFERROR(IF(ISNUMBER(INDEX(SPPR!$E:$X,MATCH($A27,SPPR!$A:$A,0),12)),$C27*INDEX(SPPR!$E:$X,MATCH($A27,SPPR!$A:$A,0),12),""),"")</f>
        <v/>
      </c>
      <c r="P27">
        <f>IFERROR(IF(ISNUMBER(INDEX(SPPR!$E:$X,MATCH($A27,SPPR!$A:$A,0),13)),$C27*INDEX(SPPR!$E:$X,MATCH($A27,SPPR!$A:$A,0),13),""),"")</f>
        <v/>
      </c>
      <c r="Q27">
        <f>IFERROR(IF(ISNUMBER(INDEX(SPPR!$E:$X,MATCH($A27,SPPR!$A:$A,0),14)),$C27*INDEX(SPPR!$E:$X,MATCH($A27,SPPR!$A:$A,0),14),""),"")</f>
        <v/>
      </c>
      <c r="R27">
        <f>IFERROR(IF(ISNUMBER(INDEX(SPPR!$E:$X,MATCH($A27,SPPR!$A:$A,0),15)),$C27*INDEX(SPPR!$E:$X,MATCH($A27,SPPR!$A:$A,0),15),""),"")</f>
        <v/>
      </c>
      <c r="S27">
        <f>IFERROR(IF(ISNUMBER(INDEX(SPPR!$E:$X,MATCH($A27,SPPR!$A:$A,0),16)),$C27*INDEX(SPPR!$E:$X,MATCH($A27,SPPR!$A:$A,0),16),""),"")</f>
        <v/>
      </c>
      <c r="T27">
        <f>IFERROR(IF(ISNUMBER(INDEX(SPPR!$E:$X,MATCH($A27,SPPR!$A:$A,0),17)),$C27*INDEX(SPPR!$E:$X,MATCH($A27,SPPR!$A:$A,0),17),""),"")</f>
        <v/>
      </c>
      <c r="U27">
        <f>IFERROR(IF(ISNUMBER(INDEX(SPPR!$E:$X,MATCH($A27,SPPR!$A:$A,0),18)),$C27*INDEX(SPPR!$E:$X,MATCH($A27,SPPR!$A:$A,0),18),""),"")</f>
        <v/>
      </c>
      <c r="V27">
        <f>IFERROR(IF(ISNUMBER(INDEX(SPPR!$E:$X,MATCH($A27,SPPR!$A:$A,0),19)),$C27*INDEX(SPPR!$E:$X,MATCH($A27,SPPR!$A:$A,0),19),""),"")</f>
        <v/>
      </c>
      <c r="W27">
        <f>IFERROR(IF(ISNUMBER(INDEX(SPPR!$E:$X,MATCH($A27,SPPR!$A:$A,0),20)),$C27*INDEX(SPPR!$E:$X,MATCH($A27,SPPR!$A:$A,0),20),""),"")</f>
        <v/>
      </c>
    </row>
    <row r="28">
      <c r="A28" t="inlineStr">
        <is>
          <t>Pleuronectidae</t>
        </is>
      </c>
      <c r="B28">
        <f>IFERROR(INDEX(SPPR!$D:$D,MATCH($A28,SPPR!$A:$A,0)),"")</f>
        <v/>
      </c>
      <c r="C28">
        <f>IFERROR(INDEX(Catch!$E:$BV,MATCH($A28,Catch!$A:$A,0),MATCH($B$4,Catch!$E$1:$BV$1,0)),0)</f>
        <v/>
      </c>
      <c r="D28">
        <f>IFERROR(IF(ISNUMBER(INDEX(SPPR!$E:$X,MATCH($A28,SPPR!$A:$A,0),1)),$C28*INDEX(SPPR!$E:$X,MATCH($A28,SPPR!$A:$A,0),1),""),"")</f>
        <v/>
      </c>
      <c r="E28">
        <f>IFERROR(IF(ISNUMBER(INDEX(SPPR!$E:$X,MATCH($A28,SPPR!$A:$A,0),2)),$C28*INDEX(SPPR!$E:$X,MATCH($A28,SPPR!$A:$A,0),2),""),"")</f>
        <v/>
      </c>
      <c r="F28">
        <f>IFERROR(IF(ISNUMBER(INDEX(SPPR!$E:$X,MATCH($A28,SPPR!$A:$A,0),3)),$C28*INDEX(SPPR!$E:$X,MATCH($A28,SPPR!$A:$A,0),3),""),"")</f>
        <v/>
      </c>
      <c r="G28">
        <f>IFERROR(IF(ISNUMBER(INDEX(SPPR!$E:$X,MATCH($A28,SPPR!$A:$A,0),4)),$C28*INDEX(SPPR!$E:$X,MATCH($A28,SPPR!$A:$A,0),4),""),"")</f>
        <v/>
      </c>
      <c r="H28">
        <f>IFERROR(IF(ISNUMBER(INDEX(SPPR!$E:$X,MATCH($A28,SPPR!$A:$A,0),5)),$C28*INDEX(SPPR!$E:$X,MATCH($A28,SPPR!$A:$A,0),5),""),"")</f>
        <v/>
      </c>
      <c r="I28">
        <f>IFERROR(IF(ISNUMBER(INDEX(SPPR!$E:$X,MATCH($A28,SPPR!$A:$A,0),6)),$C28*INDEX(SPPR!$E:$X,MATCH($A28,SPPR!$A:$A,0),6),""),"")</f>
        <v/>
      </c>
      <c r="J28">
        <f>IFERROR(IF(ISNUMBER(INDEX(SPPR!$E:$X,MATCH($A28,SPPR!$A:$A,0),7)),$C28*INDEX(SPPR!$E:$X,MATCH($A28,SPPR!$A:$A,0),7),""),"")</f>
        <v/>
      </c>
      <c r="K28">
        <f>IFERROR(IF(ISNUMBER(INDEX(SPPR!$E:$X,MATCH($A28,SPPR!$A:$A,0),8)),$C28*INDEX(SPPR!$E:$X,MATCH($A28,SPPR!$A:$A,0),8),""),"")</f>
        <v/>
      </c>
      <c r="L28">
        <f>IFERROR(IF(ISNUMBER(INDEX(SPPR!$E:$X,MATCH($A28,SPPR!$A:$A,0),9)),$C28*INDEX(SPPR!$E:$X,MATCH($A28,SPPR!$A:$A,0),9),""),"")</f>
        <v/>
      </c>
      <c r="M28">
        <f>IFERROR(IF(ISNUMBER(INDEX(SPPR!$E:$X,MATCH($A28,SPPR!$A:$A,0),10)),$C28*INDEX(SPPR!$E:$X,MATCH($A28,SPPR!$A:$A,0),10),""),"")</f>
        <v/>
      </c>
      <c r="N28">
        <f>IFERROR(IF(ISNUMBER(INDEX(SPPR!$E:$X,MATCH($A28,SPPR!$A:$A,0),11)),$C28*INDEX(SPPR!$E:$X,MATCH($A28,SPPR!$A:$A,0),11),""),"")</f>
        <v/>
      </c>
      <c r="O28">
        <f>IFERROR(IF(ISNUMBER(INDEX(SPPR!$E:$X,MATCH($A28,SPPR!$A:$A,0),12)),$C28*INDEX(SPPR!$E:$X,MATCH($A28,SPPR!$A:$A,0),12),""),"")</f>
        <v/>
      </c>
      <c r="P28">
        <f>IFERROR(IF(ISNUMBER(INDEX(SPPR!$E:$X,MATCH($A28,SPPR!$A:$A,0),13)),$C28*INDEX(SPPR!$E:$X,MATCH($A28,SPPR!$A:$A,0),13),""),"")</f>
        <v/>
      </c>
      <c r="Q28">
        <f>IFERROR(IF(ISNUMBER(INDEX(SPPR!$E:$X,MATCH($A28,SPPR!$A:$A,0),14)),$C28*INDEX(SPPR!$E:$X,MATCH($A28,SPPR!$A:$A,0),14),""),"")</f>
        <v/>
      </c>
      <c r="R28">
        <f>IFERROR(IF(ISNUMBER(INDEX(SPPR!$E:$X,MATCH($A28,SPPR!$A:$A,0),15)),$C28*INDEX(SPPR!$E:$X,MATCH($A28,SPPR!$A:$A,0),15),""),"")</f>
        <v/>
      </c>
      <c r="S28">
        <f>IFERROR(IF(ISNUMBER(INDEX(SPPR!$E:$X,MATCH($A28,SPPR!$A:$A,0),16)),$C28*INDEX(SPPR!$E:$X,MATCH($A28,SPPR!$A:$A,0),16),""),"")</f>
        <v/>
      </c>
      <c r="T28">
        <f>IFERROR(IF(ISNUMBER(INDEX(SPPR!$E:$X,MATCH($A28,SPPR!$A:$A,0),17)),$C28*INDEX(SPPR!$E:$X,MATCH($A28,SPPR!$A:$A,0),17),""),"")</f>
        <v/>
      </c>
      <c r="U28">
        <f>IFERROR(IF(ISNUMBER(INDEX(SPPR!$E:$X,MATCH($A28,SPPR!$A:$A,0),18)),$C28*INDEX(SPPR!$E:$X,MATCH($A28,SPPR!$A:$A,0),18),""),"")</f>
        <v/>
      </c>
      <c r="V28">
        <f>IFERROR(IF(ISNUMBER(INDEX(SPPR!$E:$X,MATCH($A28,SPPR!$A:$A,0),19)),$C28*INDEX(SPPR!$E:$X,MATCH($A28,SPPR!$A:$A,0),19),""),"")</f>
        <v/>
      </c>
      <c r="W28">
        <f>IFERROR(IF(ISNUMBER(INDEX(SPPR!$E:$X,MATCH($A28,SPPR!$A:$A,0),20)),$C28*INDEX(SPPR!$E:$X,MATCH($A28,SPPR!$A:$A,0),20),""),"")</f>
        <v/>
      </c>
    </row>
    <row r="29">
      <c r="A29" t="inlineStr">
        <is>
          <t>Mallotus villosus</t>
        </is>
      </c>
      <c r="B29">
        <f>IFERROR(INDEX(SPPR!$D:$D,MATCH($A29,SPPR!$A:$A,0)),"")</f>
        <v/>
      </c>
      <c r="C29">
        <f>IFERROR(INDEX(Catch!$E:$BV,MATCH($A29,Catch!$A:$A,0),MATCH($B$4,Catch!$E$1:$BV$1,0)),0)</f>
        <v/>
      </c>
      <c r="D29">
        <f>IFERROR(IF(ISNUMBER(INDEX(SPPR!$E:$X,MATCH($A29,SPPR!$A:$A,0),1)),$C29*INDEX(SPPR!$E:$X,MATCH($A29,SPPR!$A:$A,0),1),""),"")</f>
        <v/>
      </c>
      <c r="E29">
        <f>IFERROR(IF(ISNUMBER(INDEX(SPPR!$E:$X,MATCH($A29,SPPR!$A:$A,0),2)),$C29*INDEX(SPPR!$E:$X,MATCH($A29,SPPR!$A:$A,0),2),""),"")</f>
        <v/>
      </c>
      <c r="F29">
        <f>IFERROR(IF(ISNUMBER(INDEX(SPPR!$E:$X,MATCH($A29,SPPR!$A:$A,0),3)),$C29*INDEX(SPPR!$E:$X,MATCH($A29,SPPR!$A:$A,0),3),""),"")</f>
        <v/>
      </c>
      <c r="G29">
        <f>IFERROR(IF(ISNUMBER(INDEX(SPPR!$E:$X,MATCH($A29,SPPR!$A:$A,0),4)),$C29*INDEX(SPPR!$E:$X,MATCH($A29,SPPR!$A:$A,0),4),""),"")</f>
        <v/>
      </c>
      <c r="H29">
        <f>IFERROR(IF(ISNUMBER(INDEX(SPPR!$E:$X,MATCH($A29,SPPR!$A:$A,0),5)),$C29*INDEX(SPPR!$E:$X,MATCH($A29,SPPR!$A:$A,0),5),""),"")</f>
        <v/>
      </c>
      <c r="I29">
        <f>IFERROR(IF(ISNUMBER(INDEX(SPPR!$E:$X,MATCH($A29,SPPR!$A:$A,0),6)),$C29*INDEX(SPPR!$E:$X,MATCH($A29,SPPR!$A:$A,0),6),""),"")</f>
        <v/>
      </c>
      <c r="J29">
        <f>IFERROR(IF(ISNUMBER(INDEX(SPPR!$E:$X,MATCH($A29,SPPR!$A:$A,0),7)),$C29*INDEX(SPPR!$E:$X,MATCH($A29,SPPR!$A:$A,0),7),""),"")</f>
        <v/>
      </c>
      <c r="K29">
        <f>IFERROR(IF(ISNUMBER(INDEX(SPPR!$E:$X,MATCH($A29,SPPR!$A:$A,0),8)),$C29*INDEX(SPPR!$E:$X,MATCH($A29,SPPR!$A:$A,0),8),""),"")</f>
        <v/>
      </c>
      <c r="L29">
        <f>IFERROR(IF(ISNUMBER(INDEX(SPPR!$E:$X,MATCH($A29,SPPR!$A:$A,0),9)),$C29*INDEX(SPPR!$E:$X,MATCH($A29,SPPR!$A:$A,0),9),""),"")</f>
        <v/>
      </c>
      <c r="M29">
        <f>IFERROR(IF(ISNUMBER(INDEX(SPPR!$E:$X,MATCH($A29,SPPR!$A:$A,0),10)),$C29*INDEX(SPPR!$E:$X,MATCH($A29,SPPR!$A:$A,0),10),""),"")</f>
        <v/>
      </c>
      <c r="N29">
        <f>IFERROR(IF(ISNUMBER(INDEX(SPPR!$E:$X,MATCH($A29,SPPR!$A:$A,0),11)),$C29*INDEX(SPPR!$E:$X,MATCH($A29,SPPR!$A:$A,0),11),""),"")</f>
        <v/>
      </c>
      <c r="O29">
        <f>IFERROR(IF(ISNUMBER(INDEX(SPPR!$E:$X,MATCH($A29,SPPR!$A:$A,0),12)),$C29*INDEX(SPPR!$E:$X,MATCH($A29,SPPR!$A:$A,0),12),""),"")</f>
        <v/>
      </c>
      <c r="P29">
        <f>IFERROR(IF(ISNUMBER(INDEX(SPPR!$E:$X,MATCH($A29,SPPR!$A:$A,0),13)),$C29*INDEX(SPPR!$E:$X,MATCH($A29,SPPR!$A:$A,0),13),""),"")</f>
        <v/>
      </c>
      <c r="Q29">
        <f>IFERROR(IF(ISNUMBER(INDEX(SPPR!$E:$X,MATCH($A29,SPPR!$A:$A,0),14)),$C29*INDEX(SPPR!$E:$X,MATCH($A29,SPPR!$A:$A,0),14),""),"")</f>
        <v/>
      </c>
      <c r="R29">
        <f>IFERROR(IF(ISNUMBER(INDEX(SPPR!$E:$X,MATCH($A29,SPPR!$A:$A,0),15)),$C29*INDEX(SPPR!$E:$X,MATCH($A29,SPPR!$A:$A,0),15),""),"")</f>
        <v/>
      </c>
      <c r="S29">
        <f>IFERROR(IF(ISNUMBER(INDEX(SPPR!$E:$X,MATCH($A29,SPPR!$A:$A,0),16)),$C29*INDEX(SPPR!$E:$X,MATCH($A29,SPPR!$A:$A,0),16),""),"")</f>
        <v/>
      </c>
      <c r="T29">
        <f>IFERROR(IF(ISNUMBER(INDEX(SPPR!$E:$X,MATCH($A29,SPPR!$A:$A,0),17)),$C29*INDEX(SPPR!$E:$X,MATCH($A29,SPPR!$A:$A,0),17),""),"")</f>
        <v/>
      </c>
      <c r="U29">
        <f>IFERROR(IF(ISNUMBER(INDEX(SPPR!$E:$X,MATCH($A29,SPPR!$A:$A,0),18)),$C29*INDEX(SPPR!$E:$X,MATCH($A29,SPPR!$A:$A,0),18),""),"")</f>
        <v/>
      </c>
      <c r="V29">
        <f>IFERROR(IF(ISNUMBER(INDEX(SPPR!$E:$X,MATCH($A29,SPPR!$A:$A,0),19)),$C29*INDEX(SPPR!$E:$X,MATCH($A29,SPPR!$A:$A,0),19),""),"")</f>
        <v/>
      </c>
      <c r="W29">
        <f>IFERROR(IF(ISNUMBER(INDEX(SPPR!$E:$X,MATCH($A29,SPPR!$A:$A,0),20)),$C29*INDEX(SPPR!$E:$X,MATCH($A29,SPPR!$A:$A,0),20),""),"")</f>
        <v/>
      </c>
    </row>
    <row r="30">
      <c r="A30" t="inlineStr">
        <is>
          <t>Miscellaneous marine crustaceans</t>
        </is>
      </c>
      <c r="B30">
        <f>IFERROR(INDEX(SPPR!$D:$D,MATCH($A30,SPPR!$A:$A,0)),"")</f>
        <v/>
      </c>
      <c r="C30">
        <f>IFERROR(INDEX(Catch!$E:$BV,MATCH($A30,Catch!$A:$A,0),MATCH($B$4,Catch!$E$1:$BV$1,0)),0)</f>
        <v/>
      </c>
      <c r="D30">
        <f>IFERROR(IF(ISNUMBER(INDEX(SPPR!$E:$X,MATCH($A30,SPPR!$A:$A,0),1)),$C30*INDEX(SPPR!$E:$X,MATCH($A30,SPPR!$A:$A,0),1),""),"")</f>
        <v/>
      </c>
      <c r="E30">
        <f>IFERROR(IF(ISNUMBER(INDEX(SPPR!$E:$X,MATCH($A30,SPPR!$A:$A,0),2)),$C30*INDEX(SPPR!$E:$X,MATCH($A30,SPPR!$A:$A,0),2),""),"")</f>
        <v/>
      </c>
      <c r="F30">
        <f>IFERROR(IF(ISNUMBER(INDEX(SPPR!$E:$X,MATCH($A30,SPPR!$A:$A,0),3)),$C30*INDEX(SPPR!$E:$X,MATCH($A30,SPPR!$A:$A,0),3),""),"")</f>
        <v/>
      </c>
      <c r="G30">
        <f>IFERROR(IF(ISNUMBER(INDEX(SPPR!$E:$X,MATCH($A30,SPPR!$A:$A,0),4)),$C30*INDEX(SPPR!$E:$X,MATCH($A30,SPPR!$A:$A,0),4),""),"")</f>
        <v/>
      </c>
      <c r="H30">
        <f>IFERROR(IF(ISNUMBER(INDEX(SPPR!$E:$X,MATCH($A30,SPPR!$A:$A,0),5)),$C30*INDEX(SPPR!$E:$X,MATCH($A30,SPPR!$A:$A,0),5),""),"")</f>
        <v/>
      </c>
      <c r="I30">
        <f>IFERROR(IF(ISNUMBER(INDEX(SPPR!$E:$X,MATCH($A30,SPPR!$A:$A,0),6)),$C30*INDEX(SPPR!$E:$X,MATCH($A30,SPPR!$A:$A,0),6),""),"")</f>
        <v/>
      </c>
      <c r="J30">
        <f>IFERROR(IF(ISNUMBER(INDEX(SPPR!$E:$X,MATCH($A30,SPPR!$A:$A,0),7)),$C30*INDEX(SPPR!$E:$X,MATCH($A30,SPPR!$A:$A,0),7),""),"")</f>
        <v/>
      </c>
      <c r="K30">
        <f>IFERROR(IF(ISNUMBER(INDEX(SPPR!$E:$X,MATCH($A30,SPPR!$A:$A,0),8)),$C30*INDEX(SPPR!$E:$X,MATCH($A30,SPPR!$A:$A,0),8),""),"")</f>
        <v/>
      </c>
      <c r="L30">
        <f>IFERROR(IF(ISNUMBER(INDEX(SPPR!$E:$X,MATCH($A30,SPPR!$A:$A,0),9)),$C30*INDEX(SPPR!$E:$X,MATCH($A30,SPPR!$A:$A,0),9),""),"")</f>
        <v/>
      </c>
      <c r="M30">
        <f>IFERROR(IF(ISNUMBER(INDEX(SPPR!$E:$X,MATCH($A30,SPPR!$A:$A,0),10)),$C30*INDEX(SPPR!$E:$X,MATCH($A30,SPPR!$A:$A,0),10),""),"")</f>
        <v/>
      </c>
      <c r="N30">
        <f>IFERROR(IF(ISNUMBER(INDEX(SPPR!$E:$X,MATCH($A30,SPPR!$A:$A,0),11)),$C30*INDEX(SPPR!$E:$X,MATCH($A30,SPPR!$A:$A,0),11),""),"")</f>
        <v/>
      </c>
      <c r="O30">
        <f>IFERROR(IF(ISNUMBER(INDEX(SPPR!$E:$X,MATCH($A30,SPPR!$A:$A,0),12)),$C30*INDEX(SPPR!$E:$X,MATCH($A30,SPPR!$A:$A,0),12),""),"")</f>
        <v/>
      </c>
      <c r="P30">
        <f>IFERROR(IF(ISNUMBER(INDEX(SPPR!$E:$X,MATCH($A30,SPPR!$A:$A,0),13)),$C30*INDEX(SPPR!$E:$X,MATCH($A30,SPPR!$A:$A,0),13),""),"")</f>
        <v/>
      </c>
      <c r="Q30">
        <f>IFERROR(IF(ISNUMBER(INDEX(SPPR!$E:$X,MATCH($A30,SPPR!$A:$A,0),14)),$C30*INDEX(SPPR!$E:$X,MATCH($A30,SPPR!$A:$A,0),14),""),"")</f>
        <v/>
      </c>
      <c r="R30">
        <f>IFERROR(IF(ISNUMBER(INDEX(SPPR!$E:$X,MATCH($A30,SPPR!$A:$A,0),15)),$C30*INDEX(SPPR!$E:$X,MATCH($A30,SPPR!$A:$A,0),15),""),"")</f>
        <v/>
      </c>
      <c r="S30">
        <f>IFERROR(IF(ISNUMBER(INDEX(SPPR!$E:$X,MATCH($A30,SPPR!$A:$A,0),16)),$C30*INDEX(SPPR!$E:$X,MATCH($A30,SPPR!$A:$A,0),16),""),"")</f>
        <v/>
      </c>
      <c r="T30">
        <f>IFERROR(IF(ISNUMBER(INDEX(SPPR!$E:$X,MATCH($A30,SPPR!$A:$A,0),17)),$C30*INDEX(SPPR!$E:$X,MATCH($A30,SPPR!$A:$A,0),17),""),"")</f>
        <v/>
      </c>
      <c r="U30">
        <f>IFERROR(IF(ISNUMBER(INDEX(SPPR!$E:$X,MATCH($A30,SPPR!$A:$A,0),18)),$C30*INDEX(SPPR!$E:$X,MATCH($A30,SPPR!$A:$A,0),18),""),"")</f>
        <v/>
      </c>
      <c r="V30">
        <f>IFERROR(IF(ISNUMBER(INDEX(SPPR!$E:$X,MATCH($A30,SPPR!$A:$A,0),19)),$C30*INDEX(SPPR!$E:$X,MATCH($A30,SPPR!$A:$A,0),19),""),"")</f>
        <v/>
      </c>
      <c r="W30">
        <f>IFERROR(IF(ISNUMBER(INDEX(SPPR!$E:$X,MATCH($A30,SPPR!$A:$A,0),20)),$C30*INDEX(SPPR!$E:$X,MATCH($A30,SPPR!$A:$A,0),20),""),"")</f>
        <v/>
      </c>
    </row>
    <row r="31">
      <c r="A31" t="inlineStr">
        <is>
          <t>Scomber japonicus</t>
        </is>
      </c>
      <c r="B31">
        <f>IFERROR(INDEX(SPPR!$D:$D,MATCH($A31,SPPR!$A:$A,0)),"")</f>
        <v/>
      </c>
      <c r="C31">
        <f>IFERROR(INDEX(Catch!$E:$BV,MATCH($A31,Catch!$A:$A,0),MATCH($B$4,Catch!$E$1:$BV$1,0)),0)</f>
        <v/>
      </c>
      <c r="D31">
        <f>IFERROR(IF(ISNUMBER(INDEX(SPPR!$E:$X,MATCH($A31,SPPR!$A:$A,0),1)),$C31*INDEX(SPPR!$E:$X,MATCH($A31,SPPR!$A:$A,0),1),""),"")</f>
        <v/>
      </c>
      <c r="E31">
        <f>IFERROR(IF(ISNUMBER(INDEX(SPPR!$E:$X,MATCH($A31,SPPR!$A:$A,0),2)),$C31*INDEX(SPPR!$E:$X,MATCH($A31,SPPR!$A:$A,0),2),""),"")</f>
        <v/>
      </c>
      <c r="F31">
        <f>IFERROR(IF(ISNUMBER(INDEX(SPPR!$E:$X,MATCH($A31,SPPR!$A:$A,0),3)),$C31*INDEX(SPPR!$E:$X,MATCH($A31,SPPR!$A:$A,0),3),""),"")</f>
        <v/>
      </c>
      <c r="G31">
        <f>IFERROR(IF(ISNUMBER(INDEX(SPPR!$E:$X,MATCH($A31,SPPR!$A:$A,0),4)),$C31*INDEX(SPPR!$E:$X,MATCH($A31,SPPR!$A:$A,0),4),""),"")</f>
        <v/>
      </c>
      <c r="H31">
        <f>IFERROR(IF(ISNUMBER(INDEX(SPPR!$E:$X,MATCH($A31,SPPR!$A:$A,0),5)),$C31*INDEX(SPPR!$E:$X,MATCH($A31,SPPR!$A:$A,0),5),""),"")</f>
        <v/>
      </c>
      <c r="I31">
        <f>IFERROR(IF(ISNUMBER(INDEX(SPPR!$E:$X,MATCH($A31,SPPR!$A:$A,0),6)),$C31*INDEX(SPPR!$E:$X,MATCH($A31,SPPR!$A:$A,0),6),""),"")</f>
        <v/>
      </c>
      <c r="J31">
        <f>IFERROR(IF(ISNUMBER(INDEX(SPPR!$E:$X,MATCH($A31,SPPR!$A:$A,0),7)),$C31*INDEX(SPPR!$E:$X,MATCH($A31,SPPR!$A:$A,0),7),""),"")</f>
        <v/>
      </c>
      <c r="K31">
        <f>IFERROR(IF(ISNUMBER(INDEX(SPPR!$E:$X,MATCH($A31,SPPR!$A:$A,0),8)),$C31*INDEX(SPPR!$E:$X,MATCH($A31,SPPR!$A:$A,0),8),""),"")</f>
        <v/>
      </c>
      <c r="L31">
        <f>IFERROR(IF(ISNUMBER(INDEX(SPPR!$E:$X,MATCH($A31,SPPR!$A:$A,0),9)),$C31*INDEX(SPPR!$E:$X,MATCH($A31,SPPR!$A:$A,0),9),""),"")</f>
        <v/>
      </c>
      <c r="M31">
        <f>IFERROR(IF(ISNUMBER(INDEX(SPPR!$E:$X,MATCH($A31,SPPR!$A:$A,0),10)),$C31*INDEX(SPPR!$E:$X,MATCH($A31,SPPR!$A:$A,0),10),""),"")</f>
        <v/>
      </c>
      <c r="N31">
        <f>IFERROR(IF(ISNUMBER(INDEX(SPPR!$E:$X,MATCH($A31,SPPR!$A:$A,0),11)),$C31*INDEX(SPPR!$E:$X,MATCH($A31,SPPR!$A:$A,0),11),""),"")</f>
        <v/>
      </c>
      <c r="O31">
        <f>IFERROR(IF(ISNUMBER(INDEX(SPPR!$E:$X,MATCH($A31,SPPR!$A:$A,0),12)),$C31*INDEX(SPPR!$E:$X,MATCH($A31,SPPR!$A:$A,0),12),""),"")</f>
        <v/>
      </c>
      <c r="P31">
        <f>IFERROR(IF(ISNUMBER(INDEX(SPPR!$E:$X,MATCH($A31,SPPR!$A:$A,0),13)),$C31*INDEX(SPPR!$E:$X,MATCH($A31,SPPR!$A:$A,0),13),""),"")</f>
        <v/>
      </c>
      <c r="Q31">
        <f>IFERROR(IF(ISNUMBER(INDEX(SPPR!$E:$X,MATCH($A31,SPPR!$A:$A,0),14)),$C31*INDEX(SPPR!$E:$X,MATCH($A31,SPPR!$A:$A,0),14),""),"")</f>
        <v/>
      </c>
      <c r="R31">
        <f>IFERROR(IF(ISNUMBER(INDEX(SPPR!$E:$X,MATCH($A31,SPPR!$A:$A,0),15)),$C31*INDEX(SPPR!$E:$X,MATCH($A31,SPPR!$A:$A,0),15),""),"")</f>
        <v/>
      </c>
      <c r="S31">
        <f>IFERROR(IF(ISNUMBER(INDEX(SPPR!$E:$X,MATCH($A31,SPPR!$A:$A,0),16)),$C31*INDEX(SPPR!$E:$X,MATCH($A31,SPPR!$A:$A,0),16),""),"")</f>
        <v/>
      </c>
      <c r="T31">
        <f>IFERROR(IF(ISNUMBER(INDEX(SPPR!$E:$X,MATCH($A31,SPPR!$A:$A,0),17)),$C31*INDEX(SPPR!$E:$X,MATCH($A31,SPPR!$A:$A,0),17),""),"")</f>
        <v/>
      </c>
      <c r="U31">
        <f>IFERROR(IF(ISNUMBER(INDEX(SPPR!$E:$X,MATCH($A31,SPPR!$A:$A,0),18)),$C31*INDEX(SPPR!$E:$X,MATCH($A31,SPPR!$A:$A,0),18),""),"")</f>
        <v/>
      </c>
      <c r="V31">
        <f>IFERROR(IF(ISNUMBER(INDEX(SPPR!$E:$X,MATCH($A31,SPPR!$A:$A,0),19)),$C31*INDEX(SPPR!$E:$X,MATCH($A31,SPPR!$A:$A,0),19),""),"")</f>
        <v/>
      </c>
      <c r="W31">
        <f>IFERROR(IF(ISNUMBER(INDEX(SPPR!$E:$X,MATCH($A31,SPPR!$A:$A,0),20)),$C31*INDEX(SPPR!$E:$X,MATCH($A31,SPPR!$A:$A,0),20),""),"")</f>
        <v/>
      </c>
    </row>
    <row r="32">
      <c r="A32" t="inlineStr">
        <is>
          <t>Pectinidae</t>
        </is>
      </c>
      <c r="B32">
        <f>IFERROR(INDEX(SPPR!$D:$D,MATCH($A32,SPPR!$A:$A,0)),"")</f>
        <v/>
      </c>
      <c r="C32">
        <f>IFERROR(INDEX(Catch!$E:$BV,MATCH($A32,Catch!$A:$A,0),MATCH($B$4,Catch!$E$1:$BV$1,0)),0)</f>
        <v/>
      </c>
      <c r="D32">
        <f>IFERROR(IF(ISNUMBER(INDEX(SPPR!$E:$X,MATCH($A32,SPPR!$A:$A,0),1)),$C32*INDEX(SPPR!$E:$X,MATCH($A32,SPPR!$A:$A,0),1),""),"")</f>
        <v/>
      </c>
      <c r="E32">
        <f>IFERROR(IF(ISNUMBER(INDEX(SPPR!$E:$X,MATCH($A32,SPPR!$A:$A,0),2)),$C32*INDEX(SPPR!$E:$X,MATCH($A32,SPPR!$A:$A,0),2),""),"")</f>
        <v/>
      </c>
      <c r="F32">
        <f>IFERROR(IF(ISNUMBER(INDEX(SPPR!$E:$X,MATCH($A32,SPPR!$A:$A,0),3)),$C32*INDEX(SPPR!$E:$X,MATCH($A32,SPPR!$A:$A,0),3),""),"")</f>
        <v/>
      </c>
      <c r="G32">
        <f>IFERROR(IF(ISNUMBER(INDEX(SPPR!$E:$X,MATCH($A32,SPPR!$A:$A,0),4)),$C32*INDEX(SPPR!$E:$X,MATCH($A32,SPPR!$A:$A,0),4),""),"")</f>
        <v/>
      </c>
      <c r="H32">
        <f>IFERROR(IF(ISNUMBER(INDEX(SPPR!$E:$X,MATCH($A32,SPPR!$A:$A,0),5)),$C32*INDEX(SPPR!$E:$X,MATCH($A32,SPPR!$A:$A,0),5),""),"")</f>
        <v/>
      </c>
      <c r="I32">
        <f>IFERROR(IF(ISNUMBER(INDEX(SPPR!$E:$X,MATCH($A32,SPPR!$A:$A,0),6)),$C32*INDEX(SPPR!$E:$X,MATCH($A32,SPPR!$A:$A,0),6),""),"")</f>
        <v/>
      </c>
      <c r="J32">
        <f>IFERROR(IF(ISNUMBER(INDEX(SPPR!$E:$X,MATCH($A32,SPPR!$A:$A,0),7)),$C32*INDEX(SPPR!$E:$X,MATCH($A32,SPPR!$A:$A,0),7),""),"")</f>
        <v/>
      </c>
      <c r="K32">
        <f>IFERROR(IF(ISNUMBER(INDEX(SPPR!$E:$X,MATCH($A32,SPPR!$A:$A,0),8)),$C32*INDEX(SPPR!$E:$X,MATCH($A32,SPPR!$A:$A,0),8),""),"")</f>
        <v/>
      </c>
      <c r="L32">
        <f>IFERROR(IF(ISNUMBER(INDEX(SPPR!$E:$X,MATCH($A32,SPPR!$A:$A,0),9)),$C32*INDEX(SPPR!$E:$X,MATCH($A32,SPPR!$A:$A,0),9),""),"")</f>
        <v/>
      </c>
      <c r="M32">
        <f>IFERROR(IF(ISNUMBER(INDEX(SPPR!$E:$X,MATCH($A32,SPPR!$A:$A,0),10)),$C32*INDEX(SPPR!$E:$X,MATCH($A32,SPPR!$A:$A,0),10),""),"")</f>
        <v/>
      </c>
      <c r="N32">
        <f>IFERROR(IF(ISNUMBER(INDEX(SPPR!$E:$X,MATCH($A32,SPPR!$A:$A,0),11)),$C32*INDEX(SPPR!$E:$X,MATCH($A32,SPPR!$A:$A,0),11),""),"")</f>
        <v/>
      </c>
      <c r="O32">
        <f>IFERROR(IF(ISNUMBER(INDEX(SPPR!$E:$X,MATCH($A32,SPPR!$A:$A,0),12)),$C32*INDEX(SPPR!$E:$X,MATCH($A32,SPPR!$A:$A,0),12),""),"")</f>
        <v/>
      </c>
      <c r="P32">
        <f>IFERROR(IF(ISNUMBER(INDEX(SPPR!$E:$X,MATCH($A32,SPPR!$A:$A,0),13)),$C32*INDEX(SPPR!$E:$X,MATCH($A32,SPPR!$A:$A,0),13),""),"")</f>
        <v/>
      </c>
      <c r="Q32">
        <f>IFERROR(IF(ISNUMBER(INDEX(SPPR!$E:$X,MATCH($A32,SPPR!$A:$A,0),14)),$C32*INDEX(SPPR!$E:$X,MATCH($A32,SPPR!$A:$A,0),14),""),"")</f>
        <v/>
      </c>
      <c r="R32">
        <f>IFERROR(IF(ISNUMBER(INDEX(SPPR!$E:$X,MATCH($A32,SPPR!$A:$A,0),15)),$C32*INDEX(SPPR!$E:$X,MATCH($A32,SPPR!$A:$A,0),15),""),"")</f>
        <v/>
      </c>
      <c r="S32">
        <f>IFERROR(IF(ISNUMBER(INDEX(SPPR!$E:$X,MATCH($A32,SPPR!$A:$A,0),16)),$C32*INDEX(SPPR!$E:$X,MATCH($A32,SPPR!$A:$A,0),16),""),"")</f>
        <v/>
      </c>
      <c r="T32">
        <f>IFERROR(IF(ISNUMBER(INDEX(SPPR!$E:$X,MATCH($A32,SPPR!$A:$A,0),17)),$C32*INDEX(SPPR!$E:$X,MATCH($A32,SPPR!$A:$A,0),17),""),"")</f>
        <v/>
      </c>
      <c r="U32">
        <f>IFERROR(IF(ISNUMBER(INDEX(SPPR!$E:$X,MATCH($A32,SPPR!$A:$A,0),18)),$C32*INDEX(SPPR!$E:$X,MATCH($A32,SPPR!$A:$A,0),18),""),"")</f>
        <v/>
      </c>
      <c r="V32">
        <f>IFERROR(IF(ISNUMBER(INDEX(SPPR!$E:$X,MATCH($A32,SPPR!$A:$A,0),19)),$C32*INDEX(SPPR!$E:$X,MATCH($A32,SPPR!$A:$A,0),19),""),"")</f>
        <v/>
      </c>
      <c r="W32">
        <f>IFERROR(IF(ISNUMBER(INDEX(SPPR!$E:$X,MATCH($A32,SPPR!$A:$A,0),20)),$C32*INDEX(SPPR!$E:$X,MATCH($A32,SPPR!$A:$A,0),20),""),"")</f>
        <v/>
      </c>
    </row>
    <row r="33">
      <c r="A33" t="inlineStr">
        <is>
          <t>Moridae</t>
        </is>
      </c>
      <c r="B33">
        <f>IFERROR(INDEX(SPPR!$D:$D,MATCH($A33,SPPR!$A:$A,0)),"")</f>
        <v/>
      </c>
      <c r="C33">
        <f>IFERROR(INDEX(Catch!$E:$BV,MATCH($A33,Catch!$A:$A,0),MATCH($B$4,Catch!$E$1:$BV$1,0)),0)</f>
        <v/>
      </c>
      <c r="D33">
        <f>IFERROR(IF(ISNUMBER(INDEX(SPPR!$E:$X,MATCH($A33,SPPR!$A:$A,0),1)),$C33*INDEX(SPPR!$E:$X,MATCH($A33,SPPR!$A:$A,0),1),""),"")</f>
        <v/>
      </c>
      <c r="E33">
        <f>IFERROR(IF(ISNUMBER(INDEX(SPPR!$E:$X,MATCH($A33,SPPR!$A:$A,0),2)),$C33*INDEX(SPPR!$E:$X,MATCH($A33,SPPR!$A:$A,0),2),""),"")</f>
        <v/>
      </c>
      <c r="F33">
        <f>IFERROR(IF(ISNUMBER(INDEX(SPPR!$E:$X,MATCH($A33,SPPR!$A:$A,0),3)),$C33*INDEX(SPPR!$E:$X,MATCH($A33,SPPR!$A:$A,0),3),""),"")</f>
        <v/>
      </c>
      <c r="G33">
        <f>IFERROR(IF(ISNUMBER(INDEX(SPPR!$E:$X,MATCH($A33,SPPR!$A:$A,0),4)),$C33*INDEX(SPPR!$E:$X,MATCH($A33,SPPR!$A:$A,0),4),""),"")</f>
        <v/>
      </c>
      <c r="H33">
        <f>IFERROR(IF(ISNUMBER(INDEX(SPPR!$E:$X,MATCH($A33,SPPR!$A:$A,0),5)),$C33*INDEX(SPPR!$E:$X,MATCH($A33,SPPR!$A:$A,0),5),""),"")</f>
        <v/>
      </c>
      <c r="I33">
        <f>IFERROR(IF(ISNUMBER(INDEX(SPPR!$E:$X,MATCH($A33,SPPR!$A:$A,0),6)),$C33*INDEX(SPPR!$E:$X,MATCH($A33,SPPR!$A:$A,0),6),""),"")</f>
        <v/>
      </c>
      <c r="J33">
        <f>IFERROR(IF(ISNUMBER(INDEX(SPPR!$E:$X,MATCH($A33,SPPR!$A:$A,0),7)),$C33*INDEX(SPPR!$E:$X,MATCH($A33,SPPR!$A:$A,0),7),""),"")</f>
        <v/>
      </c>
      <c r="K33">
        <f>IFERROR(IF(ISNUMBER(INDEX(SPPR!$E:$X,MATCH($A33,SPPR!$A:$A,0),8)),$C33*INDEX(SPPR!$E:$X,MATCH($A33,SPPR!$A:$A,0),8),""),"")</f>
        <v/>
      </c>
      <c r="L33">
        <f>IFERROR(IF(ISNUMBER(INDEX(SPPR!$E:$X,MATCH($A33,SPPR!$A:$A,0),9)),$C33*INDEX(SPPR!$E:$X,MATCH($A33,SPPR!$A:$A,0),9),""),"")</f>
        <v/>
      </c>
      <c r="M33">
        <f>IFERROR(IF(ISNUMBER(INDEX(SPPR!$E:$X,MATCH($A33,SPPR!$A:$A,0),10)),$C33*INDEX(SPPR!$E:$X,MATCH($A33,SPPR!$A:$A,0),10),""),"")</f>
        <v/>
      </c>
      <c r="N33">
        <f>IFERROR(IF(ISNUMBER(INDEX(SPPR!$E:$X,MATCH($A33,SPPR!$A:$A,0),11)),$C33*INDEX(SPPR!$E:$X,MATCH($A33,SPPR!$A:$A,0),11),""),"")</f>
        <v/>
      </c>
      <c r="O33">
        <f>IFERROR(IF(ISNUMBER(INDEX(SPPR!$E:$X,MATCH($A33,SPPR!$A:$A,0),12)),$C33*INDEX(SPPR!$E:$X,MATCH($A33,SPPR!$A:$A,0),12),""),"")</f>
        <v/>
      </c>
      <c r="P33">
        <f>IFERROR(IF(ISNUMBER(INDEX(SPPR!$E:$X,MATCH($A33,SPPR!$A:$A,0),13)),$C33*INDEX(SPPR!$E:$X,MATCH($A33,SPPR!$A:$A,0),13),""),"")</f>
        <v/>
      </c>
      <c r="Q33">
        <f>IFERROR(IF(ISNUMBER(INDEX(SPPR!$E:$X,MATCH($A33,SPPR!$A:$A,0),14)),$C33*INDEX(SPPR!$E:$X,MATCH($A33,SPPR!$A:$A,0),14),""),"")</f>
        <v/>
      </c>
      <c r="R33">
        <f>IFERROR(IF(ISNUMBER(INDEX(SPPR!$E:$X,MATCH($A33,SPPR!$A:$A,0),15)),$C33*INDEX(SPPR!$E:$X,MATCH($A33,SPPR!$A:$A,0),15),""),"")</f>
        <v/>
      </c>
      <c r="S33">
        <f>IFERROR(IF(ISNUMBER(INDEX(SPPR!$E:$X,MATCH($A33,SPPR!$A:$A,0),16)),$C33*INDEX(SPPR!$E:$X,MATCH($A33,SPPR!$A:$A,0),16),""),"")</f>
        <v/>
      </c>
      <c r="T33">
        <f>IFERROR(IF(ISNUMBER(INDEX(SPPR!$E:$X,MATCH($A33,SPPR!$A:$A,0),17)),$C33*INDEX(SPPR!$E:$X,MATCH($A33,SPPR!$A:$A,0),17),""),"")</f>
        <v/>
      </c>
      <c r="U33">
        <f>IFERROR(IF(ISNUMBER(INDEX(SPPR!$E:$X,MATCH($A33,SPPR!$A:$A,0),18)),$C33*INDEX(SPPR!$E:$X,MATCH($A33,SPPR!$A:$A,0),18),""),"")</f>
        <v/>
      </c>
      <c r="V33">
        <f>IFERROR(IF(ISNUMBER(INDEX(SPPR!$E:$X,MATCH($A33,SPPR!$A:$A,0),19)),$C33*INDEX(SPPR!$E:$X,MATCH($A33,SPPR!$A:$A,0),19),""),"")</f>
        <v/>
      </c>
      <c r="W33">
        <f>IFERROR(IF(ISNUMBER(INDEX(SPPR!$E:$X,MATCH($A33,SPPR!$A:$A,0),20)),$C33*INDEX(SPPR!$E:$X,MATCH($A33,SPPR!$A:$A,0),20),""),"")</f>
        <v/>
      </c>
    </row>
    <row r="34">
      <c r="A34" t="inlineStr">
        <is>
          <t>Engraulis japonicus</t>
        </is>
      </c>
      <c r="B34">
        <f>IFERROR(INDEX(SPPR!$D:$D,MATCH($A34,SPPR!$A:$A,0)),"")</f>
        <v/>
      </c>
      <c r="C34">
        <f>IFERROR(INDEX(Catch!$E:$BV,MATCH($A34,Catch!$A:$A,0),MATCH($B$4,Catch!$E$1:$BV$1,0)),0)</f>
        <v/>
      </c>
      <c r="D34">
        <f>IFERROR(IF(ISNUMBER(INDEX(SPPR!$E:$X,MATCH($A34,SPPR!$A:$A,0),1)),$C34*INDEX(SPPR!$E:$X,MATCH($A34,SPPR!$A:$A,0),1),""),"")</f>
        <v/>
      </c>
      <c r="E34">
        <f>IFERROR(IF(ISNUMBER(INDEX(SPPR!$E:$X,MATCH($A34,SPPR!$A:$A,0),2)),$C34*INDEX(SPPR!$E:$X,MATCH($A34,SPPR!$A:$A,0),2),""),"")</f>
        <v/>
      </c>
      <c r="F34">
        <f>IFERROR(IF(ISNUMBER(INDEX(SPPR!$E:$X,MATCH($A34,SPPR!$A:$A,0),3)),$C34*INDEX(SPPR!$E:$X,MATCH($A34,SPPR!$A:$A,0),3),""),"")</f>
        <v/>
      </c>
      <c r="G34">
        <f>IFERROR(IF(ISNUMBER(INDEX(SPPR!$E:$X,MATCH($A34,SPPR!$A:$A,0),4)),$C34*INDEX(SPPR!$E:$X,MATCH($A34,SPPR!$A:$A,0),4),""),"")</f>
        <v/>
      </c>
      <c r="H34">
        <f>IFERROR(IF(ISNUMBER(INDEX(SPPR!$E:$X,MATCH($A34,SPPR!$A:$A,0),5)),$C34*INDEX(SPPR!$E:$X,MATCH($A34,SPPR!$A:$A,0),5),""),"")</f>
        <v/>
      </c>
      <c r="I34">
        <f>IFERROR(IF(ISNUMBER(INDEX(SPPR!$E:$X,MATCH($A34,SPPR!$A:$A,0),6)),$C34*INDEX(SPPR!$E:$X,MATCH($A34,SPPR!$A:$A,0),6),""),"")</f>
        <v/>
      </c>
      <c r="J34">
        <f>IFERROR(IF(ISNUMBER(INDEX(SPPR!$E:$X,MATCH($A34,SPPR!$A:$A,0),7)),$C34*INDEX(SPPR!$E:$X,MATCH($A34,SPPR!$A:$A,0),7),""),"")</f>
        <v/>
      </c>
      <c r="K34">
        <f>IFERROR(IF(ISNUMBER(INDEX(SPPR!$E:$X,MATCH($A34,SPPR!$A:$A,0),8)),$C34*INDEX(SPPR!$E:$X,MATCH($A34,SPPR!$A:$A,0),8),""),"")</f>
        <v/>
      </c>
      <c r="L34">
        <f>IFERROR(IF(ISNUMBER(INDEX(SPPR!$E:$X,MATCH($A34,SPPR!$A:$A,0),9)),$C34*INDEX(SPPR!$E:$X,MATCH($A34,SPPR!$A:$A,0),9),""),"")</f>
        <v/>
      </c>
      <c r="M34">
        <f>IFERROR(IF(ISNUMBER(INDEX(SPPR!$E:$X,MATCH($A34,SPPR!$A:$A,0),10)),$C34*INDEX(SPPR!$E:$X,MATCH($A34,SPPR!$A:$A,0),10),""),"")</f>
        <v/>
      </c>
      <c r="N34">
        <f>IFERROR(IF(ISNUMBER(INDEX(SPPR!$E:$X,MATCH($A34,SPPR!$A:$A,0),11)),$C34*INDEX(SPPR!$E:$X,MATCH($A34,SPPR!$A:$A,0),11),""),"")</f>
        <v/>
      </c>
      <c r="O34">
        <f>IFERROR(IF(ISNUMBER(INDEX(SPPR!$E:$X,MATCH($A34,SPPR!$A:$A,0),12)),$C34*INDEX(SPPR!$E:$X,MATCH($A34,SPPR!$A:$A,0),12),""),"")</f>
        <v/>
      </c>
      <c r="P34">
        <f>IFERROR(IF(ISNUMBER(INDEX(SPPR!$E:$X,MATCH($A34,SPPR!$A:$A,0),13)),$C34*INDEX(SPPR!$E:$X,MATCH($A34,SPPR!$A:$A,0),13),""),"")</f>
        <v/>
      </c>
      <c r="Q34">
        <f>IFERROR(IF(ISNUMBER(INDEX(SPPR!$E:$X,MATCH($A34,SPPR!$A:$A,0),14)),$C34*INDEX(SPPR!$E:$X,MATCH($A34,SPPR!$A:$A,0),14),""),"")</f>
        <v/>
      </c>
      <c r="R34">
        <f>IFERROR(IF(ISNUMBER(INDEX(SPPR!$E:$X,MATCH($A34,SPPR!$A:$A,0),15)),$C34*INDEX(SPPR!$E:$X,MATCH($A34,SPPR!$A:$A,0),15),""),"")</f>
        <v/>
      </c>
      <c r="S34">
        <f>IFERROR(IF(ISNUMBER(INDEX(SPPR!$E:$X,MATCH($A34,SPPR!$A:$A,0),16)),$C34*INDEX(SPPR!$E:$X,MATCH($A34,SPPR!$A:$A,0),16),""),"")</f>
        <v/>
      </c>
      <c r="T34">
        <f>IFERROR(IF(ISNUMBER(INDEX(SPPR!$E:$X,MATCH($A34,SPPR!$A:$A,0),17)),$C34*INDEX(SPPR!$E:$X,MATCH($A34,SPPR!$A:$A,0),17),""),"")</f>
        <v/>
      </c>
      <c r="U34">
        <f>IFERROR(IF(ISNUMBER(INDEX(SPPR!$E:$X,MATCH($A34,SPPR!$A:$A,0),18)),$C34*INDEX(SPPR!$E:$X,MATCH($A34,SPPR!$A:$A,0),18),""),"")</f>
        <v/>
      </c>
      <c r="V34">
        <f>IFERROR(IF(ISNUMBER(INDEX(SPPR!$E:$X,MATCH($A34,SPPR!$A:$A,0),19)),$C34*INDEX(SPPR!$E:$X,MATCH($A34,SPPR!$A:$A,0),19),""),"")</f>
        <v/>
      </c>
      <c r="W34">
        <f>IFERROR(IF(ISNUMBER(INDEX(SPPR!$E:$X,MATCH($A34,SPPR!$A:$A,0),20)),$C34*INDEX(SPPR!$E:$X,MATCH($A34,SPPR!$A:$A,0),20),""),"")</f>
        <v/>
      </c>
    </row>
    <row r="35">
      <c r="A35" t="inlineStr">
        <is>
          <t>Laemonema longipes</t>
        </is>
      </c>
      <c r="B35">
        <f>IFERROR(INDEX(SPPR!$D:$D,MATCH($A35,SPPR!$A:$A,0)),"")</f>
        <v/>
      </c>
      <c r="C35">
        <f>IFERROR(INDEX(Catch!$E:$BV,MATCH($A35,Catch!$A:$A,0),MATCH($B$4,Catch!$E$1:$BV$1,0)),0)</f>
        <v/>
      </c>
      <c r="D35">
        <f>IFERROR(IF(ISNUMBER(INDEX(SPPR!$E:$X,MATCH($A35,SPPR!$A:$A,0),1)),$C35*INDEX(SPPR!$E:$X,MATCH($A35,SPPR!$A:$A,0),1),""),"")</f>
        <v/>
      </c>
      <c r="E35">
        <f>IFERROR(IF(ISNUMBER(INDEX(SPPR!$E:$X,MATCH($A35,SPPR!$A:$A,0),2)),$C35*INDEX(SPPR!$E:$X,MATCH($A35,SPPR!$A:$A,0),2),""),"")</f>
        <v/>
      </c>
      <c r="F35">
        <f>IFERROR(IF(ISNUMBER(INDEX(SPPR!$E:$X,MATCH($A35,SPPR!$A:$A,0),3)),$C35*INDEX(SPPR!$E:$X,MATCH($A35,SPPR!$A:$A,0),3),""),"")</f>
        <v/>
      </c>
      <c r="G35">
        <f>IFERROR(IF(ISNUMBER(INDEX(SPPR!$E:$X,MATCH($A35,SPPR!$A:$A,0),4)),$C35*INDEX(SPPR!$E:$X,MATCH($A35,SPPR!$A:$A,0),4),""),"")</f>
        <v/>
      </c>
      <c r="H35">
        <f>IFERROR(IF(ISNUMBER(INDEX(SPPR!$E:$X,MATCH($A35,SPPR!$A:$A,0),5)),$C35*INDEX(SPPR!$E:$X,MATCH($A35,SPPR!$A:$A,0),5),""),"")</f>
        <v/>
      </c>
      <c r="I35">
        <f>IFERROR(IF(ISNUMBER(INDEX(SPPR!$E:$X,MATCH($A35,SPPR!$A:$A,0),6)),$C35*INDEX(SPPR!$E:$X,MATCH($A35,SPPR!$A:$A,0),6),""),"")</f>
        <v/>
      </c>
      <c r="J35">
        <f>IFERROR(IF(ISNUMBER(INDEX(SPPR!$E:$X,MATCH($A35,SPPR!$A:$A,0),7)),$C35*INDEX(SPPR!$E:$X,MATCH($A35,SPPR!$A:$A,0),7),""),"")</f>
        <v/>
      </c>
      <c r="K35">
        <f>IFERROR(IF(ISNUMBER(INDEX(SPPR!$E:$X,MATCH($A35,SPPR!$A:$A,0),8)),$C35*INDEX(SPPR!$E:$X,MATCH($A35,SPPR!$A:$A,0),8),""),"")</f>
        <v/>
      </c>
      <c r="L35">
        <f>IFERROR(IF(ISNUMBER(INDEX(SPPR!$E:$X,MATCH($A35,SPPR!$A:$A,0),9)),$C35*INDEX(SPPR!$E:$X,MATCH($A35,SPPR!$A:$A,0),9),""),"")</f>
        <v/>
      </c>
      <c r="M35">
        <f>IFERROR(IF(ISNUMBER(INDEX(SPPR!$E:$X,MATCH($A35,SPPR!$A:$A,0),10)),$C35*INDEX(SPPR!$E:$X,MATCH($A35,SPPR!$A:$A,0),10),""),"")</f>
        <v/>
      </c>
      <c r="N35">
        <f>IFERROR(IF(ISNUMBER(INDEX(SPPR!$E:$X,MATCH($A35,SPPR!$A:$A,0),11)),$C35*INDEX(SPPR!$E:$X,MATCH($A35,SPPR!$A:$A,0),11),""),"")</f>
        <v/>
      </c>
      <c r="O35">
        <f>IFERROR(IF(ISNUMBER(INDEX(SPPR!$E:$X,MATCH($A35,SPPR!$A:$A,0),12)),$C35*INDEX(SPPR!$E:$X,MATCH($A35,SPPR!$A:$A,0),12),""),"")</f>
        <v/>
      </c>
      <c r="P35">
        <f>IFERROR(IF(ISNUMBER(INDEX(SPPR!$E:$X,MATCH($A35,SPPR!$A:$A,0),13)),$C35*INDEX(SPPR!$E:$X,MATCH($A35,SPPR!$A:$A,0),13),""),"")</f>
        <v/>
      </c>
      <c r="Q35">
        <f>IFERROR(IF(ISNUMBER(INDEX(SPPR!$E:$X,MATCH($A35,SPPR!$A:$A,0),14)),$C35*INDEX(SPPR!$E:$X,MATCH($A35,SPPR!$A:$A,0),14),""),"")</f>
        <v/>
      </c>
      <c r="R35">
        <f>IFERROR(IF(ISNUMBER(INDEX(SPPR!$E:$X,MATCH($A35,SPPR!$A:$A,0),15)),$C35*INDEX(SPPR!$E:$X,MATCH($A35,SPPR!$A:$A,0),15),""),"")</f>
        <v/>
      </c>
      <c r="S35">
        <f>IFERROR(IF(ISNUMBER(INDEX(SPPR!$E:$X,MATCH($A35,SPPR!$A:$A,0),16)),$C35*INDEX(SPPR!$E:$X,MATCH($A35,SPPR!$A:$A,0),16),""),"")</f>
        <v/>
      </c>
      <c r="T35">
        <f>IFERROR(IF(ISNUMBER(INDEX(SPPR!$E:$X,MATCH($A35,SPPR!$A:$A,0),17)),$C35*INDEX(SPPR!$E:$X,MATCH($A35,SPPR!$A:$A,0),17),""),"")</f>
        <v/>
      </c>
      <c r="U35">
        <f>IFERROR(IF(ISNUMBER(INDEX(SPPR!$E:$X,MATCH($A35,SPPR!$A:$A,0),18)),$C35*INDEX(SPPR!$E:$X,MATCH($A35,SPPR!$A:$A,0),18),""),"")</f>
        <v/>
      </c>
      <c r="V35">
        <f>IFERROR(IF(ISNUMBER(INDEX(SPPR!$E:$X,MATCH($A35,SPPR!$A:$A,0),19)),$C35*INDEX(SPPR!$E:$X,MATCH($A35,SPPR!$A:$A,0),19),""),"")</f>
        <v/>
      </c>
      <c r="W35">
        <f>IFERROR(IF(ISNUMBER(INDEX(SPPR!$E:$X,MATCH($A35,SPPR!$A:$A,0),20)),$C35*INDEX(SPPR!$E:$X,MATCH($A35,SPPR!$A:$A,0),20),""),"")</f>
        <v/>
      </c>
    </row>
    <row r="36">
      <c r="A36" t="inlineStr">
        <is>
          <t>Chionoecetes</t>
        </is>
      </c>
      <c r="B36">
        <f>IFERROR(INDEX(SPPR!$D:$D,MATCH($A36,SPPR!$A:$A,0)),"")</f>
        <v/>
      </c>
      <c r="C36">
        <f>IFERROR(INDEX(Catch!$E:$BV,MATCH($A36,Catch!$A:$A,0),MATCH($B$4,Catch!$E$1:$BV$1,0)),0)</f>
        <v/>
      </c>
      <c r="D36">
        <f>IFERROR(IF(ISNUMBER(INDEX(SPPR!$E:$X,MATCH($A36,SPPR!$A:$A,0),1)),$C36*INDEX(SPPR!$E:$X,MATCH($A36,SPPR!$A:$A,0),1),""),"")</f>
        <v/>
      </c>
      <c r="E36">
        <f>IFERROR(IF(ISNUMBER(INDEX(SPPR!$E:$X,MATCH($A36,SPPR!$A:$A,0),2)),$C36*INDEX(SPPR!$E:$X,MATCH($A36,SPPR!$A:$A,0),2),""),"")</f>
        <v/>
      </c>
      <c r="F36">
        <f>IFERROR(IF(ISNUMBER(INDEX(SPPR!$E:$X,MATCH($A36,SPPR!$A:$A,0),3)),$C36*INDEX(SPPR!$E:$X,MATCH($A36,SPPR!$A:$A,0),3),""),"")</f>
        <v/>
      </c>
      <c r="G36">
        <f>IFERROR(IF(ISNUMBER(INDEX(SPPR!$E:$X,MATCH($A36,SPPR!$A:$A,0),4)),$C36*INDEX(SPPR!$E:$X,MATCH($A36,SPPR!$A:$A,0),4),""),"")</f>
        <v/>
      </c>
      <c r="H36">
        <f>IFERROR(IF(ISNUMBER(INDEX(SPPR!$E:$X,MATCH($A36,SPPR!$A:$A,0),5)),$C36*INDEX(SPPR!$E:$X,MATCH($A36,SPPR!$A:$A,0),5),""),"")</f>
        <v/>
      </c>
      <c r="I36">
        <f>IFERROR(IF(ISNUMBER(INDEX(SPPR!$E:$X,MATCH($A36,SPPR!$A:$A,0),6)),$C36*INDEX(SPPR!$E:$X,MATCH($A36,SPPR!$A:$A,0),6),""),"")</f>
        <v/>
      </c>
      <c r="J36">
        <f>IFERROR(IF(ISNUMBER(INDEX(SPPR!$E:$X,MATCH($A36,SPPR!$A:$A,0),7)),$C36*INDEX(SPPR!$E:$X,MATCH($A36,SPPR!$A:$A,0),7),""),"")</f>
        <v/>
      </c>
      <c r="K36">
        <f>IFERROR(IF(ISNUMBER(INDEX(SPPR!$E:$X,MATCH($A36,SPPR!$A:$A,0),8)),$C36*INDEX(SPPR!$E:$X,MATCH($A36,SPPR!$A:$A,0),8),""),"")</f>
        <v/>
      </c>
      <c r="L36">
        <f>IFERROR(IF(ISNUMBER(INDEX(SPPR!$E:$X,MATCH($A36,SPPR!$A:$A,0),9)),$C36*INDEX(SPPR!$E:$X,MATCH($A36,SPPR!$A:$A,0),9),""),"")</f>
        <v/>
      </c>
      <c r="M36">
        <f>IFERROR(IF(ISNUMBER(INDEX(SPPR!$E:$X,MATCH($A36,SPPR!$A:$A,0),10)),$C36*INDEX(SPPR!$E:$X,MATCH($A36,SPPR!$A:$A,0),10),""),"")</f>
        <v/>
      </c>
      <c r="N36">
        <f>IFERROR(IF(ISNUMBER(INDEX(SPPR!$E:$X,MATCH($A36,SPPR!$A:$A,0),11)),$C36*INDEX(SPPR!$E:$X,MATCH($A36,SPPR!$A:$A,0),11),""),"")</f>
        <v/>
      </c>
      <c r="O36">
        <f>IFERROR(IF(ISNUMBER(INDEX(SPPR!$E:$X,MATCH($A36,SPPR!$A:$A,0),12)),$C36*INDEX(SPPR!$E:$X,MATCH($A36,SPPR!$A:$A,0),12),""),"")</f>
        <v/>
      </c>
      <c r="P36">
        <f>IFERROR(IF(ISNUMBER(INDEX(SPPR!$E:$X,MATCH($A36,SPPR!$A:$A,0),13)),$C36*INDEX(SPPR!$E:$X,MATCH($A36,SPPR!$A:$A,0),13),""),"")</f>
        <v/>
      </c>
      <c r="Q36">
        <f>IFERROR(IF(ISNUMBER(INDEX(SPPR!$E:$X,MATCH($A36,SPPR!$A:$A,0),14)),$C36*INDEX(SPPR!$E:$X,MATCH($A36,SPPR!$A:$A,0),14),""),"")</f>
        <v/>
      </c>
      <c r="R36">
        <f>IFERROR(IF(ISNUMBER(INDEX(SPPR!$E:$X,MATCH($A36,SPPR!$A:$A,0),15)),$C36*INDEX(SPPR!$E:$X,MATCH($A36,SPPR!$A:$A,0),15),""),"")</f>
        <v/>
      </c>
      <c r="S36">
        <f>IFERROR(IF(ISNUMBER(INDEX(SPPR!$E:$X,MATCH($A36,SPPR!$A:$A,0),16)),$C36*INDEX(SPPR!$E:$X,MATCH($A36,SPPR!$A:$A,0),16),""),"")</f>
        <v/>
      </c>
      <c r="T36">
        <f>IFERROR(IF(ISNUMBER(INDEX(SPPR!$E:$X,MATCH($A36,SPPR!$A:$A,0),17)),$C36*INDEX(SPPR!$E:$X,MATCH($A36,SPPR!$A:$A,0),17),""),"")</f>
        <v/>
      </c>
      <c r="U36">
        <f>IFERROR(IF(ISNUMBER(INDEX(SPPR!$E:$X,MATCH($A36,SPPR!$A:$A,0),18)),$C36*INDEX(SPPR!$E:$X,MATCH($A36,SPPR!$A:$A,0),18),""),"")</f>
        <v/>
      </c>
      <c r="V36">
        <f>IFERROR(IF(ISNUMBER(INDEX(SPPR!$E:$X,MATCH($A36,SPPR!$A:$A,0),19)),$C36*INDEX(SPPR!$E:$X,MATCH($A36,SPPR!$A:$A,0),19),""),"")</f>
        <v/>
      </c>
      <c r="W36">
        <f>IFERROR(IF(ISNUMBER(INDEX(SPPR!$E:$X,MATCH($A36,SPPR!$A:$A,0),20)),$C36*INDEX(SPPR!$E:$X,MATCH($A36,SPPR!$A:$A,0),20),""),"")</f>
        <v/>
      </c>
    </row>
    <row r="37">
      <c r="A37" t="inlineStr">
        <is>
          <t>Oncorhynchus kisutch</t>
        </is>
      </c>
      <c r="B37">
        <f>IFERROR(INDEX(SPPR!$D:$D,MATCH($A37,SPPR!$A:$A,0)),"")</f>
        <v/>
      </c>
      <c r="C37">
        <f>IFERROR(INDEX(Catch!$E:$BV,MATCH($A37,Catch!$A:$A,0),MATCH($B$4,Catch!$E$1:$BV$1,0)),0)</f>
        <v/>
      </c>
      <c r="D37">
        <f>IFERROR(IF(ISNUMBER(INDEX(SPPR!$E:$X,MATCH($A37,SPPR!$A:$A,0),1)),$C37*INDEX(SPPR!$E:$X,MATCH($A37,SPPR!$A:$A,0),1),""),"")</f>
        <v/>
      </c>
      <c r="E37">
        <f>IFERROR(IF(ISNUMBER(INDEX(SPPR!$E:$X,MATCH($A37,SPPR!$A:$A,0),2)),$C37*INDEX(SPPR!$E:$X,MATCH($A37,SPPR!$A:$A,0),2),""),"")</f>
        <v/>
      </c>
      <c r="F37">
        <f>IFERROR(IF(ISNUMBER(INDEX(SPPR!$E:$X,MATCH($A37,SPPR!$A:$A,0),3)),$C37*INDEX(SPPR!$E:$X,MATCH($A37,SPPR!$A:$A,0),3),""),"")</f>
        <v/>
      </c>
      <c r="G37">
        <f>IFERROR(IF(ISNUMBER(INDEX(SPPR!$E:$X,MATCH($A37,SPPR!$A:$A,0),4)),$C37*INDEX(SPPR!$E:$X,MATCH($A37,SPPR!$A:$A,0),4),""),"")</f>
        <v/>
      </c>
      <c r="H37">
        <f>IFERROR(IF(ISNUMBER(INDEX(SPPR!$E:$X,MATCH($A37,SPPR!$A:$A,0),5)),$C37*INDEX(SPPR!$E:$X,MATCH($A37,SPPR!$A:$A,0),5),""),"")</f>
        <v/>
      </c>
      <c r="I37">
        <f>IFERROR(IF(ISNUMBER(INDEX(SPPR!$E:$X,MATCH($A37,SPPR!$A:$A,0),6)),$C37*INDEX(SPPR!$E:$X,MATCH($A37,SPPR!$A:$A,0),6),""),"")</f>
        <v/>
      </c>
      <c r="J37">
        <f>IFERROR(IF(ISNUMBER(INDEX(SPPR!$E:$X,MATCH($A37,SPPR!$A:$A,0),7)),$C37*INDEX(SPPR!$E:$X,MATCH($A37,SPPR!$A:$A,0),7),""),"")</f>
        <v/>
      </c>
      <c r="K37">
        <f>IFERROR(IF(ISNUMBER(INDEX(SPPR!$E:$X,MATCH($A37,SPPR!$A:$A,0),8)),$C37*INDEX(SPPR!$E:$X,MATCH($A37,SPPR!$A:$A,0),8),""),"")</f>
        <v/>
      </c>
      <c r="L37">
        <f>IFERROR(IF(ISNUMBER(INDEX(SPPR!$E:$X,MATCH($A37,SPPR!$A:$A,0),9)),$C37*INDEX(SPPR!$E:$X,MATCH($A37,SPPR!$A:$A,0),9),""),"")</f>
        <v/>
      </c>
      <c r="M37">
        <f>IFERROR(IF(ISNUMBER(INDEX(SPPR!$E:$X,MATCH($A37,SPPR!$A:$A,0),10)),$C37*INDEX(SPPR!$E:$X,MATCH($A37,SPPR!$A:$A,0),10),""),"")</f>
        <v/>
      </c>
      <c r="N37">
        <f>IFERROR(IF(ISNUMBER(INDEX(SPPR!$E:$X,MATCH($A37,SPPR!$A:$A,0),11)),$C37*INDEX(SPPR!$E:$X,MATCH($A37,SPPR!$A:$A,0),11),""),"")</f>
        <v/>
      </c>
      <c r="O37">
        <f>IFERROR(IF(ISNUMBER(INDEX(SPPR!$E:$X,MATCH($A37,SPPR!$A:$A,0),12)),$C37*INDEX(SPPR!$E:$X,MATCH($A37,SPPR!$A:$A,0),12),""),"")</f>
        <v/>
      </c>
      <c r="P37">
        <f>IFERROR(IF(ISNUMBER(INDEX(SPPR!$E:$X,MATCH($A37,SPPR!$A:$A,0),13)),$C37*INDEX(SPPR!$E:$X,MATCH($A37,SPPR!$A:$A,0),13),""),"")</f>
        <v/>
      </c>
      <c r="Q37">
        <f>IFERROR(IF(ISNUMBER(INDEX(SPPR!$E:$X,MATCH($A37,SPPR!$A:$A,0),14)),$C37*INDEX(SPPR!$E:$X,MATCH($A37,SPPR!$A:$A,0),14),""),"")</f>
        <v/>
      </c>
      <c r="R37">
        <f>IFERROR(IF(ISNUMBER(INDEX(SPPR!$E:$X,MATCH($A37,SPPR!$A:$A,0),15)),$C37*INDEX(SPPR!$E:$X,MATCH($A37,SPPR!$A:$A,0),15),""),"")</f>
        <v/>
      </c>
      <c r="S37">
        <f>IFERROR(IF(ISNUMBER(INDEX(SPPR!$E:$X,MATCH($A37,SPPR!$A:$A,0),16)),$C37*INDEX(SPPR!$E:$X,MATCH($A37,SPPR!$A:$A,0),16),""),"")</f>
        <v/>
      </c>
      <c r="T37">
        <f>IFERROR(IF(ISNUMBER(INDEX(SPPR!$E:$X,MATCH($A37,SPPR!$A:$A,0),17)),$C37*INDEX(SPPR!$E:$X,MATCH($A37,SPPR!$A:$A,0),17),""),"")</f>
        <v/>
      </c>
      <c r="U37">
        <f>IFERROR(IF(ISNUMBER(INDEX(SPPR!$E:$X,MATCH($A37,SPPR!$A:$A,0),18)),$C37*INDEX(SPPR!$E:$X,MATCH($A37,SPPR!$A:$A,0),18),""),"")</f>
        <v/>
      </c>
      <c r="V37">
        <f>IFERROR(IF(ISNUMBER(INDEX(SPPR!$E:$X,MATCH($A37,SPPR!$A:$A,0),19)),$C37*INDEX(SPPR!$E:$X,MATCH($A37,SPPR!$A:$A,0),19),""),"")</f>
        <v/>
      </c>
      <c r="W37">
        <f>IFERROR(IF(ISNUMBER(INDEX(SPPR!$E:$X,MATCH($A37,SPPR!$A:$A,0),20)),$C37*INDEX(SPPR!$E:$X,MATCH($A37,SPPR!$A:$A,0),20),""),"")</f>
        <v/>
      </c>
    </row>
    <row r="38">
      <c r="A38" t="inlineStr">
        <is>
          <t>Chionoecetes opilio</t>
        </is>
      </c>
      <c r="B38">
        <f>IFERROR(INDEX(SPPR!$D:$D,MATCH($A38,SPPR!$A:$A,0)),"")</f>
        <v/>
      </c>
      <c r="C38">
        <f>IFERROR(INDEX(Catch!$E:$BV,MATCH($A38,Catch!$A:$A,0),MATCH($B$4,Catch!$E$1:$BV$1,0)),0)</f>
        <v/>
      </c>
      <c r="D38">
        <f>IFERROR(IF(ISNUMBER(INDEX(SPPR!$E:$X,MATCH($A38,SPPR!$A:$A,0),1)),$C38*INDEX(SPPR!$E:$X,MATCH($A38,SPPR!$A:$A,0),1),""),"")</f>
        <v/>
      </c>
      <c r="E38">
        <f>IFERROR(IF(ISNUMBER(INDEX(SPPR!$E:$X,MATCH($A38,SPPR!$A:$A,0),2)),$C38*INDEX(SPPR!$E:$X,MATCH($A38,SPPR!$A:$A,0),2),""),"")</f>
        <v/>
      </c>
      <c r="F38">
        <f>IFERROR(IF(ISNUMBER(INDEX(SPPR!$E:$X,MATCH($A38,SPPR!$A:$A,0),3)),$C38*INDEX(SPPR!$E:$X,MATCH($A38,SPPR!$A:$A,0),3),""),"")</f>
        <v/>
      </c>
      <c r="G38">
        <f>IFERROR(IF(ISNUMBER(INDEX(SPPR!$E:$X,MATCH($A38,SPPR!$A:$A,0),4)),$C38*INDEX(SPPR!$E:$X,MATCH($A38,SPPR!$A:$A,0),4),""),"")</f>
        <v/>
      </c>
      <c r="H38">
        <f>IFERROR(IF(ISNUMBER(INDEX(SPPR!$E:$X,MATCH($A38,SPPR!$A:$A,0),5)),$C38*INDEX(SPPR!$E:$X,MATCH($A38,SPPR!$A:$A,0),5),""),"")</f>
        <v/>
      </c>
      <c r="I38">
        <f>IFERROR(IF(ISNUMBER(INDEX(SPPR!$E:$X,MATCH($A38,SPPR!$A:$A,0),6)),$C38*INDEX(SPPR!$E:$X,MATCH($A38,SPPR!$A:$A,0),6),""),"")</f>
        <v/>
      </c>
      <c r="J38">
        <f>IFERROR(IF(ISNUMBER(INDEX(SPPR!$E:$X,MATCH($A38,SPPR!$A:$A,0),7)),$C38*INDEX(SPPR!$E:$X,MATCH($A38,SPPR!$A:$A,0),7),""),"")</f>
        <v/>
      </c>
      <c r="K38">
        <f>IFERROR(IF(ISNUMBER(INDEX(SPPR!$E:$X,MATCH($A38,SPPR!$A:$A,0),8)),$C38*INDEX(SPPR!$E:$X,MATCH($A38,SPPR!$A:$A,0),8),""),"")</f>
        <v/>
      </c>
      <c r="L38">
        <f>IFERROR(IF(ISNUMBER(INDEX(SPPR!$E:$X,MATCH($A38,SPPR!$A:$A,0),9)),$C38*INDEX(SPPR!$E:$X,MATCH($A38,SPPR!$A:$A,0),9),""),"")</f>
        <v/>
      </c>
      <c r="M38">
        <f>IFERROR(IF(ISNUMBER(INDEX(SPPR!$E:$X,MATCH($A38,SPPR!$A:$A,0),10)),$C38*INDEX(SPPR!$E:$X,MATCH($A38,SPPR!$A:$A,0),10),""),"")</f>
        <v/>
      </c>
      <c r="N38">
        <f>IFERROR(IF(ISNUMBER(INDEX(SPPR!$E:$X,MATCH($A38,SPPR!$A:$A,0),11)),$C38*INDEX(SPPR!$E:$X,MATCH($A38,SPPR!$A:$A,0),11),""),"")</f>
        <v/>
      </c>
      <c r="O38">
        <f>IFERROR(IF(ISNUMBER(INDEX(SPPR!$E:$X,MATCH($A38,SPPR!$A:$A,0),12)),$C38*INDEX(SPPR!$E:$X,MATCH($A38,SPPR!$A:$A,0),12),""),"")</f>
        <v/>
      </c>
      <c r="P38">
        <f>IFERROR(IF(ISNUMBER(INDEX(SPPR!$E:$X,MATCH($A38,SPPR!$A:$A,0),13)),$C38*INDEX(SPPR!$E:$X,MATCH($A38,SPPR!$A:$A,0),13),""),"")</f>
        <v/>
      </c>
      <c r="Q38">
        <f>IFERROR(IF(ISNUMBER(INDEX(SPPR!$E:$X,MATCH($A38,SPPR!$A:$A,0),14)),$C38*INDEX(SPPR!$E:$X,MATCH($A38,SPPR!$A:$A,0),14),""),"")</f>
        <v/>
      </c>
      <c r="R38">
        <f>IFERROR(IF(ISNUMBER(INDEX(SPPR!$E:$X,MATCH($A38,SPPR!$A:$A,0),15)),$C38*INDEX(SPPR!$E:$X,MATCH($A38,SPPR!$A:$A,0),15),""),"")</f>
        <v/>
      </c>
      <c r="S38">
        <f>IFERROR(IF(ISNUMBER(INDEX(SPPR!$E:$X,MATCH($A38,SPPR!$A:$A,0),16)),$C38*INDEX(SPPR!$E:$X,MATCH($A38,SPPR!$A:$A,0),16),""),"")</f>
        <v/>
      </c>
      <c r="T38">
        <f>IFERROR(IF(ISNUMBER(INDEX(SPPR!$E:$X,MATCH($A38,SPPR!$A:$A,0),17)),$C38*INDEX(SPPR!$E:$X,MATCH($A38,SPPR!$A:$A,0),17),""),"")</f>
        <v/>
      </c>
      <c r="U38">
        <f>IFERROR(IF(ISNUMBER(INDEX(SPPR!$E:$X,MATCH($A38,SPPR!$A:$A,0),18)),$C38*INDEX(SPPR!$E:$X,MATCH($A38,SPPR!$A:$A,0),18),""),"")</f>
        <v/>
      </c>
      <c r="V38">
        <f>IFERROR(IF(ISNUMBER(INDEX(SPPR!$E:$X,MATCH($A38,SPPR!$A:$A,0),19)),$C38*INDEX(SPPR!$E:$X,MATCH($A38,SPPR!$A:$A,0),19),""),"")</f>
        <v/>
      </c>
      <c r="W38">
        <f>IFERROR(IF(ISNUMBER(INDEX(SPPR!$E:$X,MATCH($A38,SPPR!$A:$A,0),20)),$C38*INDEX(SPPR!$E:$X,MATCH($A38,SPPR!$A:$A,0),20),""),"")</f>
        <v/>
      </c>
    </row>
    <row r="39">
      <c r="A39" t="inlineStr">
        <is>
          <t>Bivalvia</t>
        </is>
      </c>
      <c r="B39">
        <f>IFERROR(INDEX(SPPR!$D:$D,MATCH($A39,SPPR!$A:$A,0)),"")</f>
        <v/>
      </c>
      <c r="C39">
        <f>IFERROR(INDEX(Catch!$E:$BV,MATCH($A39,Catch!$A:$A,0),MATCH($B$4,Catch!$E$1:$BV$1,0)),0)</f>
        <v/>
      </c>
      <c r="D39">
        <f>IFERROR(IF(ISNUMBER(INDEX(SPPR!$E:$X,MATCH($A39,SPPR!$A:$A,0),1)),$C39*INDEX(SPPR!$E:$X,MATCH($A39,SPPR!$A:$A,0),1),""),"")</f>
        <v/>
      </c>
      <c r="E39">
        <f>IFERROR(IF(ISNUMBER(INDEX(SPPR!$E:$X,MATCH($A39,SPPR!$A:$A,0),2)),$C39*INDEX(SPPR!$E:$X,MATCH($A39,SPPR!$A:$A,0),2),""),"")</f>
        <v/>
      </c>
      <c r="F39">
        <f>IFERROR(IF(ISNUMBER(INDEX(SPPR!$E:$X,MATCH($A39,SPPR!$A:$A,0),3)),$C39*INDEX(SPPR!$E:$X,MATCH($A39,SPPR!$A:$A,0),3),""),"")</f>
        <v/>
      </c>
      <c r="G39">
        <f>IFERROR(IF(ISNUMBER(INDEX(SPPR!$E:$X,MATCH($A39,SPPR!$A:$A,0),4)),$C39*INDEX(SPPR!$E:$X,MATCH($A39,SPPR!$A:$A,0),4),""),"")</f>
        <v/>
      </c>
      <c r="H39">
        <f>IFERROR(IF(ISNUMBER(INDEX(SPPR!$E:$X,MATCH($A39,SPPR!$A:$A,0),5)),$C39*INDEX(SPPR!$E:$X,MATCH($A39,SPPR!$A:$A,0),5),""),"")</f>
        <v/>
      </c>
      <c r="I39">
        <f>IFERROR(IF(ISNUMBER(INDEX(SPPR!$E:$X,MATCH($A39,SPPR!$A:$A,0),6)),$C39*INDEX(SPPR!$E:$X,MATCH($A39,SPPR!$A:$A,0),6),""),"")</f>
        <v/>
      </c>
      <c r="J39">
        <f>IFERROR(IF(ISNUMBER(INDEX(SPPR!$E:$X,MATCH($A39,SPPR!$A:$A,0),7)),$C39*INDEX(SPPR!$E:$X,MATCH($A39,SPPR!$A:$A,0),7),""),"")</f>
        <v/>
      </c>
      <c r="K39">
        <f>IFERROR(IF(ISNUMBER(INDEX(SPPR!$E:$X,MATCH($A39,SPPR!$A:$A,0),8)),$C39*INDEX(SPPR!$E:$X,MATCH($A39,SPPR!$A:$A,0),8),""),"")</f>
        <v/>
      </c>
      <c r="L39">
        <f>IFERROR(IF(ISNUMBER(INDEX(SPPR!$E:$X,MATCH($A39,SPPR!$A:$A,0),9)),$C39*INDEX(SPPR!$E:$X,MATCH($A39,SPPR!$A:$A,0),9),""),"")</f>
        <v/>
      </c>
      <c r="M39">
        <f>IFERROR(IF(ISNUMBER(INDEX(SPPR!$E:$X,MATCH($A39,SPPR!$A:$A,0),10)),$C39*INDEX(SPPR!$E:$X,MATCH($A39,SPPR!$A:$A,0),10),""),"")</f>
        <v/>
      </c>
      <c r="N39">
        <f>IFERROR(IF(ISNUMBER(INDEX(SPPR!$E:$X,MATCH($A39,SPPR!$A:$A,0),11)),$C39*INDEX(SPPR!$E:$X,MATCH($A39,SPPR!$A:$A,0),11),""),"")</f>
        <v/>
      </c>
      <c r="O39">
        <f>IFERROR(IF(ISNUMBER(INDEX(SPPR!$E:$X,MATCH($A39,SPPR!$A:$A,0),12)),$C39*INDEX(SPPR!$E:$X,MATCH($A39,SPPR!$A:$A,0),12),""),"")</f>
        <v/>
      </c>
      <c r="P39">
        <f>IFERROR(IF(ISNUMBER(INDEX(SPPR!$E:$X,MATCH($A39,SPPR!$A:$A,0),13)),$C39*INDEX(SPPR!$E:$X,MATCH($A39,SPPR!$A:$A,0),13),""),"")</f>
        <v/>
      </c>
      <c r="Q39">
        <f>IFERROR(IF(ISNUMBER(INDEX(SPPR!$E:$X,MATCH($A39,SPPR!$A:$A,0),14)),$C39*INDEX(SPPR!$E:$X,MATCH($A39,SPPR!$A:$A,0),14),""),"")</f>
        <v/>
      </c>
      <c r="R39">
        <f>IFERROR(IF(ISNUMBER(INDEX(SPPR!$E:$X,MATCH($A39,SPPR!$A:$A,0),15)),$C39*INDEX(SPPR!$E:$X,MATCH($A39,SPPR!$A:$A,0),15),""),"")</f>
        <v/>
      </c>
      <c r="S39">
        <f>IFERROR(IF(ISNUMBER(INDEX(SPPR!$E:$X,MATCH($A39,SPPR!$A:$A,0),16)),$C39*INDEX(SPPR!$E:$X,MATCH($A39,SPPR!$A:$A,0),16),""),"")</f>
        <v/>
      </c>
      <c r="T39">
        <f>IFERROR(IF(ISNUMBER(INDEX(SPPR!$E:$X,MATCH($A39,SPPR!$A:$A,0),17)),$C39*INDEX(SPPR!$E:$X,MATCH($A39,SPPR!$A:$A,0),17),""),"")</f>
        <v/>
      </c>
      <c r="U39">
        <f>IFERROR(IF(ISNUMBER(INDEX(SPPR!$E:$X,MATCH($A39,SPPR!$A:$A,0),18)),$C39*INDEX(SPPR!$E:$X,MATCH($A39,SPPR!$A:$A,0),18),""),"")</f>
        <v/>
      </c>
      <c r="V39">
        <f>IFERROR(IF(ISNUMBER(INDEX(SPPR!$E:$X,MATCH($A39,SPPR!$A:$A,0),19)),$C39*INDEX(SPPR!$E:$X,MATCH($A39,SPPR!$A:$A,0),19),""),"")</f>
        <v/>
      </c>
      <c r="W39">
        <f>IFERROR(IF(ISNUMBER(INDEX(SPPR!$E:$X,MATCH($A39,SPPR!$A:$A,0),20)),$C39*INDEX(SPPR!$E:$X,MATCH($A39,SPPR!$A:$A,0),20),""),"")</f>
        <v/>
      </c>
    </row>
    <row r="40">
      <c r="A40" t="inlineStr">
        <is>
          <t>Atheresthes evermanni</t>
        </is>
      </c>
      <c r="B40">
        <f>IFERROR(INDEX(SPPR!$D:$D,MATCH($A40,SPPR!$A:$A,0)),"")</f>
        <v/>
      </c>
      <c r="C40">
        <f>IFERROR(INDEX(Catch!$E:$BV,MATCH($A40,Catch!$A:$A,0),MATCH($B$4,Catch!$E$1:$BV$1,0)),0)</f>
        <v/>
      </c>
      <c r="D40">
        <f>IFERROR(IF(ISNUMBER(INDEX(SPPR!$E:$X,MATCH($A40,SPPR!$A:$A,0),1)),$C40*INDEX(SPPR!$E:$X,MATCH($A40,SPPR!$A:$A,0),1),""),"")</f>
        <v/>
      </c>
      <c r="E40">
        <f>IFERROR(IF(ISNUMBER(INDEX(SPPR!$E:$X,MATCH($A40,SPPR!$A:$A,0),2)),$C40*INDEX(SPPR!$E:$X,MATCH($A40,SPPR!$A:$A,0),2),""),"")</f>
        <v/>
      </c>
      <c r="F40">
        <f>IFERROR(IF(ISNUMBER(INDEX(SPPR!$E:$X,MATCH($A40,SPPR!$A:$A,0),3)),$C40*INDEX(SPPR!$E:$X,MATCH($A40,SPPR!$A:$A,0),3),""),"")</f>
        <v/>
      </c>
      <c r="G40">
        <f>IFERROR(IF(ISNUMBER(INDEX(SPPR!$E:$X,MATCH($A40,SPPR!$A:$A,0),4)),$C40*INDEX(SPPR!$E:$X,MATCH($A40,SPPR!$A:$A,0),4),""),"")</f>
        <v/>
      </c>
      <c r="H40">
        <f>IFERROR(IF(ISNUMBER(INDEX(SPPR!$E:$X,MATCH($A40,SPPR!$A:$A,0),5)),$C40*INDEX(SPPR!$E:$X,MATCH($A40,SPPR!$A:$A,0),5),""),"")</f>
        <v/>
      </c>
      <c r="I40">
        <f>IFERROR(IF(ISNUMBER(INDEX(SPPR!$E:$X,MATCH($A40,SPPR!$A:$A,0),6)),$C40*INDEX(SPPR!$E:$X,MATCH($A40,SPPR!$A:$A,0),6),""),"")</f>
        <v/>
      </c>
      <c r="J40">
        <f>IFERROR(IF(ISNUMBER(INDEX(SPPR!$E:$X,MATCH($A40,SPPR!$A:$A,0),7)),$C40*INDEX(SPPR!$E:$X,MATCH($A40,SPPR!$A:$A,0),7),""),"")</f>
        <v/>
      </c>
      <c r="K40">
        <f>IFERROR(IF(ISNUMBER(INDEX(SPPR!$E:$X,MATCH($A40,SPPR!$A:$A,0),8)),$C40*INDEX(SPPR!$E:$X,MATCH($A40,SPPR!$A:$A,0),8),""),"")</f>
        <v/>
      </c>
      <c r="L40">
        <f>IFERROR(IF(ISNUMBER(INDEX(SPPR!$E:$X,MATCH($A40,SPPR!$A:$A,0),9)),$C40*INDEX(SPPR!$E:$X,MATCH($A40,SPPR!$A:$A,0),9),""),"")</f>
        <v/>
      </c>
      <c r="M40">
        <f>IFERROR(IF(ISNUMBER(INDEX(SPPR!$E:$X,MATCH($A40,SPPR!$A:$A,0),10)),$C40*INDEX(SPPR!$E:$X,MATCH($A40,SPPR!$A:$A,0),10),""),"")</f>
        <v/>
      </c>
      <c r="N40">
        <f>IFERROR(IF(ISNUMBER(INDEX(SPPR!$E:$X,MATCH($A40,SPPR!$A:$A,0),11)),$C40*INDEX(SPPR!$E:$X,MATCH($A40,SPPR!$A:$A,0),11),""),"")</f>
        <v/>
      </c>
      <c r="O40">
        <f>IFERROR(IF(ISNUMBER(INDEX(SPPR!$E:$X,MATCH($A40,SPPR!$A:$A,0),12)),$C40*INDEX(SPPR!$E:$X,MATCH($A40,SPPR!$A:$A,0),12),""),"")</f>
        <v/>
      </c>
      <c r="P40">
        <f>IFERROR(IF(ISNUMBER(INDEX(SPPR!$E:$X,MATCH($A40,SPPR!$A:$A,0),13)),$C40*INDEX(SPPR!$E:$X,MATCH($A40,SPPR!$A:$A,0),13),""),"")</f>
        <v/>
      </c>
      <c r="Q40">
        <f>IFERROR(IF(ISNUMBER(INDEX(SPPR!$E:$X,MATCH($A40,SPPR!$A:$A,0),14)),$C40*INDEX(SPPR!$E:$X,MATCH($A40,SPPR!$A:$A,0),14),""),"")</f>
        <v/>
      </c>
      <c r="R40">
        <f>IFERROR(IF(ISNUMBER(INDEX(SPPR!$E:$X,MATCH($A40,SPPR!$A:$A,0),15)),$C40*INDEX(SPPR!$E:$X,MATCH($A40,SPPR!$A:$A,0),15),""),"")</f>
        <v/>
      </c>
      <c r="S40">
        <f>IFERROR(IF(ISNUMBER(INDEX(SPPR!$E:$X,MATCH($A40,SPPR!$A:$A,0),16)),$C40*INDEX(SPPR!$E:$X,MATCH($A40,SPPR!$A:$A,0),16),""),"")</f>
        <v/>
      </c>
      <c r="T40">
        <f>IFERROR(IF(ISNUMBER(INDEX(SPPR!$E:$X,MATCH($A40,SPPR!$A:$A,0),17)),$C40*INDEX(SPPR!$E:$X,MATCH($A40,SPPR!$A:$A,0),17),""),"")</f>
        <v/>
      </c>
      <c r="U40">
        <f>IFERROR(IF(ISNUMBER(INDEX(SPPR!$E:$X,MATCH($A40,SPPR!$A:$A,0),18)),$C40*INDEX(SPPR!$E:$X,MATCH($A40,SPPR!$A:$A,0),18),""),"")</f>
        <v/>
      </c>
      <c r="V40">
        <f>IFERROR(IF(ISNUMBER(INDEX(SPPR!$E:$X,MATCH($A40,SPPR!$A:$A,0),19)),$C40*INDEX(SPPR!$E:$X,MATCH($A40,SPPR!$A:$A,0),19),""),"")</f>
        <v/>
      </c>
      <c r="W40">
        <f>IFERROR(IF(ISNUMBER(INDEX(SPPR!$E:$X,MATCH($A40,SPPR!$A:$A,0),20)),$C40*INDEX(SPPR!$E:$X,MATCH($A40,SPPR!$A:$A,0),20),""),"")</f>
        <v/>
      </c>
    </row>
    <row r="41">
      <c r="A41" t="inlineStr">
        <is>
          <t>Batoidea</t>
        </is>
      </c>
      <c r="B41">
        <f>IFERROR(INDEX(SPPR!$D:$D,MATCH($A41,SPPR!$A:$A,0)),"")</f>
        <v/>
      </c>
      <c r="C41">
        <f>IFERROR(INDEX(Catch!$E:$BV,MATCH($A41,Catch!$A:$A,0),MATCH($B$4,Catch!$E$1:$BV$1,0)),0)</f>
        <v/>
      </c>
      <c r="D41">
        <f>IFERROR(IF(ISNUMBER(INDEX(SPPR!$E:$X,MATCH($A41,SPPR!$A:$A,0),1)),$C41*INDEX(SPPR!$E:$X,MATCH($A41,SPPR!$A:$A,0),1),""),"")</f>
        <v/>
      </c>
      <c r="E41">
        <f>IFERROR(IF(ISNUMBER(INDEX(SPPR!$E:$X,MATCH($A41,SPPR!$A:$A,0),2)),$C41*INDEX(SPPR!$E:$X,MATCH($A41,SPPR!$A:$A,0),2),""),"")</f>
        <v/>
      </c>
      <c r="F41">
        <f>IFERROR(IF(ISNUMBER(INDEX(SPPR!$E:$X,MATCH($A41,SPPR!$A:$A,0),3)),$C41*INDEX(SPPR!$E:$X,MATCH($A41,SPPR!$A:$A,0),3),""),"")</f>
        <v/>
      </c>
      <c r="G41">
        <f>IFERROR(IF(ISNUMBER(INDEX(SPPR!$E:$X,MATCH($A41,SPPR!$A:$A,0),4)),$C41*INDEX(SPPR!$E:$X,MATCH($A41,SPPR!$A:$A,0),4),""),"")</f>
        <v/>
      </c>
      <c r="H41">
        <f>IFERROR(IF(ISNUMBER(INDEX(SPPR!$E:$X,MATCH($A41,SPPR!$A:$A,0),5)),$C41*INDEX(SPPR!$E:$X,MATCH($A41,SPPR!$A:$A,0),5),""),"")</f>
        <v/>
      </c>
      <c r="I41">
        <f>IFERROR(IF(ISNUMBER(INDEX(SPPR!$E:$X,MATCH($A41,SPPR!$A:$A,0),6)),$C41*INDEX(SPPR!$E:$X,MATCH($A41,SPPR!$A:$A,0),6),""),"")</f>
        <v/>
      </c>
      <c r="J41">
        <f>IFERROR(IF(ISNUMBER(INDEX(SPPR!$E:$X,MATCH($A41,SPPR!$A:$A,0),7)),$C41*INDEX(SPPR!$E:$X,MATCH($A41,SPPR!$A:$A,0),7),""),"")</f>
        <v/>
      </c>
      <c r="K41">
        <f>IFERROR(IF(ISNUMBER(INDEX(SPPR!$E:$X,MATCH($A41,SPPR!$A:$A,0),8)),$C41*INDEX(SPPR!$E:$X,MATCH($A41,SPPR!$A:$A,0),8),""),"")</f>
        <v/>
      </c>
      <c r="L41">
        <f>IFERROR(IF(ISNUMBER(INDEX(SPPR!$E:$X,MATCH($A41,SPPR!$A:$A,0),9)),$C41*INDEX(SPPR!$E:$X,MATCH($A41,SPPR!$A:$A,0),9),""),"")</f>
        <v/>
      </c>
      <c r="M41">
        <f>IFERROR(IF(ISNUMBER(INDEX(SPPR!$E:$X,MATCH($A41,SPPR!$A:$A,0),10)),$C41*INDEX(SPPR!$E:$X,MATCH($A41,SPPR!$A:$A,0),10),""),"")</f>
        <v/>
      </c>
      <c r="N41">
        <f>IFERROR(IF(ISNUMBER(INDEX(SPPR!$E:$X,MATCH($A41,SPPR!$A:$A,0),11)),$C41*INDEX(SPPR!$E:$X,MATCH($A41,SPPR!$A:$A,0),11),""),"")</f>
        <v/>
      </c>
      <c r="O41">
        <f>IFERROR(IF(ISNUMBER(INDEX(SPPR!$E:$X,MATCH($A41,SPPR!$A:$A,0),12)),$C41*INDEX(SPPR!$E:$X,MATCH($A41,SPPR!$A:$A,0),12),""),"")</f>
        <v/>
      </c>
      <c r="P41">
        <f>IFERROR(IF(ISNUMBER(INDEX(SPPR!$E:$X,MATCH($A41,SPPR!$A:$A,0),13)),$C41*INDEX(SPPR!$E:$X,MATCH($A41,SPPR!$A:$A,0),13),""),"")</f>
        <v/>
      </c>
      <c r="Q41">
        <f>IFERROR(IF(ISNUMBER(INDEX(SPPR!$E:$X,MATCH($A41,SPPR!$A:$A,0),14)),$C41*INDEX(SPPR!$E:$X,MATCH($A41,SPPR!$A:$A,0),14),""),"")</f>
        <v/>
      </c>
      <c r="R41">
        <f>IFERROR(IF(ISNUMBER(INDEX(SPPR!$E:$X,MATCH($A41,SPPR!$A:$A,0),15)),$C41*INDEX(SPPR!$E:$X,MATCH($A41,SPPR!$A:$A,0),15),""),"")</f>
        <v/>
      </c>
      <c r="S41">
        <f>IFERROR(IF(ISNUMBER(INDEX(SPPR!$E:$X,MATCH($A41,SPPR!$A:$A,0),16)),$C41*INDEX(SPPR!$E:$X,MATCH($A41,SPPR!$A:$A,0),16),""),"")</f>
        <v/>
      </c>
      <c r="T41">
        <f>IFERROR(IF(ISNUMBER(INDEX(SPPR!$E:$X,MATCH($A41,SPPR!$A:$A,0),17)),$C41*INDEX(SPPR!$E:$X,MATCH($A41,SPPR!$A:$A,0),17),""),"")</f>
        <v/>
      </c>
      <c r="U41">
        <f>IFERROR(IF(ISNUMBER(INDEX(SPPR!$E:$X,MATCH($A41,SPPR!$A:$A,0),18)),$C41*INDEX(SPPR!$E:$X,MATCH($A41,SPPR!$A:$A,0),18),""),"")</f>
        <v/>
      </c>
      <c r="V41">
        <f>IFERROR(IF(ISNUMBER(INDEX(SPPR!$E:$X,MATCH($A41,SPPR!$A:$A,0),19)),$C41*INDEX(SPPR!$E:$X,MATCH($A41,SPPR!$A:$A,0),19),""),"")</f>
        <v/>
      </c>
      <c r="W41">
        <f>IFERROR(IF(ISNUMBER(INDEX(SPPR!$E:$X,MATCH($A41,SPPR!$A:$A,0),20)),$C41*INDEX(SPPR!$E:$X,MATCH($A41,SPPR!$A:$A,0),20),""),"")</f>
        <v/>
      </c>
    </row>
    <row r="42">
      <c r="A42" t="inlineStr">
        <is>
          <t>Osmeridae</t>
        </is>
      </c>
      <c r="B42">
        <f>IFERROR(INDEX(SPPR!$D:$D,MATCH($A42,SPPR!$A:$A,0)),"")</f>
        <v/>
      </c>
      <c r="C42">
        <f>IFERROR(INDEX(Catch!$E:$BV,MATCH($A42,Catch!$A:$A,0),MATCH($B$4,Catch!$E$1:$BV$1,0)),0)</f>
        <v/>
      </c>
      <c r="D42">
        <f>IFERROR(IF(ISNUMBER(INDEX(SPPR!$E:$X,MATCH($A42,SPPR!$A:$A,0),1)),$C42*INDEX(SPPR!$E:$X,MATCH($A42,SPPR!$A:$A,0),1),""),"")</f>
        <v/>
      </c>
      <c r="E42">
        <f>IFERROR(IF(ISNUMBER(INDEX(SPPR!$E:$X,MATCH($A42,SPPR!$A:$A,0),2)),$C42*INDEX(SPPR!$E:$X,MATCH($A42,SPPR!$A:$A,0),2),""),"")</f>
        <v/>
      </c>
      <c r="F42">
        <f>IFERROR(IF(ISNUMBER(INDEX(SPPR!$E:$X,MATCH($A42,SPPR!$A:$A,0),3)),$C42*INDEX(SPPR!$E:$X,MATCH($A42,SPPR!$A:$A,0),3),""),"")</f>
        <v/>
      </c>
      <c r="G42">
        <f>IFERROR(IF(ISNUMBER(INDEX(SPPR!$E:$X,MATCH($A42,SPPR!$A:$A,0),4)),$C42*INDEX(SPPR!$E:$X,MATCH($A42,SPPR!$A:$A,0),4),""),"")</f>
        <v/>
      </c>
      <c r="H42">
        <f>IFERROR(IF(ISNUMBER(INDEX(SPPR!$E:$X,MATCH($A42,SPPR!$A:$A,0),5)),$C42*INDEX(SPPR!$E:$X,MATCH($A42,SPPR!$A:$A,0),5),""),"")</f>
        <v/>
      </c>
      <c r="I42">
        <f>IFERROR(IF(ISNUMBER(INDEX(SPPR!$E:$X,MATCH($A42,SPPR!$A:$A,0),6)),$C42*INDEX(SPPR!$E:$X,MATCH($A42,SPPR!$A:$A,0),6),""),"")</f>
        <v/>
      </c>
      <c r="J42">
        <f>IFERROR(IF(ISNUMBER(INDEX(SPPR!$E:$X,MATCH($A42,SPPR!$A:$A,0),7)),$C42*INDEX(SPPR!$E:$X,MATCH($A42,SPPR!$A:$A,0),7),""),"")</f>
        <v/>
      </c>
      <c r="K42">
        <f>IFERROR(IF(ISNUMBER(INDEX(SPPR!$E:$X,MATCH($A42,SPPR!$A:$A,0),8)),$C42*INDEX(SPPR!$E:$X,MATCH($A42,SPPR!$A:$A,0),8),""),"")</f>
        <v/>
      </c>
      <c r="L42">
        <f>IFERROR(IF(ISNUMBER(INDEX(SPPR!$E:$X,MATCH($A42,SPPR!$A:$A,0),9)),$C42*INDEX(SPPR!$E:$X,MATCH($A42,SPPR!$A:$A,0),9),""),"")</f>
        <v/>
      </c>
      <c r="M42">
        <f>IFERROR(IF(ISNUMBER(INDEX(SPPR!$E:$X,MATCH($A42,SPPR!$A:$A,0),10)),$C42*INDEX(SPPR!$E:$X,MATCH($A42,SPPR!$A:$A,0),10),""),"")</f>
        <v/>
      </c>
      <c r="N42">
        <f>IFERROR(IF(ISNUMBER(INDEX(SPPR!$E:$X,MATCH($A42,SPPR!$A:$A,0),11)),$C42*INDEX(SPPR!$E:$X,MATCH($A42,SPPR!$A:$A,0),11),""),"")</f>
        <v/>
      </c>
      <c r="O42">
        <f>IFERROR(IF(ISNUMBER(INDEX(SPPR!$E:$X,MATCH($A42,SPPR!$A:$A,0),12)),$C42*INDEX(SPPR!$E:$X,MATCH($A42,SPPR!$A:$A,0),12),""),"")</f>
        <v/>
      </c>
      <c r="P42">
        <f>IFERROR(IF(ISNUMBER(INDEX(SPPR!$E:$X,MATCH($A42,SPPR!$A:$A,0),13)),$C42*INDEX(SPPR!$E:$X,MATCH($A42,SPPR!$A:$A,0),13),""),"")</f>
        <v/>
      </c>
      <c r="Q42">
        <f>IFERROR(IF(ISNUMBER(INDEX(SPPR!$E:$X,MATCH($A42,SPPR!$A:$A,0),14)),$C42*INDEX(SPPR!$E:$X,MATCH($A42,SPPR!$A:$A,0),14),""),"")</f>
        <v/>
      </c>
      <c r="R42">
        <f>IFERROR(IF(ISNUMBER(INDEX(SPPR!$E:$X,MATCH($A42,SPPR!$A:$A,0),15)),$C42*INDEX(SPPR!$E:$X,MATCH($A42,SPPR!$A:$A,0),15),""),"")</f>
        <v/>
      </c>
      <c r="S42">
        <f>IFERROR(IF(ISNUMBER(INDEX(SPPR!$E:$X,MATCH($A42,SPPR!$A:$A,0),16)),$C42*INDEX(SPPR!$E:$X,MATCH($A42,SPPR!$A:$A,0),16),""),"")</f>
        <v/>
      </c>
      <c r="T42">
        <f>IFERROR(IF(ISNUMBER(INDEX(SPPR!$E:$X,MATCH($A42,SPPR!$A:$A,0),17)),$C42*INDEX(SPPR!$E:$X,MATCH($A42,SPPR!$A:$A,0),17),""),"")</f>
        <v/>
      </c>
      <c r="U42">
        <f>IFERROR(IF(ISNUMBER(INDEX(SPPR!$E:$X,MATCH($A42,SPPR!$A:$A,0),18)),$C42*INDEX(SPPR!$E:$X,MATCH($A42,SPPR!$A:$A,0),18),""),"")</f>
        <v/>
      </c>
      <c r="V42">
        <f>IFERROR(IF(ISNUMBER(INDEX(SPPR!$E:$X,MATCH($A42,SPPR!$A:$A,0),19)),$C42*INDEX(SPPR!$E:$X,MATCH($A42,SPPR!$A:$A,0),19),""),"")</f>
        <v/>
      </c>
      <c r="W42">
        <f>IFERROR(IF(ISNUMBER(INDEX(SPPR!$E:$X,MATCH($A42,SPPR!$A:$A,0),20)),$C42*INDEX(SPPR!$E:$X,MATCH($A42,SPPR!$A:$A,0),20),""),"")</f>
        <v/>
      </c>
    </row>
    <row r="43">
      <c r="A43" t="inlineStr">
        <is>
          <t>Hippoglossus stenolepis</t>
        </is>
      </c>
      <c r="B43">
        <f>IFERROR(INDEX(SPPR!$D:$D,MATCH($A43,SPPR!$A:$A,0)),"")</f>
        <v/>
      </c>
      <c r="C43">
        <f>IFERROR(INDEX(Catch!$E:$BV,MATCH($A43,Catch!$A:$A,0),MATCH($B$4,Catch!$E$1:$BV$1,0)),0)</f>
        <v/>
      </c>
      <c r="D43">
        <f>IFERROR(IF(ISNUMBER(INDEX(SPPR!$E:$X,MATCH($A43,SPPR!$A:$A,0),1)),$C43*INDEX(SPPR!$E:$X,MATCH($A43,SPPR!$A:$A,0),1),""),"")</f>
        <v/>
      </c>
      <c r="E43">
        <f>IFERROR(IF(ISNUMBER(INDEX(SPPR!$E:$X,MATCH($A43,SPPR!$A:$A,0),2)),$C43*INDEX(SPPR!$E:$X,MATCH($A43,SPPR!$A:$A,0),2),""),"")</f>
        <v/>
      </c>
      <c r="F43">
        <f>IFERROR(IF(ISNUMBER(INDEX(SPPR!$E:$X,MATCH($A43,SPPR!$A:$A,0),3)),$C43*INDEX(SPPR!$E:$X,MATCH($A43,SPPR!$A:$A,0),3),""),"")</f>
        <v/>
      </c>
      <c r="G43">
        <f>IFERROR(IF(ISNUMBER(INDEX(SPPR!$E:$X,MATCH($A43,SPPR!$A:$A,0),4)),$C43*INDEX(SPPR!$E:$X,MATCH($A43,SPPR!$A:$A,0),4),""),"")</f>
        <v/>
      </c>
      <c r="H43">
        <f>IFERROR(IF(ISNUMBER(INDEX(SPPR!$E:$X,MATCH($A43,SPPR!$A:$A,0),5)),$C43*INDEX(SPPR!$E:$X,MATCH($A43,SPPR!$A:$A,0),5),""),"")</f>
        <v/>
      </c>
      <c r="I43">
        <f>IFERROR(IF(ISNUMBER(INDEX(SPPR!$E:$X,MATCH($A43,SPPR!$A:$A,0),6)),$C43*INDEX(SPPR!$E:$X,MATCH($A43,SPPR!$A:$A,0),6),""),"")</f>
        <v/>
      </c>
      <c r="J43">
        <f>IFERROR(IF(ISNUMBER(INDEX(SPPR!$E:$X,MATCH($A43,SPPR!$A:$A,0),7)),$C43*INDEX(SPPR!$E:$X,MATCH($A43,SPPR!$A:$A,0),7),""),"")</f>
        <v/>
      </c>
      <c r="K43">
        <f>IFERROR(IF(ISNUMBER(INDEX(SPPR!$E:$X,MATCH($A43,SPPR!$A:$A,0),8)),$C43*INDEX(SPPR!$E:$X,MATCH($A43,SPPR!$A:$A,0),8),""),"")</f>
        <v/>
      </c>
      <c r="L43">
        <f>IFERROR(IF(ISNUMBER(INDEX(SPPR!$E:$X,MATCH($A43,SPPR!$A:$A,0),9)),$C43*INDEX(SPPR!$E:$X,MATCH($A43,SPPR!$A:$A,0),9),""),"")</f>
        <v/>
      </c>
      <c r="M43">
        <f>IFERROR(IF(ISNUMBER(INDEX(SPPR!$E:$X,MATCH($A43,SPPR!$A:$A,0),10)),$C43*INDEX(SPPR!$E:$X,MATCH($A43,SPPR!$A:$A,0),10),""),"")</f>
        <v/>
      </c>
      <c r="N43">
        <f>IFERROR(IF(ISNUMBER(INDEX(SPPR!$E:$X,MATCH($A43,SPPR!$A:$A,0),11)),$C43*INDEX(SPPR!$E:$X,MATCH($A43,SPPR!$A:$A,0),11),""),"")</f>
        <v/>
      </c>
      <c r="O43">
        <f>IFERROR(IF(ISNUMBER(INDEX(SPPR!$E:$X,MATCH($A43,SPPR!$A:$A,0),12)),$C43*INDEX(SPPR!$E:$X,MATCH($A43,SPPR!$A:$A,0),12),""),"")</f>
        <v/>
      </c>
      <c r="P43">
        <f>IFERROR(IF(ISNUMBER(INDEX(SPPR!$E:$X,MATCH($A43,SPPR!$A:$A,0),13)),$C43*INDEX(SPPR!$E:$X,MATCH($A43,SPPR!$A:$A,0),13),""),"")</f>
        <v/>
      </c>
      <c r="Q43">
        <f>IFERROR(IF(ISNUMBER(INDEX(SPPR!$E:$X,MATCH($A43,SPPR!$A:$A,0),14)),$C43*INDEX(SPPR!$E:$X,MATCH($A43,SPPR!$A:$A,0),14),""),"")</f>
        <v/>
      </c>
      <c r="R43">
        <f>IFERROR(IF(ISNUMBER(INDEX(SPPR!$E:$X,MATCH($A43,SPPR!$A:$A,0),15)),$C43*INDEX(SPPR!$E:$X,MATCH($A43,SPPR!$A:$A,0),15),""),"")</f>
        <v/>
      </c>
      <c r="S43">
        <f>IFERROR(IF(ISNUMBER(INDEX(SPPR!$E:$X,MATCH($A43,SPPR!$A:$A,0),16)),$C43*INDEX(SPPR!$E:$X,MATCH($A43,SPPR!$A:$A,0),16),""),"")</f>
        <v/>
      </c>
      <c r="T43">
        <f>IFERROR(IF(ISNUMBER(INDEX(SPPR!$E:$X,MATCH($A43,SPPR!$A:$A,0),17)),$C43*INDEX(SPPR!$E:$X,MATCH($A43,SPPR!$A:$A,0),17),""),"")</f>
        <v/>
      </c>
      <c r="U43">
        <f>IFERROR(IF(ISNUMBER(INDEX(SPPR!$E:$X,MATCH($A43,SPPR!$A:$A,0),18)),$C43*INDEX(SPPR!$E:$X,MATCH($A43,SPPR!$A:$A,0),18),""),"")</f>
        <v/>
      </c>
      <c r="V43">
        <f>IFERROR(IF(ISNUMBER(INDEX(SPPR!$E:$X,MATCH($A43,SPPR!$A:$A,0),19)),$C43*INDEX(SPPR!$E:$X,MATCH($A43,SPPR!$A:$A,0),19),""),"")</f>
        <v/>
      </c>
      <c r="W43">
        <f>IFERROR(IF(ISNUMBER(INDEX(SPPR!$E:$X,MATCH($A43,SPPR!$A:$A,0),20)),$C43*INDEX(SPPR!$E:$X,MATCH($A43,SPPR!$A:$A,0),20),""),"")</f>
        <v/>
      </c>
    </row>
    <row r="44">
      <c r="A44" t="inlineStr">
        <is>
          <t>Sebastidae</t>
        </is>
      </c>
      <c r="B44">
        <f>IFERROR(INDEX(SPPR!$D:$D,MATCH($A44,SPPR!$A:$A,0)),"")</f>
        <v/>
      </c>
      <c r="C44">
        <f>IFERROR(INDEX(Catch!$E:$BV,MATCH($A44,Catch!$A:$A,0),MATCH($B$4,Catch!$E$1:$BV$1,0)),0)</f>
        <v/>
      </c>
      <c r="D44">
        <f>IFERROR(IF(ISNUMBER(INDEX(SPPR!$E:$X,MATCH($A44,SPPR!$A:$A,0),1)),$C44*INDEX(SPPR!$E:$X,MATCH($A44,SPPR!$A:$A,0),1),""),"")</f>
        <v/>
      </c>
      <c r="E44">
        <f>IFERROR(IF(ISNUMBER(INDEX(SPPR!$E:$X,MATCH($A44,SPPR!$A:$A,0),2)),$C44*INDEX(SPPR!$E:$X,MATCH($A44,SPPR!$A:$A,0),2),""),"")</f>
        <v/>
      </c>
      <c r="F44">
        <f>IFERROR(IF(ISNUMBER(INDEX(SPPR!$E:$X,MATCH($A44,SPPR!$A:$A,0),3)),$C44*INDEX(SPPR!$E:$X,MATCH($A44,SPPR!$A:$A,0),3),""),"")</f>
        <v/>
      </c>
      <c r="G44">
        <f>IFERROR(IF(ISNUMBER(INDEX(SPPR!$E:$X,MATCH($A44,SPPR!$A:$A,0),4)),$C44*INDEX(SPPR!$E:$X,MATCH($A44,SPPR!$A:$A,0),4),""),"")</f>
        <v/>
      </c>
      <c r="H44">
        <f>IFERROR(IF(ISNUMBER(INDEX(SPPR!$E:$X,MATCH($A44,SPPR!$A:$A,0),5)),$C44*INDEX(SPPR!$E:$X,MATCH($A44,SPPR!$A:$A,0),5),""),"")</f>
        <v/>
      </c>
      <c r="I44">
        <f>IFERROR(IF(ISNUMBER(INDEX(SPPR!$E:$X,MATCH($A44,SPPR!$A:$A,0),6)),$C44*INDEX(SPPR!$E:$X,MATCH($A44,SPPR!$A:$A,0),6),""),"")</f>
        <v/>
      </c>
      <c r="J44">
        <f>IFERROR(IF(ISNUMBER(INDEX(SPPR!$E:$X,MATCH($A44,SPPR!$A:$A,0),7)),$C44*INDEX(SPPR!$E:$X,MATCH($A44,SPPR!$A:$A,0),7),""),"")</f>
        <v/>
      </c>
      <c r="K44">
        <f>IFERROR(IF(ISNUMBER(INDEX(SPPR!$E:$X,MATCH($A44,SPPR!$A:$A,0),8)),$C44*INDEX(SPPR!$E:$X,MATCH($A44,SPPR!$A:$A,0),8),""),"")</f>
        <v/>
      </c>
      <c r="L44">
        <f>IFERROR(IF(ISNUMBER(INDEX(SPPR!$E:$X,MATCH($A44,SPPR!$A:$A,0),9)),$C44*INDEX(SPPR!$E:$X,MATCH($A44,SPPR!$A:$A,0),9),""),"")</f>
        <v/>
      </c>
      <c r="M44">
        <f>IFERROR(IF(ISNUMBER(INDEX(SPPR!$E:$X,MATCH($A44,SPPR!$A:$A,0),10)),$C44*INDEX(SPPR!$E:$X,MATCH($A44,SPPR!$A:$A,0),10),""),"")</f>
        <v/>
      </c>
      <c r="N44">
        <f>IFERROR(IF(ISNUMBER(INDEX(SPPR!$E:$X,MATCH($A44,SPPR!$A:$A,0),11)),$C44*INDEX(SPPR!$E:$X,MATCH($A44,SPPR!$A:$A,0),11),""),"")</f>
        <v/>
      </c>
      <c r="O44">
        <f>IFERROR(IF(ISNUMBER(INDEX(SPPR!$E:$X,MATCH($A44,SPPR!$A:$A,0),12)),$C44*INDEX(SPPR!$E:$X,MATCH($A44,SPPR!$A:$A,0),12),""),"")</f>
        <v/>
      </c>
      <c r="P44">
        <f>IFERROR(IF(ISNUMBER(INDEX(SPPR!$E:$X,MATCH($A44,SPPR!$A:$A,0),13)),$C44*INDEX(SPPR!$E:$X,MATCH($A44,SPPR!$A:$A,0),13),""),"")</f>
        <v/>
      </c>
      <c r="Q44">
        <f>IFERROR(IF(ISNUMBER(INDEX(SPPR!$E:$X,MATCH($A44,SPPR!$A:$A,0),14)),$C44*INDEX(SPPR!$E:$X,MATCH($A44,SPPR!$A:$A,0),14),""),"")</f>
        <v/>
      </c>
      <c r="R44">
        <f>IFERROR(IF(ISNUMBER(INDEX(SPPR!$E:$X,MATCH($A44,SPPR!$A:$A,0),15)),$C44*INDEX(SPPR!$E:$X,MATCH($A44,SPPR!$A:$A,0),15),""),"")</f>
        <v/>
      </c>
      <c r="S44">
        <f>IFERROR(IF(ISNUMBER(INDEX(SPPR!$E:$X,MATCH($A44,SPPR!$A:$A,0),16)),$C44*INDEX(SPPR!$E:$X,MATCH($A44,SPPR!$A:$A,0),16),""),"")</f>
        <v/>
      </c>
      <c r="T44">
        <f>IFERROR(IF(ISNUMBER(INDEX(SPPR!$E:$X,MATCH($A44,SPPR!$A:$A,0),17)),$C44*INDEX(SPPR!$E:$X,MATCH($A44,SPPR!$A:$A,0),17),""),"")</f>
        <v/>
      </c>
      <c r="U44">
        <f>IFERROR(IF(ISNUMBER(INDEX(SPPR!$E:$X,MATCH($A44,SPPR!$A:$A,0),18)),$C44*INDEX(SPPR!$E:$X,MATCH($A44,SPPR!$A:$A,0),18),""),"")</f>
        <v/>
      </c>
      <c r="V44">
        <f>IFERROR(IF(ISNUMBER(INDEX(SPPR!$E:$X,MATCH($A44,SPPR!$A:$A,0),19)),$C44*INDEX(SPPR!$E:$X,MATCH($A44,SPPR!$A:$A,0),19),""),"")</f>
        <v/>
      </c>
      <c r="W44">
        <f>IFERROR(IF(ISNUMBER(INDEX(SPPR!$E:$X,MATCH($A44,SPPR!$A:$A,0),20)),$C44*INDEX(SPPR!$E:$X,MATCH($A44,SPPR!$A:$A,0),20),""),"")</f>
        <v/>
      </c>
    </row>
    <row r="45">
      <c r="A45" t="inlineStr">
        <is>
          <t>Decapoda</t>
        </is>
      </c>
      <c r="B45">
        <f>IFERROR(INDEX(SPPR!$D:$D,MATCH($A45,SPPR!$A:$A,0)),"")</f>
        <v/>
      </c>
      <c r="C45">
        <f>IFERROR(INDEX(Catch!$E:$BV,MATCH($A45,Catch!$A:$A,0),MATCH($B$4,Catch!$E$1:$BV$1,0)),0)</f>
        <v/>
      </c>
      <c r="D45">
        <f>IFERROR(IF(ISNUMBER(INDEX(SPPR!$E:$X,MATCH($A45,SPPR!$A:$A,0),1)),$C45*INDEX(SPPR!$E:$X,MATCH($A45,SPPR!$A:$A,0),1),""),"")</f>
        <v/>
      </c>
      <c r="E45">
        <f>IFERROR(IF(ISNUMBER(INDEX(SPPR!$E:$X,MATCH($A45,SPPR!$A:$A,0),2)),$C45*INDEX(SPPR!$E:$X,MATCH($A45,SPPR!$A:$A,0),2),""),"")</f>
        <v/>
      </c>
      <c r="F45">
        <f>IFERROR(IF(ISNUMBER(INDEX(SPPR!$E:$X,MATCH($A45,SPPR!$A:$A,0),3)),$C45*INDEX(SPPR!$E:$X,MATCH($A45,SPPR!$A:$A,0),3),""),"")</f>
        <v/>
      </c>
      <c r="G45">
        <f>IFERROR(IF(ISNUMBER(INDEX(SPPR!$E:$X,MATCH($A45,SPPR!$A:$A,0),4)),$C45*INDEX(SPPR!$E:$X,MATCH($A45,SPPR!$A:$A,0),4),""),"")</f>
        <v/>
      </c>
      <c r="H45">
        <f>IFERROR(IF(ISNUMBER(INDEX(SPPR!$E:$X,MATCH($A45,SPPR!$A:$A,0),5)),$C45*INDEX(SPPR!$E:$X,MATCH($A45,SPPR!$A:$A,0),5),""),"")</f>
        <v/>
      </c>
      <c r="I45">
        <f>IFERROR(IF(ISNUMBER(INDEX(SPPR!$E:$X,MATCH($A45,SPPR!$A:$A,0),6)),$C45*INDEX(SPPR!$E:$X,MATCH($A45,SPPR!$A:$A,0),6),""),"")</f>
        <v/>
      </c>
      <c r="J45">
        <f>IFERROR(IF(ISNUMBER(INDEX(SPPR!$E:$X,MATCH($A45,SPPR!$A:$A,0),7)),$C45*INDEX(SPPR!$E:$X,MATCH($A45,SPPR!$A:$A,0),7),""),"")</f>
        <v/>
      </c>
      <c r="K45">
        <f>IFERROR(IF(ISNUMBER(INDEX(SPPR!$E:$X,MATCH($A45,SPPR!$A:$A,0),8)),$C45*INDEX(SPPR!$E:$X,MATCH($A45,SPPR!$A:$A,0),8),""),"")</f>
        <v/>
      </c>
      <c r="L45">
        <f>IFERROR(IF(ISNUMBER(INDEX(SPPR!$E:$X,MATCH($A45,SPPR!$A:$A,0),9)),$C45*INDEX(SPPR!$E:$X,MATCH($A45,SPPR!$A:$A,0),9),""),"")</f>
        <v/>
      </c>
      <c r="M45">
        <f>IFERROR(IF(ISNUMBER(INDEX(SPPR!$E:$X,MATCH($A45,SPPR!$A:$A,0),10)),$C45*INDEX(SPPR!$E:$X,MATCH($A45,SPPR!$A:$A,0),10),""),"")</f>
        <v/>
      </c>
      <c r="N45">
        <f>IFERROR(IF(ISNUMBER(INDEX(SPPR!$E:$X,MATCH($A45,SPPR!$A:$A,0),11)),$C45*INDEX(SPPR!$E:$X,MATCH($A45,SPPR!$A:$A,0),11),""),"")</f>
        <v/>
      </c>
      <c r="O45">
        <f>IFERROR(IF(ISNUMBER(INDEX(SPPR!$E:$X,MATCH($A45,SPPR!$A:$A,0),12)),$C45*INDEX(SPPR!$E:$X,MATCH($A45,SPPR!$A:$A,0),12),""),"")</f>
        <v/>
      </c>
      <c r="P45">
        <f>IFERROR(IF(ISNUMBER(INDEX(SPPR!$E:$X,MATCH($A45,SPPR!$A:$A,0),13)),$C45*INDEX(SPPR!$E:$X,MATCH($A45,SPPR!$A:$A,0),13),""),"")</f>
        <v/>
      </c>
      <c r="Q45">
        <f>IFERROR(IF(ISNUMBER(INDEX(SPPR!$E:$X,MATCH($A45,SPPR!$A:$A,0),14)),$C45*INDEX(SPPR!$E:$X,MATCH($A45,SPPR!$A:$A,0),14),""),"")</f>
        <v/>
      </c>
      <c r="R45">
        <f>IFERROR(IF(ISNUMBER(INDEX(SPPR!$E:$X,MATCH($A45,SPPR!$A:$A,0),15)),$C45*INDEX(SPPR!$E:$X,MATCH($A45,SPPR!$A:$A,0),15),""),"")</f>
        <v/>
      </c>
      <c r="S45">
        <f>IFERROR(IF(ISNUMBER(INDEX(SPPR!$E:$X,MATCH($A45,SPPR!$A:$A,0),16)),$C45*INDEX(SPPR!$E:$X,MATCH($A45,SPPR!$A:$A,0),16),""),"")</f>
        <v/>
      </c>
      <c r="T45">
        <f>IFERROR(IF(ISNUMBER(INDEX(SPPR!$E:$X,MATCH($A45,SPPR!$A:$A,0),17)),$C45*INDEX(SPPR!$E:$X,MATCH($A45,SPPR!$A:$A,0),17),""),"")</f>
        <v/>
      </c>
      <c r="U45">
        <f>IFERROR(IF(ISNUMBER(INDEX(SPPR!$E:$X,MATCH($A45,SPPR!$A:$A,0),18)),$C45*INDEX(SPPR!$E:$X,MATCH($A45,SPPR!$A:$A,0),18),""),"")</f>
        <v/>
      </c>
      <c r="V45">
        <f>IFERROR(IF(ISNUMBER(INDEX(SPPR!$E:$X,MATCH($A45,SPPR!$A:$A,0),19)),$C45*INDEX(SPPR!$E:$X,MATCH($A45,SPPR!$A:$A,0),19),""),"")</f>
        <v/>
      </c>
      <c r="W45">
        <f>IFERROR(IF(ISNUMBER(INDEX(SPPR!$E:$X,MATCH($A45,SPPR!$A:$A,0),20)),$C45*INDEX(SPPR!$E:$X,MATCH($A45,SPPR!$A:$A,0),20),""),"")</f>
        <v/>
      </c>
    </row>
    <row r="46">
      <c r="A46" t="inlineStr">
        <is>
          <t>Octopoda</t>
        </is>
      </c>
      <c r="B46">
        <f>IFERROR(INDEX(SPPR!$D:$D,MATCH($A46,SPPR!$A:$A,0)),"")</f>
        <v/>
      </c>
      <c r="C46">
        <f>IFERROR(INDEX(Catch!$E:$BV,MATCH($A46,Catch!$A:$A,0),MATCH($B$4,Catch!$E$1:$BV$1,0)),0)</f>
        <v/>
      </c>
      <c r="D46">
        <f>IFERROR(IF(ISNUMBER(INDEX(SPPR!$E:$X,MATCH($A46,SPPR!$A:$A,0),1)),$C46*INDEX(SPPR!$E:$X,MATCH($A46,SPPR!$A:$A,0),1),""),"")</f>
        <v/>
      </c>
      <c r="E46">
        <f>IFERROR(IF(ISNUMBER(INDEX(SPPR!$E:$X,MATCH($A46,SPPR!$A:$A,0),2)),$C46*INDEX(SPPR!$E:$X,MATCH($A46,SPPR!$A:$A,0),2),""),"")</f>
        <v/>
      </c>
      <c r="F46">
        <f>IFERROR(IF(ISNUMBER(INDEX(SPPR!$E:$X,MATCH($A46,SPPR!$A:$A,0),3)),$C46*INDEX(SPPR!$E:$X,MATCH($A46,SPPR!$A:$A,0),3),""),"")</f>
        <v/>
      </c>
      <c r="G46">
        <f>IFERROR(IF(ISNUMBER(INDEX(SPPR!$E:$X,MATCH($A46,SPPR!$A:$A,0),4)),$C46*INDEX(SPPR!$E:$X,MATCH($A46,SPPR!$A:$A,0),4),""),"")</f>
        <v/>
      </c>
      <c r="H46">
        <f>IFERROR(IF(ISNUMBER(INDEX(SPPR!$E:$X,MATCH($A46,SPPR!$A:$A,0),5)),$C46*INDEX(SPPR!$E:$X,MATCH($A46,SPPR!$A:$A,0),5),""),"")</f>
        <v/>
      </c>
      <c r="I46">
        <f>IFERROR(IF(ISNUMBER(INDEX(SPPR!$E:$X,MATCH($A46,SPPR!$A:$A,0),6)),$C46*INDEX(SPPR!$E:$X,MATCH($A46,SPPR!$A:$A,0),6),""),"")</f>
        <v/>
      </c>
      <c r="J46">
        <f>IFERROR(IF(ISNUMBER(INDEX(SPPR!$E:$X,MATCH($A46,SPPR!$A:$A,0),7)),$C46*INDEX(SPPR!$E:$X,MATCH($A46,SPPR!$A:$A,0),7),""),"")</f>
        <v/>
      </c>
      <c r="K46">
        <f>IFERROR(IF(ISNUMBER(INDEX(SPPR!$E:$X,MATCH($A46,SPPR!$A:$A,0),8)),$C46*INDEX(SPPR!$E:$X,MATCH($A46,SPPR!$A:$A,0),8),""),"")</f>
        <v/>
      </c>
      <c r="L46">
        <f>IFERROR(IF(ISNUMBER(INDEX(SPPR!$E:$X,MATCH($A46,SPPR!$A:$A,0),9)),$C46*INDEX(SPPR!$E:$X,MATCH($A46,SPPR!$A:$A,0),9),""),"")</f>
        <v/>
      </c>
      <c r="M46">
        <f>IFERROR(IF(ISNUMBER(INDEX(SPPR!$E:$X,MATCH($A46,SPPR!$A:$A,0),10)),$C46*INDEX(SPPR!$E:$X,MATCH($A46,SPPR!$A:$A,0),10),""),"")</f>
        <v/>
      </c>
      <c r="N46">
        <f>IFERROR(IF(ISNUMBER(INDEX(SPPR!$E:$X,MATCH($A46,SPPR!$A:$A,0),11)),$C46*INDEX(SPPR!$E:$X,MATCH($A46,SPPR!$A:$A,0),11),""),"")</f>
        <v/>
      </c>
      <c r="O46">
        <f>IFERROR(IF(ISNUMBER(INDEX(SPPR!$E:$X,MATCH($A46,SPPR!$A:$A,0),12)),$C46*INDEX(SPPR!$E:$X,MATCH($A46,SPPR!$A:$A,0),12),""),"")</f>
        <v/>
      </c>
      <c r="P46">
        <f>IFERROR(IF(ISNUMBER(INDEX(SPPR!$E:$X,MATCH($A46,SPPR!$A:$A,0),13)),$C46*INDEX(SPPR!$E:$X,MATCH($A46,SPPR!$A:$A,0),13),""),"")</f>
        <v/>
      </c>
      <c r="Q46">
        <f>IFERROR(IF(ISNUMBER(INDEX(SPPR!$E:$X,MATCH($A46,SPPR!$A:$A,0),14)),$C46*INDEX(SPPR!$E:$X,MATCH($A46,SPPR!$A:$A,0),14),""),"")</f>
        <v/>
      </c>
      <c r="R46">
        <f>IFERROR(IF(ISNUMBER(INDEX(SPPR!$E:$X,MATCH($A46,SPPR!$A:$A,0),15)),$C46*INDEX(SPPR!$E:$X,MATCH($A46,SPPR!$A:$A,0),15),""),"")</f>
        <v/>
      </c>
      <c r="S46">
        <f>IFERROR(IF(ISNUMBER(INDEX(SPPR!$E:$X,MATCH($A46,SPPR!$A:$A,0),16)),$C46*INDEX(SPPR!$E:$X,MATCH($A46,SPPR!$A:$A,0),16),""),"")</f>
        <v/>
      </c>
      <c r="T46">
        <f>IFERROR(IF(ISNUMBER(INDEX(SPPR!$E:$X,MATCH($A46,SPPR!$A:$A,0),17)),$C46*INDEX(SPPR!$E:$X,MATCH($A46,SPPR!$A:$A,0),17),""),"")</f>
        <v/>
      </c>
      <c r="U46">
        <f>IFERROR(IF(ISNUMBER(INDEX(SPPR!$E:$X,MATCH($A46,SPPR!$A:$A,0),18)),$C46*INDEX(SPPR!$E:$X,MATCH($A46,SPPR!$A:$A,0),18),""),"")</f>
        <v/>
      </c>
      <c r="V46">
        <f>IFERROR(IF(ISNUMBER(INDEX(SPPR!$E:$X,MATCH($A46,SPPR!$A:$A,0),19)),$C46*INDEX(SPPR!$E:$X,MATCH($A46,SPPR!$A:$A,0),19),""),"")</f>
        <v/>
      </c>
      <c r="W46">
        <f>IFERROR(IF(ISNUMBER(INDEX(SPPR!$E:$X,MATCH($A46,SPPR!$A:$A,0),20)),$C46*INDEX(SPPR!$E:$X,MATCH($A46,SPPR!$A:$A,0),20),""),"")</f>
        <v/>
      </c>
    </row>
    <row r="47">
      <c r="A47" t="inlineStr">
        <is>
          <t>Anoplopoma fimbria</t>
        </is>
      </c>
      <c r="B47">
        <f>IFERROR(INDEX(SPPR!$D:$D,MATCH($A47,SPPR!$A:$A,0)),"")</f>
        <v/>
      </c>
      <c r="C47">
        <f>IFERROR(INDEX(Catch!$E:$BV,MATCH($A47,Catch!$A:$A,0),MATCH($B$4,Catch!$E$1:$BV$1,0)),0)</f>
        <v/>
      </c>
      <c r="D47">
        <f>IFERROR(IF(ISNUMBER(INDEX(SPPR!$E:$X,MATCH($A47,SPPR!$A:$A,0),1)),$C47*INDEX(SPPR!$E:$X,MATCH($A47,SPPR!$A:$A,0),1),""),"")</f>
        <v/>
      </c>
      <c r="E47">
        <f>IFERROR(IF(ISNUMBER(INDEX(SPPR!$E:$X,MATCH($A47,SPPR!$A:$A,0),2)),$C47*INDEX(SPPR!$E:$X,MATCH($A47,SPPR!$A:$A,0),2),""),"")</f>
        <v/>
      </c>
      <c r="F47">
        <f>IFERROR(IF(ISNUMBER(INDEX(SPPR!$E:$X,MATCH($A47,SPPR!$A:$A,0),3)),$C47*INDEX(SPPR!$E:$X,MATCH($A47,SPPR!$A:$A,0),3),""),"")</f>
        <v/>
      </c>
      <c r="G47">
        <f>IFERROR(IF(ISNUMBER(INDEX(SPPR!$E:$X,MATCH($A47,SPPR!$A:$A,0),4)),$C47*INDEX(SPPR!$E:$X,MATCH($A47,SPPR!$A:$A,0),4),""),"")</f>
        <v/>
      </c>
      <c r="H47">
        <f>IFERROR(IF(ISNUMBER(INDEX(SPPR!$E:$X,MATCH($A47,SPPR!$A:$A,0),5)),$C47*INDEX(SPPR!$E:$X,MATCH($A47,SPPR!$A:$A,0),5),""),"")</f>
        <v/>
      </c>
      <c r="I47">
        <f>IFERROR(IF(ISNUMBER(INDEX(SPPR!$E:$X,MATCH($A47,SPPR!$A:$A,0),6)),$C47*INDEX(SPPR!$E:$X,MATCH($A47,SPPR!$A:$A,0),6),""),"")</f>
        <v/>
      </c>
      <c r="J47">
        <f>IFERROR(IF(ISNUMBER(INDEX(SPPR!$E:$X,MATCH($A47,SPPR!$A:$A,0),7)),$C47*INDEX(SPPR!$E:$X,MATCH($A47,SPPR!$A:$A,0),7),""),"")</f>
        <v/>
      </c>
      <c r="K47">
        <f>IFERROR(IF(ISNUMBER(INDEX(SPPR!$E:$X,MATCH($A47,SPPR!$A:$A,0),8)),$C47*INDEX(SPPR!$E:$X,MATCH($A47,SPPR!$A:$A,0),8),""),"")</f>
        <v/>
      </c>
      <c r="L47">
        <f>IFERROR(IF(ISNUMBER(INDEX(SPPR!$E:$X,MATCH($A47,SPPR!$A:$A,0),9)),$C47*INDEX(SPPR!$E:$X,MATCH($A47,SPPR!$A:$A,0),9),""),"")</f>
        <v/>
      </c>
      <c r="M47">
        <f>IFERROR(IF(ISNUMBER(INDEX(SPPR!$E:$X,MATCH($A47,SPPR!$A:$A,0),10)),$C47*INDEX(SPPR!$E:$X,MATCH($A47,SPPR!$A:$A,0),10),""),"")</f>
        <v/>
      </c>
      <c r="N47">
        <f>IFERROR(IF(ISNUMBER(INDEX(SPPR!$E:$X,MATCH($A47,SPPR!$A:$A,0),11)),$C47*INDEX(SPPR!$E:$X,MATCH($A47,SPPR!$A:$A,0),11),""),"")</f>
        <v/>
      </c>
      <c r="O47">
        <f>IFERROR(IF(ISNUMBER(INDEX(SPPR!$E:$X,MATCH($A47,SPPR!$A:$A,0),12)),$C47*INDEX(SPPR!$E:$X,MATCH($A47,SPPR!$A:$A,0),12),""),"")</f>
        <v/>
      </c>
      <c r="P47">
        <f>IFERROR(IF(ISNUMBER(INDEX(SPPR!$E:$X,MATCH($A47,SPPR!$A:$A,0),13)),$C47*INDEX(SPPR!$E:$X,MATCH($A47,SPPR!$A:$A,0),13),""),"")</f>
        <v/>
      </c>
      <c r="Q47">
        <f>IFERROR(IF(ISNUMBER(INDEX(SPPR!$E:$X,MATCH($A47,SPPR!$A:$A,0),14)),$C47*INDEX(SPPR!$E:$X,MATCH($A47,SPPR!$A:$A,0),14),""),"")</f>
        <v/>
      </c>
      <c r="R47">
        <f>IFERROR(IF(ISNUMBER(INDEX(SPPR!$E:$X,MATCH($A47,SPPR!$A:$A,0),15)),$C47*INDEX(SPPR!$E:$X,MATCH($A47,SPPR!$A:$A,0),15),""),"")</f>
        <v/>
      </c>
      <c r="S47">
        <f>IFERROR(IF(ISNUMBER(INDEX(SPPR!$E:$X,MATCH($A47,SPPR!$A:$A,0),16)),$C47*INDEX(SPPR!$E:$X,MATCH($A47,SPPR!$A:$A,0),16),""),"")</f>
        <v/>
      </c>
      <c r="T47">
        <f>IFERROR(IF(ISNUMBER(INDEX(SPPR!$E:$X,MATCH($A47,SPPR!$A:$A,0),17)),$C47*INDEX(SPPR!$E:$X,MATCH($A47,SPPR!$A:$A,0),17),""),"")</f>
        <v/>
      </c>
      <c r="U47">
        <f>IFERROR(IF(ISNUMBER(INDEX(SPPR!$E:$X,MATCH($A47,SPPR!$A:$A,0),18)),$C47*INDEX(SPPR!$E:$X,MATCH($A47,SPPR!$A:$A,0),18),""),"")</f>
        <v/>
      </c>
      <c r="V47">
        <f>IFERROR(IF(ISNUMBER(INDEX(SPPR!$E:$X,MATCH($A47,SPPR!$A:$A,0),19)),$C47*INDEX(SPPR!$E:$X,MATCH($A47,SPPR!$A:$A,0),19),""),"")</f>
        <v/>
      </c>
      <c r="W47">
        <f>IFERROR(IF(ISNUMBER(INDEX(SPPR!$E:$X,MATCH($A47,SPPR!$A:$A,0),20)),$C47*INDEX(SPPR!$E:$X,MATCH($A47,SPPR!$A:$A,0),20),""),"")</f>
        <v/>
      </c>
    </row>
    <row r="48">
      <c r="A48" t="inlineStr">
        <is>
          <t>Reinhardtius hippoglossoides</t>
        </is>
      </c>
      <c r="B48">
        <f>IFERROR(INDEX(SPPR!$D:$D,MATCH($A48,SPPR!$A:$A,0)),"")</f>
        <v/>
      </c>
      <c r="C48">
        <f>IFERROR(INDEX(Catch!$E:$BV,MATCH($A48,Catch!$A:$A,0),MATCH($B$4,Catch!$E$1:$BV$1,0)),0)</f>
        <v/>
      </c>
      <c r="D48">
        <f>IFERROR(IF(ISNUMBER(INDEX(SPPR!$E:$X,MATCH($A48,SPPR!$A:$A,0),1)),$C48*INDEX(SPPR!$E:$X,MATCH($A48,SPPR!$A:$A,0),1),""),"")</f>
        <v/>
      </c>
      <c r="E48">
        <f>IFERROR(IF(ISNUMBER(INDEX(SPPR!$E:$X,MATCH($A48,SPPR!$A:$A,0),2)),$C48*INDEX(SPPR!$E:$X,MATCH($A48,SPPR!$A:$A,0),2),""),"")</f>
        <v/>
      </c>
      <c r="F48">
        <f>IFERROR(IF(ISNUMBER(INDEX(SPPR!$E:$X,MATCH($A48,SPPR!$A:$A,0),3)),$C48*INDEX(SPPR!$E:$X,MATCH($A48,SPPR!$A:$A,0),3),""),"")</f>
        <v/>
      </c>
      <c r="G48">
        <f>IFERROR(IF(ISNUMBER(INDEX(SPPR!$E:$X,MATCH($A48,SPPR!$A:$A,0),4)),$C48*INDEX(SPPR!$E:$X,MATCH($A48,SPPR!$A:$A,0),4),""),"")</f>
        <v/>
      </c>
      <c r="H48">
        <f>IFERROR(IF(ISNUMBER(INDEX(SPPR!$E:$X,MATCH($A48,SPPR!$A:$A,0),5)),$C48*INDEX(SPPR!$E:$X,MATCH($A48,SPPR!$A:$A,0),5),""),"")</f>
        <v/>
      </c>
      <c r="I48">
        <f>IFERROR(IF(ISNUMBER(INDEX(SPPR!$E:$X,MATCH($A48,SPPR!$A:$A,0),6)),$C48*INDEX(SPPR!$E:$X,MATCH($A48,SPPR!$A:$A,0),6),""),"")</f>
        <v/>
      </c>
      <c r="J48">
        <f>IFERROR(IF(ISNUMBER(INDEX(SPPR!$E:$X,MATCH($A48,SPPR!$A:$A,0),7)),$C48*INDEX(SPPR!$E:$X,MATCH($A48,SPPR!$A:$A,0),7),""),"")</f>
        <v/>
      </c>
      <c r="K48">
        <f>IFERROR(IF(ISNUMBER(INDEX(SPPR!$E:$X,MATCH($A48,SPPR!$A:$A,0),8)),$C48*INDEX(SPPR!$E:$X,MATCH($A48,SPPR!$A:$A,0),8),""),"")</f>
        <v/>
      </c>
      <c r="L48">
        <f>IFERROR(IF(ISNUMBER(INDEX(SPPR!$E:$X,MATCH($A48,SPPR!$A:$A,0),9)),$C48*INDEX(SPPR!$E:$X,MATCH($A48,SPPR!$A:$A,0),9),""),"")</f>
        <v/>
      </c>
      <c r="M48">
        <f>IFERROR(IF(ISNUMBER(INDEX(SPPR!$E:$X,MATCH($A48,SPPR!$A:$A,0),10)),$C48*INDEX(SPPR!$E:$X,MATCH($A48,SPPR!$A:$A,0),10),""),"")</f>
        <v/>
      </c>
      <c r="N48">
        <f>IFERROR(IF(ISNUMBER(INDEX(SPPR!$E:$X,MATCH($A48,SPPR!$A:$A,0),11)),$C48*INDEX(SPPR!$E:$X,MATCH($A48,SPPR!$A:$A,0),11),""),"")</f>
        <v/>
      </c>
      <c r="O48">
        <f>IFERROR(IF(ISNUMBER(INDEX(SPPR!$E:$X,MATCH($A48,SPPR!$A:$A,0),12)),$C48*INDEX(SPPR!$E:$X,MATCH($A48,SPPR!$A:$A,0),12),""),"")</f>
        <v/>
      </c>
      <c r="P48">
        <f>IFERROR(IF(ISNUMBER(INDEX(SPPR!$E:$X,MATCH($A48,SPPR!$A:$A,0),13)),$C48*INDEX(SPPR!$E:$X,MATCH($A48,SPPR!$A:$A,0),13),""),"")</f>
        <v/>
      </c>
      <c r="Q48">
        <f>IFERROR(IF(ISNUMBER(INDEX(SPPR!$E:$X,MATCH($A48,SPPR!$A:$A,0),14)),$C48*INDEX(SPPR!$E:$X,MATCH($A48,SPPR!$A:$A,0),14),""),"")</f>
        <v/>
      </c>
      <c r="R48">
        <f>IFERROR(IF(ISNUMBER(INDEX(SPPR!$E:$X,MATCH($A48,SPPR!$A:$A,0),15)),$C48*INDEX(SPPR!$E:$X,MATCH($A48,SPPR!$A:$A,0),15),""),"")</f>
        <v/>
      </c>
      <c r="S48">
        <f>IFERROR(IF(ISNUMBER(INDEX(SPPR!$E:$X,MATCH($A48,SPPR!$A:$A,0),16)),$C48*INDEX(SPPR!$E:$X,MATCH($A48,SPPR!$A:$A,0),16),""),"")</f>
        <v/>
      </c>
      <c r="T48">
        <f>IFERROR(IF(ISNUMBER(INDEX(SPPR!$E:$X,MATCH($A48,SPPR!$A:$A,0),17)),$C48*INDEX(SPPR!$E:$X,MATCH($A48,SPPR!$A:$A,0),17),""),"")</f>
        <v/>
      </c>
      <c r="U48">
        <f>IFERROR(IF(ISNUMBER(INDEX(SPPR!$E:$X,MATCH($A48,SPPR!$A:$A,0),18)),$C48*INDEX(SPPR!$E:$X,MATCH($A48,SPPR!$A:$A,0),18),""),"")</f>
        <v/>
      </c>
      <c r="V48">
        <f>IFERROR(IF(ISNUMBER(INDEX(SPPR!$E:$X,MATCH($A48,SPPR!$A:$A,0),19)),$C48*INDEX(SPPR!$E:$X,MATCH($A48,SPPR!$A:$A,0),19),""),"")</f>
        <v/>
      </c>
      <c r="W48">
        <f>IFERROR(IF(ISNUMBER(INDEX(SPPR!$E:$X,MATCH($A48,SPPR!$A:$A,0),20)),$C48*INDEX(SPPR!$E:$X,MATCH($A48,SPPR!$A:$A,0),20),""),"")</f>
        <v/>
      </c>
    </row>
    <row r="49">
      <c r="A49" t="inlineStr">
        <is>
          <t>Salmonidae</t>
        </is>
      </c>
      <c r="B49">
        <f>IFERROR(INDEX(SPPR!$D:$D,MATCH($A49,SPPR!$A:$A,0)),"")</f>
        <v/>
      </c>
      <c r="C49">
        <f>IFERROR(INDEX(Catch!$E:$BV,MATCH($A49,Catch!$A:$A,0),MATCH($B$4,Catch!$E$1:$BV$1,0)),0)</f>
        <v/>
      </c>
      <c r="D49">
        <f>IFERROR(IF(ISNUMBER(INDEX(SPPR!$E:$X,MATCH($A49,SPPR!$A:$A,0),1)),$C49*INDEX(SPPR!$E:$X,MATCH($A49,SPPR!$A:$A,0),1),""),"")</f>
        <v/>
      </c>
      <c r="E49">
        <f>IFERROR(IF(ISNUMBER(INDEX(SPPR!$E:$X,MATCH($A49,SPPR!$A:$A,0),2)),$C49*INDEX(SPPR!$E:$X,MATCH($A49,SPPR!$A:$A,0),2),""),"")</f>
        <v/>
      </c>
      <c r="F49">
        <f>IFERROR(IF(ISNUMBER(INDEX(SPPR!$E:$X,MATCH($A49,SPPR!$A:$A,0),3)),$C49*INDEX(SPPR!$E:$X,MATCH($A49,SPPR!$A:$A,0),3),""),"")</f>
        <v/>
      </c>
      <c r="G49">
        <f>IFERROR(IF(ISNUMBER(INDEX(SPPR!$E:$X,MATCH($A49,SPPR!$A:$A,0),4)),$C49*INDEX(SPPR!$E:$X,MATCH($A49,SPPR!$A:$A,0),4),""),"")</f>
        <v/>
      </c>
      <c r="H49">
        <f>IFERROR(IF(ISNUMBER(INDEX(SPPR!$E:$X,MATCH($A49,SPPR!$A:$A,0),5)),$C49*INDEX(SPPR!$E:$X,MATCH($A49,SPPR!$A:$A,0),5),""),"")</f>
        <v/>
      </c>
      <c r="I49">
        <f>IFERROR(IF(ISNUMBER(INDEX(SPPR!$E:$X,MATCH($A49,SPPR!$A:$A,0),6)),$C49*INDEX(SPPR!$E:$X,MATCH($A49,SPPR!$A:$A,0),6),""),"")</f>
        <v/>
      </c>
      <c r="J49">
        <f>IFERROR(IF(ISNUMBER(INDEX(SPPR!$E:$X,MATCH($A49,SPPR!$A:$A,0),7)),$C49*INDEX(SPPR!$E:$X,MATCH($A49,SPPR!$A:$A,0),7),""),"")</f>
        <v/>
      </c>
      <c r="K49">
        <f>IFERROR(IF(ISNUMBER(INDEX(SPPR!$E:$X,MATCH($A49,SPPR!$A:$A,0),8)),$C49*INDEX(SPPR!$E:$X,MATCH($A49,SPPR!$A:$A,0),8),""),"")</f>
        <v/>
      </c>
      <c r="L49">
        <f>IFERROR(IF(ISNUMBER(INDEX(SPPR!$E:$X,MATCH($A49,SPPR!$A:$A,0),9)),$C49*INDEX(SPPR!$E:$X,MATCH($A49,SPPR!$A:$A,0),9),""),"")</f>
        <v/>
      </c>
      <c r="M49">
        <f>IFERROR(IF(ISNUMBER(INDEX(SPPR!$E:$X,MATCH($A49,SPPR!$A:$A,0),10)),$C49*INDEX(SPPR!$E:$X,MATCH($A49,SPPR!$A:$A,0),10),""),"")</f>
        <v/>
      </c>
      <c r="N49">
        <f>IFERROR(IF(ISNUMBER(INDEX(SPPR!$E:$X,MATCH($A49,SPPR!$A:$A,0),11)),$C49*INDEX(SPPR!$E:$X,MATCH($A49,SPPR!$A:$A,0),11),""),"")</f>
        <v/>
      </c>
      <c r="O49">
        <f>IFERROR(IF(ISNUMBER(INDEX(SPPR!$E:$X,MATCH($A49,SPPR!$A:$A,0),12)),$C49*INDEX(SPPR!$E:$X,MATCH($A49,SPPR!$A:$A,0),12),""),"")</f>
        <v/>
      </c>
      <c r="P49">
        <f>IFERROR(IF(ISNUMBER(INDEX(SPPR!$E:$X,MATCH($A49,SPPR!$A:$A,0),13)),$C49*INDEX(SPPR!$E:$X,MATCH($A49,SPPR!$A:$A,0),13),""),"")</f>
        <v/>
      </c>
      <c r="Q49">
        <f>IFERROR(IF(ISNUMBER(INDEX(SPPR!$E:$X,MATCH($A49,SPPR!$A:$A,0),14)),$C49*INDEX(SPPR!$E:$X,MATCH($A49,SPPR!$A:$A,0),14),""),"")</f>
        <v/>
      </c>
      <c r="R49">
        <f>IFERROR(IF(ISNUMBER(INDEX(SPPR!$E:$X,MATCH($A49,SPPR!$A:$A,0),15)),$C49*INDEX(SPPR!$E:$X,MATCH($A49,SPPR!$A:$A,0),15),""),"")</f>
        <v/>
      </c>
      <c r="S49">
        <f>IFERROR(IF(ISNUMBER(INDEX(SPPR!$E:$X,MATCH($A49,SPPR!$A:$A,0),16)),$C49*INDEX(SPPR!$E:$X,MATCH($A49,SPPR!$A:$A,0),16),""),"")</f>
        <v/>
      </c>
      <c r="T49">
        <f>IFERROR(IF(ISNUMBER(INDEX(SPPR!$E:$X,MATCH($A49,SPPR!$A:$A,0),17)),$C49*INDEX(SPPR!$E:$X,MATCH($A49,SPPR!$A:$A,0),17),""),"")</f>
        <v/>
      </c>
      <c r="U49">
        <f>IFERROR(IF(ISNUMBER(INDEX(SPPR!$E:$X,MATCH($A49,SPPR!$A:$A,0),18)),$C49*INDEX(SPPR!$E:$X,MATCH($A49,SPPR!$A:$A,0),18),""),"")</f>
        <v/>
      </c>
      <c r="V49">
        <f>IFERROR(IF(ISNUMBER(INDEX(SPPR!$E:$X,MATCH($A49,SPPR!$A:$A,0),19)),$C49*INDEX(SPPR!$E:$X,MATCH($A49,SPPR!$A:$A,0),19),""),"")</f>
        <v/>
      </c>
      <c r="W49">
        <f>IFERROR(IF(ISNUMBER(INDEX(SPPR!$E:$X,MATCH($A49,SPPR!$A:$A,0),20)),$C49*INDEX(SPPR!$E:$X,MATCH($A49,SPPR!$A:$A,0),20),""),"")</f>
        <v/>
      </c>
    </row>
    <row r="50">
      <c r="A50" t="inlineStr">
        <is>
          <t>Arctoscopus japonicus</t>
        </is>
      </c>
      <c r="B50">
        <f>IFERROR(INDEX(SPPR!$D:$D,MATCH($A50,SPPR!$A:$A,0)),"")</f>
        <v/>
      </c>
      <c r="C50">
        <f>IFERROR(INDEX(Catch!$E:$BV,MATCH($A50,Catch!$A:$A,0),MATCH($B$4,Catch!$E$1:$BV$1,0)),0)</f>
        <v/>
      </c>
      <c r="D50">
        <f>IFERROR(IF(ISNUMBER(INDEX(SPPR!$E:$X,MATCH($A50,SPPR!$A:$A,0),1)),$C50*INDEX(SPPR!$E:$X,MATCH($A50,SPPR!$A:$A,0),1),""),"")</f>
        <v/>
      </c>
      <c r="E50">
        <f>IFERROR(IF(ISNUMBER(INDEX(SPPR!$E:$X,MATCH($A50,SPPR!$A:$A,0),2)),$C50*INDEX(SPPR!$E:$X,MATCH($A50,SPPR!$A:$A,0),2),""),"")</f>
        <v/>
      </c>
      <c r="F50">
        <f>IFERROR(IF(ISNUMBER(INDEX(SPPR!$E:$X,MATCH($A50,SPPR!$A:$A,0),3)),$C50*INDEX(SPPR!$E:$X,MATCH($A50,SPPR!$A:$A,0),3),""),"")</f>
        <v/>
      </c>
      <c r="G50">
        <f>IFERROR(IF(ISNUMBER(INDEX(SPPR!$E:$X,MATCH($A50,SPPR!$A:$A,0),4)),$C50*INDEX(SPPR!$E:$X,MATCH($A50,SPPR!$A:$A,0),4),""),"")</f>
        <v/>
      </c>
      <c r="H50">
        <f>IFERROR(IF(ISNUMBER(INDEX(SPPR!$E:$X,MATCH($A50,SPPR!$A:$A,0),5)),$C50*INDEX(SPPR!$E:$X,MATCH($A50,SPPR!$A:$A,0),5),""),"")</f>
        <v/>
      </c>
      <c r="I50">
        <f>IFERROR(IF(ISNUMBER(INDEX(SPPR!$E:$X,MATCH($A50,SPPR!$A:$A,0),6)),$C50*INDEX(SPPR!$E:$X,MATCH($A50,SPPR!$A:$A,0),6),""),"")</f>
        <v/>
      </c>
      <c r="J50">
        <f>IFERROR(IF(ISNUMBER(INDEX(SPPR!$E:$X,MATCH($A50,SPPR!$A:$A,0),7)),$C50*INDEX(SPPR!$E:$X,MATCH($A50,SPPR!$A:$A,0),7),""),"")</f>
        <v/>
      </c>
      <c r="K50">
        <f>IFERROR(IF(ISNUMBER(INDEX(SPPR!$E:$X,MATCH($A50,SPPR!$A:$A,0),8)),$C50*INDEX(SPPR!$E:$X,MATCH($A50,SPPR!$A:$A,0),8),""),"")</f>
        <v/>
      </c>
      <c r="L50">
        <f>IFERROR(IF(ISNUMBER(INDEX(SPPR!$E:$X,MATCH($A50,SPPR!$A:$A,0),9)),$C50*INDEX(SPPR!$E:$X,MATCH($A50,SPPR!$A:$A,0),9),""),"")</f>
        <v/>
      </c>
      <c r="M50">
        <f>IFERROR(IF(ISNUMBER(INDEX(SPPR!$E:$X,MATCH($A50,SPPR!$A:$A,0),10)),$C50*INDEX(SPPR!$E:$X,MATCH($A50,SPPR!$A:$A,0),10),""),"")</f>
        <v/>
      </c>
      <c r="N50">
        <f>IFERROR(IF(ISNUMBER(INDEX(SPPR!$E:$X,MATCH($A50,SPPR!$A:$A,0),11)),$C50*INDEX(SPPR!$E:$X,MATCH($A50,SPPR!$A:$A,0),11),""),"")</f>
        <v/>
      </c>
      <c r="O50">
        <f>IFERROR(IF(ISNUMBER(INDEX(SPPR!$E:$X,MATCH($A50,SPPR!$A:$A,0),12)),$C50*INDEX(SPPR!$E:$X,MATCH($A50,SPPR!$A:$A,0),12),""),"")</f>
        <v/>
      </c>
      <c r="P50">
        <f>IFERROR(IF(ISNUMBER(INDEX(SPPR!$E:$X,MATCH($A50,SPPR!$A:$A,0),13)),$C50*INDEX(SPPR!$E:$X,MATCH($A50,SPPR!$A:$A,0),13),""),"")</f>
        <v/>
      </c>
      <c r="Q50">
        <f>IFERROR(IF(ISNUMBER(INDEX(SPPR!$E:$X,MATCH($A50,SPPR!$A:$A,0),14)),$C50*INDEX(SPPR!$E:$X,MATCH($A50,SPPR!$A:$A,0),14),""),"")</f>
        <v/>
      </c>
      <c r="R50">
        <f>IFERROR(IF(ISNUMBER(INDEX(SPPR!$E:$X,MATCH($A50,SPPR!$A:$A,0),15)),$C50*INDEX(SPPR!$E:$X,MATCH($A50,SPPR!$A:$A,0),15),""),"")</f>
        <v/>
      </c>
      <c r="S50">
        <f>IFERROR(IF(ISNUMBER(INDEX(SPPR!$E:$X,MATCH($A50,SPPR!$A:$A,0),16)),$C50*INDEX(SPPR!$E:$X,MATCH($A50,SPPR!$A:$A,0),16),""),"")</f>
        <v/>
      </c>
      <c r="T50">
        <f>IFERROR(IF(ISNUMBER(INDEX(SPPR!$E:$X,MATCH($A50,SPPR!$A:$A,0),17)),$C50*INDEX(SPPR!$E:$X,MATCH($A50,SPPR!$A:$A,0),17),""),"")</f>
        <v/>
      </c>
      <c r="U50">
        <f>IFERROR(IF(ISNUMBER(INDEX(SPPR!$E:$X,MATCH($A50,SPPR!$A:$A,0),18)),$C50*INDEX(SPPR!$E:$X,MATCH($A50,SPPR!$A:$A,0),18),""),"")</f>
        <v/>
      </c>
      <c r="V50">
        <f>IFERROR(IF(ISNUMBER(INDEX(SPPR!$E:$X,MATCH($A50,SPPR!$A:$A,0),19)),$C50*INDEX(SPPR!$E:$X,MATCH($A50,SPPR!$A:$A,0),19),""),"")</f>
        <v/>
      </c>
      <c r="W50">
        <f>IFERROR(IF(ISNUMBER(INDEX(SPPR!$E:$X,MATCH($A50,SPPR!$A:$A,0),20)),$C50*INDEX(SPPR!$E:$X,MATCH($A50,SPPR!$A:$A,0),20),""),"")</f>
        <v/>
      </c>
    </row>
    <row r="51">
      <c r="A51" t="inlineStr">
        <is>
          <t>Trichiurus lepturus</t>
        </is>
      </c>
      <c r="B51">
        <f>IFERROR(INDEX(SPPR!$D:$D,MATCH($A51,SPPR!$A:$A,0)),"")</f>
        <v/>
      </c>
      <c r="C51">
        <f>IFERROR(INDEX(Catch!$E:$BV,MATCH($A51,Catch!$A:$A,0),MATCH($B$4,Catch!$E$1:$BV$1,0)),0)</f>
        <v/>
      </c>
      <c r="D51">
        <f>IFERROR(IF(ISNUMBER(INDEX(SPPR!$E:$X,MATCH($A51,SPPR!$A:$A,0),1)),$C51*INDEX(SPPR!$E:$X,MATCH($A51,SPPR!$A:$A,0),1),""),"")</f>
        <v/>
      </c>
      <c r="E51">
        <f>IFERROR(IF(ISNUMBER(INDEX(SPPR!$E:$X,MATCH($A51,SPPR!$A:$A,0),2)),$C51*INDEX(SPPR!$E:$X,MATCH($A51,SPPR!$A:$A,0),2),""),"")</f>
        <v/>
      </c>
      <c r="F51">
        <f>IFERROR(IF(ISNUMBER(INDEX(SPPR!$E:$X,MATCH($A51,SPPR!$A:$A,0),3)),$C51*INDEX(SPPR!$E:$X,MATCH($A51,SPPR!$A:$A,0),3),""),"")</f>
        <v/>
      </c>
      <c r="G51">
        <f>IFERROR(IF(ISNUMBER(INDEX(SPPR!$E:$X,MATCH($A51,SPPR!$A:$A,0),4)),$C51*INDEX(SPPR!$E:$X,MATCH($A51,SPPR!$A:$A,0),4),""),"")</f>
        <v/>
      </c>
      <c r="H51">
        <f>IFERROR(IF(ISNUMBER(INDEX(SPPR!$E:$X,MATCH($A51,SPPR!$A:$A,0),5)),$C51*INDEX(SPPR!$E:$X,MATCH($A51,SPPR!$A:$A,0),5),""),"")</f>
        <v/>
      </c>
      <c r="I51">
        <f>IFERROR(IF(ISNUMBER(INDEX(SPPR!$E:$X,MATCH($A51,SPPR!$A:$A,0),6)),$C51*INDEX(SPPR!$E:$X,MATCH($A51,SPPR!$A:$A,0),6),""),"")</f>
        <v/>
      </c>
      <c r="J51">
        <f>IFERROR(IF(ISNUMBER(INDEX(SPPR!$E:$X,MATCH($A51,SPPR!$A:$A,0),7)),$C51*INDEX(SPPR!$E:$X,MATCH($A51,SPPR!$A:$A,0),7),""),"")</f>
        <v/>
      </c>
      <c r="K51">
        <f>IFERROR(IF(ISNUMBER(INDEX(SPPR!$E:$X,MATCH($A51,SPPR!$A:$A,0),8)),$C51*INDEX(SPPR!$E:$X,MATCH($A51,SPPR!$A:$A,0),8),""),"")</f>
        <v/>
      </c>
      <c r="L51">
        <f>IFERROR(IF(ISNUMBER(INDEX(SPPR!$E:$X,MATCH($A51,SPPR!$A:$A,0),9)),$C51*INDEX(SPPR!$E:$X,MATCH($A51,SPPR!$A:$A,0),9),""),"")</f>
        <v/>
      </c>
      <c r="M51">
        <f>IFERROR(IF(ISNUMBER(INDEX(SPPR!$E:$X,MATCH($A51,SPPR!$A:$A,0),10)),$C51*INDEX(SPPR!$E:$X,MATCH($A51,SPPR!$A:$A,0),10),""),"")</f>
        <v/>
      </c>
      <c r="N51">
        <f>IFERROR(IF(ISNUMBER(INDEX(SPPR!$E:$X,MATCH($A51,SPPR!$A:$A,0),11)),$C51*INDEX(SPPR!$E:$X,MATCH($A51,SPPR!$A:$A,0),11),""),"")</f>
        <v/>
      </c>
      <c r="O51">
        <f>IFERROR(IF(ISNUMBER(INDEX(SPPR!$E:$X,MATCH($A51,SPPR!$A:$A,0),12)),$C51*INDEX(SPPR!$E:$X,MATCH($A51,SPPR!$A:$A,0),12),""),"")</f>
        <v/>
      </c>
      <c r="P51">
        <f>IFERROR(IF(ISNUMBER(INDEX(SPPR!$E:$X,MATCH($A51,SPPR!$A:$A,0),13)),$C51*INDEX(SPPR!$E:$X,MATCH($A51,SPPR!$A:$A,0),13),""),"")</f>
        <v/>
      </c>
      <c r="Q51">
        <f>IFERROR(IF(ISNUMBER(INDEX(SPPR!$E:$X,MATCH($A51,SPPR!$A:$A,0),14)),$C51*INDEX(SPPR!$E:$X,MATCH($A51,SPPR!$A:$A,0),14),""),"")</f>
        <v/>
      </c>
      <c r="R51">
        <f>IFERROR(IF(ISNUMBER(INDEX(SPPR!$E:$X,MATCH($A51,SPPR!$A:$A,0),15)),$C51*INDEX(SPPR!$E:$X,MATCH($A51,SPPR!$A:$A,0),15),""),"")</f>
        <v/>
      </c>
      <c r="S51">
        <f>IFERROR(IF(ISNUMBER(INDEX(SPPR!$E:$X,MATCH($A51,SPPR!$A:$A,0),16)),$C51*INDEX(SPPR!$E:$X,MATCH($A51,SPPR!$A:$A,0),16),""),"")</f>
        <v/>
      </c>
      <c r="T51">
        <f>IFERROR(IF(ISNUMBER(INDEX(SPPR!$E:$X,MATCH($A51,SPPR!$A:$A,0),17)),$C51*INDEX(SPPR!$E:$X,MATCH($A51,SPPR!$A:$A,0),17),""),"")</f>
        <v/>
      </c>
      <c r="U51">
        <f>IFERROR(IF(ISNUMBER(INDEX(SPPR!$E:$X,MATCH($A51,SPPR!$A:$A,0),18)),$C51*INDEX(SPPR!$E:$X,MATCH($A51,SPPR!$A:$A,0),18),""),"")</f>
        <v/>
      </c>
      <c r="V51">
        <f>IFERROR(IF(ISNUMBER(INDEX(SPPR!$E:$X,MATCH($A51,SPPR!$A:$A,0),19)),$C51*INDEX(SPPR!$E:$X,MATCH($A51,SPPR!$A:$A,0),19),""),"")</f>
        <v/>
      </c>
      <c r="W51">
        <f>IFERROR(IF(ISNUMBER(INDEX(SPPR!$E:$X,MATCH($A51,SPPR!$A:$A,0),20)),$C51*INDEX(SPPR!$E:$X,MATCH($A51,SPPR!$A:$A,0),20),""),"")</f>
        <v/>
      </c>
    </row>
    <row r="52">
      <c r="A52" t="inlineStr">
        <is>
          <t>Brachyura</t>
        </is>
      </c>
      <c r="B52">
        <f>IFERROR(INDEX(SPPR!$D:$D,MATCH($A52,SPPR!$A:$A,0)),"")</f>
        <v/>
      </c>
      <c r="C52">
        <f>IFERROR(INDEX(Catch!$E:$BV,MATCH($A52,Catch!$A:$A,0),MATCH($B$4,Catch!$E$1:$BV$1,0)),0)</f>
        <v/>
      </c>
      <c r="D52">
        <f>IFERROR(IF(ISNUMBER(INDEX(SPPR!$E:$X,MATCH($A52,SPPR!$A:$A,0),1)),$C52*INDEX(SPPR!$E:$X,MATCH($A52,SPPR!$A:$A,0),1),""),"")</f>
        <v/>
      </c>
      <c r="E52">
        <f>IFERROR(IF(ISNUMBER(INDEX(SPPR!$E:$X,MATCH($A52,SPPR!$A:$A,0),2)),$C52*INDEX(SPPR!$E:$X,MATCH($A52,SPPR!$A:$A,0),2),""),"")</f>
        <v/>
      </c>
      <c r="F52">
        <f>IFERROR(IF(ISNUMBER(INDEX(SPPR!$E:$X,MATCH($A52,SPPR!$A:$A,0),3)),$C52*INDEX(SPPR!$E:$X,MATCH($A52,SPPR!$A:$A,0),3),""),"")</f>
        <v/>
      </c>
      <c r="G52">
        <f>IFERROR(IF(ISNUMBER(INDEX(SPPR!$E:$X,MATCH($A52,SPPR!$A:$A,0),4)),$C52*INDEX(SPPR!$E:$X,MATCH($A52,SPPR!$A:$A,0),4),""),"")</f>
        <v/>
      </c>
      <c r="H52">
        <f>IFERROR(IF(ISNUMBER(INDEX(SPPR!$E:$X,MATCH($A52,SPPR!$A:$A,0),5)),$C52*INDEX(SPPR!$E:$X,MATCH($A52,SPPR!$A:$A,0),5),""),"")</f>
        <v/>
      </c>
      <c r="I52">
        <f>IFERROR(IF(ISNUMBER(INDEX(SPPR!$E:$X,MATCH($A52,SPPR!$A:$A,0),6)),$C52*INDEX(SPPR!$E:$X,MATCH($A52,SPPR!$A:$A,0),6),""),"")</f>
        <v/>
      </c>
      <c r="J52">
        <f>IFERROR(IF(ISNUMBER(INDEX(SPPR!$E:$X,MATCH($A52,SPPR!$A:$A,0),7)),$C52*INDEX(SPPR!$E:$X,MATCH($A52,SPPR!$A:$A,0),7),""),"")</f>
        <v/>
      </c>
      <c r="K52">
        <f>IFERROR(IF(ISNUMBER(INDEX(SPPR!$E:$X,MATCH($A52,SPPR!$A:$A,0),8)),$C52*INDEX(SPPR!$E:$X,MATCH($A52,SPPR!$A:$A,0),8),""),"")</f>
        <v/>
      </c>
      <c r="L52">
        <f>IFERROR(IF(ISNUMBER(INDEX(SPPR!$E:$X,MATCH($A52,SPPR!$A:$A,0),9)),$C52*INDEX(SPPR!$E:$X,MATCH($A52,SPPR!$A:$A,0),9),""),"")</f>
        <v/>
      </c>
      <c r="M52">
        <f>IFERROR(IF(ISNUMBER(INDEX(SPPR!$E:$X,MATCH($A52,SPPR!$A:$A,0),10)),$C52*INDEX(SPPR!$E:$X,MATCH($A52,SPPR!$A:$A,0),10),""),"")</f>
        <v/>
      </c>
      <c r="N52">
        <f>IFERROR(IF(ISNUMBER(INDEX(SPPR!$E:$X,MATCH($A52,SPPR!$A:$A,0),11)),$C52*INDEX(SPPR!$E:$X,MATCH($A52,SPPR!$A:$A,0),11),""),"")</f>
        <v/>
      </c>
      <c r="O52">
        <f>IFERROR(IF(ISNUMBER(INDEX(SPPR!$E:$X,MATCH($A52,SPPR!$A:$A,0),12)),$C52*INDEX(SPPR!$E:$X,MATCH($A52,SPPR!$A:$A,0),12),""),"")</f>
        <v/>
      </c>
      <c r="P52">
        <f>IFERROR(IF(ISNUMBER(INDEX(SPPR!$E:$X,MATCH($A52,SPPR!$A:$A,0),13)),$C52*INDEX(SPPR!$E:$X,MATCH($A52,SPPR!$A:$A,0),13),""),"")</f>
        <v/>
      </c>
      <c r="Q52">
        <f>IFERROR(IF(ISNUMBER(INDEX(SPPR!$E:$X,MATCH($A52,SPPR!$A:$A,0),14)),$C52*INDEX(SPPR!$E:$X,MATCH($A52,SPPR!$A:$A,0),14),""),"")</f>
        <v/>
      </c>
      <c r="R52">
        <f>IFERROR(IF(ISNUMBER(INDEX(SPPR!$E:$X,MATCH($A52,SPPR!$A:$A,0),15)),$C52*INDEX(SPPR!$E:$X,MATCH($A52,SPPR!$A:$A,0),15),""),"")</f>
        <v/>
      </c>
      <c r="S52">
        <f>IFERROR(IF(ISNUMBER(INDEX(SPPR!$E:$X,MATCH($A52,SPPR!$A:$A,0),16)),$C52*INDEX(SPPR!$E:$X,MATCH($A52,SPPR!$A:$A,0),16),""),"")</f>
        <v/>
      </c>
      <c r="T52">
        <f>IFERROR(IF(ISNUMBER(INDEX(SPPR!$E:$X,MATCH($A52,SPPR!$A:$A,0),17)),$C52*INDEX(SPPR!$E:$X,MATCH($A52,SPPR!$A:$A,0),17),""),"")</f>
        <v/>
      </c>
      <c r="U52">
        <f>IFERROR(IF(ISNUMBER(INDEX(SPPR!$E:$X,MATCH($A52,SPPR!$A:$A,0),18)),$C52*INDEX(SPPR!$E:$X,MATCH($A52,SPPR!$A:$A,0),18),""),"")</f>
        <v/>
      </c>
      <c r="V52">
        <f>IFERROR(IF(ISNUMBER(INDEX(SPPR!$E:$X,MATCH($A52,SPPR!$A:$A,0),19)),$C52*INDEX(SPPR!$E:$X,MATCH($A52,SPPR!$A:$A,0),19),""),"")</f>
        <v/>
      </c>
      <c r="W52">
        <f>IFERROR(IF(ISNUMBER(INDEX(SPPR!$E:$X,MATCH($A52,SPPR!$A:$A,0),20)),$C52*INDEX(SPPR!$E:$X,MATCH($A52,SPPR!$A:$A,0),20),""),"")</f>
        <v/>
      </c>
    </row>
    <row r="53">
      <c r="A53" t="inlineStr">
        <is>
          <t>Pandalus borealis</t>
        </is>
      </c>
      <c r="B53">
        <f>IFERROR(INDEX(SPPR!$D:$D,MATCH($A53,SPPR!$A:$A,0)),"")</f>
        <v/>
      </c>
      <c r="C53">
        <f>IFERROR(INDEX(Catch!$E:$BV,MATCH($A53,Catch!$A:$A,0),MATCH($B$4,Catch!$E$1:$BV$1,0)),0)</f>
        <v/>
      </c>
      <c r="D53">
        <f>IFERROR(IF(ISNUMBER(INDEX(SPPR!$E:$X,MATCH($A53,SPPR!$A:$A,0),1)),$C53*INDEX(SPPR!$E:$X,MATCH($A53,SPPR!$A:$A,0),1),""),"")</f>
        <v/>
      </c>
      <c r="E53">
        <f>IFERROR(IF(ISNUMBER(INDEX(SPPR!$E:$X,MATCH($A53,SPPR!$A:$A,0),2)),$C53*INDEX(SPPR!$E:$X,MATCH($A53,SPPR!$A:$A,0),2),""),"")</f>
        <v/>
      </c>
      <c r="F53">
        <f>IFERROR(IF(ISNUMBER(INDEX(SPPR!$E:$X,MATCH($A53,SPPR!$A:$A,0),3)),$C53*INDEX(SPPR!$E:$X,MATCH($A53,SPPR!$A:$A,0),3),""),"")</f>
        <v/>
      </c>
      <c r="G53">
        <f>IFERROR(IF(ISNUMBER(INDEX(SPPR!$E:$X,MATCH($A53,SPPR!$A:$A,0),4)),$C53*INDEX(SPPR!$E:$X,MATCH($A53,SPPR!$A:$A,0),4),""),"")</f>
        <v/>
      </c>
      <c r="H53">
        <f>IFERROR(IF(ISNUMBER(INDEX(SPPR!$E:$X,MATCH($A53,SPPR!$A:$A,0),5)),$C53*INDEX(SPPR!$E:$X,MATCH($A53,SPPR!$A:$A,0),5),""),"")</f>
        <v/>
      </c>
      <c r="I53">
        <f>IFERROR(IF(ISNUMBER(INDEX(SPPR!$E:$X,MATCH($A53,SPPR!$A:$A,0),6)),$C53*INDEX(SPPR!$E:$X,MATCH($A53,SPPR!$A:$A,0),6),""),"")</f>
        <v/>
      </c>
      <c r="J53">
        <f>IFERROR(IF(ISNUMBER(INDEX(SPPR!$E:$X,MATCH($A53,SPPR!$A:$A,0),7)),$C53*INDEX(SPPR!$E:$X,MATCH($A53,SPPR!$A:$A,0),7),""),"")</f>
        <v/>
      </c>
      <c r="K53">
        <f>IFERROR(IF(ISNUMBER(INDEX(SPPR!$E:$X,MATCH($A53,SPPR!$A:$A,0),8)),$C53*INDEX(SPPR!$E:$X,MATCH($A53,SPPR!$A:$A,0),8),""),"")</f>
        <v/>
      </c>
      <c r="L53">
        <f>IFERROR(IF(ISNUMBER(INDEX(SPPR!$E:$X,MATCH($A53,SPPR!$A:$A,0),9)),$C53*INDEX(SPPR!$E:$X,MATCH($A53,SPPR!$A:$A,0),9),""),"")</f>
        <v/>
      </c>
      <c r="M53">
        <f>IFERROR(IF(ISNUMBER(INDEX(SPPR!$E:$X,MATCH($A53,SPPR!$A:$A,0),10)),$C53*INDEX(SPPR!$E:$X,MATCH($A53,SPPR!$A:$A,0),10),""),"")</f>
        <v/>
      </c>
      <c r="N53">
        <f>IFERROR(IF(ISNUMBER(INDEX(SPPR!$E:$X,MATCH($A53,SPPR!$A:$A,0),11)),$C53*INDEX(SPPR!$E:$X,MATCH($A53,SPPR!$A:$A,0),11),""),"")</f>
        <v/>
      </c>
      <c r="O53">
        <f>IFERROR(IF(ISNUMBER(INDEX(SPPR!$E:$X,MATCH($A53,SPPR!$A:$A,0),12)),$C53*INDEX(SPPR!$E:$X,MATCH($A53,SPPR!$A:$A,0),12),""),"")</f>
        <v/>
      </c>
      <c r="P53">
        <f>IFERROR(IF(ISNUMBER(INDEX(SPPR!$E:$X,MATCH($A53,SPPR!$A:$A,0),13)),$C53*INDEX(SPPR!$E:$X,MATCH($A53,SPPR!$A:$A,0),13),""),"")</f>
        <v/>
      </c>
      <c r="Q53">
        <f>IFERROR(IF(ISNUMBER(INDEX(SPPR!$E:$X,MATCH($A53,SPPR!$A:$A,0),14)),$C53*INDEX(SPPR!$E:$X,MATCH($A53,SPPR!$A:$A,0),14),""),"")</f>
        <v/>
      </c>
      <c r="R53">
        <f>IFERROR(IF(ISNUMBER(INDEX(SPPR!$E:$X,MATCH($A53,SPPR!$A:$A,0),15)),$C53*INDEX(SPPR!$E:$X,MATCH($A53,SPPR!$A:$A,0),15),""),"")</f>
        <v/>
      </c>
      <c r="S53">
        <f>IFERROR(IF(ISNUMBER(INDEX(SPPR!$E:$X,MATCH($A53,SPPR!$A:$A,0),16)),$C53*INDEX(SPPR!$E:$X,MATCH($A53,SPPR!$A:$A,0),16),""),"")</f>
        <v/>
      </c>
      <c r="T53">
        <f>IFERROR(IF(ISNUMBER(INDEX(SPPR!$E:$X,MATCH($A53,SPPR!$A:$A,0),17)),$C53*INDEX(SPPR!$E:$X,MATCH($A53,SPPR!$A:$A,0),17),""),"")</f>
        <v/>
      </c>
      <c r="U53">
        <f>IFERROR(IF(ISNUMBER(INDEX(SPPR!$E:$X,MATCH($A53,SPPR!$A:$A,0),18)),$C53*INDEX(SPPR!$E:$X,MATCH($A53,SPPR!$A:$A,0),18),""),"")</f>
        <v/>
      </c>
      <c r="V53">
        <f>IFERROR(IF(ISNUMBER(INDEX(SPPR!$E:$X,MATCH($A53,SPPR!$A:$A,0),19)),$C53*INDEX(SPPR!$E:$X,MATCH($A53,SPPR!$A:$A,0),19),""),"")</f>
        <v/>
      </c>
      <c r="W53">
        <f>IFERROR(IF(ISNUMBER(INDEX(SPPR!$E:$X,MATCH($A53,SPPR!$A:$A,0),20)),$C53*INDEX(SPPR!$E:$X,MATCH($A53,SPPR!$A:$A,0),20),""),"")</f>
        <v/>
      </c>
    </row>
    <row r="54">
      <c r="A54" t="inlineStr">
        <is>
          <t>Cephalopoda</t>
        </is>
      </c>
      <c r="B54">
        <f>IFERROR(INDEX(SPPR!$D:$D,MATCH($A54,SPPR!$A:$A,0)),"")</f>
        <v/>
      </c>
      <c r="C54">
        <f>IFERROR(INDEX(Catch!$E:$BV,MATCH($A54,Catch!$A:$A,0),MATCH($B$4,Catch!$E$1:$BV$1,0)),0)</f>
        <v/>
      </c>
      <c r="D54">
        <f>IFERROR(IF(ISNUMBER(INDEX(SPPR!$E:$X,MATCH($A54,SPPR!$A:$A,0),1)),$C54*INDEX(SPPR!$E:$X,MATCH($A54,SPPR!$A:$A,0),1),""),"")</f>
        <v/>
      </c>
      <c r="E54">
        <f>IFERROR(IF(ISNUMBER(INDEX(SPPR!$E:$X,MATCH($A54,SPPR!$A:$A,0),2)),$C54*INDEX(SPPR!$E:$X,MATCH($A54,SPPR!$A:$A,0),2),""),"")</f>
        <v/>
      </c>
      <c r="F54">
        <f>IFERROR(IF(ISNUMBER(INDEX(SPPR!$E:$X,MATCH($A54,SPPR!$A:$A,0),3)),$C54*INDEX(SPPR!$E:$X,MATCH($A54,SPPR!$A:$A,0),3),""),"")</f>
        <v/>
      </c>
      <c r="G54">
        <f>IFERROR(IF(ISNUMBER(INDEX(SPPR!$E:$X,MATCH($A54,SPPR!$A:$A,0),4)),$C54*INDEX(SPPR!$E:$X,MATCH($A54,SPPR!$A:$A,0),4),""),"")</f>
        <v/>
      </c>
      <c r="H54">
        <f>IFERROR(IF(ISNUMBER(INDEX(SPPR!$E:$X,MATCH($A54,SPPR!$A:$A,0),5)),$C54*INDEX(SPPR!$E:$X,MATCH($A54,SPPR!$A:$A,0),5),""),"")</f>
        <v/>
      </c>
      <c r="I54">
        <f>IFERROR(IF(ISNUMBER(INDEX(SPPR!$E:$X,MATCH($A54,SPPR!$A:$A,0),6)),$C54*INDEX(SPPR!$E:$X,MATCH($A54,SPPR!$A:$A,0),6),""),"")</f>
        <v/>
      </c>
      <c r="J54">
        <f>IFERROR(IF(ISNUMBER(INDEX(SPPR!$E:$X,MATCH($A54,SPPR!$A:$A,0),7)),$C54*INDEX(SPPR!$E:$X,MATCH($A54,SPPR!$A:$A,0),7),""),"")</f>
        <v/>
      </c>
      <c r="K54">
        <f>IFERROR(IF(ISNUMBER(INDEX(SPPR!$E:$X,MATCH($A54,SPPR!$A:$A,0),8)),$C54*INDEX(SPPR!$E:$X,MATCH($A54,SPPR!$A:$A,0),8),""),"")</f>
        <v/>
      </c>
      <c r="L54">
        <f>IFERROR(IF(ISNUMBER(INDEX(SPPR!$E:$X,MATCH($A54,SPPR!$A:$A,0),9)),$C54*INDEX(SPPR!$E:$X,MATCH($A54,SPPR!$A:$A,0),9),""),"")</f>
        <v/>
      </c>
      <c r="M54">
        <f>IFERROR(IF(ISNUMBER(INDEX(SPPR!$E:$X,MATCH($A54,SPPR!$A:$A,0),10)),$C54*INDEX(SPPR!$E:$X,MATCH($A54,SPPR!$A:$A,0),10),""),"")</f>
        <v/>
      </c>
      <c r="N54">
        <f>IFERROR(IF(ISNUMBER(INDEX(SPPR!$E:$X,MATCH($A54,SPPR!$A:$A,0),11)),$C54*INDEX(SPPR!$E:$X,MATCH($A54,SPPR!$A:$A,0),11),""),"")</f>
        <v/>
      </c>
      <c r="O54">
        <f>IFERROR(IF(ISNUMBER(INDEX(SPPR!$E:$X,MATCH($A54,SPPR!$A:$A,0),12)),$C54*INDEX(SPPR!$E:$X,MATCH($A54,SPPR!$A:$A,0),12),""),"")</f>
        <v/>
      </c>
      <c r="P54">
        <f>IFERROR(IF(ISNUMBER(INDEX(SPPR!$E:$X,MATCH($A54,SPPR!$A:$A,0),13)),$C54*INDEX(SPPR!$E:$X,MATCH($A54,SPPR!$A:$A,0),13),""),"")</f>
        <v/>
      </c>
      <c r="Q54">
        <f>IFERROR(IF(ISNUMBER(INDEX(SPPR!$E:$X,MATCH($A54,SPPR!$A:$A,0),14)),$C54*INDEX(SPPR!$E:$X,MATCH($A54,SPPR!$A:$A,0),14),""),"")</f>
        <v/>
      </c>
      <c r="R54">
        <f>IFERROR(IF(ISNUMBER(INDEX(SPPR!$E:$X,MATCH($A54,SPPR!$A:$A,0),15)),$C54*INDEX(SPPR!$E:$X,MATCH($A54,SPPR!$A:$A,0),15),""),"")</f>
        <v/>
      </c>
      <c r="S54">
        <f>IFERROR(IF(ISNUMBER(INDEX(SPPR!$E:$X,MATCH($A54,SPPR!$A:$A,0),16)),$C54*INDEX(SPPR!$E:$X,MATCH($A54,SPPR!$A:$A,0),16),""),"")</f>
        <v/>
      </c>
      <c r="T54">
        <f>IFERROR(IF(ISNUMBER(INDEX(SPPR!$E:$X,MATCH($A54,SPPR!$A:$A,0),17)),$C54*INDEX(SPPR!$E:$X,MATCH($A54,SPPR!$A:$A,0),17),""),"")</f>
        <v/>
      </c>
      <c r="U54">
        <f>IFERROR(IF(ISNUMBER(INDEX(SPPR!$E:$X,MATCH($A54,SPPR!$A:$A,0),18)),$C54*INDEX(SPPR!$E:$X,MATCH($A54,SPPR!$A:$A,0),18),""),"")</f>
        <v/>
      </c>
      <c r="V54">
        <f>IFERROR(IF(ISNUMBER(INDEX(SPPR!$E:$X,MATCH($A54,SPPR!$A:$A,0),19)),$C54*INDEX(SPPR!$E:$X,MATCH($A54,SPPR!$A:$A,0),19),""),"")</f>
        <v/>
      </c>
      <c r="W54">
        <f>IFERROR(IF(ISNUMBER(INDEX(SPPR!$E:$X,MATCH($A54,SPPR!$A:$A,0),20)),$C54*INDEX(SPPR!$E:$X,MATCH($A54,SPPR!$A:$A,0),20),""),"")</f>
        <v/>
      </c>
    </row>
    <row r="55">
      <c r="A55" t="inlineStr">
        <is>
          <t>Trachurus japonicus</t>
        </is>
      </c>
      <c r="B55">
        <f>IFERROR(INDEX(SPPR!$D:$D,MATCH($A55,SPPR!$A:$A,0)),"")</f>
        <v/>
      </c>
      <c r="C55">
        <f>IFERROR(INDEX(Catch!$E:$BV,MATCH($A55,Catch!$A:$A,0),MATCH($B$4,Catch!$E$1:$BV$1,0)),0)</f>
        <v/>
      </c>
      <c r="D55">
        <f>IFERROR(IF(ISNUMBER(INDEX(SPPR!$E:$X,MATCH($A55,SPPR!$A:$A,0),1)),$C55*INDEX(SPPR!$E:$X,MATCH($A55,SPPR!$A:$A,0),1),""),"")</f>
        <v/>
      </c>
      <c r="E55">
        <f>IFERROR(IF(ISNUMBER(INDEX(SPPR!$E:$X,MATCH($A55,SPPR!$A:$A,0),2)),$C55*INDEX(SPPR!$E:$X,MATCH($A55,SPPR!$A:$A,0),2),""),"")</f>
        <v/>
      </c>
      <c r="F55">
        <f>IFERROR(IF(ISNUMBER(INDEX(SPPR!$E:$X,MATCH($A55,SPPR!$A:$A,0),3)),$C55*INDEX(SPPR!$E:$X,MATCH($A55,SPPR!$A:$A,0),3),""),"")</f>
        <v/>
      </c>
      <c r="G55">
        <f>IFERROR(IF(ISNUMBER(INDEX(SPPR!$E:$X,MATCH($A55,SPPR!$A:$A,0),4)),$C55*INDEX(SPPR!$E:$X,MATCH($A55,SPPR!$A:$A,0),4),""),"")</f>
        <v/>
      </c>
      <c r="H55">
        <f>IFERROR(IF(ISNUMBER(INDEX(SPPR!$E:$X,MATCH($A55,SPPR!$A:$A,0),5)),$C55*INDEX(SPPR!$E:$X,MATCH($A55,SPPR!$A:$A,0),5),""),"")</f>
        <v/>
      </c>
      <c r="I55">
        <f>IFERROR(IF(ISNUMBER(INDEX(SPPR!$E:$X,MATCH($A55,SPPR!$A:$A,0),6)),$C55*INDEX(SPPR!$E:$X,MATCH($A55,SPPR!$A:$A,0),6),""),"")</f>
        <v/>
      </c>
      <c r="J55">
        <f>IFERROR(IF(ISNUMBER(INDEX(SPPR!$E:$X,MATCH($A55,SPPR!$A:$A,0),7)),$C55*INDEX(SPPR!$E:$X,MATCH($A55,SPPR!$A:$A,0),7),""),"")</f>
        <v/>
      </c>
      <c r="K55">
        <f>IFERROR(IF(ISNUMBER(INDEX(SPPR!$E:$X,MATCH($A55,SPPR!$A:$A,0),8)),$C55*INDEX(SPPR!$E:$X,MATCH($A55,SPPR!$A:$A,0),8),""),"")</f>
        <v/>
      </c>
      <c r="L55">
        <f>IFERROR(IF(ISNUMBER(INDEX(SPPR!$E:$X,MATCH($A55,SPPR!$A:$A,0),9)),$C55*INDEX(SPPR!$E:$X,MATCH($A55,SPPR!$A:$A,0),9),""),"")</f>
        <v/>
      </c>
      <c r="M55">
        <f>IFERROR(IF(ISNUMBER(INDEX(SPPR!$E:$X,MATCH($A55,SPPR!$A:$A,0),10)),$C55*INDEX(SPPR!$E:$X,MATCH($A55,SPPR!$A:$A,0),10),""),"")</f>
        <v/>
      </c>
      <c r="N55">
        <f>IFERROR(IF(ISNUMBER(INDEX(SPPR!$E:$X,MATCH($A55,SPPR!$A:$A,0),11)),$C55*INDEX(SPPR!$E:$X,MATCH($A55,SPPR!$A:$A,0),11),""),"")</f>
        <v/>
      </c>
      <c r="O55">
        <f>IFERROR(IF(ISNUMBER(INDEX(SPPR!$E:$X,MATCH($A55,SPPR!$A:$A,0),12)),$C55*INDEX(SPPR!$E:$X,MATCH($A55,SPPR!$A:$A,0),12),""),"")</f>
        <v/>
      </c>
      <c r="P55">
        <f>IFERROR(IF(ISNUMBER(INDEX(SPPR!$E:$X,MATCH($A55,SPPR!$A:$A,0),13)),$C55*INDEX(SPPR!$E:$X,MATCH($A55,SPPR!$A:$A,0),13),""),"")</f>
        <v/>
      </c>
      <c r="Q55">
        <f>IFERROR(IF(ISNUMBER(INDEX(SPPR!$E:$X,MATCH($A55,SPPR!$A:$A,0),14)),$C55*INDEX(SPPR!$E:$X,MATCH($A55,SPPR!$A:$A,0),14),""),"")</f>
        <v/>
      </c>
      <c r="R55">
        <f>IFERROR(IF(ISNUMBER(INDEX(SPPR!$E:$X,MATCH($A55,SPPR!$A:$A,0),15)),$C55*INDEX(SPPR!$E:$X,MATCH($A55,SPPR!$A:$A,0),15),""),"")</f>
        <v/>
      </c>
      <c r="S55">
        <f>IFERROR(IF(ISNUMBER(INDEX(SPPR!$E:$X,MATCH($A55,SPPR!$A:$A,0),16)),$C55*INDEX(SPPR!$E:$X,MATCH($A55,SPPR!$A:$A,0),16),""),"")</f>
        <v/>
      </c>
      <c r="T55">
        <f>IFERROR(IF(ISNUMBER(INDEX(SPPR!$E:$X,MATCH($A55,SPPR!$A:$A,0),17)),$C55*INDEX(SPPR!$E:$X,MATCH($A55,SPPR!$A:$A,0),17),""),"")</f>
        <v/>
      </c>
      <c r="U55">
        <f>IFERROR(IF(ISNUMBER(INDEX(SPPR!$E:$X,MATCH($A55,SPPR!$A:$A,0),18)),$C55*INDEX(SPPR!$E:$X,MATCH($A55,SPPR!$A:$A,0),18),""),"")</f>
        <v/>
      </c>
      <c r="V55">
        <f>IFERROR(IF(ISNUMBER(INDEX(SPPR!$E:$X,MATCH($A55,SPPR!$A:$A,0),19)),$C55*INDEX(SPPR!$E:$X,MATCH($A55,SPPR!$A:$A,0),19),""),"")</f>
        <v/>
      </c>
      <c r="W55">
        <f>IFERROR(IF(ISNUMBER(INDEX(SPPR!$E:$X,MATCH($A55,SPPR!$A:$A,0),20)),$C55*INDEX(SPPR!$E:$X,MATCH($A55,SPPR!$A:$A,0),20),""),"")</f>
        <v/>
      </c>
    </row>
    <row r="56">
      <c r="A56" t="inlineStr">
        <is>
          <t>Mizuhopecten yessoensis</t>
        </is>
      </c>
      <c r="B56">
        <f>IFERROR(INDEX(SPPR!$D:$D,MATCH($A56,SPPR!$A:$A,0)),"")</f>
        <v/>
      </c>
      <c r="C56">
        <f>IFERROR(INDEX(Catch!$E:$BV,MATCH($A56,Catch!$A:$A,0),MATCH($B$4,Catch!$E$1:$BV$1,0)),0)</f>
        <v/>
      </c>
      <c r="D56">
        <f>IFERROR(IF(ISNUMBER(INDEX(SPPR!$E:$X,MATCH($A56,SPPR!$A:$A,0),1)),$C56*INDEX(SPPR!$E:$X,MATCH($A56,SPPR!$A:$A,0),1),""),"")</f>
        <v/>
      </c>
      <c r="E56">
        <f>IFERROR(IF(ISNUMBER(INDEX(SPPR!$E:$X,MATCH($A56,SPPR!$A:$A,0),2)),$C56*INDEX(SPPR!$E:$X,MATCH($A56,SPPR!$A:$A,0),2),""),"")</f>
        <v/>
      </c>
      <c r="F56">
        <f>IFERROR(IF(ISNUMBER(INDEX(SPPR!$E:$X,MATCH($A56,SPPR!$A:$A,0),3)),$C56*INDEX(SPPR!$E:$X,MATCH($A56,SPPR!$A:$A,0),3),""),"")</f>
        <v/>
      </c>
      <c r="G56">
        <f>IFERROR(IF(ISNUMBER(INDEX(SPPR!$E:$X,MATCH($A56,SPPR!$A:$A,0),4)),$C56*INDEX(SPPR!$E:$X,MATCH($A56,SPPR!$A:$A,0),4),""),"")</f>
        <v/>
      </c>
      <c r="H56">
        <f>IFERROR(IF(ISNUMBER(INDEX(SPPR!$E:$X,MATCH($A56,SPPR!$A:$A,0),5)),$C56*INDEX(SPPR!$E:$X,MATCH($A56,SPPR!$A:$A,0),5),""),"")</f>
        <v/>
      </c>
      <c r="I56">
        <f>IFERROR(IF(ISNUMBER(INDEX(SPPR!$E:$X,MATCH($A56,SPPR!$A:$A,0),6)),$C56*INDEX(SPPR!$E:$X,MATCH($A56,SPPR!$A:$A,0),6),""),"")</f>
        <v/>
      </c>
      <c r="J56">
        <f>IFERROR(IF(ISNUMBER(INDEX(SPPR!$E:$X,MATCH($A56,SPPR!$A:$A,0),7)),$C56*INDEX(SPPR!$E:$X,MATCH($A56,SPPR!$A:$A,0),7),""),"")</f>
        <v/>
      </c>
      <c r="K56">
        <f>IFERROR(IF(ISNUMBER(INDEX(SPPR!$E:$X,MATCH($A56,SPPR!$A:$A,0),8)),$C56*INDEX(SPPR!$E:$X,MATCH($A56,SPPR!$A:$A,0),8),""),"")</f>
        <v/>
      </c>
      <c r="L56">
        <f>IFERROR(IF(ISNUMBER(INDEX(SPPR!$E:$X,MATCH($A56,SPPR!$A:$A,0),9)),$C56*INDEX(SPPR!$E:$X,MATCH($A56,SPPR!$A:$A,0),9),""),"")</f>
        <v/>
      </c>
      <c r="M56">
        <f>IFERROR(IF(ISNUMBER(INDEX(SPPR!$E:$X,MATCH($A56,SPPR!$A:$A,0),10)),$C56*INDEX(SPPR!$E:$X,MATCH($A56,SPPR!$A:$A,0),10),""),"")</f>
        <v/>
      </c>
      <c r="N56">
        <f>IFERROR(IF(ISNUMBER(INDEX(SPPR!$E:$X,MATCH($A56,SPPR!$A:$A,0),11)),$C56*INDEX(SPPR!$E:$X,MATCH($A56,SPPR!$A:$A,0),11),""),"")</f>
        <v/>
      </c>
      <c r="O56">
        <f>IFERROR(IF(ISNUMBER(INDEX(SPPR!$E:$X,MATCH($A56,SPPR!$A:$A,0),12)),$C56*INDEX(SPPR!$E:$X,MATCH($A56,SPPR!$A:$A,0),12),""),"")</f>
        <v/>
      </c>
      <c r="P56">
        <f>IFERROR(IF(ISNUMBER(INDEX(SPPR!$E:$X,MATCH($A56,SPPR!$A:$A,0),13)),$C56*INDEX(SPPR!$E:$X,MATCH($A56,SPPR!$A:$A,0),13),""),"")</f>
        <v/>
      </c>
      <c r="Q56">
        <f>IFERROR(IF(ISNUMBER(INDEX(SPPR!$E:$X,MATCH($A56,SPPR!$A:$A,0),14)),$C56*INDEX(SPPR!$E:$X,MATCH($A56,SPPR!$A:$A,0),14),""),"")</f>
        <v/>
      </c>
      <c r="R56">
        <f>IFERROR(IF(ISNUMBER(INDEX(SPPR!$E:$X,MATCH($A56,SPPR!$A:$A,0),15)),$C56*INDEX(SPPR!$E:$X,MATCH($A56,SPPR!$A:$A,0),15),""),"")</f>
        <v/>
      </c>
      <c r="S56">
        <f>IFERROR(IF(ISNUMBER(INDEX(SPPR!$E:$X,MATCH($A56,SPPR!$A:$A,0),16)),$C56*INDEX(SPPR!$E:$X,MATCH($A56,SPPR!$A:$A,0),16),""),"")</f>
        <v/>
      </c>
      <c r="T56">
        <f>IFERROR(IF(ISNUMBER(INDEX(SPPR!$E:$X,MATCH($A56,SPPR!$A:$A,0),17)),$C56*INDEX(SPPR!$E:$X,MATCH($A56,SPPR!$A:$A,0),17),""),"")</f>
        <v/>
      </c>
      <c r="U56">
        <f>IFERROR(IF(ISNUMBER(INDEX(SPPR!$E:$X,MATCH($A56,SPPR!$A:$A,0),18)),$C56*INDEX(SPPR!$E:$X,MATCH($A56,SPPR!$A:$A,0),18),""),"")</f>
        <v/>
      </c>
      <c r="V56">
        <f>IFERROR(IF(ISNUMBER(INDEX(SPPR!$E:$X,MATCH($A56,SPPR!$A:$A,0),19)),$C56*INDEX(SPPR!$E:$X,MATCH($A56,SPPR!$A:$A,0),19),""),"")</f>
        <v/>
      </c>
      <c r="W56">
        <f>IFERROR(IF(ISNUMBER(INDEX(SPPR!$E:$X,MATCH($A56,SPPR!$A:$A,0),20)),$C56*INDEX(SPPR!$E:$X,MATCH($A56,SPPR!$A:$A,0),20),""),"")</f>
        <v/>
      </c>
    </row>
    <row r="57">
      <c r="A57" t="inlineStr">
        <is>
          <t>Octopodidae</t>
        </is>
      </c>
      <c r="B57">
        <f>IFERROR(INDEX(SPPR!$D:$D,MATCH($A57,SPPR!$A:$A,0)),"")</f>
        <v/>
      </c>
      <c r="C57">
        <f>IFERROR(INDEX(Catch!$E:$BV,MATCH($A57,Catch!$A:$A,0),MATCH($B$4,Catch!$E$1:$BV$1,0)),0)</f>
        <v/>
      </c>
      <c r="D57">
        <f>IFERROR(IF(ISNUMBER(INDEX(SPPR!$E:$X,MATCH($A57,SPPR!$A:$A,0),1)),$C57*INDEX(SPPR!$E:$X,MATCH($A57,SPPR!$A:$A,0),1),""),"")</f>
        <v/>
      </c>
      <c r="E57">
        <f>IFERROR(IF(ISNUMBER(INDEX(SPPR!$E:$X,MATCH($A57,SPPR!$A:$A,0),2)),$C57*INDEX(SPPR!$E:$X,MATCH($A57,SPPR!$A:$A,0),2),""),"")</f>
        <v/>
      </c>
      <c r="F57">
        <f>IFERROR(IF(ISNUMBER(INDEX(SPPR!$E:$X,MATCH($A57,SPPR!$A:$A,0),3)),$C57*INDEX(SPPR!$E:$X,MATCH($A57,SPPR!$A:$A,0),3),""),"")</f>
        <v/>
      </c>
      <c r="G57">
        <f>IFERROR(IF(ISNUMBER(INDEX(SPPR!$E:$X,MATCH($A57,SPPR!$A:$A,0),4)),$C57*INDEX(SPPR!$E:$X,MATCH($A57,SPPR!$A:$A,0),4),""),"")</f>
        <v/>
      </c>
      <c r="H57">
        <f>IFERROR(IF(ISNUMBER(INDEX(SPPR!$E:$X,MATCH($A57,SPPR!$A:$A,0),5)),$C57*INDEX(SPPR!$E:$X,MATCH($A57,SPPR!$A:$A,0),5),""),"")</f>
        <v/>
      </c>
      <c r="I57">
        <f>IFERROR(IF(ISNUMBER(INDEX(SPPR!$E:$X,MATCH($A57,SPPR!$A:$A,0),6)),$C57*INDEX(SPPR!$E:$X,MATCH($A57,SPPR!$A:$A,0),6),""),"")</f>
        <v/>
      </c>
      <c r="J57">
        <f>IFERROR(IF(ISNUMBER(INDEX(SPPR!$E:$X,MATCH($A57,SPPR!$A:$A,0),7)),$C57*INDEX(SPPR!$E:$X,MATCH($A57,SPPR!$A:$A,0),7),""),"")</f>
        <v/>
      </c>
      <c r="K57">
        <f>IFERROR(IF(ISNUMBER(INDEX(SPPR!$E:$X,MATCH($A57,SPPR!$A:$A,0),8)),$C57*INDEX(SPPR!$E:$X,MATCH($A57,SPPR!$A:$A,0),8),""),"")</f>
        <v/>
      </c>
      <c r="L57">
        <f>IFERROR(IF(ISNUMBER(INDEX(SPPR!$E:$X,MATCH($A57,SPPR!$A:$A,0),9)),$C57*INDEX(SPPR!$E:$X,MATCH($A57,SPPR!$A:$A,0),9),""),"")</f>
        <v/>
      </c>
      <c r="M57">
        <f>IFERROR(IF(ISNUMBER(INDEX(SPPR!$E:$X,MATCH($A57,SPPR!$A:$A,0),10)),$C57*INDEX(SPPR!$E:$X,MATCH($A57,SPPR!$A:$A,0),10),""),"")</f>
        <v/>
      </c>
      <c r="N57">
        <f>IFERROR(IF(ISNUMBER(INDEX(SPPR!$E:$X,MATCH($A57,SPPR!$A:$A,0),11)),$C57*INDEX(SPPR!$E:$X,MATCH($A57,SPPR!$A:$A,0),11),""),"")</f>
        <v/>
      </c>
      <c r="O57">
        <f>IFERROR(IF(ISNUMBER(INDEX(SPPR!$E:$X,MATCH($A57,SPPR!$A:$A,0),12)),$C57*INDEX(SPPR!$E:$X,MATCH($A57,SPPR!$A:$A,0),12),""),"")</f>
        <v/>
      </c>
      <c r="P57">
        <f>IFERROR(IF(ISNUMBER(INDEX(SPPR!$E:$X,MATCH($A57,SPPR!$A:$A,0),13)),$C57*INDEX(SPPR!$E:$X,MATCH($A57,SPPR!$A:$A,0),13),""),"")</f>
        <v/>
      </c>
      <c r="Q57">
        <f>IFERROR(IF(ISNUMBER(INDEX(SPPR!$E:$X,MATCH($A57,SPPR!$A:$A,0),14)),$C57*INDEX(SPPR!$E:$X,MATCH($A57,SPPR!$A:$A,0),14),""),"")</f>
        <v/>
      </c>
      <c r="R57">
        <f>IFERROR(IF(ISNUMBER(INDEX(SPPR!$E:$X,MATCH($A57,SPPR!$A:$A,0),15)),$C57*INDEX(SPPR!$E:$X,MATCH($A57,SPPR!$A:$A,0),15),""),"")</f>
        <v/>
      </c>
      <c r="S57">
        <f>IFERROR(IF(ISNUMBER(INDEX(SPPR!$E:$X,MATCH($A57,SPPR!$A:$A,0),16)),$C57*INDEX(SPPR!$E:$X,MATCH($A57,SPPR!$A:$A,0),16),""),"")</f>
        <v/>
      </c>
      <c r="T57">
        <f>IFERROR(IF(ISNUMBER(INDEX(SPPR!$E:$X,MATCH($A57,SPPR!$A:$A,0),17)),$C57*INDEX(SPPR!$E:$X,MATCH($A57,SPPR!$A:$A,0),17),""),"")</f>
        <v/>
      </c>
      <c r="U57">
        <f>IFERROR(IF(ISNUMBER(INDEX(SPPR!$E:$X,MATCH($A57,SPPR!$A:$A,0),18)),$C57*INDEX(SPPR!$E:$X,MATCH($A57,SPPR!$A:$A,0),18),""),"")</f>
        <v/>
      </c>
      <c r="V57">
        <f>IFERROR(IF(ISNUMBER(INDEX(SPPR!$E:$X,MATCH($A57,SPPR!$A:$A,0),19)),$C57*INDEX(SPPR!$E:$X,MATCH($A57,SPPR!$A:$A,0),19),""),"")</f>
        <v/>
      </c>
      <c r="W57">
        <f>IFERROR(IF(ISNUMBER(INDEX(SPPR!$E:$X,MATCH($A57,SPPR!$A:$A,0),20)),$C57*INDEX(SPPR!$E:$X,MATCH($A57,SPPR!$A:$A,0),20),""),"")</f>
        <v/>
      </c>
    </row>
    <row r="58">
      <c r="A58" t="inlineStr">
        <is>
          <t>Sciaenidae</t>
        </is>
      </c>
      <c r="B58">
        <f>IFERROR(INDEX(SPPR!$D:$D,MATCH($A58,SPPR!$A:$A,0)),"")</f>
        <v/>
      </c>
      <c r="C58">
        <f>IFERROR(INDEX(Catch!$E:$BV,MATCH($A58,Catch!$A:$A,0),MATCH($B$4,Catch!$E$1:$BV$1,0)),0)</f>
        <v/>
      </c>
      <c r="D58">
        <f>IFERROR(IF(ISNUMBER(INDEX(SPPR!$E:$X,MATCH($A58,SPPR!$A:$A,0),1)),$C58*INDEX(SPPR!$E:$X,MATCH($A58,SPPR!$A:$A,0),1),""),"")</f>
        <v/>
      </c>
      <c r="E58">
        <f>IFERROR(IF(ISNUMBER(INDEX(SPPR!$E:$X,MATCH($A58,SPPR!$A:$A,0),2)),$C58*INDEX(SPPR!$E:$X,MATCH($A58,SPPR!$A:$A,0),2),""),"")</f>
        <v/>
      </c>
      <c r="F58">
        <f>IFERROR(IF(ISNUMBER(INDEX(SPPR!$E:$X,MATCH($A58,SPPR!$A:$A,0),3)),$C58*INDEX(SPPR!$E:$X,MATCH($A58,SPPR!$A:$A,0),3),""),"")</f>
        <v/>
      </c>
      <c r="G58">
        <f>IFERROR(IF(ISNUMBER(INDEX(SPPR!$E:$X,MATCH($A58,SPPR!$A:$A,0),4)),$C58*INDEX(SPPR!$E:$X,MATCH($A58,SPPR!$A:$A,0),4),""),"")</f>
        <v/>
      </c>
      <c r="H58">
        <f>IFERROR(IF(ISNUMBER(INDEX(SPPR!$E:$X,MATCH($A58,SPPR!$A:$A,0),5)),$C58*INDEX(SPPR!$E:$X,MATCH($A58,SPPR!$A:$A,0),5),""),"")</f>
        <v/>
      </c>
      <c r="I58">
        <f>IFERROR(IF(ISNUMBER(INDEX(SPPR!$E:$X,MATCH($A58,SPPR!$A:$A,0),6)),$C58*INDEX(SPPR!$E:$X,MATCH($A58,SPPR!$A:$A,0),6),""),"")</f>
        <v/>
      </c>
      <c r="J58">
        <f>IFERROR(IF(ISNUMBER(INDEX(SPPR!$E:$X,MATCH($A58,SPPR!$A:$A,0),7)),$C58*INDEX(SPPR!$E:$X,MATCH($A58,SPPR!$A:$A,0),7),""),"")</f>
        <v/>
      </c>
      <c r="K58">
        <f>IFERROR(IF(ISNUMBER(INDEX(SPPR!$E:$X,MATCH($A58,SPPR!$A:$A,0),8)),$C58*INDEX(SPPR!$E:$X,MATCH($A58,SPPR!$A:$A,0),8),""),"")</f>
        <v/>
      </c>
      <c r="L58">
        <f>IFERROR(IF(ISNUMBER(INDEX(SPPR!$E:$X,MATCH($A58,SPPR!$A:$A,0),9)),$C58*INDEX(SPPR!$E:$X,MATCH($A58,SPPR!$A:$A,0),9),""),"")</f>
        <v/>
      </c>
      <c r="M58">
        <f>IFERROR(IF(ISNUMBER(INDEX(SPPR!$E:$X,MATCH($A58,SPPR!$A:$A,0),10)),$C58*INDEX(SPPR!$E:$X,MATCH($A58,SPPR!$A:$A,0),10),""),"")</f>
        <v/>
      </c>
      <c r="N58">
        <f>IFERROR(IF(ISNUMBER(INDEX(SPPR!$E:$X,MATCH($A58,SPPR!$A:$A,0),11)),$C58*INDEX(SPPR!$E:$X,MATCH($A58,SPPR!$A:$A,0),11),""),"")</f>
        <v/>
      </c>
      <c r="O58">
        <f>IFERROR(IF(ISNUMBER(INDEX(SPPR!$E:$X,MATCH($A58,SPPR!$A:$A,0),12)),$C58*INDEX(SPPR!$E:$X,MATCH($A58,SPPR!$A:$A,0),12),""),"")</f>
        <v/>
      </c>
      <c r="P58">
        <f>IFERROR(IF(ISNUMBER(INDEX(SPPR!$E:$X,MATCH($A58,SPPR!$A:$A,0),13)),$C58*INDEX(SPPR!$E:$X,MATCH($A58,SPPR!$A:$A,0),13),""),"")</f>
        <v/>
      </c>
      <c r="Q58">
        <f>IFERROR(IF(ISNUMBER(INDEX(SPPR!$E:$X,MATCH($A58,SPPR!$A:$A,0),14)),$C58*INDEX(SPPR!$E:$X,MATCH($A58,SPPR!$A:$A,0),14),""),"")</f>
        <v/>
      </c>
      <c r="R58">
        <f>IFERROR(IF(ISNUMBER(INDEX(SPPR!$E:$X,MATCH($A58,SPPR!$A:$A,0),15)),$C58*INDEX(SPPR!$E:$X,MATCH($A58,SPPR!$A:$A,0),15),""),"")</f>
        <v/>
      </c>
      <c r="S58">
        <f>IFERROR(IF(ISNUMBER(INDEX(SPPR!$E:$X,MATCH($A58,SPPR!$A:$A,0),16)),$C58*INDEX(SPPR!$E:$X,MATCH($A58,SPPR!$A:$A,0),16),""),"")</f>
        <v/>
      </c>
      <c r="T58">
        <f>IFERROR(IF(ISNUMBER(INDEX(SPPR!$E:$X,MATCH($A58,SPPR!$A:$A,0),17)),$C58*INDEX(SPPR!$E:$X,MATCH($A58,SPPR!$A:$A,0),17),""),"")</f>
        <v/>
      </c>
      <c r="U58">
        <f>IFERROR(IF(ISNUMBER(INDEX(SPPR!$E:$X,MATCH($A58,SPPR!$A:$A,0),18)),$C58*INDEX(SPPR!$E:$X,MATCH($A58,SPPR!$A:$A,0),18),""),"")</f>
        <v/>
      </c>
      <c r="V58">
        <f>IFERROR(IF(ISNUMBER(INDEX(SPPR!$E:$X,MATCH($A58,SPPR!$A:$A,0),19)),$C58*INDEX(SPPR!$E:$X,MATCH($A58,SPPR!$A:$A,0),19),""),"")</f>
        <v/>
      </c>
      <c r="W58">
        <f>IFERROR(IF(ISNUMBER(INDEX(SPPR!$E:$X,MATCH($A58,SPPR!$A:$A,0),20)),$C58*INDEX(SPPR!$E:$X,MATCH($A58,SPPR!$A:$A,0),20),""),"")</f>
        <v/>
      </c>
    </row>
    <row r="59">
      <c r="A59" t="inlineStr">
        <is>
          <t>Carangidae</t>
        </is>
      </c>
      <c r="B59">
        <f>IFERROR(INDEX(SPPR!$D:$D,MATCH($A59,SPPR!$A:$A,0)),"")</f>
        <v/>
      </c>
      <c r="C59">
        <f>IFERROR(INDEX(Catch!$E:$BV,MATCH($A59,Catch!$A:$A,0),MATCH($B$4,Catch!$E$1:$BV$1,0)),0)</f>
        <v/>
      </c>
      <c r="D59">
        <f>IFERROR(IF(ISNUMBER(INDEX(SPPR!$E:$X,MATCH($A59,SPPR!$A:$A,0),1)),$C59*INDEX(SPPR!$E:$X,MATCH($A59,SPPR!$A:$A,0),1),""),"")</f>
        <v/>
      </c>
      <c r="E59">
        <f>IFERROR(IF(ISNUMBER(INDEX(SPPR!$E:$X,MATCH($A59,SPPR!$A:$A,0),2)),$C59*INDEX(SPPR!$E:$X,MATCH($A59,SPPR!$A:$A,0),2),""),"")</f>
        <v/>
      </c>
      <c r="F59">
        <f>IFERROR(IF(ISNUMBER(INDEX(SPPR!$E:$X,MATCH($A59,SPPR!$A:$A,0),3)),$C59*INDEX(SPPR!$E:$X,MATCH($A59,SPPR!$A:$A,0),3),""),"")</f>
        <v/>
      </c>
      <c r="G59">
        <f>IFERROR(IF(ISNUMBER(INDEX(SPPR!$E:$X,MATCH($A59,SPPR!$A:$A,0),4)),$C59*INDEX(SPPR!$E:$X,MATCH($A59,SPPR!$A:$A,0),4),""),"")</f>
        <v/>
      </c>
      <c r="H59">
        <f>IFERROR(IF(ISNUMBER(INDEX(SPPR!$E:$X,MATCH($A59,SPPR!$A:$A,0),5)),$C59*INDEX(SPPR!$E:$X,MATCH($A59,SPPR!$A:$A,0),5),""),"")</f>
        <v/>
      </c>
      <c r="I59">
        <f>IFERROR(IF(ISNUMBER(INDEX(SPPR!$E:$X,MATCH($A59,SPPR!$A:$A,0),6)),$C59*INDEX(SPPR!$E:$X,MATCH($A59,SPPR!$A:$A,0),6),""),"")</f>
        <v/>
      </c>
      <c r="J59">
        <f>IFERROR(IF(ISNUMBER(INDEX(SPPR!$E:$X,MATCH($A59,SPPR!$A:$A,0),7)),$C59*INDEX(SPPR!$E:$X,MATCH($A59,SPPR!$A:$A,0),7),""),"")</f>
        <v/>
      </c>
      <c r="K59">
        <f>IFERROR(IF(ISNUMBER(INDEX(SPPR!$E:$X,MATCH($A59,SPPR!$A:$A,0),8)),$C59*INDEX(SPPR!$E:$X,MATCH($A59,SPPR!$A:$A,0),8),""),"")</f>
        <v/>
      </c>
      <c r="L59">
        <f>IFERROR(IF(ISNUMBER(INDEX(SPPR!$E:$X,MATCH($A59,SPPR!$A:$A,0),9)),$C59*INDEX(SPPR!$E:$X,MATCH($A59,SPPR!$A:$A,0),9),""),"")</f>
        <v/>
      </c>
      <c r="M59">
        <f>IFERROR(IF(ISNUMBER(INDEX(SPPR!$E:$X,MATCH($A59,SPPR!$A:$A,0),10)),$C59*INDEX(SPPR!$E:$X,MATCH($A59,SPPR!$A:$A,0),10),""),"")</f>
        <v/>
      </c>
      <c r="N59">
        <f>IFERROR(IF(ISNUMBER(INDEX(SPPR!$E:$X,MATCH($A59,SPPR!$A:$A,0),11)),$C59*INDEX(SPPR!$E:$X,MATCH($A59,SPPR!$A:$A,0),11),""),"")</f>
        <v/>
      </c>
      <c r="O59">
        <f>IFERROR(IF(ISNUMBER(INDEX(SPPR!$E:$X,MATCH($A59,SPPR!$A:$A,0),12)),$C59*INDEX(SPPR!$E:$X,MATCH($A59,SPPR!$A:$A,0),12),""),"")</f>
        <v/>
      </c>
      <c r="P59">
        <f>IFERROR(IF(ISNUMBER(INDEX(SPPR!$E:$X,MATCH($A59,SPPR!$A:$A,0),13)),$C59*INDEX(SPPR!$E:$X,MATCH($A59,SPPR!$A:$A,0),13),""),"")</f>
        <v/>
      </c>
      <c r="Q59">
        <f>IFERROR(IF(ISNUMBER(INDEX(SPPR!$E:$X,MATCH($A59,SPPR!$A:$A,0),14)),$C59*INDEX(SPPR!$E:$X,MATCH($A59,SPPR!$A:$A,0),14),""),"")</f>
        <v/>
      </c>
      <c r="R59">
        <f>IFERROR(IF(ISNUMBER(INDEX(SPPR!$E:$X,MATCH($A59,SPPR!$A:$A,0),15)),$C59*INDEX(SPPR!$E:$X,MATCH($A59,SPPR!$A:$A,0),15),""),"")</f>
        <v/>
      </c>
      <c r="S59">
        <f>IFERROR(IF(ISNUMBER(INDEX(SPPR!$E:$X,MATCH($A59,SPPR!$A:$A,0),16)),$C59*INDEX(SPPR!$E:$X,MATCH($A59,SPPR!$A:$A,0),16),""),"")</f>
        <v/>
      </c>
      <c r="T59">
        <f>IFERROR(IF(ISNUMBER(INDEX(SPPR!$E:$X,MATCH($A59,SPPR!$A:$A,0),17)),$C59*INDEX(SPPR!$E:$X,MATCH($A59,SPPR!$A:$A,0),17),""),"")</f>
        <v/>
      </c>
      <c r="U59">
        <f>IFERROR(IF(ISNUMBER(INDEX(SPPR!$E:$X,MATCH($A59,SPPR!$A:$A,0),18)),$C59*INDEX(SPPR!$E:$X,MATCH($A59,SPPR!$A:$A,0),18),""),"")</f>
        <v/>
      </c>
      <c r="V59">
        <f>IFERROR(IF(ISNUMBER(INDEX(SPPR!$E:$X,MATCH($A59,SPPR!$A:$A,0),19)),$C59*INDEX(SPPR!$E:$X,MATCH($A59,SPPR!$A:$A,0),19),""),"")</f>
        <v/>
      </c>
      <c r="W59">
        <f>IFERROR(IF(ISNUMBER(INDEX(SPPR!$E:$X,MATCH($A59,SPPR!$A:$A,0),20)),$C59*INDEX(SPPR!$E:$X,MATCH($A59,SPPR!$A:$A,0),20),""),"")</f>
        <v/>
      </c>
    </row>
    <row r="60">
      <c r="A60" t="inlineStr">
        <is>
          <t>Sebastes</t>
        </is>
      </c>
      <c r="B60">
        <f>IFERROR(INDEX(SPPR!$D:$D,MATCH($A60,SPPR!$A:$A,0)),"")</f>
        <v/>
      </c>
      <c r="C60">
        <f>IFERROR(INDEX(Catch!$E:$BV,MATCH($A60,Catch!$A:$A,0),MATCH($B$4,Catch!$E$1:$BV$1,0)),0)</f>
        <v/>
      </c>
      <c r="D60">
        <f>IFERROR(IF(ISNUMBER(INDEX(SPPR!$E:$X,MATCH($A60,SPPR!$A:$A,0),1)),$C60*INDEX(SPPR!$E:$X,MATCH($A60,SPPR!$A:$A,0),1),""),"")</f>
        <v/>
      </c>
      <c r="E60">
        <f>IFERROR(IF(ISNUMBER(INDEX(SPPR!$E:$X,MATCH($A60,SPPR!$A:$A,0),2)),$C60*INDEX(SPPR!$E:$X,MATCH($A60,SPPR!$A:$A,0),2),""),"")</f>
        <v/>
      </c>
      <c r="F60">
        <f>IFERROR(IF(ISNUMBER(INDEX(SPPR!$E:$X,MATCH($A60,SPPR!$A:$A,0),3)),$C60*INDEX(SPPR!$E:$X,MATCH($A60,SPPR!$A:$A,0),3),""),"")</f>
        <v/>
      </c>
      <c r="G60">
        <f>IFERROR(IF(ISNUMBER(INDEX(SPPR!$E:$X,MATCH($A60,SPPR!$A:$A,0),4)),$C60*INDEX(SPPR!$E:$X,MATCH($A60,SPPR!$A:$A,0),4),""),"")</f>
        <v/>
      </c>
      <c r="H60">
        <f>IFERROR(IF(ISNUMBER(INDEX(SPPR!$E:$X,MATCH($A60,SPPR!$A:$A,0),5)),$C60*INDEX(SPPR!$E:$X,MATCH($A60,SPPR!$A:$A,0),5),""),"")</f>
        <v/>
      </c>
      <c r="I60">
        <f>IFERROR(IF(ISNUMBER(INDEX(SPPR!$E:$X,MATCH($A60,SPPR!$A:$A,0),6)),$C60*INDEX(SPPR!$E:$X,MATCH($A60,SPPR!$A:$A,0),6),""),"")</f>
        <v/>
      </c>
      <c r="J60">
        <f>IFERROR(IF(ISNUMBER(INDEX(SPPR!$E:$X,MATCH($A60,SPPR!$A:$A,0),7)),$C60*INDEX(SPPR!$E:$X,MATCH($A60,SPPR!$A:$A,0),7),""),"")</f>
        <v/>
      </c>
      <c r="K60">
        <f>IFERROR(IF(ISNUMBER(INDEX(SPPR!$E:$X,MATCH($A60,SPPR!$A:$A,0),8)),$C60*INDEX(SPPR!$E:$X,MATCH($A60,SPPR!$A:$A,0),8),""),"")</f>
        <v/>
      </c>
      <c r="L60">
        <f>IFERROR(IF(ISNUMBER(INDEX(SPPR!$E:$X,MATCH($A60,SPPR!$A:$A,0),9)),$C60*INDEX(SPPR!$E:$X,MATCH($A60,SPPR!$A:$A,0),9),""),"")</f>
        <v/>
      </c>
      <c r="M60">
        <f>IFERROR(IF(ISNUMBER(INDEX(SPPR!$E:$X,MATCH($A60,SPPR!$A:$A,0),10)),$C60*INDEX(SPPR!$E:$X,MATCH($A60,SPPR!$A:$A,0),10),""),"")</f>
        <v/>
      </c>
      <c r="N60">
        <f>IFERROR(IF(ISNUMBER(INDEX(SPPR!$E:$X,MATCH($A60,SPPR!$A:$A,0),11)),$C60*INDEX(SPPR!$E:$X,MATCH($A60,SPPR!$A:$A,0),11),""),"")</f>
        <v/>
      </c>
      <c r="O60">
        <f>IFERROR(IF(ISNUMBER(INDEX(SPPR!$E:$X,MATCH($A60,SPPR!$A:$A,0),12)),$C60*INDEX(SPPR!$E:$X,MATCH($A60,SPPR!$A:$A,0),12),""),"")</f>
        <v/>
      </c>
      <c r="P60">
        <f>IFERROR(IF(ISNUMBER(INDEX(SPPR!$E:$X,MATCH($A60,SPPR!$A:$A,0),13)),$C60*INDEX(SPPR!$E:$X,MATCH($A60,SPPR!$A:$A,0),13),""),"")</f>
        <v/>
      </c>
      <c r="Q60">
        <f>IFERROR(IF(ISNUMBER(INDEX(SPPR!$E:$X,MATCH($A60,SPPR!$A:$A,0),14)),$C60*INDEX(SPPR!$E:$X,MATCH($A60,SPPR!$A:$A,0),14),""),"")</f>
        <v/>
      </c>
      <c r="R60">
        <f>IFERROR(IF(ISNUMBER(INDEX(SPPR!$E:$X,MATCH($A60,SPPR!$A:$A,0),15)),$C60*INDEX(SPPR!$E:$X,MATCH($A60,SPPR!$A:$A,0),15),""),"")</f>
        <v/>
      </c>
      <c r="S60">
        <f>IFERROR(IF(ISNUMBER(INDEX(SPPR!$E:$X,MATCH($A60,SPPR!$A:$A,0),16)),$C60*INDEX(SPPR!$E:$X,MATCH($A60,SPPR!$A:$A,0),16),""),"")</f>
        <v/>
      </c>
      <c r="T60">
        <f>IFERROR(IF(ISNUMBER(INDEX(SPPR!$E:$X,MATCH($A60,SPPR!$A:$A,0),17)),$C60*INDEX(SPPR!$E:$X,MATCH($A60,SPPR!$A:$A,0),17),""),"")</f>
        <v/>
      </c>
      <c r="U60">
        <f>IFERROR(IF(ISNUMBER(INDEX(SPPR!$E:$X,MATCH($A60,SPPR!$A:$A,0),18)),$C60*INDEX(SPPR!$E:$X,MATCH($A60,SPPR!$A:$A,0),18),""),"")</f>
        <v/>
      </c>
      <c r="V60">
        <f>IFERROR(IF(ISNUMBER(INDEX(SPPR!$E:$X,MATCH($A60,SPPR!$A:$A,0),19)),$C60*INDEX(SPPR!$E:$X,MATCH($A60,SPPR!$A:$A,0),19),""),"")</f>
        <v/>
      </c>
      <c r="W60">
        <f>IFERROR(IF(ISNUMBER(INDEX(SPPR!$E:$X,MATCH($A60,SPPR!$A:$A,0),20)),$C60*INDEX(SPPR!$E:$X,MATCH($A60,SPPR!$A:$A,0),20),""),"")</f>
        <v/>
      </c>
    </row>
    <row r="61">
      <c r="A61" t="inlineStr">
        <is>
          <t>Echinoidea</t>
        </is>
      </c>
      <c r="B61">
        <f>IFERROR(INDEX(SPPR!$D:$D,MATCH($A61,SPPR!$A:$A,0)),"")</f>
        <v/>
      </c>
      <c r="C61">
        <f>IFERROR(INDEX(Catch!$E:$BV,MATCH($A61,Catch!$A:$A,0),MATCH($B$4,Catch!$E$1:$BV$1,0)),0)</f>
        <v/>
      </c>
      <c r="D61">
        <f>IFERROR(IF(ISNUMBER(INDEX(SPPR!$E:$X,MATCH($A61,SPPR!$A:$A,0),1)),$C61*INDEX(SPPR!$E:$X,MATCH($A61,SPPR!$A:$A,0),1),""),"")</f>
        <v/>
      </c>
      <c r="E61">
        <f>IFERROR(IF(ISNUMBER(INDEX(SPPR!$E:$X,MATCH($A61,SPPR!$A:$A,0),2)),$C61*INDEX(SPPR!$E:$X,MATCH($A61,SPPR!$A:$A,0),2),""),"")</f>
        <v/>
      </c>
      <c r="F61">
        <f>IFERROR(IF(ISNUMBER(INDEX(SPPR!$E:$X,MATCH($A61,SPPR!$A:$A,0),3)),$C61*INDEX(SPPR!$E:$X,MATCH($A61,SPPR!$A:$A,0),3),""),"")</f>
        <v/>
      </c>
      <c r="G61">
        <f>IFERROR(IF(ISNUMBER(INDEX(SPPR!$E:$X,MATCH($A61,SPPR!$A:$A,0),4)),$C61*INDEX(SPPR!$E:$X,MATCH($A61,SPPR!$A:$A,0),4),""),"")</f>
        <v/>
      </c>
      <c r="H61">
        <f>IFERROR(IF(ISNUMBER(INDEX(SPPR!$E:$X,MATCH($A61,SPPR!$A:$A,0),5)),$C61*INDEX(SPPR!$E:$X,MATCH($A61,SPPR!$A:$A,0),5),""),"")</f>
        <v/>
      </c>
      <c r="I61">
        <f>IFERROR(IF(ISNUMBER(INDEX(SPPR!$E:$X,MATCH($A61,SPPR!$A:$A,0),6)),$C61*INDEX(SPPR!$E:$X,MATCH($A61,SPPR!$A:$A,0),6),""),"")</f>
        <v/>
      </c>
      <c r="J61">
        <f>IFERROR(IF(ISNUMBER(INDEX(SPPR!$E:$X,MATCH($A61,SPPR!$A:$A,0),7)),$C61*INDEX(SPPR!$E:$X,MATCH($A61,SPPR!$A:$A,0),7),""),"")</f>
        <v/>
      </c>
      <c r="K61">
        <f>IFERROR(IF(ISNUMBER(INDEX(SPPR!$E:$X,MATCH($A61,SPPR!$A:$A,0),8)),$C61*INDEX(SPPR!$E:$X,MATCH($A61,SPPR!$A:$A,0),8),""),"")</f>
        <v/>
      </c>
      <c r="L61">
        <f>IFERROR(IF(ISNUMBER(INDEX(SPPR!$E:$X,MATCH($A61,SPPR!$A:$A,0),9)),$C61*INDEX(SPPR!$E:$X,MATCH($A61,SPPR!$A:$A,0),9),""),"")</f>
        <v/>
      </c>
      <c r="M61">
        <f>IFERROR(IF(ISNUMBER(INDEX(SPPR!$E:$X,MATCH($A61,SPPR!$A:$A,0),10)),$C61*INDEX(SPPR!$E:$X,MATCH($A61,SPPR!$A:$A,0),10),""),"")</f>
        <v/>
      </c>
      <c r="N61">
        <f>IFERROR(IF(ISNUMBER(INDEX(SPPR!$E:$X,MATCH($A61,SPPR!$A:$A,0),11)),$C61*INDEX(SPPR!$E:$X,MATCH($A61,SPPR!$A:$A,0),11),""),"")</f>
        <v/>
      </c>
      <c r="O61">
        <f>IFERROR(IF(ISNUMBER(INDEX(SPPR!$E:$X,MATCH($A61,SPPR!$A:$A,0),12)),$C61*INDEX(SPPR!$E:$X,MATCH($A61,SPPR!$A:$A,0),12),""),"")</f>
        <v/>
      </c>
      <c r="P61">
        <f>IFERROR(IF(ISNUMBER(INDEX(SPPR!$E:$X,MATCH($A61,SPPR!$A:$A,0),13)),$C61*INDEX(SPPR!$E:$X,MATCH($A61,SPPR!$A:$A,0),13),""),"")</f>
        <v/>
      </c>
      <c r="Q61">
        <f>IFERROR(IF(ISNUMBER(INDEX(SPPR!$E:$X,MATCH($A61,SPPR!$A:$A,0),14)),$C61*INDEX(SPPR!$E:$X,MATCH($A61,SPPR!$A:$A,0),14),""),"")</f>
        <v/>
      </c>
      <c r="R61">
        <f>IFERROR(IF(ISNUMBER(INDEX(SPPR!$E:$X,MATCH($A61,SPPR!$A:$A,0),15)),$C61*INDEX(SPPR!$E:$X,MATCH($A61,SPPR!$A:$A,0),15),""),"")</f>
        <v/>
      </c>
      <c r="S61">
        <f>IFERROR(IF(ISNUMBER(INDEX(SPPR!$E:$X,MATCH($A61,SPPR!$A:$A,0),16)),$C61*INDEX(SPPR!$E:$X,MATCH($A61,SPPR!$A:$A,0),16),""),"")</f>
        <v/>
      </c>
      <c r="T61">
        <f>IFERROR(IF(ISNUMBER(INDEX(SPPR!$E:$X,MATCH($A61,SPPR!$A:$A,0),17)),$C61*INDEX(SPPR!$E:$X,MATCH($A61,SPPR!$A:$A,0),17),""),"")</f>
        <v/>
      </c>
      <c r="U61">
        <f>IFERROR(IF(ISNUMBER(INDEX(SPPR!$E:$X,MATCH($A61,SPPR!$A:$A,0),18)),$C61*INDEX(SPPR!$E:$X,MATCH($A61,SPPR!$A:$A,0),18),""),"")</f>
        <v/>
      </c>
      <c r="V61">
        <f>IFERROR(IF(ISNUMBER(INDEX(SPPR!$E:$X,MATCH($A61,SPPR!$A:$A,0),19)),$C61*INDEX(SPPR!$E:$X,MATCH($A61,SPPR!$A:$A,0),19),""),"")</f>
        <v/>
      </c>
      <c r="W61">
        <f>IFERROR(IF(ISNUMBER(INDEX(SPPR!$E:$X,MATCH($A61,SPPR!$A:$A,0),20)),$C61*INDEX(SPPR!$E:$X,MATCH($A61,SPPR!$A:$A,0),20),""),"")</f>
        <v/>
      </c>
    </row>
    <row r="62">
      <c r="A62" t="inlineStr">
        <is>
          <t>Seriola lalandi</t>
        </is>
      </c>
      <c r="B62">
        <f>IFERROR(INDEX(SPPR!$D:$D,MATCH($A62,SPPR!$A:$A,0)),"")</f>
        <v/>
      </c>
      <c r="C62">
        <f>IFERROR(INDEX(Catch!$E:$BV,MATCH($A62,Catch!$A:$A,0),MATCH($B$4,Catch!$E$1:$BV$1,0)),0)</f>
        <v/>
      </c>
      <c r="D62">
        <f>IFERROR(IF(ISNUMBER(INDEX(SPPR!$E:$X,MATCH($A62,SPPR!$A:$A,0),1)),$C62*INDEX(SPPR!$E:$X,MATCH($A62,SPPR!$A:$A,0),1),""),"")</f>
        <v/>
      </c>
      <c r="E62">
        <f>IFERROR(IF(ISNUMBER(INDEX(SPPR!$E:$X,MATCH($A62,SPPR!$A:$A,0),2)),$C62*INDEX(SPPR!$E:$X,MATCH($A62,SPPR!$A:$A,0),2),""),"")</f>
        <v/>
      </c>
      <c r="F62">
        <f>IFERROR(IF(ISNUMBER(INDEX(SPPR!$E:$X,MATCH($A62,SPPR!$A:$A,0),3)),$C62*INDEX(SPPR!$E:$X,MATCH($A62,SPPR!$A:$A,0),3),""),"")</f>
        <v/>
      </c>
      <c r="G62">
        <f>IFERROR(IF(ISNUMBER(INDEX(SPPR!$E:$X,MATCH($A62,SPPR!$A:$A,0),4)),$C62*INDEX(SPPR!$E:$X,MATCH($A62,SPPR!$A:$A,0),4),""),"")</f>
        <v/>
      </c>
      <c r="H62">
        <f>IFERROR(IF(ISNUMBER(INDEX(SPPR!$E:$X,MATCH($A62,SPPR!$A:$A,0),5)),$C62*INDEX(SPPR!$E:$X,MATCH($A62,SPPR!$A:$A,0),5),""),"")</f>
        <v/>
      </c>
      <c r="I62">
        <f>IFERROR(IF(ISNUMBER(INDEX(SPPR!$E:$X,MATCH($A62,SPPR!$A:$A,0),6)),$C62*INDEX(SPPR!$E:$X,MATCH($A62,SPPR!$A:$A,0),6),""),"")</f>
        <v/>
      </c>
      <c r="J62">
        <f>IFERROR(IF(ISNUMBER(INDEX(SPPR!$E:$X,MATCH($A62,SPPR!$A:$A,0),7)),$C62*INDEX(SPPR!$E:$X,MATCH($A62,SPPR!$A:$A,0),7),""),"")</f>
        <v/>
      </c>
      <c r="K62">
        <f>IFERROR(IF(ISNUMBER(INDEX(SPPR!$E:$X,MATCH($A62,SPPR!$A:$A,0),8)),$C62*INDEX(SPPR!$E:$X,MATCH($A62,SPPR!$A:$A,0),8),""),"")</f>
        <v/>
      </c>
      <c r="L62">
        <f>IFERROR(IF(ISNUMBER(INDEX(SPPR!$E:$X,MATCH($A62,SPPR!$A:$A,0),9)),$C62*INDEX(SPPR!$E:$X,MATCH($A62,SPPR!$A:$A,0),9),""),"")</f>
        <v/>
      </c>
      <c r="M62">
        <f>IFERROR(IF(ISNUMBER(INDEX(SPPR!$E:$X,MATCH($A62,SPPR!$A:$A,0),10)),$C62*INDEX(SPPR!$E:$X,MATCH($A62,SPPR!$A:$A,0),10),""),"")</f>
        <v/>
      </c>
      <c r="N62">
        <f>IFERROR(IF(ISNUMBER(INDEX(SPPR!$E:$X,MATCH($A62,SPPR!$A:$A,0),11)),$C62*INDEX(SPPR!$E:$X,MATCH($A62,SPPR!$A:$A,0),11),""),"")</f>
        <v/>
      </c>
      <c r="O62">
        <f>IFERROR(IF(ISNUMBER(INDEX(SPPR!$E:$X,MATCH($A62,SPPR!$A:$A,0),12)),$C62*INDEX(SPPR!$E:$X,MATCH($A62,SPPR!$A:$A,0),12),""),"")</f>
        <v/>
      </c>
      <c r="P62">
        <f>IFERROR(IF(ISNUMBER(INDEX(SPPR!$E:$X,MATCH($A62,SPPR!$A:$A,0),13)),$C62*INDEX(SPPR!$E:$X,MATCH($A62,SPPR!$A:$A,0),13),""),"")</f>
        <v/>
      </c>
      <c r="Q62">
        <f>IFERROR(IF(ISNUMBER(INDEX(SPPR!$E:$X,MATCH($A62,SPPR!$A:$A,0),14)),$C62*INDEX(SPPR!$E:$X,MATCH($A62,SPPR!$A:$A,0),14),""),"")</f>
        <v/>
      </c>
      <c r="R62">
        <f>IFERROR(IF(ISNUMBER(INDEX(SPPR!$E:$X,MATCH($A62,SPPR!$A:$A,0),15)),$C62*INDEX(SPPR!$E:$X,MATCH($A62,SPPR!$A:$A,0),15),""),"")</f>
        <v/>
      </c>
      <c r="S62">
        <f>IFERROR(IF(ISNUMBER(INDEX(SPPR!$E:$X,MATCH($A62,SPPR!$A:$A,0),16)),$C62*INDEX(SPPR!$E:$X,MATCH($A62,SPPR!$A:$A,0),16),""),"")</f>
        <v/>
      </c>
      <c r="T62">
        <f>IFERROR(IF(ISNUMBER(INDEX(SPPR!$E:$X,MATCH($A62,SPPR!$A:$A,0),17)),$C62*INDEX(SPPR!$E:$X,MATCH($A62,SPPR!$A:$A,0),17),""),"")</f>
        <v/>
      </c>
      <c r="U62">
        <f>IFERROR(IF(ISNUMBER(INDEX(SPPR!$E:$X,MATCH($A62,SPPR!$A:$A,0),18)),$C62*INDEX(SPPR!$E:$X,MATCH($A62,SPPR!$A:$A,0),18),""),"")</f>
        <v/>
      </c>
      <c r="V62">
        <f>IFERROR(IF(ISNUMBER(INDEX(SPPR!$E:$X,MATCH($A62,SPPR!$A:$A,0),19)),$C62*INDEX(SPPR!$E:$X,MATCH($A62,SPPR!$A:$A,0),19),""),"")</f>
        <v/>
      </c>
      <c r="W62">
        <f>IFERROR(IF(ISNUMBER(INDEX(SPPR!$E:$X,MATCH($A62,SPPR!$A:$A,0),20)),$C62*INDEX(SPPR!$E:$X,MATCH($A62,SPPR!$A:$A,0),20),""),"")</f>
        <v/>
      </c>
    </row>
    <row r="63">
      <c r="A63" t="inlineStr">
        <is>
          <t>Mugil cephalus</t>
        </is>
      </c>
      <c r="B63">
        <f>IFERROR(INDEX(SPPR!$D:$D,MATCH($A63,SPPR!$A:$A,0)),"")</f>
        <v/>
      </c>
      <c r="C63">
        <f>IFERROR(INDEX(Catch!$E:$BV,MATCH($A63,Catch!$A:$A,0),MATCH($B$4,Catch!$E$1:$BV$1,0)),0)</f>
        <v/>
      </c>
      <c r="D63">
        <f>IFERROR(IF(ISNUMBER(INDEX(SPPR!$E:$X,MATCH($A63,SPPR!$A:$A,0),1)),$C63*INDEX(SPPR!$E:$X,MATCH($A63,SPPR!$A:$A,0),1),""),"")</f>
        <v/>
      </c>
      <c r="E63">
        <f>IFERROR(IF(ISNUMBER(INDEX(SPPR!$E:$X,MATCH($A63,SPPR!$A:$A,0),2)),$C63*INDEX(SPPR!$E:$X,MATCH($A63,SPPR!$A:$A,0),2),""),"")</f>
        <v/>
      </c>
      <c r="F63">
        <f>IFERROR(IF(ISNUMBER(INDEX(SPPR!$E:$X,MATCH($A63,SPPR!$A:$A,0),3)),$C63*INDEX(SPPR!$E:$X,MATCH($A63,SPPR!$A:$A,0),3),""),"")</f>
        <v/>
      </c>
      <c r="G63">
        <f>IFERROR(IF(ISNUMBER(INDEX(SPPR!$E:$X,MATCH($A63,SPPR!$A:$A,0),4)),$C63*INDEX(SPPR!$E:$X,MATCH($A63,SPPR!$A:$A,0),4),""),"")</f>
        <v/>
      </c>
      <c r="H63">
        <f>IFERROR(IF(ISNUMBER(INDEX(SPPR!$E:$X,MATCH($A63,SPPR!$A:$A,0),5)),$C63*INDEX(SPPR!$E:$X,MATCH($A63,SPPR!$A:$A,0),5),""),"")</f>
        <v/>
      </c>
      <c r="I63">
        <f>IFERROR(IF(ISNUMBER(INDEX(SPPR!$E:$X,MATCH($A63,SPPR!$A:$A,0),6)),$C63*INDEX(SPPR!$E:$X,MATCH($A63,SPPR!$A:$A,0),6),""),"")</f>
        <v/>
      </c>
      <c r="J63">
        <f>IFERROR(IF(ISNUMBER(INDEX(SPPR!$E:$X,MATCH($A63,SPPR!$A:$A,0),7)),$C63*INDEX(SPPR!$E:$X,MATCH($A63,SPPR!$A:$A,0),7),""),"")</f>
        <v/>
      </c>
      <c r="K63">
        <f>IFERROR(IF(ISNUMBER(INDEX(SPPR!$E:$X,MATCH($A63,SPPR!$A:$A,0),8)),$C63*INDEX(SPPR!$E:$X,MATCH($A63,SPPR!$A:$A,0),8),""),"")</f>
        <v/>
      </c>
      <c r="L63">
        <f>IFERROR(IF(ISNUMBER(INDEX(SPPR!$E:$X,MATCH($A63,SPPR!$A:$A,0),9)),$C63*INDEX(SPPR!$E:$X,MATCH($A63,SPPR!$A:$A,0),9),""),"")</f>
        <v/>
      </c>
      <c r="M63">
        <f>IFERROR(IF(ISNUMBER(INDEX(SPPR!$E:$X,MATCH($A63,SPPR!$A:$A,0),10)),$C63*INDEX(SPPR!$E:$X,MATCH($A63,SPPR!$A:$A,0),10),""),"")</f>
        <v/>
      </c>
      <c r="N63">
        <f>IFERROR(IF(ISNUMBER(INDEX(SPPR!$E:$X,MATCH($A63,SPPR!$A:$A,0),11)),$C63*INDEX(SPPR!$E:$X,MATCH($A63,SPPR!$A:$A,0),11),""),"")</f>
        <v/>
      </c>
      <c r="O63">
        <f>IFERROR(IF(ISNUMBER(INDEX(SPPR!$E:$X,MATCH($A63,SPPR!$A:$A,0),12)),$C63*INDEX(SPPR!$E:$X,MATCH($A63,SPPR!$A:$A,0),12),""),"")</f>
        <v/>
      </c>
      <c r="P63">
        <f>IFERROR(IF(ISNUMBER(INDEX(SPPR!$E:$X,MATCH($A63,SPPR!$A:$A,0),13)),$C63*INDEX(SPPR!$E:$X,MATCH($A63,SPPR!$A:$A,0),13),""),"")</f>
        <v/>
      </c>
      <c r="Q63">
        <f>IFERROR(IF(ISNUMBER(INDEX(SPPR!$E:$X,MATCH($A63,SPPR!$A:$A,0),14)),$C63*INDEX(SPPR!$E:$X,MATCH($A63,SPPR!$A:$A,0),14),""),"")</f>
        <v/>
      </c>
      <c r="R63">
        <f>IFERROR(IF(ISNUMBER(INDEX(SPPR!$E:$X,MATCH($A63,SPPR!$A:$A,0),15)),$C63*INDEX(SPPR!$E:$X,MATCH($A63,SPPR!$A:$A,0),15),""),"")</f>
        <v/>
      </c>
      <c r="S63">
        <f>IFERROR(IF(ISNUMBER(INDEX(SPPR!$E:$X,MATCH($A63,SPPR!$A:$A,0),16)),$C63*INDEX(SPPR!$E:$X,MATCH($A63,SPPR!$A:$A,0),16),""),"")</f>
        <v/>
      </c>
      <c r="T63">
        <f>IFERROR(IF(ISNUMBER(INDEX(SPPR!$E:$X,MATCH($A63,SPPR!$A:$A,0),17)),$C63*INDEX(SPPR!$E:$X,MATCH($A63,SPPR!$A:$A,0),17),""),"")</f>
        <v/>
      </c>
      <c r="U63">
        <f>IFERROR(IF(ISNUMBER(INDEX(SPPR!$E:$X,MATCH($A63,SPPR!$A:$A,0),18)),$C63*INDEX(SPPR!$E:$X,MATCH($A63,SPPR!$A:$A,0),18),""),"")</f>
        <v/>
      </c>
      <c r="V63">
        <f>IFERROR(IF(ISNUMBER(INDEX(SPPR!$E:$X,MATCH($A63,SPPR!$A:$A,0),19)),$C63*INDEX(SPPR!$E:$X,MATCH($A63,SPPR!$A:$A,0),19),""),"")</f>
        <v/>
      </c>
      <c r="W63">
        <f>IFERROR(IF(ISNUMBER(INDEX(SPPR!$E:$X,MATCH($A63,SPPR!$A:$A,0),20)),$C63*INDEX(SPPR!$E:$X,MATCH($A63,SPPR!$A:$A,0),20),""),"")</f>
        <v/>
      </c>
    </row>
    <row r="64">
      <c r="A64" t="inlineStr">
        <is>
          <t>Chondrichthyes</t>
        </is>
      </c>
      <c r="B64">
        <f>IFERROR(INDEX(SPPR!$D:$D,MATCH($A64,SPPR!$A:$A,0)),"")</f>
        <v/>
      </c>
      <c r="C64">
        <f>IFERROR(INDEX(Catch!$E:$BV,MATCH($A64,Catch!$A:$A,0),MATCH($B$4,Catch!$E$1:$BV$1,0)),0)</f>
        <v/>
      </c>
      <c r="D64">
        <f>IFERROR(IF(ISNUMBER(INDEX(SPPR!$E:$X,MATCH($A64,SPPR!$A:$A,0),1)),$C64*INDEX(SPPR!$E:$X,MATCH($A64,SPPR!$A:$A,0),1),""),"")</f>
        <v/>
      </c>
      <c r="E64">
        <f>IFERROR(IF(ISNUMBER(INDEX(SPPR!$E:$X,MATCH($A64,SPPR!$A:$A,0),2)),$C64*INDEX(SPPR!$E:$X,MATCH($A64,SPPR!$A:$A,0),2),""),"")</f>
        <v/>
      </c>
      <c r="F64">
        <f>IFERROR(IF(ISNUMBER(INDEX(SPPR!$E:$X,MATCH($A64,SPPR!$A:$A,0),3)),$C64*INDEX(SPPR!$E:$X,MATCH($A64,SPPR!$A:$A,0),3),""),"")</f>
        <v/>
      </c>
      <c r="G64">
        <f>IFERROR(IF(ISNUMBER(INDEX(SPPR!$E:$X,MATCH($A64,SPPR!$A:$A,0),4)),$C64*INDEX(SPPR!$E:$X,MATCH($A64,SPPR!$A:$A,0),4),""),"")</f>
        <v/>
      </c>
      <c r="H64">
        <f>IFERROR(IF(ISNUMBER(INDEX(SPPR!$E:$X,MATCH($A64,SPPR!$A:$A,0),5)),$C64*INDEX(SPPR!$E:$X,MATCH($A64,SPPR!$A:$A,0),5),""),"")</f>
        <v/>
      </c>
      <c r="I64">
        <f>IFERROR(IF(ISNUMBER(INDEX(SPPR!$E:$X,MATCH($A64,SPPR!$A:$A,0),6)),$C64*INDEX(SPPR!$E:$X,MATCH($A64,SPPR!$A:$A,0),6),""),"")</f>
        <v/>
      </c>
      <c r="J64">
        <f>IFERROR(IF(ISNUMBER(INDEX(SPPR!$E:$X,MATCH($A64,SPPR!$A:$A,0),7)),$C64*INDEX(SPPR!$E:$X,MATCH($A64,SPPR!$A:$A,0),7),""),"")</f>
        <v/>
      </c>
      <c r="K64">
        <f>IFERROR(IF(ISNUMBER(INDEX(SPPR!$E:$X,MATCH($A64,SPPR!$A:$A,0),8)),$C64*INDEX(SPPR!$E:$X,MATCH($A64,SPPR!$A:$A,0),8),""),"")</f>
        <v/>
      </c>
      <c r="L64">
        <f>IFERROR(IF(ISNUMBER(INDEX(SPPR!$E:$X,MATCH($A64,SPPR!$A:$A,0),9)),$C64*INDEX(SPPR!$E:$X,MATCH($A64,SPPR!$A:$A,0),9),""),"")</f>
        <v/>
      </c>
      <c r="M64">
        <f>IFERROR(IF(ISNUMBER(INDEX(SPPR!$E:$X,MATCH($A64,SPPR!$A:$A,0),10)),$C64*INDEX(SPPR!$E:$X,MATCH($A64,SPPR!$A:$A,0),10),""),"")</f>
        <v/>
      </c>
      <c r="N64">
        <f>IFERROR(IF(ISNUMBER(INDEX(SPPR!$E:$X,MATCH($A64,SPPR!$A:$A,0),11)),$C64*INDEX(SPPR!$E:$X,MATCH($A64,SPPR!$A:$A,0),11),""),"")</f>
        <v/>
      </c>
      <c r="O64">
        <f>IFERROR(IF(ISNUMBER(INDEX(SPPR!$E:$X,MATCH($A64,SPPR!$A:$A,0),12)),$C64*INDEX(SPPR!$E:$X,MATCH($A64,SPPR!$A:$A,0),12),""),"")</f>
        <v/>
      </c>
      <c r="P64">
        <f>IFERROR(IF(ISNUMBER(INDEX(SPPR!$E:$X,MATCH($A64,SPPR!$A:$A,0),13)),$C64*INDEX(SPPR!$E:$X,MATCH($A64,SPPR!$A:$A,0),13),""),"")</f>
        <v/>
      </c>
      <c r="Q64">
        <f>IFERROR(IF(ISNUMBER(INDEX(SPPR!$E:$X,MATCH($A64,SPPR!$A:$A,0),14)),$C64*INDEX(SPPR!$E:$X,MATCH($A64,SPPR!$A:$A,0),14),""),"")</f>
        <v/>
      </c>
      <c r="R64">
        <f>IFERROR(IF(ISNUMBER(INDEX(SPPR!$E:$X,MATCH($A64,SPPR!$A:$A,0),15)),$C64*INDEX(SPPR!$E:$X,MATCH($A64,SPPR!$A:$A,0),15),""),"")</f>
        <v/>
      </c>
      <c r="S64">
        <f>IFERROR(IF(ISNUMBER(INDEX(SPPR!$E:$X,MATCH($A64,SPPR!$A:$A,0),16)),$C64*INDEX(SPPR!$E:$X,MATCH($A64,SPPR!$A:$A,0),16),""),"")</f>
        <v/>
      </c>
      <c r="T64">
        <f>IFERROR(IF(ISNUMBER(INDEX(SPPR!$E:$X,MATCH($A64,SPPR!$A:$A,0),17)),$C64*INDEX(SPPR!$E:$X,MATCH($A64,SPPR!$A:$A,0),17),""),"")</f>
        <v/>
      </c>
      <c r="U64">
        <f>IFERROR(IF(ISNUMBER(INDEX(SPPR!$E:$X,MATCH($A64,SPPR!$A:$A,0),18)),$C64*INDEX(SPPR!$E:$X,MATCH($A64,SPPR!$A:$A,0),18),""),"")</f>
        <v/>
      </c>
      <c r="V64">
        <f>IFERROR(IF(ISNUMBER(INDEX(SPPR!$E:$X,MATCH($A64,SPPR!$A:$A,0),19)),$C64*INDEX(SPPR!$E:$X,MATCH($A64,SPPR!$A:$A,0),19),""),"")</f>
        <v/>
      </c>
      <c r="W64">
        <f>IFERROR(IF(ISNUMBER(INDEX(SPPR!$E:$X,MATCH($A64,SPPR!$A:$A,0),20)),$C64*INDEX(SPPR!$E:$X,MATCH($A64,SPPR!$A:$A,0),20),""),"")</f>
        <v/>
      </c>
    </row>
    <row r="65">
      <c r="A65" t="inlineStr">
        <is>
          <t>Scombridae</t>
        </is>
      </c>
      <c r="B65">
        <f>IFERROR(INDEX(SPPR!$D:$D,MATCH($A65,SPPR!$A:$A,0)),"")</f>
        <v/>
      </c>
      <c r="C65">
        <f>IFERROR(INDEX(Catch!$E:$BV,MATCH($A65,Catch!$A:$A,0),MATCH($B$4,Catch!$E$1:$BV$1,0)),0)</f>
        <v/>
      </c>
      <c r="D65">
        <f>IFERROR(IF(ISNUMBER(INDEX(SPPR!$E:$X,MATCH($A65,SPPR!$A:$A,0),1)),$C65*INDEX(SPPR!$E:$X,MATCH($A65,SPPR!$A:$A,0),1),""),"")</f>
        <v/>
      </c>
      <c r="E65">
        <f>IFERROR(IF(ISNUMBER(INDEX(SPPR!$E:$X,MATCH($A65,SPPR!$A:$A,0),2)),$C65*INDEX(SPPR!$E:$X,MATCH($A65,SPPR!$A:$A,0),2),""),"")</f>
        <v/>
      </c>
      <c r="F65">
        <f>IFERROR(IF(ISNUMBER(INDEX(SPPR!$E:$X,MATCH($A65,SPPR!$A:$A,0),3)),$C65*INDEX(SPPR!$E:$X,MATCH($A65,SPPR!$A:$A,0),3),""),"")</f>
        <v/>
      </c>
      <c r="G65">
        <f>IFERROR(IF(ISNUMBER(INDEX(SPPR!$E:$X,MATCH($A65,SPPR!$A:$A,0),4)),$C65*INDEX(SPPR!$E:$X,MATCH($A65,SPPR!$A:$A,0),4),""),"")</f>
        <v/>
      </c>
      <c r="H65">
        <f>IFERROR(IF(ISNUMBER(INDEX(SPPR!$E:$X,MATCH($A65,SPPR!$A:$A,0),5)),$C65*INDEX(SPPR!$E:$X,MATCH($A65,SPPR!$A:$A,0),5),""),"")</f>
        <v/>
      </c>
      <c r="I65">
        <f>IFERROR(IF(ISNUMBER(INDEX(SPPR!$E:$X,MATCH($A65,SPPR!$A:$A,0),6)),$C65*INDEX(SPPR!$E:$X,MATCH($A65,SPPR!$A:$A,0),6),""),"")</f>
        <v/>
      </c>
      <c r="J65">
        <f>IFERROR(IF(ISNUMBER(INDEX(SPPR!$E:$X,MATCH($A65,SPPR!$A:$A,0),7)),$C65*INDEX(SPPR!$E:$X,MATCH($A65,SPPR!$A:$A,0),7),""),"")</f>
        <v/>
      </c>
      <c r="K65">
        <f>IFERROR(IF(ISNUMBER(INDEX(SPPR!$E:$X,MATCH($A65,SPPR!$A:$A,0),8)),$C65*INDEX(SPPR!$E:$X,MATCH($A65,SPPR!$A:$A,0),8),""),"")</f>
        <v/>
      </c>
      <c r="L65">
        <f>IFERROR(IF(ISNUMBER(INDEX(SPPR!$E:$X,MATCH($A65,SPPR!$A:$A,0),9)),$C65*INDEX(SPPR!$E:$X,MATCH($A65,SPPR!$A:$A,0),9),""),"")</f>
        <v/>
      </c>
      <c r="M65">
        <f>IFERROR(IF(ISNUMBER(INDEX(SPPR!$E:$X,MATCH($A65,SPPR!$A:$A,0),10)),$C65*INDEX(SPPR!$E:$X,MATCH($A65,SPPR!$A:$A,0),10),""),"")</f>
        <v/>
      </c>
      <c r="N65">
        <f>IFERROR(IF(ISNUMBER(INDEX(SPPR!$E:$X,MATCH($A65,SPPR!$A:$A,0),11)),$C65*INDEX(SPPR!$E:$X,MATCH($A65,SPPR!$A:$A,0),11),""),"")</f>
        <v/>
      </c>
      <c r="O65">
        <f>IFERROR(IF(ISNUMBER(INDEX(SPPR!$E:$X,MATCH($A65,SPPR!$A:$A,0),12)),$C65*INDEX(SPPR!$E:$X,MATCH($A65,SPPR!$A:$A,0),12),""),"")</f>
        <v/>
      </c>
      <c r="P65">
        <f>IFERROR(IF(ISNUMBER(INDEX(SPPR!$E:$X,MATCH($A65,SPPR!$A:$A,0),13)),$C65*INDEX(SPPR!$E:$X,MATCH($A65,SPPR!$A:$A,0),13),""),"")</f>
        <v/>
      </c>
      <c r="Q65">
        <f>IFERROR(IF(ISNUMBER(INDEX(SPPR!$E:$X,MATCH($A65,SPPR!$A:$A,0),14)),$C65*INDEX(SPPR!$E:$X,MATCH($A65,SPPR!$A:$A,0),14),""),"")</f>
        <v/>
      </c>
      <c r="R65">
        <f>IFERROR(IF(ISNUMBER(INDEX(SPPR!$E:$X,MATCH($A65,SPPR!$A:$A,0),15)),$C65*INDEX(SPPR!$E:$X,MATCH($A65,SPPR!$A:$A,0),15),""),"")</f>
        <v/>
      </c>
      <c r="S65">
        <f>IFERROR(IF(ISNUMBER(INDEX(SPPR!$E:$X,MATCH($A65,SPPR!$A:$A,0),16)),$C65*INDEX(SPPR!$E:$X,MATCH($A65,SPPR!$A:$A,0),16),""),"")</f>
        <v/>
      </c>
      <c r="T65">
        <f>IFERROR(IF(ISNUMBER(INDEX(SPPR!$E:$X,MATCH($A65,SPPR!$A:$A,0),17)),$C65*INDEX(SPPR!$E:$X,MATCH($A65,SPPR!$A:$A,0),17),""),"")</f>
        <v/>
      </c>
      <c r="U65">
        <f>IFERROR(IF(ISNUMBER(INDEX(SPPR!$E:$X,MATCH($A65,SPPR!$A:$A,0),18)),$C65*INDEX(SPPR!$E:$X,MATCH($A65,SPPR!$A:$A,0),18),""),"")</f>
        <v/>
      </c>
      <c r="V65">
        <f>IFERROR(IF(ISNUMBER(INDEX(SPPR!$E:$X,MATCH($A65,SPPR!$A:$A,0),19)),$C65*INDEX(SPPR!$E:$X,MATCH($A65,SPPR!$A:$A,0),19),""),"")</f>
        <v/>
      </c>
      <c r="W65">
        <f>IFERROR(IF(ISNUMBER(INDEX(SPPR!$E:$X,MATCH($A65,SPPR!$A:$A,0),20)),$C65*INDEX(SPPR!$E:$X,MATCH($A65,SPPR!$A:$A,0),20),""),"")</f>
        <v/>
      </c>
    </row>
    <row r="66">
      <c r="A66" t="inlineStr">
        <is>
          <t>Sebastes alutus</t>
        </is>
      </c>
      <c r="B66">
        <f>IFERROR(INDEX(SPPR!$D:$D,MATCH($A66,SPPR!$A:$A,0)),"")</f>
        <v/>
      </c>
      <c r="C66">
        <f>IFERROR(INDEX(Catch!$E:$BV,MATCH($A66,Catch!$A:$A,0),MATCH($B$4,Catch!$E$1:$BV$1,0)),0)</f>
        <v/>
      </c>
      <c r="D66">
        <f>IFERROR(IF(ISNUMBER(INDEX(SPPR!$E:$X,MATCH($A66,SPPR!$A:$A,0),1)),$C66*INDEX(SPPR!$E:$X,MATCH($A66,SPPR!$A:$A,0),1),""),"")</f>
        <v/>
      </c>
      <c r="E66">
        <f>IFERROR(IF(ISNUMBER(INDEX(SPPR!$E:$X,MATCH($A66,SPPR!$A:$A,0),2)),$C66*INDEX(SPPR!$E:$X,MATCH($A66,SPPR!$A:$A,0),2),""),"")</f>
        <v/>
      </c>
      <c r="F66">
        <f>IFERROR(IF(ISNUMBER(INDEX(SPPR!$E:$X,MATCH($A66,SPPR!$A:$A,0),3)),$C66*INDEX(SPPR!$E:$X,MATCH($A66,SPPR!$A:$A,0),3),""),"")</f>
        <v/>
      </c>
      <c r="G66">
        <f>IFERROR(IF(ISNUMBER(INDEX(SPPR!$E:$X,MATCH($A66,SPPR!$A:$A,0),4)),$C66*INDEX(SPPR!$E:$X,MATCH($A66,SPPR!$A:$A,0),4),""),"")</f>
        <v/>
      </c>
      <c r="H66">
        <f>IFERROR(IF(ISNUMBER(INDEX(SPPR!$E:$X,MATCH($A66,SPPR!$A:$A,0),5)),$C66*INDEX(SPPR!$E:$X,MATCH($A66,SPPR!$A:$A,0),5),""),"")</f>
        <v/>
      </c>
      <c r="I66">
        <f>IFERROR(IF(ISNUMBER(INDEX(SPPR!$E:$X,MATCH($A66,SPPR!$A:$A,0),6)),$C66*INDEX(SPPR!$E:$X,MATCH($A66,SPPR!$A:$A,0),6),""),"")</f>
        <v/>
      </c>
      <c r="J66">
        <f>IFERROR(IF(ISNUMBER(INDEX(SPPR!$E:$X,MATCH($A66,SPPR!$A:$A,0),7)),$C66*INDEX(SPPR!$E:$X,MATCH($A66,SPPR!$A:$A,0),7),""),"")</f>
        <v/>
      </c>
      <c r="K66">
        <f>IFERROR(IF(ISNUMBER(INDEX(SPPR!$E:$X,MATCH($A66,SPPR!$A:$A,0),8)),$C66*INDEX(SPPR!$E:$X,MATCH($A66,SPPR!$A:$A,0),8),""),"")</f>
        <v/>
      </c>
      <c r="L66">
        <f>IFERROR(IF(ISNUMBER(INDEX(SPPR!$E:$X,MATCH($A66,SPPR!$A:$A,0),9)),$C66*INDEX(SPPR!$E:$X,MATCH($A66,SPPR!$A:$A,0),9),""),"")</f>
        <v/>
      </c>
      <c r="M66">
        <f>IFERROR(IF(ISNUMBER(INDEX(SPPR!$E:$X,MATCH($A66,SPPR!$A:$A,0),10)),$C66*INDEX(SPPR!$E:$X,MATCH($A66,SPPR!$A:$A,0),10),""),"")</f>
        <v/>
      </c>
      <c r="N66">
        <f>IFERROR(IF(ISNUMBER(INDEX(SPPR!$E:$X,MATCH($A66,SPPR!$A:$A,0),11)),$C66*INDEX(SPPR!$E:$X,MATCH($A66,SPPR!$A:$A,0),11),""),"")</f>
        <v/>
      </c>
      <c r="O66">
        <f>IFERROR(IF(ISNUMBER(INDEX(SPPR!$E:$X,MATCH($A66,SPPR!$A:$A,0),12)),$C66*INDEX(SPPR!$E:$X,MATCH($A66,SPPR!$A:$A,0),12),""),"")</f>
        <v/>
      </c>
      <c r="P66">
        <f>IFERROR(IF(ISNUMBER(INDEX(SPPR!$E:$X,MATCH($A66,SPPR!$A:$A,0),13)),$C66*INDEX(SPPR!$E:$X,MATCH($A66,SPPR!$A:$A,0),13),""),"")</f>
        <v/>
      </c>
      <c r="Q66">
        <f>IFERROR(IF(ISNUMBER(INDEX(SPPR!$E:$X,MATCH($A66,SPPR!$A:$A,0),14)),$C66*INDEX(SPPR!$E:$X,MATCH($A66,SPPR!$A:$A,0),14),""),"")</f>
        <v/>
      </c>
      <c r="R66">
        <f>IFERROR(IF(ISNUMBER(INDEX(SPPR!$E:$X,MATCH($A66,SPPR!$A:$A,0),15)),$C66*INDEX(SPPR!$E:$X,MATCH($A66,SPPR!$A:$A,0),15),""),"")</f>
        <v/>
      </c>
      <c r="S66">
        <f>IFERROR(IF(ISNUMBER(INDEX(SPPR!$E:$X,MATCH($A66,SPPR!$A:$A,0),16)),$C66*INDEX(SPPR!$E:$X,MATCH($A66,SPPR!$A:$A,0),16),""),"")</f>
        <v/>
      </c>
      <c r="T66">
        <f>IFERROR(IF(ISNUMBER(INDEX(SPPR!$E:$X,MATCH($A66,SPPR!$A:$A,0),17)),$C66*INDEX(SPPR!$E:$X,MATCH($A66,SPPR!$A:$A,0),17),""),"")</f>
        <v/>
      </c>
      <c r="U66">
        <f>IFERROR(IF(ISNUMBER(INDEX(SPPR!$E:$X,MATCH($A66,SPPR!$A:$A,0),18)),$C66*INDEX(SPPR!$E:$X,MATCH($A66,SPPR!$A:$A,0),18),""),"")</f>
        <v/>
      </c>
      <c r="V66">
        <f>IFERROR(IF(ISNUMBER(INDEX(SPPR!$E:$X,MATCH($A66,SPPR!$A:$A,0),19)),$C66*INDEX(SPPR!$E:$X,MATCH($A66,SPPR!$A:$A,0),19),""),"")</f>
        <v/>
      </c>
      <c r="W66">
        <f>IFERROR(IF(ISNUMBER(INDEX(SPPR!$E:$X,MATCH($A66,SPPR!$A:$A,0),20)),$C66*INDEX(SPPR!$E:$X,MATCH($A66,SPPR!$A:$A,0),20),""),"")</f>
        <v/>
      </c>
    </row>
    <row r="67">
      <c r="A67" t="inlineStr">
        <is>
          <t>Oncorhynchus tshawytscha</t>
        </is>
      </c>
      <c r="B67">
        <f>IFERROR(INDEX(SPPR!$D:$D,MATCH($A67,SPPR!$A:$A,0)),"")</f>
        <v/>
      </c>
      <c r="C67">
        <f>IFERROR(INDEX(Catch!$E:$BV,MATCH($A67,Catch!$A:$A,0),MATCH($B$4,Catch!$E$1:$BV$1,0)),0)</f>
        <v/>
      </c>
      <c r="D67">
        <f>IFERROR(IF(ISNUMBER(INDEX(SPPR!$E:$X,MATCH($A67,SPPR!$A:$A,0),1)),$C67*INDEX(SPPR!$E:$X,MATCH($A67,SPPR!$A:$A,0),1),""),"")</f>
        <v/>
      </c>
      <c r="E67">
        <f>IFERROR(IF(ISNUMBER(INDEX(SPPR!$E:$X,MATCH($A67,SPPR!$A:$A,0),2)),$C67*INDEX(SPPR!$E:$X,MATCH($A67,SPPR!$A:$A,0),2),""),"")</f>
        <v/>
      </c>
      <c r="F67">
        <f>IFERROR(IF(ISNUMBER(INDEX(SPPR!$E:$X,MATCH($A67,SPPR!$A:$A,0),3)),$C67*INDEX(SPPR!$E:$X,MATCH($A67,SPPR!$A:$A,0),3),""),"")</f>
        <v/>
      </c>
      <c r="G67">
        <f>IFERROR(IF(ISNUMBER(INDEX(SPPR!$E:$X,MATCH($A67,SPPR!$A:$A,0),4)),$C67*INDEX(SPPR!$E:$X,MATCH($A67,SPPR!$A:$A,0),4),""),"")</f>
        <v/>
      </c>
      <c r="H67">
        <f>IFERROR(IF(ISNUMBER(INDEX(SPPR!$E:$X,MATCH($A67,SPPR!$A:$A,0),5)),$C67*INDEX(SPPR!$E:$X,MATCH($A67,SPPR!$A:$A,0),5),""),"")</f>
        <v/>
      </c>
      <c r="I67">
        <f>IFERROR(IF(ISNUMBER(INDEX(SPPR!$E:$X,MATCH($A67,SPPR!$A:$A,0),6)),$C67*INDEX(SPPR!$E:$X,MATCH($A67,SPPR!$A:$A,0),6),""),"")</f>
        <v/>
      </c>
      <c r="J67">
        <f>IFERROR(IF(ISNUMBER(INDEX(SPPR!$E:$X,MATCH($A67,SPPR!$A:$A,0),7)),$C67*INDEX(SPPR!$E:$X,MATCH($A67,SPPR!$A:$A,0),7),""),"")</f>
        <v/>
      </c>
      <c r="K67">
        <f>IFERROR(IF(ISNUMBER(INDEX(SPPR!$E:$X,MATCH($A67,SPPR!$A:$A,0),8)),$C67*INDEX(SPPR!$E:$X,MATCH($A67,SPPR!$A:$A,0),8),""),"")</f>
        <v/>
      </c>
      <c r="L67">
        <f>IFERROR(IF(ISNUMBER(INDEX(SPPR!$E:$X,MATCH($A67,SPPR!$A:$A,0),9)),$C67*INDEX(SPPR!$E:$X,MATCH($A67,SPPR!$A:$A,0),9),""),"")</f>
        <v/>
      </c>
      <c r="M67">
        <f>IFERROR(IF(ISNUMBER(INDEX(SPPR!$E:$X,MATCH($A67,SPPR!$A:$A,0),10)),$C67*INDEX(SPPR!$E:$X,MATCH($A67,SPPR!$A:$A,0),10),""),"")</f>
        <v/>
      </c>
      <c r="N67">
        <f>IFERROR(IF(ISNUMBER(INDEX(SPPR!$E:$X,MATCH($A67,SPPR!$A:$A,0),11)),$C67*INDEX(SPPR!$E:$X,MATCH($A67,SPPR!$A:$A,0),11),""),"")</f>
        <v/>
      </c>
      <c r="O67">
        <f>IFERROR(IF(ISNUMBER(INDEX(SPPR!$E:$X,MATCH($A67,SPPR!$A:$A,0),12)),$C67*INDEX(SPPR!$E:$X,MATCH($A67,SPPR!$A:$A,0),12),""),"")</f>
        <v/>
      </c>
      <c r="P67">
        <f>IFERROR(IF(ISNUMBER(INDEX(SPPR!$E:$X,MATCH($A67,SPPR!$A:$A,0),13)),$C67*INDEX(SPPR!$E:$X,MATCH($A67,SPPR!$A:$A,0),13),""),"")</f>
        <v/>
      </c>
      <c r="Q67">
        <f>IFERROR(IF(ISNUMBER(INDEX(SPPR!$E:$X,MATCH($A67,SPPR!$A:$A,0),14)),$C67*INDEX(SPPR!$E:$X,MATCH($A67,SPPR!$A:$A,0),14),""),"")</f>
        <v/>
      </c>
      <c r="R67">
        <f>IFERROR(IF(ISNUMBER(INDEX(SPPR!$E:$X,MATCH($A67,SPPR!$A:$A,0),15)),$C67*INDEX(SPPR!$E:$X,MATCH($A67,SPPR!$A:$A,0),15),""),"")</f>
        <v/>
      </c>
      <c r="S67">
        <f>IFERROR(IF(ISNUMBER(INDEX(SPPR!$E:$X,MATCH($A67,SPPR!$A:$A,0),16)),$C67*INDEX(SPPR!$E:$X,MATCH($A67,SPPR!$A:$A,0),16),""),"")</f>
        <v/>
      </c>
      <c r="T67">
        <f>IFERROR(IF(ISNUMBER(INDEX(SPPR!$E:$X,MATCH($A67,SPPR!$A:$A,0),17)),$C67*INDEX(SPPR!$E:$X,MATCH($A67,SPPR!$A:$A,0),17),""),"")</f>
        <v/>
      </c>
      <c r="U67">
        <f>IFERROR(IF(ISNUMBER(INDEX(SPPR!$E:$X,MATCH($A67,SPPR!$A:$A,0),18)),$C67*INDEX(SPPR!$E:$X,MATCH($A67,SPPR!$A:$A,0),18),""),"")</f>
        <v/>
      </c>
      <c r="V67">
        <f>IFERROR(IF(ISNUMBER(INDEX(SPPR!$E:$X,MATCH($A67,SPPR!$A:$A,0),19)),$C67*INDEX(SPPR!$E:$X,MATCH($A67,SPPR!$A:$A,0),19),""),"")</f>
        <v/>
      </c>
      <c r="W67">
        <f>IFERROR(IF(ISNUMBER(INDEX(SPPR!$E:$X,MATCH($A67,SPPR!$A:$A,0),20)),$C67*INDEX(SPPR!$E:$X,MATCH($A67,SPPR!$A:$A,0),20),""),"")</f>
        <v/>
      </c>
    </row>
    <row r="68">
      <c r="A68" t="inlineStr">
        <is>
          <t>Salvelinus</t>
        </is>
      </c>
      <c r="B68">
        <f>IFERROR(INDEX(SPPR!$D:$D,MATCH($A68,SPPR!$A:$A,0)),"")</f>
        <v/>
      </c>
      <c r="C68">
        <f>IFERROR(INDEX(Catch!$E:$BV,MATCH($A68,Catch!$A:$A,0),MATCH($B$4,Catch!$E$1:$BV$1,0)),0)</f>
        <v/>
      </c>
      <c r="D68">
        <f>IFERROR(IF(ISNUMBER(INDEX(SPPR!$E:$X,MATCH($A68,SPPR!$A:$A,0),1)),$C68*INDEX(SPPR!$E:$X,MATCH($A68,SPPR!$A:$A,0),1),""),"")</f>
        <v/>
      </c>
      <c r="E68">
        <f>IFERROR(IF(ISNUMBER(INDEX(SPPR!$E:$X,MATCH($A68,SPPR!$A:$A,0),2)),$C68*INDEX(SPPR!$E:$X,MATCH($A68,SPPR!$A:$A,0),2),""),"")</f>
        <v/>
      </c>
      <c r="F68">
        <f>IFERROR(IF(ISNUMBER(INDEX(SPPR!$E:$X,MATCH($A68,SPPR!$A:$A,0),3)),$C68*INDEX(SPPR!$E:$X,MATCH($A68,SPPR!$A:$A,0),3),""),"")</f>
        <v/>
      </c>
      <c r="G68">
        <f>IFERROR(IF(ISNUMBER(INDEX(SPPR!$E:$X,MATCH($A68,SPPR!$A:$A,0),4)),$C68*INDEX(SPPR!$E:$X,MATCH($A68,SPPR!$A:$A,0),4),""),"")</f>
        <v/>
      </c>
      <c r="H68">
        <f>IFERROR(IF(ISNUMBER(INDEX(SPPR!$E:$X,MATCH($A68,SPPR!$A:$A,0),5)),$C68*INDEX(SPPR!$E:$X,MATCH($A68,SPPR!$A:$A,0),5),""),"")</f>
        <v/>
      </c>
      <c r="I68">
        <f>IFERROR(IF(ISNUMBER(INDEX(SPPR!$E:$X,MATCH($A68,SPPR!$A:$A,0),6)),$C68*INDEX(SPPR!$E:$X,MATCH($A68,SPPR!$A:$A,0),6),""),"")</f>
        <v/>
      </c>
      <c r="J68">
        <f>IFERROR(IF(ISNUMBER(INDEX(SPPR!$E:$X,MATCH($A68,SPPR!$A:$A,0),7)),$C68*INDEX(SPPR!$E:$X,MATCH($A68,SPPR!$A:$A,0),7),""),"")</f>
        <v/>
      </c>
      <c r="K68">
        <f>IFERROR(IF(ISNUMBER(INDEX(SPPR!$E:$X,MATCH($A68,SPPR!$A:$A,0),8)),$C68*INDEX(SPPR!$E:$X,MATCH($A68,SPPR!$A:$A,0),8),""),"")</f>
        <v/>
      </c>
      <c r="L68">
        <f>IFERROR(IF(ISNUMBER(INDEX(SPPR!$E:$X,MATCH($A68,SPPR!$A:$A,0),9)),$C68*INDEX(SPPR!$E:$X,MATCH($A68,SPPR!$A:$A,0),9),""),"")</f>
        <v/>
      </c>
      <c r="M68">
        <f>IFERROR(IF(ISNUMBER(INDEX(SPPR!$E:$X,MATCH($A68,SPPR!$A:$A,0),10)),$C68*INDEX(SPPR!$E:$X,MATCH($A68,SPPR!$A:$A,0),10),""),"")</f>
        <v/>
      </c>
      <c r="N68">
        <f>IFERROR(IF(ISNUMBER(INDEX(SPPR!$E:$X,MATCH($A68,SPPR!$A:$A,0),11)),$C68*INDEX(SPPR!$E:$X,MATCH($A68,SPPR!$A:$A,0),11),""),"")</f>
        <v/>
      </c>
      <c r="O68">
        <f>IFERROR(IF(ISNUMBER(INDEX(SPPR!$E:$X,MATCH($A68,SPPR!$A:$A,0),12)),$C68*INDEX(SPPR!$E:$X,MATCH($A68,SPPR!$A:$A,0),12),""),"")</f>
        <v/>
      </c>
      <c r="P68">
        <f>IFERROR(IF(ISNUMBER(INDEX(SPPR!$E:$X,MATCH($A68,SPPR!$A:$A,0),13)),$C68*INDEX(SPPR!$E:$X,MATCH($A68,SPPR!$A:$A,0),13),""),"")</f>
        <v/>
      </c>
      <c r="Q68">
        <f>IFERROR(IF(ISNUMBER(INDEX(SPPR!$E:$X,MATCH($A68,SPPR!$A:$A,0),14)),$C68*INDEX(SPPR!$E:$X,MATCH($A68,SPPR!$A:$A,0),14),""),"")</f>
        <v/>
      </c>
      <c r="R68">
        <f>IFERROR(IF(ISNUMBER(INDEX(SPPR!$E:$X,MATCH($A68,SPPR!$A:$A,0),15)),$C68*INDEX(SPPR!$E:$X,MATCH($A68,SPPR!$A:$A,0),15),""),"")</f>
        <v/>
      </c>
      <c r="S68">
        <f>IFERROR(IF(ISNUMBER(INDEX(SPPR!$E:$X,MATCH($A68,SPPR!$A:$A,0),16)),$C68*INDEX(SPPR!$E:$X,MATCH($A68,SPPR!$A:$A,0),16),""),"")</f>
        <v/>
      </c>
      <c r="T68">
        <f>IFERROR(IF(ISNUMBER(INDEX(SPPR!$E:$X,MATCH($A68,SPPR!$A:$A,0),17)),$C68*INDEX(SPPR!$E:$X,MATCH($A68,SPPR!$A:$A,0),17),""),"")</f>
        <v/>
      </c>
      <c r="U68">
        <f>IFERROR(IF(ISNUMBER(INDEX(SPPR!$E:$X,MATCH($A68,SPPR!$A:$A,0),18)),$C68*INDEX(SPPR!$E:$X,MATCH($A68,SPPR!$A:$A,0),18),""),"")</f>
        <v/>
      </c>
      <c r="V68">
        <f>IFERROR(IF(ISNUMBER(INDEX(SPPR!$E:$X,MATCH($A68,SPPR!$A:$A,0),19)),$C68*INDEX(SPPR!$E:$X,MATCH($A68,SPPR!$A:$A,0),19),""),"")</f>
        <v/>
      </c>
      <c r="W68">
        <f>IFERROR(IF(ISNUMBER(INDEX(SPPR!$E:$X,MATCH($A68,SPPR!$A:$A,0),20)),$C68*INDEX(SPPR!$E:$X,MATCH($A68,SPPR!$A:$A,0),20),""),"")</f>
        <v/>
      </c>
    </row>
    <row r="69">
      <c r="A69" t="inlineStr">
        <is>
          <t>Paralithodes platypus</t>
        </is>
      </c>
      <c r="B69">
        <f>IFERROR(INDEX(SPPR!$D:$D,MATCH($A69,SPPR!$A:$A,0)),"")</f>
        <v/>
      </c>
      <c r="C69">
        <f>IFERROR(INDEX(Catch!$E:$BV,MATCH($A69,Catch!$A:$A,0),MATCH($B$4,Catch!$E$1:$BV$1,0)),0)</f>
        <v/>
      </c>
      <c r="D69">
        <f>IFERROR(IF(ISNUMBER(INDEX(SPPR!$E:$X,MATCH($A69,SPPR!$A:$A,0),1)),$C69*INDEX(SPPR!$E:$X,MATCH($A69,SPPR!$A:$A,0),1),""),"")</f>
        <v/>
      </c>
      <c r="E69">
        <f>IFERROR(IF(ISNUMBER(INDEX(SPPR!$E:$X,MATCH($A69,SPPR!$A:$A,0),2)),$C69*INDEX(SPPR!$E:$X,MATCH($A69,SPPR!$A:$A,0),2),""),"")</f>
        <v/>
      </c>
      <c r="F69">
        <f>IFERROR(IF(ISNUMBER(INDEX(SPPR!$E:$X,MATCH($A69,SPPR!$A:$A,0),3)),$C69*INDEX(SPPR!$E:$X,MATCH($A69,SPPR!$A:$A,0),3),""),"")</f>
        <v/>
      </c>
      <c r="G69">
        <f>IFERROR(IF(ISNUMBER(INDEX(SPPR!$E:$X,MATCH($A69,SPPR!$A:$A,0),4)),$C69*INDEX(SPPR!$E:$X,MATCH($A69,SPPR!$A:$A,0),4),""),"")</f>
        <v/>
      </c>
      <c r="H69">
        <f>IFERROR(IF(ISNUMBER(INDEX(SPPR!$E:$X,MATCH($A69,SPPR!$A:$A,0),5)),$C69*INDEX(SPPR!$E:$X,MATCH($A69,SPPR!$A:$A,0),5),""),"")</f>
        <v/>
      </c>
      <c r="I69">
        <f>IFERROR(IF(ISNUMBER(INDEX(SPPR!$E:$X,MATCH($A69,SPPR!$A:$A,0),6)),$C69*INDEX(SPPR!$E:$X,MATCH($A69,SPPR!$A:$A,0),6),""),"")</f>
        <v/>
      </c>
      <c r="J69">
        <f>IFERROR(IF(ISNUMBER(INDEX(SPPR!$E:$X,MATCH($A69,SPPR!$A:$A,0),7)),$C69*INDEX(SPPR!$E:$X,MATCH($A69,SPPR!$A:$A,0),7),""),"")</f>
        <v/>
      </c>
      <c r="K69">
        <f>IFERROR(IF(ISNUMBER(INDEX(SPPR!$E:$X,MATCH($A69,SPPR!$A:$A,0),8)),$C69*INDEX(SPPR!$E:$X,MATCH($A69,SPPR!$A:$A,0),8),""),"")</f>
        <v/>
      </c>
      <c r="L69">
        <f>IFERROR(IF(ISNUMBER(INDEX(SPPR!$E:$X,MATCH($A69,SPPR!$A:$A,0),9)),$C69*INDEX(SPPR!$E:$X,MATCH($A69,SPPR!$A:$A,0),9),""),"")</f>
        <v/>
      </c>
      <c r="M69">
        <f>IFERROR(IF(ISNUMBER(INDEX(SPPR!$E:$X,MATCH($A69,SPPR!$A:$A,0),10)),$C69*INDEX(SPPR!$E:$X,MATCH($A69,SPPR!$A:$A,0),10),""),"")</f>
        <v/>
      </c>
      <c r="N69">
        <f>IFERROR(IF(ISNUMBER(INDEX(SPPR!$E:$X,MATCH($A69,SPPR!$A:$A,0),11)),$C69*INDEX(SPPR!$E:$X,MATCH($A69,SPPR!$A:$A,0),11),""),"")</f>
        <v/>
      </c>
      <c r="O69">
        <f>IFERROR(IF(ISNUMBER(INDEX(SPPR!$E:$X,MATCH($A69,SPPR!$A:$A,0),12)),$C69*INDEX(SPPR!$E:$X,MATCH($A69,SPPR!$A:$A,0),12),""),"")</f>
        <v/>
      </c>
      <c r="P69">
        <f>IFERROR(IF(ISNUMBER(INDEX(SPPR!$E:$X,MATCH($A69,SPPR!$A:$A,0),13)),$C69*INDEX(SPPR!$E:$X,MATCH($A69,SPPR!$A:$A,0),13),""),"")</f>
        <v/>
      </c>
      <c r="Q69">
        <f>IFERROR(IF(ISNUMBER(INDEX(SPPR!$E:$X,MATCH($A69,SPPR!$A:$A,0),14)),$C69*INDEX(SPPR!$E:$X,MATCH($A69,SPPR!$A:$A,0),14),""),"")</f>
        <v/>
      </c>
      <c r="R69">
        <f>IFERROR(IF(ISNUMBER(INDEX(SPPR!$E:$X,MATCH($A69,SPPR!$A:$A,0),15)),$C69*INDEX(SPPR!$E:$X,MATCH($A69,SPPR!$A:$A,0),15),""),"")</f>
        <v/>
      </c>
      <c r="S69">
        <f>IFERROR(IF(ISNUMBER(INDEX(SPPR!$E:$X,MATCH($A69,SPPR!$A:$A,0),16)),$C69*INDEX(SPPR!$E:$X,MATCH($A69,SPPR!$A:$A,0),16),""),"")</f>
        <v/>
      </c>
      <c r="T69">
        <f>IFERROR(IF(ISNUMBER(INDEX(SPPR!$E:$X,MATCH($A69,SPPR!$A:$A,0),17)),$C69*INDEX(SPPR!$E:$X,MATCH($A69,SPPR!$A:$A,0),17),""),"")</f>
        <v/>
      </c>
      <c r="U69">
        <f>IFERROR(IF(ISNUMBER(INDEX(SPPR!$E:$X,MATCH($A69,SPPR!$A:$A,0),18)),$C69*INDEX(SPPR!$E:$X,MATCH($A69,SPPR!$A:$A,0),18),""),"")</f>
        <v/>
      </c>
      <c r="V69">
        <f>IFERROR(IF(ISNUMBER(INDEX(SPPR!$E:$X,MATCH($A69,SPPR!$A:$A,0),19)),$C69*INDEX(SPPR!$E:$X,MATCH($A69,SPPR!$A:$A,0),19),""),"")</f>
        <v/>
      </c>
      <c r="W69">
        <f>IFERROR(IF(ISNUMBER(INDEX(SPPR!$E:$X,MATCH($A69,SPPR!$A:$A,0),20)),$C69*INDEX(SPPR!$E:$X,MATCH($A69,SPPR!$A:$A,0),20),""),"")</f>
        <v/>
      </c>
    </row>
    <row r="70">
      <c r="A70" t="inlineStr">
        <is>
          <t>Pentaceros wheeleri</t>
        </is>
      </c>
      <c r="B70">
        <f>IFERROR(INDEX(SPPR!$D:$D,MATCH($A70,SPPR!$A:$A,0)),"")</f>
        <v/>
      </c>
      <c r="C70">
        <f>IFERROR(INDEX(Catch!$E:$BV,MATCH($A70,Catch!$A:$A,0),MATCH($B$4,Catch!$E$1:$BV$1,0)),0)</f>
        <v/>
      </c>
      <c r="D70">
        <f>IFERROR(IF(ISNUMBER(INDEX(SPPR!$E:$X,MATCH($A70,SPPR!$A:$A,0),1)),$C70*INDEX(SPPR!$E:$X,MATCH($A70,SPPR!$A:$A,0),1),""),"")</f>
        <v/>
      </c>
      <c r="E70">
        <f>IFERROR(IF(ISNUMBER(INDEX(SPPR!$E:$X,MATCH($A70,SPPR!$A:$A,0),2)),$C70*INDEX(SPPR!$E:$X,MATCH($A70,SPPR!$A:$A,0),2),""),"")</f>
        <v/>
      </c>
      <c r="F70">
        <f>IFERROR(IF(ISNUMBER(INDEX(SPPR!$E:$X,MATCH($A70,SPPR!$A:$A,0),3)),$C70*INDEX(SPPR!$E:$X,MATCH($A70,SPPR!$A:$A,0),3),""),"")</f>
        <v/>
      </c>
      <c r="G70">
        <f>IFERROR(IF(ISNUMBER(INDEX(SPPR!$E:$X,MATCH($A70,SPPR!$A:$A,0),4)),$C70*INDEX(SPPR!$E:$X,MATCH($A70,SPPR!$A:$A,0),4),""),"")</f>
        <v/>
      </c>
      <c r="H70">
        <f>IFERROR(IF(ISNUMBER(INDEX(SPPR!$E:$X,MATCH($A70,SPPR!$A:$A,0),5)),$C70*INDEX(SPPR!$E:$X,MATCH($A70,SPPR!$A:$A,0),5),""),"")</f>
        <v/>
      </c>
      <c r="I70">
        <f>IFERROR(IF(ISNUMBER(INDEX(SPPR!$E:$X,MATCH($A70,SPPR!$A:$A,0),6)),$C70*INDEX(SPPR!$E:$X,MATCH($A70,SPPR!$A:$A,0),6),""),"")</f>
        <v/>
      </c>
      <c r="J70">
        <f>IFERROR(IF(ISNUMBER(INDEX(SPPR!$E:$X,MATCH($A70,SPPR!$A:$A,0),7)),$C70*INDEX(SPPR!$E:$X,MATCH($A70,SPPR!$A:$A,0),7),""),"")</f>
        <v/>
      </c>
      <c r="K70">
        <f>IFERROR(IF(ISNUMBER(INDEX(SPPR!$E:$X,MATCH($A70,SPPR!$A:$A,0),8)),$C70*INDEX(SPPR!$E:$X,MATCH($A70,SPPR!$A:$A,0),8),""),"")</f>
        <v/>
      </c>
      <c r="L70">
        <f>IFERROR(IF(ISNUMBER(INDEX(SPPR!$E:$X,MATCH($A70,SPPR!$A:$A,0),9)),$C70*INDEX(SPPR!$E:$X,MATCH($A70,SPPR!$A:$A,0),9),""),"")</f>
        <v/>
      </c>
      <c r="M70">
        <f>IFERROR(IF(ISNUMBER(INDEX(SPPR!$E:$X,MATCH($A70,SPPR!$A:$A,0),10)),$C70*INDEX(SPPR!$E:$X,MATCH($A70,SPPR!$A:$A,0),10),""),"")</f>
        <v/>
      </c>
      <c r="N70">
        <f>IFERROR(IF(ISNUMBER(INDEX(SPPR!$E:$X,MATCH($A70,SPPR!$A:$A,0),11)),$C70*INDEX(SPPR!$E:$X,MATCH($A70,SPPR!$A:$A,0),11),""),"")</f>
        <v/>
      </c>
      <c r="O70">
        <f>IFERROR(IF(ISNUMBER(INDEX(SPPR!$E:$X,MATCH($A70,SPPR!$A:$A,0),12)),$C70*INDEX(SPPR!$E:$X,MATCH($A70,SPPR!$A:$A,0),12),""),"")</f>
        <v/>
      </c>
      <c r="P70">
        <f>IFERROR(IF(ISNUMBER(INDEX(SPPR!$E:$X,MATCH($A70,SPPR!$A:$A,0),13)),$C70*INDEX(SPPR!$E:$X,MATCH($A70,SPPR!$A:$A,0),13),""),"")</f>
        <v/>
      </c>
      <c r="Q70">
        <f>IFERROR(IF(ISNUMBER(INDEX(SPPR!$E:$X,MATCH($A70,SPPR!$A:$A,0),14)),$C70*INDEX(SPPR!$E:$X,MATCH($A70,SPPR!$A:$A,0),14),""),"")</f>
        <v/>
      </c>
      <c r="R70">
        <f>IFERROR(IF(ISNUMBER(INDEX(SPPR!$E:$X,MATCH($A70,SPPR!$A:$A,0),15)),$C70*INDEX(SPPR!$E:$X,MATCH($A70,SPPR!$A:$A,0),15),""),"")</f>
        <v/>
      </c>
      <c r="S70">
        <f>IFERROR(IF(ISNUMBER(INDEX(SPPR!$E:$X,MATCH($A70,SPPR!$A:$A,0),16)),$C70*INDEX(SPPR!$E:$X,MATCH($A70,SPPR!$A:$A,0),16),""),"")</f>
        <v/>
      </c>
      <c r="T70">
        <f>IFERROR(IF(ISNUMBER(INDEX(SPPR!$E:$X,MATCH($A70,SPPR!$A:$A,0),17)),$C70*INDEX(SPPR!$E:$X,MATCH($A70,SPPR!$A:$A,0),17),""),"")</f>
        <v/>
      </c>
      <c r="U70">
        <f>IFERROR(IF(ISNUMBER(INDEX(SPPR!$E:$X,MATCH($A70,SPPR!$A:$A,0),18)),$C70*INDEX(SPPR!$E:$X,MATCH($A70,SPPR!$A:$A,0),18),""),"")</f>
        <v/>
      </c>
      <c r="V70">
        <f>IFERROR(IF(ISNUMBER(INDEX(SPPR!$E:$X,MATCH($A70,SPPR!$A:$A,0),19)),$C70*INDEX(SPPR!$E:$X,MATCH($A70,SPPR!$A:$A,0),19),""),"")</f>
        <v/>
      </c>
      <c r="W70">
        <f>IFERROR(IF(ISNUMBER(INDEX(SPPR!$E:$X,MATCH($A70,SPPR!$A:$A,0),20)),$C70*INDEX(SPPR!$E:$X,MATCH($A70,SPPR!$A:$A,0),20),""),"")</f>
        <v/>
      </c>
    </row>
    <row r="71">
      <c r="A71" t="inlineStr">
        <is>
          <t>Limanda aspera</t>
        </is>
      </c>
      <c r="B71">
        <f>IFERROR(INDEX(SPPR!$D:$D,MATCH($A71,SPPR!$A:$A,0)),"")</f>
        <v/>
      </c>
      <c r="C71">
        <f>IFERROR(INDEX(Catch!$E:$BV,MATCH($A71,Catch!$A:$A,0),MATCH($B$4,Catch!$E$1:$BV$1,0)),0)</f>
        <v/>
      </c>
      <c r="D71">
        <f>IFERROR(IF(ISNUMBER(INDEX(SPPR!$E:$X,MATCH($A71,SPPR!$A:$A,0),1)),$C71*INDEX(SPPR!$E:$X,MATCH($A71,SPPR!$A:$A,0),1),""),"")</f>
        <v/>
      </c>
      <c r="E71">
        <f>IFERROR(IF(ISNUMBER(INDEX(SPPR!$E:$X,MATCH($A71,SPPR!$A:$A,0),2)),$C71*INDEX(SPPR!$E:$X,MATCH($A71,SPPR!$A:$A,0),2),""),"")</f>
        <v/>
      </c>
      <c r="F71">
        <f>IFERROR(IF(ISNUMBER(INDEX(SPPR!$E:$X,MATCH($A71,SPPR!$A:$A,0),3)),$C71*INDEX(SPPR!$E:$X,MATCH($A71,SPPR!$A:$A,0),3),""),"")</f>
        <v/>
      </c>
      <c r="G71">
        <f>IFERROR(IF(ISNUMBER(INDEX(SPPR!$E:$X,MATCH($A71,SPPR!$A:$A,0),4)),$C71*INDEX(SPPR!$E:$X,MATCH($A71,SPPR!$A:$A,0),4),""),"")</f>
        <v/>
      </c>
      <c r="H71">
        <f>IFERROR(IF(ISNUMBER(INDEX(SPPR!$E:$X,MATCH($A71,SPPR!$A:$A,0),5)),$C71*INDEX(SPPR!$E:$X,MATCH($A71,SPPR!$A:$A,0),5),""),"")</f>
        <v/>
      </c>
      <c r="I71">
        <f>IFERROR(IF(ISNUMBER(INDEX(SPPR!$E:$X,MATCH($A71,SPPR!$A:$A,0),6)),$C71*INDEX(SPPR!$E:$X,MATCH($A71,SPPR!$A:$A,0),6),""),"")</f>
        <v/>
      </c>
      <c r="J71">
        <f>IFERROR(IF(ISNUMBER(INDEX(SPPR!$E:$X,MATCH($A71,SPPR!$A:$A,0),7)),$C71*INDEX(SPPR!$E:$X,MATCH($A71,SPPR!$A:$A,0),7),""),"")</f>
        <v/>
      </c>
      <c r="K71">
        <f>IFERROR(IF(ISNUMBER(INDEX(SPPR!$E:$X,MATCH($A71,SPPR!$A:$A,0),8)),$C71*INDEX(SPPR!$E:$X,MATCH($A71,SPPR!$A:$A,0),8),""),"")</f>
        <v/>
      </c>
      <c r="L71">
        <f>IFERROR(IF(ISNUMBER(INDEX(SPPR!$E:$X,MATCH($A71,SPPR!$A:$A,0),9)),$C71*INDEX(SPPR!$E:$X,MATCH($A71,SPPR!$A:$A,0),9),""),"")</f>
        <v/>
      </c>
      <c r="M71">
        <f>IFERROR(IF(ISNUMBER(INDEX(SPPR!$E:$X,MATCH($A71,SPPR!$A:$A,0),10)),$C71*INDEX(SPPR!$E:$X,MATCH($A71,SPPR!$A:$A,0),10),""),"")</f>
        <v/>
      </c>
      <c r="N71">
        <f>IFERROR(IF(ISNUMBER(INDEX(SPPR!$E:$X,MATCH($A71,SPPR!$A:$A,0),11)),$C71*INDEX(SPPR!$E:$X,MATCH($A71,SPPR!$A:$A,0),11),""),"")</f>
        <v/>
      </c>
      <c r="O71">
        <f>IFERROR(IF(ISNUMBER(INDEX(SPPR!$E:$X,MATCH($A71,SPPR!$A:$A,0),12)),$C71*INDEX(SPPR!$E:$X,MATCH($A71,SPPR!$A:$A,0),12),""),"")</f>
        <v/>
      </c>
      <c r="P71">
        <f>IFERROR(IF(ISNUMBER(INDEX(SPPR!$E:$X,MATCH($A71,SPPR!$A:$A,0),13)),$C71*INDEX(SPPR!$E:$X,MATCH($A71,SPPR!$A:$A,0),13),""),"")</f>
        <v/>
      </c>
      <c r="Q71">
        <f>IFERROR(IF(ISNUMBER(INDEX(SPPR!$E:$X,MATCH($A71,SPPR!$A:$A,0),14)),$C71*INDEX(SPPR!$E:$X,MATCH($A71,SPPR!$A:$A,0),14),""),"")</f>
        <v/>
      </c>
      <c r="R71">
        <f>IFERROR(IF(ISNUMBER(INDEX(SPPR!$E:$X,MATCH($A71,SPPR!$A:$A,0),15)),$C71*INDEX(SPPR!$E:$X,MATCH($A71,SPPR!$A:$A,0),15),""),"")</f>
        <v/>
      </c>
      <c r="S71">
        <f>IFERROR(IF(ISNUMBER(INDEX(SPPR!$E:$X,MATCH($A71,SPPR!$A:$A,0),16)),$C71*INDEX(SPPR!$E:$X,MATCH($A71,SPPR!$A:$A,0),16),""),"")</f>
        <v/>
      </c>
      <c r="T71">
        <f>IFERROR(IF(ISNUMBER(INDEX(SPPR!$E:$X,MATCH($A71,SPPR!$A:$A,0),17)),$C71*INDEX(SPPR!$E:$X,MATCH($A71,SPPR!$A:$A,0),17),""),"")</f>
        <v/>
      </c>
      <c r="U71">
        <f>IFERROR(IF(ISNUMBER(INDEX(SPPR!$E:$X,MATCH($A71,SPPR!$A:$A,0),18)),$C71*INDEX(SPPR!$E:$X,MATCH($A71,SPPR!$A:$A,0),18),""),"")</f>
        <v/>
      </c>
      <c r="V71">
        <f>IFERROR(IF(ISNUMBER(INDEX(SPPR!$E:$X,MATCH($A71,SPPR!$A:$A,0),19)),$C71*INDEX(SPPR!$E:$X,MATCH($A71,SPPR!$A:$A,0),19),""),"")</f>
        <v/>
      </c>
      <c r="W71">
        <f>IFERROR(IF(ISNUMBER(INDEX(SPPR!$E:$X,MATCH($A71,SPPR!$A:$A,0),20)),$C71*INDEX(SPPR!$E:$X,MATCH($A71,SPPR!$A:$A,0),20),""),"")</f>
        <v/>
      </c>
    </row>
    <row r="72">
      <c r="A72" t="inlineStr">
        <is>
          <t>Bathylagidae</t>
        </is>
      </c>
      <c r="B72">
        <f>IFERROR(INDEX(SPPR!$D:$D,MATCH($A72,SPPR!$A:$A,0)),"")</f>
        <v/>
      </c>
      <c r="C72">
        <f>IFERROR(INDEX(Catch!$E:$BV,MATCH($A72,Catch!$A:$A,0),MATCH($B$4,Catch!$E$1:$BV$1,0)),0)</f>
        <v/>
      </c>
      <c r="D72">
        <f>IFERROR(IF(ISNUMBER(INDEX(SPPR!$E:$X,MATCH($A72,SPPR!$A:$A,0),1)),$C72*INDEX(SPPR!$E:$X,MATCH($A72,SPPR!$A:$A,0),1),""),"")</f>
        <v/>
      </c>
      <c r="E72">
        <f>IFERROR(IF(ISNUMBER(INDEX(SPPR!$E:$X,MATCH($A72,SPPR!$A:$A,0),2)),$C72*INDEX(SPPR!$E:$X,MATCH($A72,SPPR!$A:$A,0),2),""),"")</f>
        <v/>
      </c>
      <c r="F72">
        <f>IFERROR(IF(ISNUMBER(INDEX(SPPR!$E:$X,MATCH($A72,SPPR!$A:$A,0),3)),$C72*INDEX(SPPR!$E:$X,MATCH($A72,SPPR!$A:$A,0),3),""),"")</f>
        <v/>
      </c>
      <c r="G72">
        <f>IFERROR(IF(ISNUMBER(INDEX(SPPR!$E:$X,MATCH($A72,SPPR!$A:$A,0),4)),$C72*INDEX(SPPR!$E:$X,MATCH($A72,SPPR!$A:$A,0),4),""),"")</f>
        <v/>
      </c>
      <c r="H72">
        <f>IFERROR(IF(ISNUMBER(INDEX(SPPR!$E:$X,MATCH($A72,SPPR!$A:$A,0),5)),$C72*INDEX(SPPR!$E:$X,MATCH($A72,SPPR!$A:$A,0),5),""),"")</f>
        <v/>
      </c>
      <c r="I72">
        <f>IFERROR(IF(ISNUMBER(INDEX(SPPR!$E:$X,MATCH($A72,SPPR!$A:$A,0),6)),$C72*INDEX(SPPR!$E:$X,MATCH($A72,SPPR!$A:$A,0),6),""),"")</f>
        <v/>
      </c>
      <c r="J72">
        <f>IFERROR(IF(ISNUMBER(INDEX(SPPR!$E:$X,MATCH($A72,SPPR!$A:$A,0),7)),$C72*INDEX(SPPR!$E:$X,MATCH($A72,SPPR!$A:$A,0),7),""),"")</f>
        <v/>
      </c>
      <c r="K72">
        <f>IFERROR(IF(ISNUMBER(INDEX(SPPR!$E:$X,MATCH($A72,SPPR!$A:$A,0),8)),$C72*INDEX(SPPR!$E:$X,MATCH($A72,SPPR!$A:$A,0),8),""),"")</f>
        <v/>
      </c>
      <c r="L72">
        <f>IFERROR(IF(ISNUMBER(INDEX(SPPR!$E:$X,MATCH($A72,SPPR!$A:$A,0),9)),$C72*INDEX(SPPR!$E:$X,MATCH($A72,SPPR!$A:$A,0),9),""),"")</f>
        <v/>
      </c>
      <c r="M72">
        <f>IFERROR(IF(ISNUMBER(INDEX(SPPR!$E:$X,MATCH($A72,SPPR!$A:$A,0),10)),$C72*INDEX(SPPR!$E:$X,MATCH($A72,SPPR!$A:$A,0),10),""),"")</f>
        <v/>
      </c>
      <c r="N72">
        <f>IFERROR(IF(ISNUMBER(INDEX(SPPR!$E:$X,MATCH($A72,SPPR!$A:$A,0),11)),$C72*INDEX(SPPR!$E:$X,MATCH($A72,SPPR!$A:$A,0),11),""),"")</f>
        <v/>
      </c>
      <c r="O72">
        <f>IFERROR(IF(ISNUMBER(INDEX(SPPR!$E:$X,MATCH($A72,SPPR!$A:$A,0),12)),$C72*INDEX(SPPR!$E:$X,MATCH($A72,SPPR!$A:$A,0),12),""),"")</f>
        <v/>
      </c>
      <c r="P72">
        <f>IFERROR(IF(ISNUMBER(INDEX(SPPR!$E:$X,MATCH($A72,SPPR!$A:$A,0),13)),$C72*INDEX(SPPR!$E:$X,MATCH($A72,SPPR!$A:$A,0),13),""),"")</f>
        <v/>
      </c>
      <c r="Q72">
        <f>IFERROR(IF(ISNUMBER(INDEX(SPPR!$E:$X,MATCH($A72,SPPR!$A:$A,0),14)),$C72*INDEX(SPPR!$E:$X,MATCH($A72,SPPR!$A:$A,0),14),""),"")</f>
        <v/>
      </c>
      <c r="R72">
        <f>IFERROR(IF(ISNUMBER(INDEX(SPPR!$E:$X,MATCH($A72,SPPR!$A:$A,0),15)),$C72*INDEX(SPPR!$E:$X,MATCH($A72,SPPR!$A:$A,0),15),""),"")</f>
        <v/>
      </c>
      <c r="S72">
        <f>IFERROR(IF(ISNUMBER(INDEX(SPPR!$E:$X,MATCH($A72,SPPR!$A:$A,0),16)),$C72*INDEX(SPPR!$E:$X,MATCH($A72,SPPR!$A:$A,0),16),""),"")</f>
        <v/>
      </c>
      <c r="T72">
        <f>IFERROR(IF(ISNUMBER(INDEX(SPPR!$E:$X,MATCH($A72,SPPR!$A:$A,0),17)),$C72*INDEX(SPPR!$E:$X,MATCH($A72,SPPR!$A:$A,0),17),""),"")</f>
        <v/>
      </c>
      <c r="U72">
        <f>IFERROR(IF(ISNUMBER(INDEX(SPPR!$E:$X,MATCH($A72,SPPR!$A:$A,0),18)),$C72*INDEX(SPPR!$E:$X,MATCH($A72,SPPR!$A:$A,0),18),""),"")</f>
        <v/>
      </c>
      <c r="V72">
        <f>IFERROR(IF(ISNUMBER(INDEX(SPPR!$E:$X,MATCH($A72,SPPR!$A:$A,0),19)),$C72*INDEX(SPPR!$E:$X,MATCH($A72,SPPR!$A:$A,0),19),""),"")</f>
        <v/>
      </c>
      <c r="W72">
        <f>IFERROR(IF(ISNUMBER(INDEX(SPPR!$E:$X,MATCH($A72,SPPR!$A:$A,0),20)),$C72*INDEX(SPPR!$E:$X,MATCH($A72,SPPR!$A:$A,0),20),""),"")</f>
        <v/>
      </c>
    </row>
    <row r="73">
      <c r="A73" t="inlineStr">
        <is>
          <t>Seriola</t>
        </is>
      </c>
      <c r="B73">
        <f>IFERROR(INDEX(SPPR!$D:$D,MATCH($A73,SPPR!$A:$A,0)),"")</f>
        <v/>
      </c>
      <c r="C73">
        <f>IFERROR(INDEX(Catch!$E:$BV,MATCH($A73,Catch!$A:$A,0),MATCH($B$4,Catch!$E$1:$BV$1,0)),0)</f>
        <v/>
      </c>
      <c r="D73">
        <f>IFERROR(IF(ISNUMBER(INDEX(SPPR!$E:$X,MATCH($A73,SPPR!$A:$A,0),1)),$C73*INDEX(SPPR!$E:$X,MATCH($A73,SPPR!$A:$A,0),1),""),"")</f>
        <v/>
      </c>
      <c r="E73">
        <f>IFERROR(IF(ISNUMBER(INDEX(SPPR!$E:$X,MATCH($A73,SPPR!$A:$A,0),2)),$C73*INDEX(SPPR!$E:$X,MATCH($A73,SPPR!$A:$A,0),2),""),"")</f>
        <v/>
      </c>
      <c r="F73">
        <f>IFERROR(IF(ISNUMBER(INDEX(SPPR!$E:$X,MATCH($A73,SPPR!$A:$A,0),3)),$C73*INDEX(SPPR!$E:$X,MATCH($A73,SPPR!$A:$A,0),3),""),"")</f>
        <v/>
      </c>
      <c r="G73">
        <f>IFERROR(IF(ISNUMBER(INDEX(SPPR!$E:$X,MATCH($A73,SPPR!$A:$A,0),4)),$C73*INDEX(SPPR!$E:$X,MATCH($A73,SPPR!$A:$A,0),4),""),"")</f>
        <v/>
      </c>
      <c r="H73">
        <f>IFERROR(IF(ISNUMBER(INDEX(SPPR!$E:$X,MATCH($A73,SPPR!$A:$A,0),5)),$C73*INDEX(SPPR!$E:$X,MATCH($A73,SPPR!$A:$A,0),5),""),"")</f>
        <v/>
      </c>
      <c r="I73">
        <f>IFERROR(IF(ISNUMBER(INDEX(SPPR!$E:$X,MATCH($A73,SPPR!$A:$A,0),6)),$C73*INDEX(SPPR!$E:$X,MATCH($A73,SPPR!$A:$A,0),6),""),"")</f>
        <v/>
      </c>
      <c r="J73">
        <f>IFERROR(IF(ISNUMBER(INDEX(SPPR!$E:$X,MATCH($A73,SPPR!$A:$A,0),7)),$C73*INDEX(SPPR!$E:$X,MATCH($A73,SPPR!$A:$A,0),7),""),"")</f>
        <v/>
      </c>
      <c r="K73">
        <f>IFERROR(IF(ISNUMBER(INDEX(SPPR!$E:$X,MATCH($A73,SPPR!$A:$A,0),8)),$C73*INDEX(SPPR!$E:$X,MATCH($A73,SPPR!$A:$A,0),8),""),"")</f>
        <v/>
      </c>
      <c r="L73">
        <f>IFERROR(IF(ISNUMBER(INDEX(SPPR!$E:$X,MATCH($A73,SPPR!$A:$A,0),9)),$C73*INDEX(SPPR!$E:$X,MATCH($A73,SPPR!$A:$A,0),9),""),"")</f>
        <v/>
      </c>
      <c r="M73">
        <f>IFERROR(IF(ISNUMBER(INDEX(SPPR!$E:$X,MATCH($A73,SPPR!$A:$A,0),10)),$C73*INDEX(SPPR!$E:$X,MATCH($A73,SPPR!$A:$A,0),10),""),"")</f>
        <v/>
      </c>
      <c r="N73">
        <f>IFERROR(IF(ISNUMBER(INDEX(SPPR!$E:$X,MATCH($A73,SPPR!$A:$A,0),11)),$C73*INDEX(SPPR!$E:$X,MATCH($A73,SPPR!$A:$A,0),11),""),"")</f>
        <v/>
      </c>
      <c r="O73">
        <f>IFERROR(IF(ISNUMBER(INDEX(SPPR!$E:$X,MATCH($A73,SPPR!$A:$A,0),12)),$C73*INDEX(SPPR!$E:$X,MATCH($A73,SPPR!$A:$A,0),12),""),"")</f>
        <v/>
      </c>
      <c r="P73">
        <f>IFERROR(IF(ISNUMBER(INDEX(SPPR!$E:$X,MATCH($A73,SPPR!$A:$A,0),13)),$C73*INDEX(SPPR!$E:$X,MATCH($A73,SPPR!$A:$A,0),13),""),"")</f>
        <v/>
      </c>
      <c r="Q73">
        <f>IFERROR(IF(ISNUMBER(INDEX(SPPR!$E:$X,MATCH($A73,SPPR!$A:$A,0),14)),$C73*INDEX(SPPR!$E:$X,MATCH($A73,SPPR!$A:$A,0),14),""),"")</f>
        <v/>
      </c>
      <c r="R73">
        <f>IFERROR(IF(ISNUMBER(INDEX(SPPR!$E:$X,MATCH($A73,SPPR!$A:$A,0),15)),$C73*INDEX(SPPR!$E:$X,MATCH($A73,SPPR!$A:$A,0),15),""),"")</f>
        <v/>
      </c>
      <c r="S73">
        <f>IFERROR(IF(ISNUMBER(INDEX(SPPR!$E:$X,MATCH($A73,SPPR!$A:$A,0),16)),$C73*INDEX(SPPR!$E:$X,MATCH($A73,SPPR!$A:$A,0),16),""),"")</f>
        <v/>
      </c>
      <c r="T73">
        <f>IFERROR(IF(ISNUMBER(INDEX(SPPR!$E:$X,MATCH($A73,SPPR!$A:$A,0),17)),$C73*INDEX(SPPR!$E:$X,MATCH($A73,SPPR!$A:$A,0),17),""),"")</f>
        <v/>
      </c>
      <c r="U73">
        <f>IFERROR(IF(ISNUMBER(INDEX(SPPR!$E:$X,MATCH($A73,SPPR!$A:$A,0),18)),$C73*INDEX(SPPR!$E:$X,MATCH($A73,SPPR!$A:$A,0),18),""),"")</f>
        <v/>
      </c>
      <c r="V73">
        <f>IFERROR(IF(ISNUMBER(INDEX(SPPR!$E:$X,MATCH($A73,SPPR!$A:$A,0),19)),$C73*INDEX(SPPR!$E:$X,MATCH($A73,SPPR!$A:$A,0),19),""),"")</f>
        <v/>
      </c>
      <c r="W73">
        <f>IFERROR(IF(ISNUMBER(INDEX(SPPR!$E:$X,MATCH($A73,SPPR!$A:$A,0),20)),$C73*INDEX(SPPR!$E:$X,MATCH($A73,SPPR!$A:$A,0),20),""),"")</f>
        <v/>
      </c>
    </row>
    <row r="74">
      <c r="A74" t="inlineStr">
        <is>
          <t>Thunnus alalunga</t>
        </is>
      </c>
      <c r="B74">
        <f>IFERROR(INDEX(SPPR!$D:$D,MATCH($A74,SPPR!$A:$A,0)),"")</f>
        <v/>
      </c>
      <c r="C74">
        <f>IFERROR(INDEX(Catch!$E:$BV,MATCH($A74,Catch!$A:$A,0),MATCH($B$4,Catch!$E$1:$BV$1,0)),0)</f>
        <v/>
      </c>
      <c r="D74">
        <f>IFERROR(IF(ISNUMBER(INDEX(SPPR!$E:$X,MATCH($A74,SPPR!$A:$A,0),1)),$C74*INDEX(SPPR!$E:$X,MATCH($A74,SPPR!$A:$A,0),1),""),"")</f>
        <v/>
      </c>
      <c r="E74">
        <f>IFERROR(IF(ISNUMBER(INDEX(SPPR!$E:$X,MATCH($A74,SPPR!$A:$A,0),2)),$C74*INDEX(SPPR!$E:$X,MATCH($A74,SPPR!$A:$A,0),2),""),"")</f>
        <v/>
      </c>
      <c r="F74">
        <f>IFERROR(IF(ISNUMBER(INDEX(SPPR!$E:$X,MATCH($A74,SPPR!$A:$A,0),3)),$C74*INDEX(SPPR!$E:$X,MATCH($A74,SPPR!$A:$A,0),3),""),"")</f>
        <v/>
      </c>
      <c r="G74">
        <f>IFERROR(IF(ISNUMBER(INDEX(SPPR!$E:$X,MATCH($A74,SPPR!$A:$A,0),4)),$C74*INDEX(SPPR!$E:$X,MATCH($A74,SPPR!$A:$A,0),4),""),"")</f>
        <v/>
      </c>
      <c r="H74">
        <f>IFERROR(IF(ISNUMBER(INDEX(SPPR!$E:$X,MATCH($A74,SPPR!$A:$A,0),5)),$C74*INDEX(SPPR!$E:$X,MATCH($A74,SPPR!$A:$A,0),5),""),"")</f>
        <v/>
      </c>
      <c r="I74">
        <f>IFERROR(IF(ISNUMBER(INDEX(SPPR!$E:$X,MATCH($A74,SPPR!$A:$A,0),6)),$C74*INDEX(SPPR!$E:$X,MATCH($A74,SPPR!$A:$A,0),6),""),"")</f>
        <v/>
      </c>
      <c r="J74">
        <f>IFERROR(IF(ISNUMBER(INDEX(SPPR!$E:$X,MATCH($A74,SPPR!$A:$A,0),7)),$C74*INDEX(SPPR!$E:$X,MATCH($A74,SPPR!$A:$A,0),7),""),"")</f>
        <v/>
      </c>
      <c r="K74">
        <f>IFERROR(IF(ISNUMBER(INDEX(SPPR!$E:$X,MATCH($A74,SPPR!$A:$A,0),8)),$C74*INDEX(SPPR!$E:$X,MATCH($A74,SPPR!$A:$A,0),8),""),"")</f>
        <v/>
      </c>
      <c r="L74">
        <f>IFERROR(IF(ISNUMBER(INDEX(SPPR!$E:$X,MATCH($A74,SPPR!$A:$A,0),9)),$C74*INDEX(SPPR!$E:$X,MATCH($A74,SPPR!$A:$A,0),9),""),"")</f>
        <v/>
      </c>
      <c r="M74">
        <f>IFERROR(IF(ISNUMBER(INDEX(SPPR!$E:$X,MATCH($A74,SPPR!$A:$A,0),10)),$C74*INDEX(SPPR!$E:$X,MATCH($A74,SPPR!$A:$A,0),10),""),"")</f>
        <v/>
      </c>
      <c r="N74">
        <f>IFERROR(IF(ISNUMBER(INDEX(SPPR!$E:$X,MATCH($A74,SPPR!$A:$A,0),11)),$C74*INDEX(SPPR!$E:$X,MATCH($A74,SPPR!$A:$A,0),11),""),"")</f>
        <v/>
      </c>
      <c r="O74">
        <f>IFERROR(IF(ISNUMBER(INDEX(SPPR!$E:$X,MATCH($A74,SPPR!$A:$A,0),12)),$C74*INDEX(SPPR!$E:$X,MATCH($A74,SPPR!$A:$A,0),12),""),"")</f>
        <v/>
      </c>
      <c r="P74">
        <f>IFERROR(IF(ISNUMBER(INDEX(SPPR!$E:$X,MATCH($A74,SPPR!$A:$A,0),13)),$C74*INDEX(SPPR!$E:$X,MATCH($A74,SPPR!$A:$A,0),13),""),"")</f>
        <v/>
      </c>
      <c r="Q74">
        <f>IFERROR(IF(ISNUMBER(INDEX(SPPR!$E:$X,MATCH($A74,SPPR!$A:$A,0),14)),$C74*INDEX(SPPR!$E:$X,MATCH($A74,SPPR!$A:$A,0),14),""),"")</f>
        <v/>
      </c>
      <c r="R74">
        <f>IFERROR(IF(ISNUMBER(INDEX(SPPR!$E:$X,MATCH($A74,SPPR!$A:$A,0),15)),$C74*INDEX(SPPR!$E:$X,MATCH($A74,SPPR!$A:$A,0),15),""),"")</f>
        <v/>
      </c>
      <c r="S74">
        <f>IFERROR(IF(ISNUMBER(INDEX(SPPR!$E:$X,MATCH($A74,SPPR!$A:$A,0),16)),$C74*INDEX(SPPR!$E:$X,MATCH($A74,SPPR!$A:$A,0),16),""),"")</f>
        <v/>
      </c>
      <c r="T74">
        <f>IFERROR(IF(ISNUMBER(INDEX(SPPR!$E:$X,MATCH($A74,SPPR!$A:$A,0),17)),$C74*INDEX(SPPR!$E:$X,MATCH($A74,SPPR!$A:$A,0),17),""),"")</f>
        <v/>
      </c>
      <c r="U74">
        <f>IFERROR(IF(ISNUMBER(INDEX(SPPR!$E:$X,MATCH($A74,SPPR!$A:$A,0),18)),$C74*INDEX(SPPR!$E:$X,MATCH($A74,SPPR!$A:$A,0),18),""),"")</f>
        <v/>
      </c>
      <c r="V74">
        <f>IFERROR(IF(ISNUMBER(INDEX(SPPR!$E:$X,MATCH($A74,SPPR!$A:$A,0),19)),$C74*INDEX(SPPR!$E:$X,MATCH($A74,SPPR!$A:$A,0),19),""),"")</f>
        <v/>
      </c>
      <c r="W74">
        <f>IFERROR(IF(ISNUMBER(INDEX(SPPR!$E:$X,MATCH($A74,SPPR!$A:$A,0),20)),$C74*INDEX(SPPR!$E:$X,MATCH($A74,SPPR!$A:$A,0),20),""),"")</f>
        <v/>
      </c>
    </row>
    <row r="75">
      <c r="A75" t="inlineStr">
        <is>
          <t>Loliginidae</t>
        </is>
      </c>
      <c r="B75">
        <f>IFERROR(INDEX(SPPR!$D:$D,MATCH($A75,SPPR!$A:$A,0)),"")</f>
        <v/>
      </c>
      <c r="C75">
        <f>IFERROR(INDEX(Catch!$E:$BV,MATCH($A75,Catch!$A:$A,0),MATCH($B$4,Catch!$E$1:$BV$1,0)),0)</f>
        <v/>
      </c>
      <c r="D75">
        <f>IFERROR(IF(ISNUMBER(INDEX(SPPR!$E:$X,MATCH($A75,SPPR!$A:$A,0),1)),$C75*INDEX(SPPR!$E:$X,MATCH($A75,SPPR!$A:$A,0),1),""),"")</f>
        <v/>
      </c>
      <c r="E75">
        <f>IFERROR(IF(ISNUMBER(INDEX(SPPR!$E:$X,MATCH($A75,SPPR!$A:$A,0),2)),$C75*INDEX(SPPR!$E:$X,MATCH($A75,SPPR!$A:$A,0),2),""),"")</f>
        <v/>
      </c>
      <c r="F75">
        <f>IFERROR(IF(ISNUMBER(INDEX(SPPR!$E:$X,MATCH($A75,SPPR!$A:$A,0),3)),$C75*INDEX(SPPR!$E:$X,MATCH($A75,SPPR!$A:$A,0),3),""),"")</f>
        <v/>
      </c>
      <c r="G75">
        <f>IFERROR(IF(ISNUMBER(INDEX(SPPR!$E:$X,MATCH($A75,SPPR!$A:$A,0),4)),$C75*INDEX(SPPR!$E:$X,MATCH($A75,SPPR!$A:$A,0),4),""),"")</f>
        <v/>
      </c>
      <c r="H75">
        <f>IFERROR(IF(ISNUMBER(INDEX(SPPR!$E:$X,MATCH($A75,SPPR!$A:$A,0),5)),$C75*INDEX(SPPR!$E:$X,MATCH($A75,SPPR!$A:$A,0),5),""),"")</f>
        <v/>
      </c>
      <c r="I75">
        <f>IFERROR(IF(ISNUMBER(INDEX(SPPR!$E:$X,MATCH($A75,SPPR!$A:$A,0),6)),$C75*INDEX(SPPR!$E:$X,MATCH($A75,SPPR!$A:$A,0),6),""),"")</f>
        <v/>
      </c>
      <c r="J75">
        <f>IFERROR(IF(ISNUMBER(INDEX(SPPR!$E:$X,MATCH($A75,SPPR!$A:$A,0),7)),$C75*INDEX(SPPR!$E:$X,MATCH($A75,SPPR!$A:$A,0),7),""),"")</f>
        <v/>
      </c>
      <c r="K75">
        <f>IFERROR(IF(ISNUMBER(INDEX(SPPR!$E:$X,MATCH($A75,SPPR!$A:$A,0),8)),$C75*INDEX(SPPR!$E:$X,MATCH($A75,SPPR!$A:$A,0),8),""),"")</f>
        <v/>
      </c>
      <c r="L75">
        <f>IFERROR(IF(ISNUMBER(INDEX(SPPR!$E:$X,MATCH($A75,SPPR!$A:$A,0),9)),$C75*INDEX(SPPR!$E:$X,MATCH($A75,SPPR!$A:$A,0),9),""),"")</f>
        <v/>
      </c>
      <c r="M75">
        <f>IFERROR(IF(ISNUMBER(INDEX(SPPR!$E:$X,MATCH($A75,SPPR!$A:$A,0),10)),$C75*INDEX(SPPR!$E:$X,MATCH($A75,SPPR!$A:$A,0),10),""),"")</f>
        <v/>
      </c>
      <c r="N75">
        <f>IFERROR(IF(ISNUMBER(INDEX(SPPR!$E:$X,MATCH($A75,SPPR!$A:$A,0),11)),$C75*INDEX(SPPR!$E:$X,MATCH($A75,SPPR!$A:$A,0),11),""),"")</f>
        <v/>
      </c>
      <c r="O75">
        <f>IFERROR(IF(ISNUMBER(INDEX(SPPR!$E:$X,MATCH($A75,SPPR!$A:$A,0),12)),$C75*INDEX(SPPR!$E:$X,MATCH($A75,SPPR!$A:$A,0),12),""),"")</f>
        <v/>
      </c>
      <c r="P75">
        <f>IFERROR(IF(ISNUMBER(INDEX(SPPR!$E:$X,MATCH($A75,SPPR!$A:$A,0),13)),$C75*INDEX(SPPR!$E:$X,MATCH($A75,SPPR!$A:$A,0),13),""),"")</f>
        <v/>
      </c>
      <c r="Q75">
        <f>IFERROR(IF(ISNUMBER(INDEX(SPPR!$E:$X,MATCH($A75,SPPR!$A:$A,0),14)),$C75*INDEX(SPPR!$E:$X,MATCH($A75,SPPR!$A:$A,0),14),""),"")</f>
        <v/>
      </c>
      <c r="R75">
        <f>IFERROR(IF(ISNUMBER(INDEX(SPPR!$E:$X,MATCH($A75,SPPR!$A:$A,0),15)),$C75*INDEX(SPPR!$E:$X,MATCH($A75,SPPR!$A:$A,0),15),""),"")</f>
        <v/>
      </c>
      <c r="S75">
        <f>IFERROR(IF(ISNUMBER(INDEX(SPPR!$E:$X,MATCH($A75,SPPR!$A:$A,0),16)),$C75*INDEX(SPPR!$E:$X,MATCH($A75,SPPR!$A:$A,0),16),""),"")</f>
        <v/>
      </c>
      <c r="T75">
        <f>IFERROR(IF(ISNUMBER(INDEX(SPPR!$E:$X,MATCH($A75,SPPR!$A:$A,0),17)),$C75*INDEX(SPPR!$E:$X,MATCH($A75,SPPR!$A:$A,0),17),""),"")</f>
        <v/>
      </c>
      <c r="U75">
        <f>IFERROR(IF(ISNUMBER(INDEX(SPPR!$E:$X,MATCH($A75,SPPR!$A:$A,0),18)),$C75*INDEX(SPPR!$E:$X,MATCH($A75,SPPR!$A:$A,0),18),""),"")</f>
        <v/>
      </c>
      <c r="V75">
        <f>IFERROR(IF(ISNUMBER(INDEX(SPPR!$E:$X,MATCH($A75,SPPR!$A:$A,0),19)),$C75*INDEX(SPPR!$E:$X,MATCH($A75,SPPR!$A:$A,0),19),""),"")</f>
        <v/>
      </c>
      <c r="W75">
        <f>IFERROR(IF(ISNUMBER(INDEX(SPPR!$E:$X,MATCH($A75,SPPR!$A:$A,0),20)),$C75*INDEX(SPPR!$E:$X,MATCH($A75,SPPR!$A:$A,0),20),""),"")</f>
        <v/>
      </c>
    </row>
    <row r="76">
      <c r="A76" t="inlineStr">
        <is>
          <t>Hippoglossoides elassodon</t>
        </is>
      </c>
      <c r="B76">
        <f>IFERROR(INDEX(SPPR!$D:$D,MATCH($A76,SPPR!$A:$A,0)),"")</f>
        <v/>
      </c>
      <c r="C76">
        <f>IFERROR(INDEX(Catch!$E:$BV,MATCH($A76,Catch!$A:$A,0),MATCH($B$4,Catch!$E$1:$BV$1,0)),0)</f>
        <v/>
      </c>
      <c r="D76">
        <f>IFERROR(IF(ISNUMBER(INDEX(SPPR!$E:$X,MATCH($A76,SPPR!$A:$A,0),1)),$C76*INDEX(SPPR!$E:$X,MATCH($A76,SPPR!$A:$A,0),1),""),"")</f>
        <v/>
      </c>
      <c r="E76">
        <f>IFERROR(IF(ISNUMBER(INDEX(SPPR!$E:$X,MATCH($A76,SPPR!$A:$A,0),2)),$C76*INDEX(SPPR!$E:$X,MATCH($A76,SPPR!$A:$A,0),2),""),"")</f>
        <v/>
      </c>
      <c r="F76">
        <f>IFERROR(IF(ISNUMBER(INDEX(SPPR!$E:$X,MATCH($A76,SPPR!$A:$A,0),3)),$C76*INDEX(SPPR!$E:$X,MATCH($A76,SPPR!$A:$A,0),3),""),"")</f>
        <v/>
      </c>
      <c r="G76">
        <f>IFERROR(IF(ISNUMBER(INDEX(SPPR!$E:$X,MATCH($A76,SPPR!$A:$A,0),4)),$C76*INDEX(SPPR!$E:$X,MATCH($A76,SPPR!$A:$A,0),4),""),"")</f>
        <v/>
      </c>
      <c r="H76">
        <f>IFERROR(IF(ISNUMBER(INDEX(SPPR!$E:$X,MATCH($A76,SPPR!$A:$A,0),5)),$C76*INDEX(SPPR!$E:$X,MATCH($A76,SPPR!$A:$A,0),5),""),"")</f>
        <v/>
      </c>
      <c r="I76">
        <f>IFERROR(IF(ISNUMBER(INDEX(SPPR!$E:$X,MATCH($A76,SPPR!$A:$A,0),6)),$C76*INDEX(SPPR!$E:$X,MATCH($A76,SPPR!$A:$A,0),6),""),"")</f>
        <v/>
      </c>
      <c r="J76">
        <f>IFERROR(IF(ISNUMBER(INDEX(SPPR!$E:$X,MATCH($A76,SPPR!$A:$A,0),7)),$C76*INDEX(SPPR!$E:$X,MATCH($A76,SPPR!$A:$A,0),7),""),"")</f>
        <v/>
      </c>
      <c r="K76">
        <f>IFERROR(IF(ISNUMBER(INDEX(SPPR!$E:$X,MATCH($A76,SPPR!$A:$A,0),8)),$C76*INDEX(SPPR!$E:$X,MATCH($A76,SPPR!$A:$A,0),8),""),"")</f>
        <v/>
      </c>
      <c r="L76">
        <f>IFERROR(IF(ISNUMBER(INDEX(SPPR!$E:$X,MATCH($A76,SPPR!$A:$A,0),9)),$C76*INDEX(SPPR!$E:$X,MATCH($A76,SPPR!$A:$A,0),9),""),"")</f>
        <v/>
      </c>
      <c r="M76">
        <f>IFERROR(IF(ISNUMBER(INDEX(SPPR!$E:$X,MATCH($A76,SPPR!$A:$A,0),10)),$C76*INDEX(SPPR!$E:$X,MATCH($A76,SPPR!$A:$A,0),10),""),"")</f>
        <v/>
      </c>
      <c r="N76">
        <f>IFERROR(IF(ISNUMBER(INDEX(SPPR!$E:$X,MATCH($A76,SPPR!$A:$A,0),11)),$C76*INDEX(SPPR!$E:$X,MATCH($A76,SPPR!$A:$A,0),11),""),"")</f>
        <v/>
      </c>
      <c r="O76">
        <f>IFERROR(IF(ISNUMBER(INDEX(SPPR!$E:$X,MATCH($A76,SPPR!$A:$A,0),12)),$C76*INDEX(SPPR!$E:$X,MATCH($A76,SPPR!$A:$A,0),12),""),"")</f>
        <v/>
      </c>
      <c r="P76">
        <f>IFERROR(IF(ISNUMBER(INDEX(SPPR!$E:$X,MATCH($A76,SPPR!$A:$A,0),13)),$C76*INDEX(SPPR!$E:$X,MATCH($A76,SPPR!$A:$A,0),13),""),"")</f>
        <v/>
      </c>
      <c r="Q76">
        <f>IFERROR(IF(ISNUMBER(INDEX(SPPR!$E:$X,MATCH($A76,SPPR!$A:$A,0),14)),$C76*INDEX(SPPR!$E:$X,MATCH($A76,SPPR!$A:$A,0),14),""),"")</f>
        <v/>
      </c>
      <c r="R76">
        <f>IFERROR(IF(ISNUMBER(INDEX(SPPR!$E:$X,MATCH($A76,SPPR!$A:$A,0),15)),$C76*INDEX(SPPR!$E:$X,MATCH($A76,SPPR!$A:$A,0),15),""),"")</f>
        <v/>
      </c>
      <c r="S76">
        <f>IFERROR(IF(ISNUMBER(INDEX(SPPR!$E:$X,MATCH($A76,SPPR!$A:$A,0),16)),$C76*INDEX(SPPR!$E:$X,MATCH($A76,SPPR!$A:$A,0),16),""),"")</f>
        <v/>
      </c>
      <c r="T76">
        <f>IFERROR(IF(ISNUMBER(INDEX(SPPR!$E:$X,MATCH($A76,SPPR!$A:$A,0),17)),$C76*INDEX(SPPR!$E:$X,MATCH($A76,SPPR!$A:$A,0),17),""),"")</f>
        <v/>
      </c>
      <c r="U76">
        <f>IFERROR(IF(ISNUMBER(INDEX(SPPR!$E:$X,MATCH($A76,SPPR!$A:$A,0),18)),$C76*INDEX(SPPR!$E:$X,MATCH($A76,SPPR!$A:$A,0),18),""),"")</f>
        <v/>
      </c>
      <c r="V76">
        <f>IFERROR(IF(ISNUMBER(INDEX(SPPR!$E:$X,MATCH($A76,SPPR!$A:$A,0),19)),$C76*INDEX(SPPR!$E:$X,MATCH($A76,SPPR!$A:$A,0),19),""),"")</f>
        <v/>
      </c>
      <c r="W76">
        <f>IFERROR(IF(ISNUMBER(INDEX(SPPR!$E:$X,MATCH($A76,SPPR!$A:$A,0),20)),$C76*INDEX(SPPR!$E:$X,MATCH($A76,SPPR!$A:$A,0),20),""),"")</f>
        <v/>
      </c>
    </row>
    <row r="77">
      <c r="A77" t="inlineStr">
        <is>
          <t>Gadidae</t>
        </is>
      </c>
      <c r="B77">
        <f>IFERROR(INDEX(SPPR!$D:$D,MATCH($A77,SPPR!$A:$A,0)),"")</f>
        <v/>
      </c>
      <c r="C77">
        <f>IFERROR(INDEX(Catch!$E:$BV,MATCH($A77,Catch!$A:$A,0),MATCH($B$4,Catch!$E$1:$BV$1,0)),0)</f>
        <v/>
      </c>
      <c r="D77">
        <f>IFERROR(IF(ISNUMBER(INDEX(SPPR!$E:$X,MATCH($A77,SPPR!$A:$A,0),1)),$C77*INDEX(SPPR!$E:$X,MATCH($A77,SPPR!$A:$A,0),1),""),"")</f>
        <v/>
      </c>
      <c r="E77">
        <f>IFERROR(IF(ISNUMBER(INDEX(SPPR!$E:$X,MATCH($A77,SPPR!$A:$A,0),2)),$C77*INDEX(SPPR!$E:$X,MATCH($A77,SPPR!$A:$A,0),2),""),"")</f>
        <v/>
      </c>
      <c r="F77">
        <f>IFERROR(IF(ISNUMBER(INDEX(SPPR!$E:$X,MATCH($A77,SPPR!$A:$A,0),3)),$C77*INDEX(SPPR!$E:$X,MATCH($A77,SPPR!$A:$A,0),3),""),"")</f>
        <v/>
      </c>
      <c r="G77">
        <f>IFERROR(IF(ISNUMBER(INDEX(SPPR!$E:$X,MATCH($A77,SPPR!$A:$A,0),4)),$C77*INDEX(SPPR!$E:$X,MATCH($A77,SPPR!$A:$A,0),4),""),"")</f>
        <v/>
      </c>
      <c r="H77">
        <f>IFERROR(IF(ISNUMBER(INDEX(SPPR!$E:$X,MATCH($A77,SPPR!$A:$A,0),5)),$C77*INDEX(SPPR!$E:$X,MATCH($A77,SPPR!$A:$A,0),5),""),"")</f>
        <v/>
      </c>
      <c r="I77">
        <f>IFERROR(IF(ISNUMBER(INDEX(SPPR!$E:$X,MATCH($A77,SPPR!$A:$A,0),6)),$C77*INDEX(SPPR!$E:$X,MATCH($A77,SPPR!$A:$A,0),6),""),"")</f>
        <v/>
      </c>
      <c r="J77">
        <f>IFERROR(IF(ISNUMBER(INDEX(SPPR!$E:$X,MATCH($A77,SPPR!$A:$A,0),7)),$C77*INDEX(SPPR!$E:$X,MATCH($A77,SPPR!$A:$A,0),7),""),"")</f>
        <v/>
      </c>
      <c r="K77">
        <f>IFERROR(IF(ISNUMBER(INDEX(SPPR!$E:$X,MATCH($A77,SPPR!$A:$A,0),8)),$C77*INDEX(SPPR!$E:$X,MATCH($A77,SPPR!$A:$A,0),8),""),"")</f>
        <v/>
      </c>
      <c r="L77">
        <f>IFERROR(IF(ISNUMBER(INDEX(SPPR!$E:$X,MATCH($A77,SPPR!$A:$A,0),9)),$C77*INDEX(SPPR!$E:$X,MATCH($A77,SPPR!$A:$A,0),9),""),"")</f>
        <v/>
      </c>
      <c r="M77">
        <f>IFERROR(IF(ISNUMBER(INDEX(SPPR!$E:$X,MATCH($A77,SPPR!$A:$A,0),10)),$C77*INDEX(SPPR!$E:$X,MATCH($A77,SPPR!$A:$A,0),10),""),"")</f>
        <v/>
      </c>
      <c r="N77">
        <f>IFERROR(IF(ISNUMBER(INDEX(SPPR!$E:$X,MATCH($A77,SPPR!$A:$A,0),11)),$C77*INDEX(SPPR!$E:$X,MATCH($A77,SPPR!$A:$A,0),11),""),"")</f>
        <v/>
      </c>
      <c r="O77">
        <f>IFERROR(IF(ISNUMBER(INDEX(SPPR!$E:$X,MATCH($A77,SPPR!$A:$A,0),12)),$C77*INDEX(SPPR!$E:$X,MATCH($A77,SPPR!$A:$A,0),12),""),"")</f>
        <v/>
      </c>
      <c r="P77">
        <f>IFERROR(IF(ISNUMBER(INDEX(SPPR!$E:$X,MATCH($A77,SPPR!$A:$A,0),13)),$C77*INDEX(SPPR!$E:$X,MATCH($A77,SPPR!$A:$A,0),13),""),"")</f>
        <v/>
      </c>
      <c r="Q77">
        <f>IFERROR(IF(ISNUMBER(INDEX(SPPR!$E:$X,MATCH($A77,SPPR!$A:$A,0),14)),$C77*INDEX(SPPR!$E:$X,MATCH($A77,SPPR!$A:$A,0),14),""),"")</f>
        <v/>
      </c>
      <c r="R77">
        <f>IFERROR(IF(ISNUMBER(INDEX(SPPR!$E:$X,MATCH($A77,SPPR!$A:$A,0),15)),$C77*INDEX(SPPR!$E:$X,MATCH($A77,SPPR!$A:$A,0),15),""),"")</f>
        <v/>
      </c>
      <c r="S77">
        <f>IFERROR(IF(ISNUMBER(INDEX(SPPR!$E:$X,MATCH($A77,SPPR!$A:$A,0),16)),$C77*INDEX(SPPR!$E:$X,MATCH($A77,SPPR!$A:$A,0),16),""),"")</f>
        <v/>
      </c>
      <c r="T77">
        <f>IFERROR(IF(ISNUMBER(INDEX(SPPR!$E:$X,MATCH($A77,SPPR!$A:$A,0),17)),$C77*INDEX(SPPR!$E:$X,MATCH($A77,SPPR!$A:$A,0),17),""),"")</f>
        <v/>
      </c>
      <c r="U77">
        <f>IFERROR(IF(ISNUMBER(INDEX(SPPR!$E:$X,MATCH($A77,SPPR!$A:$A,0),18)),$C77*INDEX(SPPR!$E:$X,MATCH($A77,SPPR!$A:$A,0),18),""),"")</f>
        <v/>
      </c>
      <c r="V77">
        <f>IFERROR(IF(ISNUMBER(INDEX(SPPR!$E:$X,MATCH($A77,SPPR!$A:$A,0),19)),$C77*INDEX(SPPR!$E:$X,MATCH($A77,SPPR!$A:$A,0),19),""),"")</f>
        <v/>
      </c>
      <c r="W77">
        <f>IFERROR(IF(ISNUMBER(INDEX(SPPR!$E:$X,MATCH($A77,SPPR!$A:$A,0),20)),$C77*INDEX(SPPR!$E:$X,MATCH($A77,SPPR!$A:$A,0),20),""),"")</f>
        <v/>
      </c>
    </row>
    <row r="78">
      <c r="A78" t="inlineStr">
        <is>
          <t>Gastropoda</t>
        </is>
      </c>
      <c r="B78">
        <f>IFERROR(INDEX(SPPR!$D:$D,MATCH($A78,SPPR!$A:$A,0)),"")</f>
        <v/>
      </c>
      <c r="C78">
        <f>IFERROR(INDEX(Catch!$E:$BV,MATCH($A78,Catch!$A:$A,0),MATCH($B$4,Catch!$E$1:$BV$1,0)),0)</f>
        <v/>
      </c>
      <c r="D78">
        <f>IFERROR(IF(ISNUMBER(INDEX(SPPR!$E:$X,MATCH($A78,SPPR!$A:$A,0),1)),$C78*INDEX(SPPR!$E:$X,MATCH($A78,SPPR!$A:$A,0),1),""),"")</f>
        <v/>
      </c>
      <c r="E78">
        <f>IFERROR(IF(ISNUMBER(INDEX(SPPR!$E:$X,MATCH($A78,SPPR!$A:$A,0),2)),$C78*INDEX(SPPR!$E:$X,MATCH($A78,SPPR!$A:$A,0),2),""),"")</f>
        <v/>
      </c>
      <c r="F78">
        <f>IFERROR(IF(ISNUMBER(INDEX(SPPR!$E:$X,MATCH($A78,SPPR!$A:$A,0),3)),$C78*INDEX(SPPR!$E:$X,MATCH($A78,SPPR!$A:$A,0),3),""),"")</f>
        <v/>
      </c>
      <c r="G78">
        <f>IFERROR(IF(ISNUMBER(INDEX(SPPR!$E:$X,MATCH($A78,SPPR!$A:$A,0),4)),$C78*INDEX(SPPR!$E:$X,MATCH($A78,SPPR!$A:$A,0),4),""),"")</f>
        <v/>
      </c>
      <c r="H78">
        <f>IFERROR(IF(ISNUMBER(INDEX(SPPR!$E:$X,MATCH($A78,SPPR!$A:$A,0),5)),$C78*INDEX(SPPR!$E:$X,MATCH($A78,SPPR!$A:$A,0),5),""),"")</f>
        <v/>
      </c>
      <c r="I78">
        <f>IFERROR(IF(ISNUMBER(INDEX(SPPR!$E:$X,MATCH($A78,SPPR!$A:$A,0),6)),$C78*INDEX(SPPR!$E:$X,MATCH($A78,SPPR!$A:$A,0),6),""),"")</f>
        <v/>
      </c>
      <c r="J78">
        <f>IFERROR(IF(ISNUMBER(INDEX(SPPR!$E:$X,MATCH($A78,SPPR!$A:$A,0),7)),$C78*INDEX(SPPR!$E:$X,MATCH($A78,SPPR!$A:$A,0),7),""),"")</f>
        <v/>
      </c>
      <c r="K78">
        <f>IFERROR(IF(ISNUMBER(INDEX(SPPR!$E:$X,MATCH($A78,SPPR!$A:$A,0),8)),$C78*INDEX(SPPR!$E:$X,MATCH($A78,SPPR!$A:$A,0),8),""),"")</f>
        <v/>
      </c>
      <c r="L78">
        <f>IFERROR(IF(ISNUMBER(INDEX(SPPR!$E:$X,MATCH($A78,SPPR!$A:$A,0),9)),$C78*INDEX(SPPR!$E:$X,MATCH($A78,SPPR!$A:$A,0),9),""),"")</f>
        <v/>
      </c>
      <c r="M78">
        <f>IFERROR(IF(ISNUMBER(INDEX(SPPR!$E:$X,MATCH($A78,SPPR!$A:$A,0),10)),$C78*INDEX(SPPR!$E:$X,MATCH($A78,SPPR!$A:$A,0),10),""),"")</f>
        <v/>
      </c>
      <c r="N78">
        <f>IFERROR(IF(ISNUMBER(INDEX(SPPR!$E:$X,MATCH($A78,SPPR!$A:$A,0),11)),$C78*INDEX(SPPR!$E:$X,MATCH($A78,SPPR!$A:$A,0),11),""),"")</f>
        <v/>
      </c>
      <c r="O78">
        <f>IFERROR(IF(ISNUMBER(INDEX(SPPR!$E:$X,MATCH($A78,SPPR!$A:$A,0),12)),$C78*INDEX(SPPR!$E:$X,MATCH($A78,SPPR!$A:$A,0),12),""),"")</f>
        <v/>
      </c>
      <c r="P78">
        <f>IFERROR(IF(ISNUMBER(INDEX(SPPR!$E:$X,MATCH($A78,SPPR!$A:$A,0),13)),$C78*INDEX(SPPR!$E:$X,MATCH($A78,SPPR!$A:$A,0),13),""),"")</f>
        <v/>
      </c>
      <c r="Q78">
        <f>IFERROR(IF(ISNUMBER(INDEX(SPPR!$E:$X,MATCH($A78,SPPR!$A:$A,0),14)),$C78*INDEX(SPPR!$E:$X,MATCH($A78,SPPR!$A:$A,0),14),""),"")</f>
        <v/>
      </c>
      <c r="R78">
        <f>IFERROR(IF(ISNUMBER(INDEX(SPPR!$E:$X,MATCH($A78,SPPR!$A:$A,0),15)),$C78*INDEX(SPPR!$E:$X,MATCH($A78,SPPR!$A:$A,0),15),""),"")</f>
        <v/>
      </c>
      <c r="S78">
        <f>IFERROR(IF(ISNUMBER(INDEX(SPPR!$E:$X,MATCH($A78,SPPR!$A:$A,0),16)),$C78*INDEX(SPPR!$E:$X,MATCH($A78,SPPR!$A:$A,0),16),""),"")</f>
        <v/>
      </c>
      <c r="T78">
        <f>IFERROR(IF(ISNUMBER(INDEX(SPPR!$E:$X,MATCH($A78,SPPR!$A:$A,0),17)),$C78*INDEX(SPPR!$E:$X,MATCH($A78,SPPR!$A:$A,0),17),""),"")</f>
        <v/>
      </c>
      <c r="U78">
        <f>IFERROR(IF(ISNUMBER(INDEX(SPPR!$E:$X,MATCH($A78,SPPR!$A:$A,0),18)),$C78*INDEX(SPPR!$E:$X,MATCH($A78,SPPR!$A:$A,0),18),""),"")</f>
        <v/>
      </c>
      <c r="V78">
        <f>IFERROR(IF(ISNUMBER(INDEX(SPPR!$E:$X,MATCH($A78,SPPR!$A:$A,0),19)),$C78*INDEX(SPPR!$E:$X,MATCH($A78,SPPR!$A:$A,0),19),""),"")</f>
        <v/>
      </c>
      <c r="W78">
        <f>IFERROR(IF(ISNUMBER(INDEX(SPPR!$E:$X,MATCH($A78,SPPR!$A:$A,0),20)),$C78*INDEX(SPPR!$E:$X,MATCH($A78,SPPR!$A:$A,0),20),""),"")</f>
        <v/>
      </c>
    </row>
    <row r="79">
      <c r="A79" t="inlineStr">
        <is>
          <t>Berryteuthis magister</t>
        </is>
      </c>
      <c r="B79">
        <f>IFERROR(INDEX(SPPR!$D:$D,MATCH($A79,SPPR!$A:$A,0)),"")</f>
        <v/>
      </c>
      <c r="C79">
        <f>IFERROR(INDEX(Catch!$E:$BV,MATCH($A79,Catch!$A:$A,0),MATCH($B$4,Catch!$E$1:$BV$1,0)),0)</f>
        <v/>
      </c>
      <c r="D79">
        <f>IFERROR(IF(ISNUMBER(INDEX(SPPR!$E:$X,MATCH($A79,SPPR!$A:$A,0),1)),$C79*INDEX(SPPR!$E:$X,MATCH($A79,SPPR!$A:$A,0),1),""),"")</f>
        <v/>
      </c>
      <c r="E79">
        <f>IFERROR(IF(ISNUMBER(INDEX(SPPR!$E:$X,MATCH($A79,SPPR!$A:$A,0),2)),$C79*INDEX(SPPR!$E:$X,MATCH($A79,SPPR!$A:$A,0),2),""),"")</f>
        <v/>
      </c>
      <c r="F79">
        <f>IFERROR(IF(ISNUMBER(INDEX(SPPR!$E:$X,MATCH($A79,SPPR!$A:$A,0),3)),$C79*INDEX(SPPR!$E:$X,MATCH($A79,SPPR!$A:$A,0),3),""),"")</f>
        <v/>
      </c>
      <c r="G79">
        <f>IFERROR(IF(ISNUMBER(INDEX(SPPR!$E:$X,MATCH($A79,SPPR!$A:$A,0),4)),$C79*INDEX(SPPR!$E:$X,MATCH($A79,SPPR!$A:$A,0),4),""),"")</f>
        <v/>
      </c>
      <c r="H79">
        <f>IFERROR(IF(ISNUMBER(INDEX(SPPR!$E:$X,MATCH($A79,SPPR!$A:$A,0),5)),$C79*INDEX(SPPR!$E:$X,MATCH($A79,SPPR!$A:$A,0),5),""),"")</f>
        <v/>
      </c>
      <c r="I79">
        <f>IFERROR(IF(ISNUMBER(INDEX(SPPR!$E:$X,MATCH($A79,SPPR!$A:$A,0),6)),$C79*INDEX(SPPR!$E:$X,MATCH($A79,SPPR!$A:$A,0),6),""),"")</f>
        <v/>
      </c>
      <c r="J79">
        <f>IFERROR(IF(ISNUMBER(INDEX(SPPR!$E:$X,MATCH($A79,SPPR!$A:$A,0),7)),$C79*INDEX(SPPR!$E:$X,MATCH($A79,SPPR!$A:$A,0),7),""),"")</f>
        <v/>
      </c>
      <c r="K79">
        <f>IFERROR(IF(ISNUMBER(INDEX(SPPR!$E:$X,MATCH($A79,SPPR!$A:$A,0),8)),$C79*INDEX(SPPR!$E:$X,MATCH($A79,SPPR!$A:$A,0),8),""),"")</f>
        <v/>
      </c>
      <c r="L79">
        <f>IFERROR(IF(ISNUMBER(INDEX(SPPR!$E:$X,MATCH($A79,SPPR!$A:$A,0),9)),$C79*INDEX(SPPR!$E:$X,MATCH($A79,SPPR!$A:$A,0),9),""),"")</f>
        <v/>
      </c>
      <c r="M79">
        <f>IFERROR(IF(ISNUMBER(INDEX(SPPR!$E:$X,MATCH($A79,SPPR!$A:$A,0),10)),$C79*INDEX(SPPR!$E:$X,MATCH($A79,SPPR!$A:$A,0),10),""),"")</f>
        <v/>
      </c>
      <c r="N79">
        <f>IFERROR(IF(ISNUMBER(INDEX(SPPR!$E:$X,MATCH($A79,SPPR!$A:$A,0),11)),$C79*INDEX(SPPR!$E:$X,MATCH($A79,SPPR!$A:$A,0),11),""),"")</f>
        <v/>
      </c>
      <c r="O79">
        <f>IFERROR(IF(ISNUMBER(INDEX(SPPR!$E:$X,MATCH($A79,SPPR!$A:$A,0),12)),$C79*INDEX(SPPR!$E:$X,MATCH($A79,SPPR!$A:$A,0),12),""),"")</f>
        <v/>
      </c>
      <c r="P79">
        <f>IFERROR(IF(ISNUMBER(INDEX(SPPR!$E:$X,MATCH($A79,SPPR!$A:$A,0),13)),$C79*INDEX(SPPR!$E:$X,MATCH($A79,SPPR!$A:$A,0),13),""),"")</f>
        <v/>
      </c>
      <c r="Q79">
        <f>IFERROR(IF(ISNUMBER(INDEX(SPPR!$E:$X,MATCH($A79,SPPR!$A:$A,0),14)),$C79*INDEX(SPPR!$E:$X,MATCH($A79,SPPR!$A:$A,0),14),""),"")</f>
        <v/>
      </c>
      <c r="R79">
        <f>IFERROR(IF(ISNUMBER(INDEX(SPPR!$E:$X,MATCH($A79,SPPR!$A:$A,0),15)),$C79*INDEX(SPPR!$E:$X,MATCH($A79,SPPR!$A:$A,0),15),""),"")</f>
        <v/>
      </c>
      <c r="S79">
        <f>IFERROR(IF(ISNUMBER(INDEX(SPPR!$E:$X,MATCH($A79,SPPR!$A:$A,0),16)),$C79*INDEX(SPPR!$E:$X,MATCH($A79,SPPR!$A:$A,0),16),""),"")</f>
        <v/>
      </c>
      <c r="T79">
        <f>IFERROR(IF(ISNUMBER(INDEX(SPPR!$E:$X,MATCH($A79,SPPR!$A:$A,0),17)),$C79*INDEX(SPPR!$E:$X,MATCH($A79,SPPR!$A:$A,0),17),""),"")</f>
        <v/>
      </c>
      <c r="U79">
        <f>IFERROR(IF(ISNUMBER(INDEX(SPPR!$E:$X,MATCH($A79,SPPR!$A:$A,0),18)),$C79*INDEX(SPPR!$E:$X,MATCH($A79,SPPR!$A:$A,0),18),""),"")</f>
        <v/>
      </c>
      <c r="V79">
        <f>IFERROR(IF(ISNUMBER(INDEX(SPPR!$E:$X,MATCH($A79,SPPR!$A:$A,0),19)),$C79*INDEX(SPPR!$E:$X,MATCH($A79,SPPR!$A:$A,0),19),""),"")</f>
        <v/>
      </c>
      <c r="W79">
        <f>IFERROR(IF(ISNUMBER(INDEX(SPPR!$E:$X,MATCH($A79,SPPR!$A:$A,0),20)),$C79*INDEX(SPPR!$E:$X,MATCH($A79,SPPR!$A:$A,0),20),""),"")</f>
        <v/>
      </c>
    </row>
    <row r="80">
      <c r="A80" t="inlineStr">
        <is>
          <t>Lutjanidae</t>
        </is>
      </c>
      <c r="B80">
        <f>IFERROR(INDEX(SPPR!$D:$D,MATCH($A80,SPPR!$A:$A,0)),"")</f>
        <v/>
      </c>
      <c r="C80">
        <f>IFERROR(INDEX(Catch!$E:$BV,MATCH($A80,Catch!$A:$A,0),MATCH($B$4,Catch!$E$1:$BV$1,0)),0)</f>
        <v/>
      </c>
      <c r="D80">
        <f>IFERROR(IF(ISNUMBER(INDEX(SPPR!$E:$X,MATCH($A80,SPPR!$A:$A,0),1)),$C80*INDEX(SPPR!$E:$X,MATCH($A80,SPPR!$A:$A,0),1),""),"")</f>
        <v/>
      </c>
      <c r="E80">
        <f>IFERROR(IF(ISNUMBER(INDEX(SPPR!$E:$X,MATCH($A80,SPPR!$A:$A,0),2)),$C80*INDEX(SPPR!$E:$X,MATCH($A80,SPPR!$A:$A,0),2),""),"")</f>
        <v/>
      </c>
      <c r="F80">
        <f>IFERROR(IF(ISNUMBER(INDEX(SPPR!$E:$X,MATCH($A80,SPPR!$A:$A,0),3)),$C80*INDEX(SPPR!$E:$X,MATCH($A80,SPPR!$A:$A,0),3),""),"")</f>
        <v/>
      </c>
      <c r="G80">
        <f>IFERROR(IF(ISNUMBER(INDEX(SPPR!$E:$X,MATCH($A80,SPPR!$A:$A,0),4)),$C80*INDEX(SPPR!$E:$X,MATCH($A80,SPPR!$A:$A,0),4),""),"")</f>
        <v/>
      </c>
      <c r="H80">
        <f>IFERROR(IF(ISNUMBER(INDEX(SPPR!$E:$X,MATCH($A80,SPPR!$A:$A,0),5)),$C80*INDEX(SPPR!$E:$X,MATCH($A80,SPPR!$A:$A,0),5),""),"")</f>
        <v/>
      </c>
      <c r="I80">
        <f>IFERROR(IF(ISNUMBER(INDEX(SPPR!$E:$X,MATCH($A80,SPPR!$A:$A,0),6)),$C80*INDEX(SPPR!$E:$X,MATCH($A80,SPPR!$A:$A,0),6),""),"")</f>
        <v/>
      </c>
      <c r="J80">
        <f>IFERROR(IF(ISNUMBER(INDEX(SPPR!$E:$X,MATCH($A80,SPPR!$A:$A,0),7)),$C80*INDEX(SPPR!$E:$X,MATCH($A80,SPPR!$A:$A,0),7),""),"")</f>
        <v/>
      </c>
      <c r="K80">
        <f>IFERROR(IF(ISNUMBER(INDEX(SPPR!$E:$X,MATCH($A80,SPPR!$A:$A,0),8)),$C80*INDEX(SPPR!$E:$X,MATCH($A80,SPPR!$A:$A,0),8),""),"")</f>
        <v/>
      </c>
      <c r="L80">
        <f>IFERROR(IF(ISNUMBER(INDEX(SPPR!$E:$X,MATCH($A80,SPPR!$A:$A,0),9)),$C80*INDEX(SPPR!$E:$X,MATCH($A80,SPPR!$A:$A,0),9),""),"")</f>
        <v/>
      </c>
      <c r="M80">
        <f>IFERROR(IF(ISNUMBER(INDEX(SPPR!$E:$X,MATCH($A80,SPPR!$A:$A,0),10)),$C80*INDEX(SPPR!$E:$X,MATCH($A80,SPPR!$A:$A,0),10),""),"")</f>
        <v/>
      </c>
      <c r="N80">
        <f>IFERROR(IF(ISNUMBER(INDEX(SPPR!$E:$X,MATCH($A80,SPPR!$A:$A,0),11)),$C80*INDEX(SPPR!$E:$X,MATCH($A80,SPPR!$A:$A,0),11),""),"")</f>
        <v/>
      </c>
      <c r="O80">
        <f>IFERROR(IF(ISNUMBER(INDEX(SPPR!$E:$X,MATCH($A80,SPPR!$A:$A,0),12)),$C80*INDEX(SPPR!$E:$X,MATCH($A80,SPPR!$A:$A,0),12),""),"")</f>
        <v/>
      </c>
      <c r="P80">
        <f>IFERROR(IF(ISNUMBER(INDEX(SPPR!$E:$X,MATCH($A80,SPPR!$A:$A,0),13)),$C80*INDEX(SPPR!$E:$X,MATCH($A80,SPPR!$A:$A,0),13),""),"")</f>
        <v/>
      </c>
      <c r="Q80">
        <f>IFERROR(IF(ISNUMBER(INDEX(SPPR!$E:$X,MATCH($A80,SPPR!$A:$A,0),14)),$C80*INDEX(SPPR!$E:$X,MATCH($A80,SPPR!$A:$A,0),14),""),"")</f>
        <v/>
      </c>
      <c r="R80">
        <f>IFERROR(IF(ISNUMBER(INDEX(SPPR!$E:$X,MATCH($A80,SPPR!$A:$A,0),15)),$C80*INDEX(SPPR!$E:$X,MATCH($A80,SPPR!$A:$A,0),15),""),"")</f>
        <v/>
      </c>
      <c r="S80">
        <f>IFERROR(IF(ISNUMBER(INDEX(SPPR!$E:$X,MATCH($A80,SPPR!$A:$A,0),16)),$C80*INDEX(SPPR!$E:$X,MATCH($A80,SPPR!$A:$A,0),16),""),"")</f>
        <v/>
      </c>
      <c r="T80">
        <f>IFERROR(IF(ISNUMBER(INDEX(SPPR!$E:$X,MATCH($A80,SPPR!$A:$A,0),17)),$C80*INDEX(SPPR!$E:$X,MATCH($A80,SPPR!$A:$A,0),17),""),"")</f>
        <v/>
      </c>
      <c r="U80">
        <f>IFERROR(IF(ISNUMBER(INDEX(SPPR!$E:$X,MATCH($A80,SPPR!$A:$A,0),18)),$C80*INDEX(SPPR!$E:$X,MATCH($A80,SPPR!$A:$A,0),18),""),"")</f>
        <v/>
      </c>
      <c r="V80">
        <f>IFERROR(IF(ISNUMBER(INDEX(SPPR!$E:$X,MATCH($A80,SPPR!$A:$A,0),19)),$C80*INDEX(SPPR!$E:$X,MATCH($A80,SPPR!$A:$A,0),19),""),"")</f>
        <v/>
      </c>
      <c r="W80">
        <f>IFERROR(IF(ISNUMBER(INDEX(SPPR!$E:$X,MATCH($A80,SPPR!$A:$A,0),20)),$C80*INDEX(SPPR!$E:$X,MATCH($A80,SPPR!$A:$A,0),20),""),"")</f>
        <v/>
      </c>
    </row>
    <row r="81">
      <c r="A81" t="inlineStr">
        <is>
          <t>Clupeidae</t>
        </is>
      </c>
      <c r="B81">
        <f>IFERROR(INDEX(SPPR!$D:$D,MATCH($A81,SPPR!$A:$A,0)),"")</f>
        <v/>
      </c>
      <c r="C81">
        <f>IFERROR(INDEX(Catch!$E:$BV,MATCH($A81,Catch!$A:$A,0),MATCH($B$4,Catch!$E$1:$BV$1,0)),0)</f>
        <v/>
      </c>
      <c r="D81">
        <f>IFERROR(IF(ISNUMBER(INDEX(SPPR!$E:$X,MATCH($A81,SPPR!$A:$A,0),1)),$C81*INDEX(SPPR!$E:$X,MATCH($A81,SPPR!$A:$A,0),1),""),"")</f>
        <v/>
      </c>
      <c r="E81">
        <f>IFERROR(IF(ISNUMBER(INDEX(SPPR!$E:$X,MATCH($A81,SPPR!$A:$A,0),2)),$C81*INDEX(SPPR!$E:$X,MATCH($A81,SPPR!$A:$A,0),2),""),"")</f>
        <v/>
      </c>
      <c r="F81">
        <f>IFERROR(IF(ISNUMBER(INDEX(SPPR!$E:$X,MATCH($A81,SPPR!$A:$A,0),3)),$C81*INDEX(SPPR!$E:$X,MATCH($A81,SPPR!$A:$A,0),3),""),"")</f>
        <v/>
      </c>
      <c r="G81">
        <f>IFERROR(IF(ISNUMBER(INDEX(SPPR!$E:$X,MATCH($A81,SPPR!$A:$A,0),4)),$C81*INDEX(SPPR!$E:$X,MATCH($A81,SPPR!$A:$A,0),4),""),"")</f>
        <v/>
      </c>
      <c r="H81">
        <f>IFERROR(IF(ISNUMBER(INDEX(SPPR!$E:$X,MATCH($A81,SPPR!$A:$A,0),5)),$C81*INDEX(SPPR!$E:$X,MATCH($A81,SPPR!$A:$A,0),5),""),"")</f>
        <v/>
      </c>
      <c r="I81">
        <f>IFERROR(IF(ISNUMBER(INDEX(SPPR!$E:$X,MATCH($A81,SPPR!$A:$A,0),6)),$C81*INDEX(SPPR!$E:$X,MATCH($A81,SPPR!$A:$A,0),6),""),"")</f>
        <v/>
      </c>
      <c r="J81">
        <f>IFERROR(IF(ISNUMBER(INDEX(SPPR!$E:$X,MATCH($A81,SPPR!$A:$A,0),7)),$C81*INDEX(SPPR!$E:$X,MATCH($A81,SPPR!$A:$A,0),7),""),"")</f>
        <v/>
      </c>
      <c r="K81">
        <f>IFERROR(IF(ISNUMBER(INDEX(SPPR!$E:$X,MATCH($A81,SPPR!$A:$A,0),8)),$C81*INDEX(SPPR!$E:$X,MATCH($A81,SPPR!$A:$A,0),8),""),"")</f>
        <v/>
      </c>
      <c r="L81">
        <f>IFERROR(IF(ISNUMBER(INDEX(SPPR!$E:$X,MATCH($A81,SPPR!$A:$A,0),9)),$C81*INDEX(SPPR!$E:$X,MATCH($A81,SPPR!$A:$A,0),9),""),"")</f>
        <v/>
      </c>
      <c r="M81">
        <f>IFERROR(IF(ISNUMBER(INDEX(SPPR!$E:$X,MATCH($A81,SPPR!$A:$A,0),10)),$C81*INDEX(SPPR!$E:$X,MATCH($A81,SPPR!$A:$A,0),10),""),"")</f>
        <v/>
      </c>
      <c r="N81">
        <f>IFERROR(IF(ISNUMBER(INDEX(SPPR!$E:$X,MATCH($A81,SPPR!$A:$A,0),11)),$C81*INDEX(SPPR!$E:$X,MATCH($A81,SPPR!$A:$A,0),11),""),"")</f>
        <v/>
      </c>
      <c r="O81">
        <f>IFERROR(IF(ISNUMBER(INDEX(SPPR!$E:$X,MATCH($A81,SPPR!$A:$A,0),12)),$C81*INDEX(SPPR!$E:$X,MATCH($A81,SPPR!$A:$A,0),12),""),"")</f>
        <v/>
      </c>
      <c r="P81">
        <f>IFERROR(IF(ISNUMBER(INDEX(SPPR!$E:$X,MATCH($A81,SPPR!$A:$A,0),13)),$C81*INDEX(SPPR!$E:$X,MATCH($A81,SPPR!$A:$A,0),13),""),"")</f>
        <v/>
      </c>
      <c r="Q81">
        <f>IFERROR(IF(ISNUMBER(INDEX(SPPR!$E:$X,MATCH($A81,SPPR!$A:$A,0),14)),$C81*INDEX(SPPR!$E:$X,MATCH($A81,SPPR!$A:$A,0),14),""),"")</f>
        <v/>
      </c>
      <c r="R81">
        <f>IFERROR(IF(ISNUMBER(INDEX(SPPR!$E:$X,MATCH($A81,SPPR!$A:$A,0),15)),$C81*INDEX(SPPR!$E:$X,MATCH($A81,SPPR!$A:$A,0),15),""),"")</f>
        <v/>
      </c>
      <c r="S81">
        <f>IFERROR(IF(ISNUMBER(INDEX(SPPR!$E:$X,MATCH($A81,SPPR!$A:$A,0),16)),$C81*INDEX(SPPR!$E:$X,MATCH($A81,SPPR!$A:$A,0),16),""),"")</f>
        <v/>
      </c>
      <c r="T81">
        <f>IFERROR(IF(ISNUMBER(INDEX(SPPR!$E:$X,MATCH($A81,SPPR!$A:$A,0),17)),$C81*INDEX(SPPR!$E:$X,MATCH($A81,SPPR!$A:$A,0),17),""),"")</f>
        <v/>
      </c>
      <c r="U81">
        <f>IFERROR(IF(ISNUMBER(INDEX(SPPR!$E:$X,MATCH($A81,SPPR!$A:$A,0),18)),$C81*INDEX(SPPR!$E:$X,MATCH($A81,SPPR!$A:$A,0),18),""),"")</f>
        <v/>
      </c>
      <c r="V81">
        <f>IFERROR(IF(ISNUMBER(INDEX(SPPR!$E:$X,MATCH($A81,SPPR!$A:$A,0),19)),$C81*INDEX(SPPR!$E:$X,MATCH($A81,SPPR!$A:$A,0),19),""),"")</f>
        <v/>
      </c>
      <c r="W81">
        <f>IFERROR(IF(ISNUMBER(INDEX(SPPR!$E:$X,MATCH($A81,SPPR!$A:$A,0),20)),$C81*INDEX(SPPR!$E:$X,MATCH($A81,SPPR!$A:$A,0),20),""),"")</f>
        <v/>
      </c>
    </row>
    <row r="82">
      <c r="A82" t="inlineStr">
        <is>
          <t>Holothuroidea</t>
        </is>
      </c>
      <c r="B82">
        <f>IFERROR(INDEX(SPPR!$D:$D,MATCH($A82,SPPR!$A:$A,0)),"")</f>
        <v/>
      </c>
      <c r="C82">
        <f>IFERROR(INDEX(Catch!$E:$BV,MATCH($A82,Catch!$A:$A,0),MATCH($B$4,Catch!$E$1:$BV$1,0)),0)</f>
        <v/>
      </c>
      <c r="D82">
        <f>IFERROR(IF(ISNUMBER(INDEX(SPPR!$E:$X,MATCH($A82,SPPR!$A:$A,0),1)),$C82*INDEX(SPPR!$E:$X,MATCH($A82,SPPR!$A:$A,0),1),""),"")</f>
        <v/>
      </c>
      <c r="E82">
        <f>IFERROR(IF(ISNUMBER(INDEX(SPPR!$E:$X,MATCH($A82,SPPR!$A:$A,0),2)),$C82*INDEX(SPPR!$E:$X,MATCH($A82,SPPR!$A:$A,0),2),""),"")</f>
        <v/>
      </c>
      <c r="F82">
        <f>IFERROR(IF(ISNUMBER(INDEX(SPPR!$E:$X,MATCH($A82,SPPR!$A:$A,0),3)),$C82*INDEX(SPPR!$E:$X,MATCH($A82,SPPR!$A:$A,0),3),""),"")</f>
        <v/>
      </c>
      <c r="G82">
        <f>IFERROR(IF(ISNUMBER(INDEX(SPPR!$E:$X,MATCH($A82,SPPR!$A:$A,0),4)),$C82*INDEX(SPPR!$E:$X,MATCH($A82,SPPR!$A:$A,0),4),""),"")</f>
        <v/>
      </c>
      <c r="H82">
        <f>IFERROR(IF(ISNUMBER(INDEX(SPPR!$E:$X,MATCH($A82,SPPR!$A:$A,0),5)),$C82*INDEX(SPPR!$E:$X,MATCH($A82,SPPR!$A:$A,0),5),""),"")</f>
        <v/>
      </c>
      <c r="I82">
        <f>IFERROR(IF(ISNUMBER(INDEX(SPPR!$E:$X,MATCH($A82,SPPR!$A:$A,0),6)),$C82*INDEX(SPPR!$E:$X,MATCH($A82,SPPR!$A:$A,0),6),""),"")</f>
        <v/>
      </c>
      <c r="J82">
        <f>IFERROR(IF(ISNUMBER(INDEX(SPPR!$E:$X,MATCH($A82,SPPR!$A:$A,0),7)),$C82*INDEX(SPPR!$E:$X,MATCH($A82,SPPR!$A:$A,0),7),""),"")</f>
        <v/>
      </c>
      <c r="K82">
        <f>IFERROR(IF(ISNUMBER(INDEX(SPPR!$E:$X,MATCH($A82,SPPR!$A:$A,0),8)),$C82*INDEX(SPPR!$E:$X,MATCH($A82,SPPR!$A:$A,0),8),""),"")</f>
        <v/>
      </c>
      <c r="L82">
        <f>IFERROR(IF(ISNUMBER(INDEX(SPPR!$E:$X,MATCH($A82,SPPR!$A:$A,0),9)),$C82*INDEX(SPPR!$E:$X,MATCH($A82,SPPR!$A:$A,0),9),""),"")</f>
        <v/>
      </c>
      <c r="M82">
        <f>IFERROR(IF(ISNUMBER(INDEX(SPPR!$E:$X,MATCH($A82,SPPR!$A:$A,0),10)),$C82*INDEX(SPPR!$E:$X,MATCH($A82,SPPR!$A:$A,0),10),""),"")</f>
        <v/>
      </c>
      <c r="N82">
        <f>IFERROR(IF(ISNUMBER(INDEX(SPPR!$E:$X,MATCH($A82,SPPR!$A:$A,0),11)),$C82*INDEX(SPPR!$E:$X,MATCH($A82,SPPR!$A:$A,0),11),""),"")</f>
        <v/>
      </c>
      <c r="O82">
        <f>IFERROR(IF(ISNUMBER(INDEX(SPPR!$E:$X,MATCH($A82,SPPR!$A:$A,0),12)),$C82*INDEX(SPPR!$E:$X,MATCH($A82,SPPR!$A:$A,0),12),""),"")</f>
        <v/>
      </c>
      <c r="P82">
        <f>IFERROR(IF(ISNUMBER(INDEX(SPPR!$E:$X,MATCH($A82,SPPR!$A:$A,0),13)),$C82*INDEX(SPPR!$E:$X,MATCH($A82,SPPR!$A:$A,0),13),""),"")</f>
        <v/>
      </c>
      <c r="Q82">
        <f>IFERROR(IF(ISNUMBER(INDEX(SPPR!$E:$X,MATCH($A82,SPPR!$A:$A,0),14)),$C82*INDEX(SPPR!$E:$X,MATCH($A82,SPPR!$A:$A,0),14),""),"")</f>
        <v/>
      </c>
      <c r="R82">
        <f>IFERROR(IF(ISNUMBER(INDEX(SPPR!$E:$X,MATCH($A82,SPPR!$A:$A,0),15)),$C82*INDEX(SPPR!$E:$X,MATCH($A82,SPPR!$A:$A,0),15),""),"")</f>
        <v/>
      </c>
      <c r="S82">
        <f>IFERROR(IF(ISNUMBER(INDEX(SPPR!$E:$X,MATCH($A82,SPPR!$A:$A,0),16)),$C82*INDEX(SPPR!$E:$X,MATCH($A82,SPPR!$A:$A,0),16),""),"")</f>
        <v/>
      </c>
      <c r="T82">
        <f>IFERROR(IF(ISNUMBER(INDEX(SPPR!$E:$X,MATCH($A82,SPPR!$A:$A,0),17)),$C82*INDEX(SPPR!$E:$X,MATCH($A82,SPPR!$A:$A,0),17),""),"")</f>
        <v/>
      </c>
      <c r="U82">
        <f>IFERROR(IF(ISNUMBER(INDEX(SPPR!$E:$X,MATCH($A82,SPPR!$A:$A,0),18)),$C82*INDEX(SPPR!$E:$X,MATCH($A82,SPPR!$A:$A,0),18),""),"")</f>
        <v/>
      </c>
      <c r="V82">
        <f>IFERROR(IF(ISNUMBER(INDEX(SPPR!$E:$X,MATCH($A82,SPPR!$A:$A,0),19)),$C82*INDEX(SPPR!$E:$X,MATCH($A82,SPPR!$A:$A,0),19),""),"")</f>
        <v/>
      </c>
      <c r="W82">
        <f>IFERROR(IF(ISNUMBER(INDEX(SPPR!$E:$X,MATCH($A82,SPPR!$A:$A,0),20)),$C82*INDEX(SPPR!$E:$X,MATCH($A82,SPPR!$A:$A,0),20),""),"")</f>
        <v/>
      </c>
    </row>
    <row r="83">
      <c r="A83" t="inlineStr">
        <is>
          <t>Dendrobranchiata</t>
        </is>
      </c>
      <c r="B83">
        <f>IFERROR(INDEX(SPPR!$D:$D,MATCH($A83,SPPR!$A:$A,0)),"")</f>
        <v/>
      </c>
      <c r="C83">
        <f>IFERROR(INDEX(Catch!$E:$BV,MATCH($A83,Catch!$A:$A,0),MATCH($B$4,Catch!$E$1:$BV$1,0)),0)</f>
        <v/>
      </c>
      <c r="D83">
        <f>IFERROR(IF(ISNUMBER(INDEX(SPPR!$E:$X,MATCH($A83,SPPR!$A:$A,0),1)),$C83*INDEX(SPPR!$E:$X,MATCH($A83,SPPR!$A:$A,0),1),""),"")</f>
        <v/>
      </c>
      <c r="E83">
        <f>IFERROR(IF(ISNUMBER(INDEX(SPPR!$E:$X,MATCH($A83,SPPR!$A:$A,0),2)),$C83*INDEX(SPPR!$E:$X,MATCH($A83,SPPR!$A:$A,0),2),""),"")</f>
        <v/>
      </c>
      <c r="F83">
        <f>IFERROR(IF(ISNUMBER(INDEX(SPPR!$E:$X,MATCH($A83,SPPR!$A:$A,0),3)),$C83*INDEX(SPPR!$E:$X,MATCH($A83,SPPR!$A:$A,0),3),""),"")</f>
        <v/>
      </c>
      <c r="G83">
        <f>IFERROR(IF(ISNUMBER(INDEX(SPPR!$E:$X,MATCH($A83,SPPR!$A:$A,0),4)),$C83*INDEX(SPPR!$E:$X,MATCH($A83,SPPR!$A:$A,0),4),""),"")</f>
        <v/>
      </c>
      <c r="H83">
        <f>IFERROR(IF(ISNUMBER(INDEX(SPPR!$E:$X,MATCH($A83,SPPR!$A:$A,0),5)),$C83*INDEX(SPPR!$E:$X,MATCH($A83,SPPR!$A:$A,0),5),""),"")</f>
        <v/>
      </c>
      <c r="I83">
        <f>IFERROR(IF(ISNUMBER(INDEX(SPPR!$E:$X,MATCH($A83,SPPR!$A:$A,0),6)),$C83*INDEX(SPPR!$E:$X,MATCH($A83,SPPR!$A:$A,0),6),""),"")</f>
        <v/>
      </c>
      <c r="J83">
        <f>IFERROR(IF(ISNUMBER(INDEX(SPPR!$E:$X,MATCH($A83,SPPR!$A:$A,0),7)),$C83*INDEX(SPPR!$E:$X,MATCH($A83,SPPR!$A:$A,0),7),""),"")</f>
        <v/>
      </c>
      <c r="K83">
        <f>IFERROR(IF(ISNUMBER(INDEX(SPPR!$E:$X,MATCH($A83,SPPR!$A:$A,0),8)),$C83*INDEX(SPPR!$E:$X,MATCH($A83,SPPR!$A:$A,0),8),""),"")</f>
        <v/>
      </c>
      <c r="L83">
        <f>IFERROR(IF(ISNUMBER(INDEX(SPPR!$E:$X,MATCH($A83,SPPR!$A:$A,0),9)),$C83*INDEX(SPPR!$E:$X,MATCH($A83,SPPR!$A:$A,0),9),""),"")</f>
        <v/>
      </c>
      <c r="M83">
        <f>IFERROR(IF(ISNUMBER(INDEX(SPPR!$E:$X,MATCH($A83,SPPR!$A:$A,0),10)),$C83*INDEX(SPPR!$E:$X,MATCH($A83,SPPR!$A:$A,0),10),""),"")</f>
        <v/>
      </c>
      <c r="N83">
        <f>IFERROR(IF(ISNUMBER(INDEX(SPPR!$E:$X,MATCH($A83,SPPR!$A:$A,0),11)),$C83*INDEX(SPPR!$E:$X,MATCH($A83,SPPR!$A:$A,0),11),""),"")</f>
        <v/>
      </c>
      <c r="O83">
        <f>IFERROR(IF(ISNUMBER(INDEX(SPPR!$E:$X,MATCH($A83,SPPR!$A:$A,0),12)),$C83*INDEX(SPPR!$E:$X,MATCH($A83,SPPR!$A:$A,0),12),""),"")</f>
        <v/>
      </c>
      <c r="P83">
        <f>IFERROR(IF(ISNUMBER(INDEX(SPPR!$E:$X,MATCH($A83,SPPR!$A:$A,0),13)),$C83*INDEX(SPPR!$E:$X,MATCH($A83,SPPR!$A:$A,0),13),""),"")</f>
        <v/>
      </c>
      <c r="Q83">
        <f>IFERROR(IF(ISNUMBER(INDEX(SPPR!$E:$X,MATCH($A83,SPPR!$A:$A,0),14)),$C83*INDEX(SPPR!$E:$X,MATCH($A83,SPPR!$A:$A,0),14),""),"")</f>
        <v/>
      </c>
      <c r="R83">
        <f>IFERROR(IF(ISNUMBER(INDEX(SPPR!$E:$X,MATCH($A83,SPPR!$A:$A,0),15)),$C83*INDEX(SPPR!$E:$X,MATCH($A83,SPPR!$A:$A,0),15),""),"")</f>
        <v/>
      </c>
      <c r="S83">
        <f>IFERROR(IF(ISNUMBER(INDEX(SPPR!$E:$X,MATCH($A83,SPPR!$A:$A,0),16)),$C83*INDEX(SPPR!$E:$X,MATCH($A83,SPPR!$A:$A,0),16),""),"")</f>
        <v/>
      </c>
      <c r="T83">
        <f>IFERROR(IF(ISNUMBER(INDEX(SPPR!$E:$X,MATCH($A83,SPPR!$A:$A,0),17)),$C83*INDEX(SPPR!$E:$X,MATCH($A83,SPPR!$A:$A,0),17),""),"")</f>
        <v/>
      </c>
      <c r="U83">
        <f>IFERROR(IF(ISNUMBER(INDEX(SPPR!$E:$X,MATCH($A83,SPPR!$A:$A,0),18)),$C83*INDEX(SPPR!$E:$X,MATCH($A83,SPPR!$A:$A,0),18),""),"")</f>
        <v/>
      </c>
      <c r="V83">
        <f>IFERROR(IF(ISNUMBER(INDEX(SPPR!$E:$X,MATCH($A83,SPPR!$A:$A,0),19)),$C83*INDEX(SPPR!$E:$X,MATCH($A83,SPPR!$A:$A,0),19),""),"")</f>
        <v/>
      </c>
      <c r="W83">
        <f>IFERROR(IF(ISNUMBER(INDEX(SPPR!$E:$X,MATCH($A83,SPPR!$A:$A,0),20)),$C83*INDEX(SPPR!$E:$X,MATCH($A83,SPPR!$A:$A,0),20),""),"")</f>
        <v/>
      </c>
    </row>
    <row r="84">
      <c r="A84" t="inlineStr">
        <is>
          <t>Pandalus</t>
        </is>
      </c>
      <c r="B84">
        <f>IFERROR(INDEX(SPPR!$D:$D,MATCH($A84,SPPR!$A:$A,0)),"")</f>
        <v/>
      </c>
      <c r="C84">
        <f>IFERROR(INDEX(Catch!$E:$BV,MATCH($A84,Catch!$A:$A,0),MATCH($B$4,Catch!$E$1:$BV$1,0)),0)</f>
        <v/>
      </c>
      <c r="D84">
        <f>IFERROR(IF(ISNUMBER(INDEX(SPPR!$E:$X,MATCH($A84,SPPR!$A:$A,0),1)),$C84*INDEX(SPPR!$E:$X,MATCH($A84,SPPR!$A:$A,0),1),""),"")</f>
        <v/>
      </c>
      <c r="E84">
        <f>IFERROR(IF(ISNUMBER(INDEX(SPPR!$E:$X,MATCH($A84,SPPR!$A:$A,0),2)),$C84*INDEX(SPPR!$E:$X,MATCH($A84,SPPR!$A:$A,0),2),""),"")</f>
        <v/>
      </c>
      <c r="F84">
        <f>IFERROR(IF(ISNUMBER(INDEX(SPPR!$E:$X,MATCH($A84,SPPR!$A:$A,0),3)),$C84*INDEX(SPPR!$E:$X,MATCH($A84,SPPR!$A:$A,0),3),""),"")</f>
        <v/>
      </c>
      <c r="G84">
        <f>IFERROR(IF(ISNUMBER(INDEX(SPPR!$E:$X,MATCH($A84,SPPR!$A:$A,0),4)),$C84*INDEX(SPPR!$E:$X,MATCH($A84,SPPR!$A:$A,0),4),""),"")</f>
        <v/>
      </c>
      <c r="H84">
        <f>IFERROR(IF(ISNUMBER(INDEX(SPPR!$E:$X,MATCH($A84,SPPR!$A:$A,0),5)),$C84*INDEX(SPPR!$E:$X,MATCH($A84,SPPR!$A:$A,0),5),""),"")</f>
        <v/>
      </c>
      <c r="I84">
        <f>IFERROR(IF(ISNUMBER(INDEX(SPPR!$E:$X,MATCH($A84,SPPR!$A:$A,0),6)),$C84*INDEX(SPPR!$E:$X,MATCH($A84,SPPR!$A:$A,0),6),""),"")</f>
        <v/>
      </c>
      <c r="J84">
        <f>IFERROR(IF(ISNUMBER(INDEX(SPPR!$E:$X,MATCH($A84,SPPR!$A:$A,0),7)),$C84*INDEX(SPPR!$E:$X,MATCH($A84,SPPR!$A:$A,0),7),""),"")</f>
        <v/>
      </c>
      <c r="K84">
        <f>IFERROR(IF(ISNUMBER(INDEX(SPPR!$E:$X,MATCH($A84,SPPR!$A:$A,0),8)),$C84*INDEX(SPPR!$E:$X,MATCH($A84,SPPR!$A:$A,0),8),""),"")</f>
        <v/>
      </c>
      <c r="L84">
        <f>IFERROR(IF(ISNUMBER(INDEX(SPPR!$E:$X,MATCH($A84,SPPR!$A:$A,0),9)),$C84*INDEX(SPPR!$E:$X,MATCH($A84,SPPR!$A:$A,0),9),""),"")</f>
        <v/>
      </c>
      <c r="M84">
        <f>IFERROR(IF(ISNUMBER(INDEX(SPPR!$E:$X,MATCH($A84,SPPR!$A:$A,0),10)),$C84*INDEX(SPPR!$E:$X,MATCH($A84,SPPR!$A:$A,0),10),""),"")</f>
        <v/>
      </c>
      <c r="N84">
        <f>IFERROR(IF(ISNUMBER(INDEX(SPPR!$E:$X,MATCH($A84,SPPR!$A:$A,0),11)),$C84*INDEX(SPPR!$E:$X,MATCH($A84,SPPR!$A:$A,0),11),""),"")</f>
        <v/>
      </c>
      <c r="O84">
        <f>IFERROR(IF(ISNUMBER(INDEX(SPPR!$E:$X,MATCH($A84,SPPR!$A:$A,0),12)),$C84*INDEX(SPPR!$E:$X,MATCH($A84,SPPR!$A:$A,0),12),""),"")</f>
        <v/>
      </c>
      <c r="P84">
        <f>IFERROR(IF(ISNUMBER(INDEX(SPPR!$E:$X,MATCH($A84,SPPR!$A:$A,0),13)),$C84*INDEX(SPPR!$E:$X,MATCH($A84,SPPR!$A:$A,0),13),""),"")</f>
        <v/>
      </c>
      <c r="Q84">
        <f>IFERROR(IF(ISNUMBER(INDEX(SPPR!$E:$X,MATCH($A84,SPPR!$A:$A,0),14)),$C84*INDEX(SPPR!$E:$X,MATCH($A84,SPPR!$A:$A,0),14),""),"")</f>
        <v/>
      </c>
      <c r="R84">
        <f>IFERROR(IF(ISNUMBER(INDEX(SPPR!$E:$X,MATCH($A84,SPPR!$A:$A,0),15)),$C84*INDEX(SPPR!$E:$X,MATCH($A84,SPPR!$A:$A,0),15),""),"")</f>
        <v/>
      </c>
      <c r="S84">
        <f>IFERROR(IF(ISNUMBER(INDEX(SPPR!$E:$X,MATCH($A84,SPPR!$A:$A,0),16)),$C84*INDEX(SPPR!$E:$X,MATCH($A84,SPPR!$A:$A,0),16),""),"")</f>
        <v/>
      </c>
      <c r="T84">
        <f>IFERROR(IF(ISNUMBER(INDEX(SPPR!$E:$X,MATCH($A84,SPPR!$A:$A,0),17)),$C84*INDEX(SPPR!$E:$X,MATCH($A84,SPPR!$A:$A,0),17),""),"")</f>
        <v/>
      </c>
      <c r="U84">
        <f>IFERROR(IF(ISNUMBER(INDEX(SPPR!$E:$X,MATCH($A84,SPPR!$A:$A,0),18)),$C84*INDEX(SPPR!$E:$X,MATCH($A84,SPPR!$A:$A,0),18),""),"")</f>
        <v/>
      </c>
      <c r="V84">
        <f>IFERROR(IF(ISNUMBER(INDEX(SPPR!$E:$X,MATCH($A84,SPPR!$A:$A,0),19)),$C84*INDEX(SPPR!$E:$X,MATCH($A84,SPPR!$A:$A,0),19),""),"")</f>
        <v/>
      </c>
      <c r="W84">
        <f>IFERROR(IF(ISNUMBER(INDEX(SPPR!$E:$X,MATCH($A84,SPPR!$A:$A,0),20)),$C84*INDEX(SPPR!$E:$X,MATCH($A84,SPPR!$A:$A,0),20),""),"")</f>
        <v/>
      </c>
    </row>
    <row r="85">
      <c r="A85" t="inlineStr">
        <is>
          <t>Tetraodontidae</t>
        </is>
      </c>
      <c r="B85">
        <f>IFERROR(INDEX(SPPR!$D:$D,MATCH($A85,SPPR!$A:$A,0)),"")</f>
        <v/>
      </c>
      <c r="C85">
        <f>IFERROR(INDEX(Catch!$E:$BV,MATCH($A85,Catch!$A:$A,0),MATCH($B$4,Catch!$E$1:$BV$1,0)),0)</f>
        <v/>
      </c>
      <c r="D85">
        <f>IFERROR(IF(ISNUMBER(INDEX(SPPR!$E:$X,MATCH($A85,SPPR!$A:$A,0),1)),$C85*INDEX(SPPR!$E:$X,MATCH($A85,SPPR!$A:$A,0),1),""),"")</f>
        <v/>
      </c>
      <c r="E85">
        <f>IFERROR(IF(ISNUMBER(INDEX(SPPR!$E:$X,MATCH($A85,SPPR!$A:$A,0),2)),$C85*INDEX(SPPR!$E:$X,MATCH($A85,SPPR!$A:$A,0),2),""),"")</f>
        <v/>
      </c>
      <c r="F85">
        <f>IFERROR(IF(ISNUMBER(INDEX(SPPR!$E:$X,MATCH($A85,SPPR!$A:$A,0),3)),$C85*INDEX(SPPR!$E:$X,MATCH($A85,SPPR!$A:$A,0),3),""),"")</f>
        <v/>
      </c>
      <c r="G85">
        <f>IFERROR(IF(ISNUMBER(INDEX(SPPR!$E:$X,MATCH($A85,SPPR!$A:$A,0),4)),$C85*INDEX(SPPR!$E:$X,MATCH($A85,SPPR!$A:$A,0),4),""),"")</f>
        <v/>
      </c>
      <c r="H85">
        <f>IFERROR(IF(ISNUMBER(INDEX(SPPR!$E:$X,MATCH($A85,SPPR!$A:$A,0),5)),$C85*INDEX(SPPR!$E:$X,MATCH($A85,SPPR!$A:$A,0),5),""),"")</f>
        <v/>
      </c>
      <c r="I85">
        <f>IFERROR(IF(ISNUMBER(INDEX(SPPR!$E:$X,MATCH($A85,SPPR!$A:$A,0),6)),$C85*INDEX(SPPR!$E:$X,MATCH($A85,SPPR!$A:$A,0),6),""),"")</f>
        <v/>
      </c>
      <c r="J85">
        <f>IFERROR(IF(ISNUMBER(INDEX(SPPR!$E:$X,MATCH($A85,SPPR!$A:$A,0),7)),$C85*INDEX(SPPR!$E:$X,MATCH($A85,SPPR!$A:$A,0),7),""),"")</f>
        <v/>
      </c>
      <c r="K85">
        <f>IFERROR(IF(ISNUMBER(INDEX(SPPR!$E:$X,MATCH($A85,SPPR!$A:$A,0),8)),$C85*INDEX(SPPR!$E:$X,MATCH($A85,SPPR!$A:$A,0),8),""),"")</f>
        <v/>
      </c>
      <c r="L85">
        <f>IFERROR(IF(ISNUMBER(INDEX(SPPR!$E:$X,MATCH($A85,SPPR!$A:$A,0),9)),$C85*INDEX(SPPR!$E:$X,MATCH($A85,SPPR!$A:$A,0),9),""),"")</f>
        <v/>
      </c>
      <c r="M85">
        <f>IFERROR(IF(ISNUMBER(INDEX(SPPR!$E:$X,MATCH($A85,SPPR!$A:$A,0),10)),$C85*INDEX(SPPR!$E:$X,MATCH($A85,SPPR!$A:$A,0),10),""),"")</f>
        <v/>
      </c>
      <c r="N85">
        <f>IFERROR(IF(ISNUMBER(INDEX(SPPR!$E:$X,MATCH($A85,SPPR!$A:$A,0),11)),$C85*INDEX(SPPR!$E:$X,MATCH($A85,SPPR!$A:$A,0),11),""),"")</f>
        <v/>
      </c>
      <c r="O85">
        <f>IFERROR(IF(ISNUMBER(INDEX(SPPR!$E:$X,MATCH($A85,SPPR!$A:$A,0),12)),$C85*INDEX(SPPR!$E:$X,MATCH($A85,SPPR!$A:$A,0),12),""),"")</f>
        <v/>
      </c>
      <c r="P85">
        <f>IFERROR(IF(ISNUMBER(INDEX(SPPR!$E:$X,MATCH($A85,SPPR!$A:$A,0),13)),$C85*INDEX(SPPR!$E:$X,MATCH($A85,SPPR!$A:$A,0),13),""),"")</f>
        <v/>
      </c>
      <c r="Q85">
        <f>IFERROR(IF(ISNUMBER(INDEX(SPPR!$E:$X,MATCH($A85,SPPR!$A:$A,0),14)),$C85*INDEX(SPPR!$E:$X,MATCH($A85,SPPR!$A:$A,0),14),""),"")</f>
        <v/>
      </c>
      <c r="R85">
        <f>IFERROR(IF(ISNUMBER(INDEX(SPPR!$E:$X,MATCH($A85,SPPR!$A:$A,0),15)),$C85*INDEX(SPPR!$E:$X,MATCH($A85,SPPR!$A:$A,0),15),""),"")</f>
        <v/>
      </c>
      <c r="S85">
        <f>IFERROR(IF(ISNUMBER(INDEX(SPPR!$E:$X,MATCH($A85,SPPR!$A:$A,0),16)),$C85*INDEX(SPPR!$E:$X,MATCH($A85,SPPR!$A:$A,0),16),""),"")</f>
        <v/>
      </c>
      <c r="T85">
        <f>IFERROR(IF(ISNUMBER(INDEX(SPPR!$E:$X,MATCH($A85,SPPR!$A:$A,0),17)),$C85*INDEX(SPPR!$E:$X,MATCH($A85,SPPR!$A:$A,0),17),""),"")</f>
        <v/>
      </c>
      <c r="U85">
        <f>IFERROR(IF(ISNUMBER(INDEX(SPPR!$E:$X,MATCH($A85,SPPR!$A:$A,0),18)),$C85*INDEX(SPPR!$E:$X,MATCH($A85,SPPR!$A:$A,0),18),""),"")</f>
        <v/>
      </c>
      <c r="V85">
        <f>IFERROR(IF(ISNUMBER(INDEX(SPPR!$E:$X,MATCH($A85,SPPR!$A:$A,0),19)),$C85*INDEX(SPPR!$E:$X,MATCH($A85,SPPR!$A:$A,0),19),""),"")</f>
        <v/>
      </c>
      <c r="W85">
        <f>IFERROR(IF(ISNUMBER(INDEX(SPPR!$E:$X,MATCH($A85,SPPR!$A:$A,0),20)),$C85*INDEX(SPPR!$E:$X,MATCH($A85,SPPR!$A:$A,0),20),""),"")</f>
        <v/>
      </c>
    </row>
    <row r="86">
      <c r="A86" t="inlineStr">
        <is>
          <t>Muraenesox cinereus</t>
        </is>
      </c>
      <c r="B86">
        <f>IFERROR(INDEX(SPPR!$D:$D,MATCH($A86,SPPR!$A:$A,0)),"")</f>
        <v/>
      </c>
      <c r="C86">
        <f>IFERROR(INDEX(Catch!$E:$BV,MATCH($A86,Catch!$A:$A,0),MATCH($B$4,Catch!$E$1:$BV$1,0)),0)</f>
        <v/>
      </c>
      <c r="D86">
        <f>IFERROR(IF(ISNUMBER(INDEX(SPPR!$E:$X,MATCH($A86,SPPR!$A:$A,0),1)),$C86*INDEX(SPPR!$E:$X,MATCH($A86,SPPR!$A:$A,0),1),""),"")</f>
        <v/>
      </c>
      <c r="E86">
        <f>IFERROR(IF(ISNUMBER(INDEX(SPPR!$E:$X,MATCH($A86,SPPR!$A:$A,0),2)),$C86*INDEX(SPPR!$E:$X,MATCH($A86,SPPR!$A:$A,0),2),""),"")</f>
        <v/>
      </c>
      <c r="F86">
        <f>IFERROR(IF(ISNUMBER(INDEX(SPPR!$E:$X,MATCH($A86,SPPR!$A:$A,0),3)),$C86*INDEX(SPPR!$E:$X,MATCH($A86,SPPR!$A:$A,0),3),""),"")</f>
        <v/>
      </c>
      <c r="G86">
        <f>IFERROR(IF(ISNUMBER(INDEX(SPPR!$E:$X,MATCH($A86,SPPR!$A:$A,0),4)),$C86*INDEX(SPPR!$E:$X,MATCH($A86,SPPR!$A:$A,0),4),""),"")</f>
        <v/>
      </c>
      <c r="H86">
        <f>IFERROR(IF(ISNUMBER(INDEX(SPPR!$E:$X,MATCH($A86,SPPR!$A:$A,0),5)),$C86*INDEX(SPPR!$E:$X,MATCH($A86,SPPR!$A:$A,0),5),""),"")</f>
        <v/>
      </c>
      <c r="I86">
        <f>IFERROR(IF(ISNUMBER(INDEX(SPPR!$E:$X,MATCH($A86,SPPR!$A:$A,0),6)),$C86*INDEX(SPPR!$E:$X,MATCH($A86,SPPR!$A:$A,0),6),""),"")</f>
        <v/>
      </c>
      <c r="J86">
        <f>IFERROR(IF(ISNUMBER(INDEX(SPPR!$E:$X,MATCH($A86,SPPR!$A:$A,0),7)),$C86*INDEX(SPPR!$E:$X,MATCH($A86,SPPR!$A:$A,0),7),""),"")</f>
        <v/>
      </c>
      <c r="K86">
        <f>IFERROR(IF(ISNUMBER(INDEX(SPPR!$E:$X,MATCH($A86,SPPR!$A:$A,0),8)),$C86*INDEX(SPPR!$E:$X,MATCH($A86,SPPR!$A:$A,0),8),""),"")</f>
        <v/>
      </c>
      <c r="L86">
        <f>IFERROR(IF(ISNUMBER(INDEX(SPPR!$E:$X,MATCH($A86,SPPR!$A:$A,0),9)),$C86*INDEX(SPPR!$E:$X,MATCH($A86,SPPR!$A:$A,0),9),""),"")</f>
        <v/>
      </c>
      <c r="M86">
        <f>IFERROR(IF(ISNUMBER(INDEX(SPPR!$E:$X,MATCH($A86,SPPR!$A:$A,0),10)),$C86*INDEX(SPPR!$E:$X,MATCH($A86,SPPR!$A:$A,0),10),""),"")</f>
        <v/>
      </c>
      <c r="N86">
        <f>IFERROR(IF(ISNUMBER(INDEX(SPPR!$E:$X,MATCH($A86,SPPR!$A:$A,0),11)),$C86*INDEX(SPPR!$E:$X,MATCH($A86,SPPR!$A:$A,0),11),""),"")</f>
        <v/>
      </c>
      <c r="O86">
        <f>IFERROR(IF(ISNUMBER(INDEX(SPPR!$E:$X,MATCH($A86,SPPR!$A:$A,0),12)),$C86*INDEX(SPPR!$E:$X,MATCH($A86,SPPR!$A:$A,0),12),""),"")</f>
        <v/>
      </c>
      <c r="P86">
        <f>IFERROR(IF(ISNUMBER(INDEX(SPPR!$E:$X,MATCH($A86,SPPR!$A:$A,0),13)),$C86*INDEX(SPPR!$E:$X,MATCH($A86,SPPR!$A:$A,0),13),""),"")</f>
        <v/>
      </c>
      <c r="Q86">
        <f>IFERROR(IF(ISNUMBER(INDEX(SPPR!$E:$X,MATCH($A86,SPPR!$A:$A,0),14)),$C86*INDEX(SPPR!$E:$X,MATCH($A86,SPPR!$A:$A,0),14),""),"")</f>
        <v/>
      </c>
      <c r="R86">
        <f>IFERROR(IF(ISNUMBER(INDEX(SPPR!$E:$X,MATCH($A86,SPPR!$A:$A,0),15)),$C86*INDEX(SPPR!$E:$X,MATCH($A86,SPPR!$A:$A,0),15),""),"")</f>
        <v/>
      </c>
      <c r="S86">
        <f>IFERROR(IF(ISNUMBER(INDEX(SPPR!$E:$X,MATCH($A86,SPPR!$A:$A,0),16)),$C86*INDEX(SPPR!$E:$X,MATCH($A86,SPPR!$A:$A,0),16),""),"")</f>
        <v/>
      </c>
      <c r="T86">
        <f>IFERROR(IF(ISNUMBER(INDEX(SPPR!$E:$X,MATCH($A86,SPPR!$A:$A,0),17)),$C86*INDEX(SPPR!$E:$X,MATCH($A86,SPPR!$A:$A,0),17),""),"")</f>
        <v/>
      </c>
      <c r="U86">
        <f>IFERROR(IF(ISNUMBER(INDEX(SPPR!$E:$X,MATCH($A86,SPPR!$A:$A,0),18)),$C86*INDEX(SPPR!$E:$X,MATCH($A86,SPPR!$A:$A,0),18),""),"")</f>
        <v/>
      </c>
      <c r="V86">
        <f>IFERROR(IF(ISNUMBER(INDEX(SPPR!$E:$X,MATCH($A86,SPPR!$A:$A,0),19)),$C86*INDEX(SPPR!$E:$X,MATCH($A86,SPPR!$A:$A,0),19),""),"")</f>
        <v/>
      </c>
      <c r="W86">
        <f>IFERROR(IF(ISNUMBER(INDEX(SPPR!$E:$X,MATCH($A86,SPPR!$A:$A,0),20)),$C86*INDEX(SPPR!$E:$X,MATCH($A86,SPPR!$A:$A,0),20),""),"")</f>
        <v/>
      </c>
    </row>
    <row r="87">
      <c r="A87" t="inlineStr">
        <is>
          <t>Paralichthys olivaceus</t>
        </is>
      </c>
      <c r="B87">
        <f>IFERROR(INDEX(SPPR!$D:$D,MATCH($A87,SPPR!$A:$A,0)),"")</f>
        <v/>
      </c>
      <c r="C87">
        <f>IFERROR(INDEX(Catch!$E:$BV,MATCH($A87,Catch!$A:$A,0),MATCH($B$4,Catch!$E$1:$BV$1,0)),0)</f>
        <v/>
      </c>
      <c r="D87">
        <f>IFERROR(IF(ISNUMBER(INDEX(SPPR!$E:$X,MATCH($A87,SPPR!$A:$A,0),1)),$C87*INDEX(SPPR!$E:$X,MATCH($A87,SPPR!$A:$A,0),1),""),"")</f>
        <v/>
      </c>
      <c r="E87">
        <f>IFERROR(IF(ISNUMBER(INDEX(SPPR!$E:$X,MATCH($A87,SPPR!$A:$A,0),2)),$C87*INDEX(SPPR!$E:$X,MATCH($A87,SPPR!$A:$A,0),2),""),"")</f>
        <v/>
      </c>
      <c r="F87">
        <f>IFERROR(IF(ISNUMBER(INDEX(SPPR!$E:$X,MATCH($A87,SPPR!$A:$A,0),3)),$C87*INDEX(SPPR!$E:$X,MATCH($A87,SPPR!$A:$A,0),3),""),"")</f>
        <v/>
      </c>
      <c r="G87">
        <f>IFERROR(IF(ISNUMBER(INDEX(SPPR!$E:$X,MATCH($A87,SPPR!$A:$A,0),4)),$C87*INDEX(SPPR!$E:$X,MATCH($A87,SPPR!$A:$A,0),4),""),"")</f>
        <v/>
      </c>
      <c r="H87">
        <f>IFERROR(IF(ISNUMBER(INDEX(SPPR!$E:$X,MATCH($A87,SPPR!$A:$A,0),5)),$C87*INDEX(SPPR!$E:$X,MATCH($A87,SPPR!$A:$A,0),5),""),"")</f>
        <v/>
      </c>
      <c r="I87">
        <f>IFERROR(IF(ISNUMBER(INDEX(SPPR!$E:$X,MATCH($A87,SPPR!$A:$A,0),6)),$C87*INDEX(SPPR!$E:$X,MATCH($A87,SPPR!$A:$A,0),6),""),"")</f>
        <v/>
      </c>
      <c r="J87">
        <f>IFERROR(IF(ISNUMBER(INDEX(SPPR!$E:$X,MATCH($A87,SPPR!$A:$A,0),7)),$C87*INDEX(SPPR!$E:$X,MATCH($A87,SPPR!$A:$A,0),7),""),"")</f>
        <v/>
      </c>
      <c r="K87">
        <f>IFERROR(IF(ISNUMBER(INDEX(SPPR!$E:$X,MATCH($A87,SPPR!$A:$A,0),8)),$C87*INDEX(SPPR!$E:$X,MATCH($A87,SPPR!$A:$A,0),8),""),"")</f>
        <v/>
      </c>
      <c r="L87">
        <f>IFERROR(IF(ISNUMBER(INDEX(SPPR!$E:$X,MATCH($A87,SPPR!$A:$A,0),9)),$C87*INDEX(SPPR!$E:$X,MATCH($A87,SPPR!$A:$A,0),9),""),"")</f>
        <v/>
      </c>
      <c r="M87">
        <f>IFERROR(IF(ISNUMBER(INDEX(SPPR!$E:$X,MATCH($A87,SPPR!$A:$A,0),10)),$C87*INDEX(SPPR!$E:$X,MATCH($A87,SPPR!$A:$A,0),10),""),"")</f>
        <v/>
      </c>
      <c r="N87">
        <f>IFERROR(IF(ISNUMBER(INDEX(SPPR!$E:$X,MATCH($A87,SPPR!$A:$A,0),11)),$C87*INDEX(SPPR!$E:$X,MATCH($A87,SPPR!$A:$A,0),11),""),"")</f>
        <v/>
      </c>
      <c r="O87">
        <f>IFERROR(IF(ISNUMBER(INDEX(SPPR!$E:$X,MATCH($A87,SPPR!$A:$A,0),12)),$C87*INDEX(SPPR!$E:$X,MATCH($A87,SPPR!$A:$A,0),12),""),"")</f>
        <v/>
      </c>
      <c r="P87">
        <f>IFERROR(IF(ISNUMBER(INDEX(SPPR!$E:$X,MATCH($A87,SPPR!$A:$A,0),13)),$C87*INDEX(SPPR!$E:$X,MATCH($A87,SPPR!$A:$A,0),13),""),"")</f>
        <v/>
      </c>
      <c r="Q87">
        <f>IFERROR(IF(ISNUMBER(INDEX(SPPR!$E:$X,MATCH($A87,SPPR!$A:$A,0),14)),$C87*INDEX(SPPR!$E:$X,MATCH($A87,SPPR!$A:$A,0),14),""),"")</f>
        <v/>
      </c>
      <c r="R87">
        <f>IFERROR(IF(ISNUMBER(INDEX(SPPR!$E:$X,MATCH($A87,SPPR!$A:$A,0),15)),$C87*INDEX(SPPR!$E:$X,MATCH($A87,SPPR!$A:$A,0),15),""),"")</f>
        <v/>
      </c>
      <c r="S87">
        <f>IFERROR(IF(ISNUMBER(INDEX(SPPR!$E:$X,MATCH($A87,SPPR!$A:$A,0),16)),$C87*INDEX(SPPR!$E:$X,MATCH($A87,SPPR!$A:$A,0),16),""),"")</f>
        <v/>
      </c>
      <c r="T87">
        <f>IFERROR(IF(ISNUMBER(INDEX(SPPR!$E:$X,MATCH($A87,SPPR!$A:$A,0),17)),$C87*INDEX(SPPR!$E:$X,MATCH($A87,SPPR!$A:$A,0),17),""),"")</f>
        <v/>
      </c>
      <c r="U87">
        <f>IFERROR(IF(ISNUMBER(INDEX(SPPR!$E:$X,MATCH($A87,SPPR!$A:$A,0),18)),$C87*INDEX(SPPR!$E:$X,MATCH($A87,SPPR!$A:$A,0),18),""),"")</f>
        <v/>
      </c>
      <c r="V87">
        <f>IFERROR(IF(ISNUMBER(INDEX(SPPR!$E:$X,MATCH($A87,SPPR!$A:$A,0),19)),$C87*INDEX(SPPR!$E:$X,MATCH($A87,SPPR!$A:$A,0),19),""),"")</f>
        <v/>
      </c>
      <c r="W87">
        <f>IFERROR(IF(ISNUMBER(INDEX(SPPR!$E:$X,MATCH($A87,SPPR!$A:$A,0),20)),$C87*INDEX(SPPR!$E:$X,MATCH($A87,SPPR!$A:$A,0),20),""),"")</f>
        <v/>
      </c>
    </row>
    <row r="88">
      <c r="A88" t="inlineStr">
        <is>
          <t>Salvelinus malma</t>
        </is>
      </c>
      <c r="B88">
        <f>IFERROR(INDEX(SPPR!$D:$D,MATCH($A88,SPPR!$A:$A,0)),"")</f>
        <v/>
      </c>
      <c r="C88">
        <f>IFERROR(INDEX(Catch!$E:$BV,MATCH($A88,Catch!$A:$A,0),MATCH($B$4,Catch!$E$1:$BV$1,0)),0)</f>
        <v/>
      </c>
      <c r="D88">
        <f>IFERROR(IF(ISNUMBER(INDEX(SPPR!$E:$X,MATCH($A88,SPPR!$A:$A,0),1)),$C88*INDEX(SPPR!$E:$X,MATCH($A88,SPPR!$A:$A,0),1),""),"")</f>
        <v/>
      </c>
      <c r="E88">
        <f>IFERROR(IF(ISNUMBER(INDEX(SPPR!$E:$X,MATCH($A88,SPPR!$A:$A,0),2)),$C88*INDEX(SPPR!$E:$X,MATCH($A88,SPPR!$A:$A,0),2),""),"")</f>
        <v/>
      </c>
      <c r="F88">
        <f>IFERROR(IF(ISNUMBER(INDEX(SPPR!$E:$X,MATCH($A88,SPPR!$A:$A,0),3)),$C88*INDEX(SPPR!$E:$X,MATCH($A88,SPPR!$A:$A,0),3),""),"")</f>
        <v/>
      </c>
      <c r="G88">
        <f>IFERROR(IF(ISNUMBER(INDEX(SPPR!$E:$X,MATCH($A88,SPPR!$A:$A,0),4)),$C88*INDEX(SPPR!$E:$X,MATCH($A88,SPPR!$A:$A,0),4),""),"")</f>
        <v/>
      </c>
      <c r="H88">
        <f>IFERROR(IF(ISNUMBER(INDEX(SPPR!$E:$X,MATCH($A88,SPPR!$A:$A,0),5)),$C88*INDEX(SPPR!$E:$X,MATCH($A88,SPPR!$A:$A,0),5),""),"")</f>
        <v/>
      </c>
      <c r="I88">
        <f>IFERROR(IF(ISNUMBER(INDEX(SPPR!$E:$X,MATCH($A88,SPPR!$A:$A,0),6)),$C88*INDEX(SPPR!$E:$X,MATCH($A88,SPPR!$A:$A,0),6),""),"")</f>
        <v/>
      </c>
      <c r="J88">
        <f>IFERROR(IF(ISNUMBER(INDEX(SPPR!$E:$X,MATCH($A88,SPPR!$A:$A,0),7)),$C88*INDEX(SPPR!$E:$X,MATCH($A88,SPPR!$A:$A,0),7),""),"")</f>
        <v/>
      </c>
      <c r="K88">
        <f>IFERROR(IF(ISNUMBER(INDEX(SPPR!$E:$X,MATCH($A88,SPPR!$A:$A,0),8)),$C88*INDEX(SPPR!$E:$X,MATCH($A88,SPPR!$A:$A,0),8),""),"")</f>
        <v/>
      </c>
      <c r="L88">
        <f>IFERROR(IF(ISNUMBER(INDEX(SPPR!$E:$X,MATCH($A88,SPPR!$A:$A,0),9)),$C88*INDEX(SPPR!$E:$X,MATCH($A88,SPPR!$A:$A,0),9),""),"")</f>
        <v/>
      </c>
      <c r="M88">
        <f>IFERROR(IF(ISNUMBER(INDEX(SPPR!$E:$X,MATCH($A88,SPPR!$A:$A,0),10)),$C88*INDEX(SPPR!$E:$X,MATCH($A88,SPPR!$A:$A,0),10),""),"")</f>
        <v/>
      </c>
      <c r="N88">
        <f>IFERROR(IF(ISNUMBER(INDEX(SPPR!$E:$X,MATCH($A88,SPPR!$A:$A,0),11)),$C88*INDEX(SPPR!$E:$X,MATCH($A88,SPPR!$A:$A,0),11),""),"")</f>
        <v/>
      </c>
      <c r="O88">
        <f>IFERROR(IF(ISNUMBER(INDEX(SPPR!$E:$X,MATCH($A88,SPPR!$A:$A,0),12)),$C88*INDEX(SPPR!$E:$X,MATCH($A88,SPPR!$A:$A,0),12),""),"")</f>
        <v/>
      </c>
      <c r="P88">
        <f>IFERROR(IF(ISNUMBER(INDEX(SPPR!$E:$X,MATCH($A88,SPPR!$A:$A,0),13)),$C88*INDEX(SPPR!$E:$X,MATCH($A88,SPPR!$A:$A,0),13),""),"")</f>
        <v/>
      </c>
      <c r="Q88">
        <f>IFERROR(IF(ISNUMBER(INDEX(SPPR!$E:$X,MATCH($A88,SPPR!$A:$A,0),14)),$C88*INDEX(SPPR!$E:$X,MATCH($A88,SPPR!$A:$A,0),14),""),"")</f>
        <v/>
      </c>
      <c r="R88">
        <f>IFERROR(IF(ISNUMBER(INDEX(SPPR!$E:$X,MATCH($A88,SPPR!$A:$A,0),15)),$C88*INDEX(SPPR!$E:$X,MATCH($A88,SPPR!$A:$A,0),15),""),"")</f>
        <v/>
      </c>
      <c r="S88">
        <f>IFERROR(IF(ISNUMBER(INDEX(SPPR!$E:$X,MATCH($A88,SPPR!$A:$A,0),16)),$C88*INDEX(SPPR!$E:$X,MATCH($A88,SPPR!$A:$A,0),16),""),"")</f>
        <v/>
      </c>
      <c r="T88">
        <f>IFERROR(IF(ISNUMBER(INDEX(SPPR!$E:$X,MATCH($A88,SPPR!$A:$A,0),17)),$C88*INDEX(SPPR!$E:$X,MATCH($A88,SPPR!$A:$A,0),17),""),"")</f>
        <v/>
      </c>
      <c r="U88">
        <f>IFERROR(IF(ISNUMBER(INDEX(SPPR!$E:$X,MATCH($A88,SPPR!$A:$A,0),18)),$C88*INDEX(SPPR!$E:$X,MATCH($A88,SPPR!$A:$A,0),18),""),"")</f>
        <v/>
      </c>
      <c r="V88">
        <f>IFERROR(IF(ISNUMBER(INDEX(SPPR!$E:$X,MATCH($A88,SPPR!$A:$A,0),19)),$C88*INDEX(SPPR!$E:$X,MATCH($A88,SPPR!$A:$A,0),19),""),"")</f>
        <v/>
      </c>
      <c r="W88">
        <f>IFERROR(IF(ISNUMBER(INDEX(SPPR!$E:$X,MATCH($A88,SPPR!$A:$A,0),20)),$C88*INDEX(SPPR!$E:$X,MATCH($A88,SPPR!$A:$A,0),20),""),"")</f>
        <v/>
      </c>
    </row>
    <row r="89">
      <c r="A89" t="inlineStr">
        <is>
          <t>Mactridae</t>
        </is>
      </c>
      <c r="B89">
        <f>IFERROR(INDEX(SPPR!$D:$D,MATCH($A89,SPPR!$A:$A,0)),"")</f>
        <v/>
      </c>
      <c r="C89">
        <f>IFERROR(INDEX(Catch!$E:$BV,MATCH($A89,Catch!$A:$A,0),MATCH($B$4,Catch!$E$1:$BV$1,0)),0)</f>
        <v/>
      </c>
      <c r="D89">
        <f>IFERROR(IF(ISNUMBER(INDEX(SPPR!$E:$X,MATCH($A89,SPPR!$A:$A,0),1)),$C89*INDEX(SPPR!$E:$X,MATCH($A89,SPPR!$A:$A,0),1),""),"")</f>
        <v/>
      </c>
      <c r="E89">
        <f>IFERROR(IF(ISNUMBER(INDEX(SPPR!$E:$X,MATCH($A89,SPPR!$A:$A,0),2)),$C89*INDEX(SPPR!$E:$X,MATCH($A89,SPPR!$A:$A,0),2),""),"")</f>
        <v/>
      </c>
      <c r="F89">
        <f>IFERROR(IF(ISNUMBER(INDEX(SPPR!$E:$X,MATCH($A89,SPPR!$A:$A,0),3)),$C89*INDEX(SPPR!$E:$X,MATCH($A89,SPPR!$A:$A,0),3),""),"")</f>
        <v/>
      </c>
      <c r="G89">
        <f>IFERROR(IF(ISNUMBER(INDEX(SPPR!$E:$X,MATCH($A89,SPPR!$A:$A,0),4)),$C89*INDEX(SPPR!$E:$X,MATCH($A89,SPPR!$A:$A,0),4),""),"")</f>
        <v/>
      </c>
      <c r="H89">
        <f>IFERROR(IF(ISNUMBER(INDEX(SPPR!$E:$X,MATCH($A89,SPPR!$A:$A,0),5)),$C89*INDEX(SPPR!$E:$X,MATCH($A89,SPPR!$A:$A,0),5),""),"")</f>
        <v/>
      </c>
      <c r="I89">
        <f>IFERROR(IF(ISNUMBER(INDEX(SPPR!$E:$X,MATCH($A89,SPPR!$A:$A,0),6)),$C89*INDEX(SPPR!$E:$X,MATCH($A89,SPPR!$A:$A,0),6),""),"")</f>
        <v/>
      </c>
      <c r="J89">
        <f>IFERROR(IF(ISNUMBER(INDEX(SPPR!$E:$X,MATCH($A89,SPPR!$A:$A,0),7)),$C89*INDEX(SPPR!$E:$X,MATCH($A89,SPPR!$A:$A,0),7),""),"")</f>
        <v/>
      </c>
      <c r="K89">
        <f>IFERROR(IF(ISNUMBER(INDEX(SPPR!$E:$X,MATCH($A89,SPPR!$A:$A,0),8)),$C89*INDEX(SPPR!$E:$X,MATCH($A89,SPPR!$A:$A,0),8),""),"")</f>
        <v/>
      </c>
      <c r="L89">
        <f>IFERROR(IF(ISNUMBER(INDEX(SPPR!$E:$X,MATCH($A89,SPPR!$A:$A,0),9)),$C89*INDEX(SPPR!$E:$X,MATCH($A89,SPPR!$A:$A,0),9),""),"")</f>
        <v/>
      </c>
      <c r="M89">
        <f>IFERROR(IF(ISNUMBER(INDEX(SPPR!$E:$X,MATCH($A89,SPPR!$A:$A,0),10)),$C89*INDEX(SPPR!$E:$X,MATCH($A89,SPPR!$A:$A,0),10),""),"")</f>
        <v/>
      </c>
      <c r="N89">
        <f>IFERROR(IF(ISNUMBER(INDEX(SPPR!$E:$X,MATCH($A89,SPPR!$A:$A,0),11)),$C89*INDEX(SPPR!$E:$X,MATCH($A89,SPPR!$A:$A,0),11),""),"")</f>
        <v/>
      </c>
      <c r="O89">
        <f>IFERROR(IF(ISNUMBER(INDEX(SPPR!$E:$X,MATCH($A89,SPPR!$A:$A,0),12)),$C89*INDEX(SPPR!$E:$X,MATCH($A89,SPPR!$A:$A,0),12),""),"")</f>
        <v/>
      </c>
      <c r="P89">
        <f>IFERROR(IF(ISNUMBER(INDEX(SPPR!$E:$X,MATCH($A89,SPPR!$A:$A,0),13)),$C89*INDEX(SPPR!$E:$X,MATCH($A89,SPPR!$A:$A,0),13),""),"")</f>
        <v/>
      </c>
      <c r="Q89">
        <f>IFERROR(IF(ISNUMBER(INDEX(SPPR!$E:$X,MATCH($A89,SPPR!$A:$A,0),14)),$C89*INDEX(SPPR!$E:$X,MATCH($A89,SPPR!$A:$A,0),14),""),"")</f>
        <v/>
      </c>
      <c r="R89">
        <f>IFERROR(IF(ISNUMBER(INDEX(SPPR!$E:$X,MATCH($A89,SPPR!$A:$A,0),15)),$C89*INDEX(SPPR!$E:$X,MATCH($A89,SPPR!$A:$A,0),15),""),"")</f>
        <v/>
      </c>
      <c r="S89">
        <f>IFERROR(IF(ISNUMBER(INDEX(SPPR!$E:$X,MATCH($A89,SPPR!$A:$A,0),16)),$C89*INDEX(SPPR!$E:$X,MATCH($A89,SPPR!$A:$A,0),16),""),"")</f>
        <v/>
      </c>
      <c r="T89">
        <f>IFERROR(IF(ISNUMBER(INDEX(SPPR!$E:$X,MATCH($A89,SPPR!$A:$A,0),17)),$C89*INDEX(SPPR!$E:$X,MATCH($A89,SPPR!$A:$A,0),17),""),"")</f>
        <v/>
      </c>
      <c r="U89">
        <f>IFERROR(IF(ISNUMBER(INDEX(SPPR!$E:$X,MATCH($A89,SPPR!$A:$A,0),18)),$C89*INDEX(SPPR!$E:$X,MATCH($A89,SPPR!$A:$A,0),18),""),"")</f>
        <v/>
      </c>
      <c r="V89">
        <f>IFERROR(IF(ISNUMBER(INDEX(SPPR!$E:$X,MATCH($A89,SPPR!$A:$A,0),19)),$C89*INDEX(SPPR!$E:$X,MATCH($A89,SPPR!$A:$A,0),19),""),"")</f>
        <v/>
      </c>
      <c r="W89">
        <f>IFERROR(IF(ISNUMBER(INDEX(SPPR!$E:$X,MATCH($A89,SPPR!$A:$A,0),20)),$C89*INDEX(SPPR!$E:$X,MATCH($A89,SPPR!$A:$A,0),20),""),"")</f>
        <v/>
      </c>
    </row>
    <row r="90">
      <c r="A90" t="inlineStr">
        <is>
          <t>Cyprinidae</t>
        </is>
      </c>
      <c r="B90">
        <f>IFERROR(INDEX(SPPR!$D:$D,MATCH($A90,SPPR!$A:$A,0)),"")</f>
        <v/>
      </c>
      <c r="C90">
        <f>IFERROR(INDEX(Catch!$E:$BV,MATCH($A90,Catch!$A:$A,0),MATCH($B$4,Catch!$E$1:$BV$1,0)),0)</f>
        <v/>
      </c>
      <c r="D90">
        <f>IFERROR(IF(ISNUMBER(INDEX(SPPR!$E:$X,MATCH($A90,SPPR!$A:$A,0),1)),$C90*INDEX(SPPR!$E:$X,MATCH($A90,SPPR!$A:$A,0),1),""),"")</f>
        <v/>
      </c>
      <c r="E90">
        <f>IFERROR(IF(ISNUMBER(INDEX(SPPR!$E:$X,MATCH($A90,SPPR!$A:$A,0),2)),$C90*INDEX(SPPR!$E:$X,MATCH($A90,SPPR!$A:$A,0),2),""),"")</f>
        <v/>
      </c>
      <c r="F90">
        <f>IFERROR(IF(ISNUMBER(INDEX(SPPR!$E:$X,MATCH($A90,SPPR!$A:$A,0),3)),$C90*INDEX(SPPR!$E:$X,MATCH($A90,SPPR!$A:$A,0),3),""),"")</f>
        <v/>
      </c>
      <c r="G90">
        <f>IFERROR(IF(ISNUMBER(INDEX(SPPR!$E:$X,MATCH($A90,SPPR!$A:$A,0),4)),$C90*INDEX(SPPR!$E:$X,MATCH($A90,SPPR!$A:$A,0),4),""),"")</f>
        <v/>
      </c>
      <c r="H90">
        <f>IFERROR(IF(ISNUMBER(INDEX(SPPR!$E:$X,MATCH($A90,SPPR!$A:$A,0),5)),$C90*INDEX(SPPR!$E:$X,MATCH($A90,SPPR!$A:$A,0),5),""),"")</f>
        <v/>
      </c>
      <c r="I90">
        <f>IFERROR(IF(ISNUMBER(INDEX(SPPR!$E:$X,MATCH($A90,SPPR!$A:$A,0),6)),$C90*INDEX(SPPR!$E:$X,MATCH($A90,SPPR!$A:$A,0),6),""),"")</f>
        <v/>
      </c>
      <c r="J90">
        <f>IFERROR(IF(ISNUMBER(INDEX(SPPR!$E:$X,MATCH($A90,SPPR!$A:$A,0),7)),$C90*INDEX(SPPR!$E:$X,MATCH($A90,SPPR!$A:$A,0),7),""),"")</f>
        <v/>
      </c>
      <c r="K90">
        <f>IFERROR(IF(ISNUMBER(INDEX(SPPR!$E:$X,MATCH($A90,SPPR!$A:$A,0),8)),$C90*INDEX(SPPR!$E:$X,MATCH($A90,SPPR!$A:$A,0),8),""),"")</f>
        <v/>
      </c>
      <c r="L90">
        <f>IFERROR(IF(ISNUMBER(INDEX(SPPR!$E:$X,MATCH($A90,SPPR!$A:$A,0),9)),$C90*INDEX(SPPR!$E:$X,MATCH($A90,SPPR!$A:$A,0),9),""),"")</f>
        <v/>
      </c>
      <c r="M90">
        <f>IFERROR(IF(ISNUMBER(INDEX(SPPR!$E:$X,MATCH($A90,SPPR!$A:$A,0),10)),$C90*INDEX(SPPR!$E:$X,MATCH($A90,SPPR!$A:$A,0),10),""),"")</f>
        <v/>
      </c>
      <c r="N90">
        <f>IFERROR(IF(ISNUMBER(INDEX(SPPR!$E:$X,MATCH($A90,SPPR!$A:$A,0),11)),$C90*INDEX(SPPR!$E:$X,MATCH($A90,SPPR!$A:$A,0),11),""),"")</f>
        <v/>
      </c>
      <c r="O90">
        <f>IFERROR(IF(ISNUMBER(INDEX(SPPR!$E:$X,MATCH($A90,SPPR!$A:$A,0),12)),$C90*INDEX(SPPR!$E:$X,MATCH($A90,SPPR!$A:$A,0),12),""),"")</f>
        <v/>
      </c>
      <c r="P90">
        <f>IFERROR(IF(ISNUMBER(INDEX(SPPR!$E:$X,MATCH($A90,SPPR!$A:$A,0),13)),$C90*INDEX(SPPR!$E:$X,MATCH($A90,SPPR!$A:$A,0),13),""),"")</f>
        <v/>
      </c>
      <c r="Q90">
        <f>IFERROR(IF(ISNUMBER(INDEX(SPPR!$E:$X,MATCH($A90,SPPR!$A:$A,0),14)),$C90*INDEX(SPPR!$E:$X,MATCH($A90,SPPR!$A:$A,0),14),""),"")</f>
        <v/>
      </c>
      <c r="R90">
        <f>IFERROR(IF(ISNUMBER(INDEX(SPPR!$E:$X,MATCH($A90,SPPR!$A:$A,0),15)),$C90*INDEX(SPPR!$E:$X,MATCH($A90,SPPR!$A:$A,0),15),""),"")</f>
        <v/>
      </c>
      <c r="S90">
        <f>IFERROR(IF(ISNUMBER(INDEX(SPPR!$E:$X,MATCH($A90,SPPR!$A:$A,0),16)),$C90*INDEX(SPPR!$E:$X,MATCH($A90,SPPR!$A:$A,0),16),""),"")</f>
        <v/>
      </c>
      <c r="T90">
        <f>IFERROR(IF(ISNUMBER(INDEX(SPPR!$E:$X,MATCH($A90,SPPR!$A:$A,0),17)),$C90*INDEX(SPPR!$E:$X,MATCH($A90,SPPR!$A:$A,0),17),""),"")</f>
        <v/>
      </c>
      <c r="U90">
        <f>IFERROR(IF(ISNUMBER(INDEX(SPPR!$E:$X,MATCH($A90,SPPR!$A:$A,0),18)),$C90*INDEX(SPPR!$E:$X,MATCH($A90,SPPR!$A:$A,0),18),""),"")</f>
        <v/>
      </c>
      <c r="V90">
        <f>IFERROR(IF(ISNUMBER(INDEX(SPPR!$E:$X,MATCH($A90,SPPR!$A:$A,0),19)),$C90*INDEX(SPPR!$E:$X,MATCH($A90,SPPR!$A:$A,0),19),""),"")</f>
        <v/>
      </c>
      <c r="W90">
        <f>IFERROR(IF(ISNUMBER(INDEX(SPPR!$E:$X,MATCH($A90,SPPR!$A:$A,0),20)),$C90*INDEX(SPPR!$E:$X,MATCH($A90,SPPR!$A:$A,0),20),""),"")</f>
        <v/>
      </c>
    </row>
    <row r="91">
      <c r="A91" t="inlineStr">
        <is>
          <t>Paralithodes</t>
        </is>
      </c>
      <c r="B91">
        <f>IFERROR(INDEX(SPPR!$D:$D,MATCH($A91,SPPR!$A:$A,0)),"")</f>
        <v/>
      </c>
      <c r="C91">
        <f>IFERROR(INDEX(Catch!$E:$BV,MATCH($A91,Catch!$A:$A,0),MATCH($B$4,Catch!$E$1:$BV$1,0)),0)</f>
        <v/>
      </c>
      <c r="D91">
        <f>IFERROR(IF(ISNUMBER(INDEX(SPPR!$E:$X,MATCH($A91,SPPR!$A:$A,0),1)),$C91*INDEX(SPPR!$E:$X,MATCH($A91,SPPR!$A:$A,0),1),""),"")</f>
        <v/>
      </c>
      <c r="E91">
        <f>IFERROR(IF(ISNUMBER(INDEX(SPPR!$E:$X,MATCH($A91,SPPR!$A:$A,0),2)),$C91*INDEX(SPPR!$E:$X,MATCH($A91,SPPR!$A:$A,0),2),""),"")</f>
        <v/>
      </c>
      <c r="F91">
        <f>IFERROR(IF(ISNUMBER(INDEX(SPPR!$E:$X,MATCH($A91,SPPR!$A:$A,0),3)),$C91*INDEX(SPPR!$E:$X,MATCH($A91,SPPR!$A:$A,0),3),""),"")</f>
        <v/>
      </c>
      <c r="G91">
        <f>IFERROR(IF(ISNUMBER(INDEX(SPPR!$E:$X,MATCH($A91,SPPR!$A:$A,0),4)),$C91*INDEX(SPPR!$E:$X,MATCH($A91,SPPR!$A:$A,0),4),""),"")</f>
        <v/>
      </c>
      <c r="H91">
        <f>IFERROR(IF(ISNUMBER(INDEX(SPPR!$E:$X,MATCH($A91,SPPR!$A:$A,0),5)),$C91*INDEX(SPPR!$E:$X,MATCH($A91,SPPR!$A:$A,0),5),""),"")</f>
        <v/>
      </c>
      <c r="I91">
        <f>IFERROR(IF(ISNUMBER(INDEX(SPPR!$E:$X,MATCH($A91,SPPR!$A:$A,0),6)),$C91*INDEX(SPPR!$E:$X,MATCH($A91,SPPR!$A:$A,0),6),""),"")</f>
        <v/>
      </c>
      <c r="J91">
        <f>IFERROR(IF(ISNUMBER(INDEX(SPPR!$E:$X,MATCH($A91,SPPR!$A:$A,0),7)),$C91*INDEX(SPPR!$E:$X,MATCH($A91,SPPR!$A:$A,0),7),""),"")</f>
        <v/>
      </c>
      <c r="K91">
        <f>IFERROR(IF(ISNUMBER(INDEX(SPPR!$E:$X,MATCH($A91,SPPR!$A:$A,0),8)),$C91*INDEX(SPPR!$E:$X,MATCH($A91,SPPR!$A:$A,0),8),""),"")</f>
        <v/>
      </c>
      <c r="L91">
        <f>IFERROR(IF(ISNUMBER(INDEX(SPPR!$E:$X,MATCH($A91,SPPR!$A:$A,0),9)),$C91*INDEX(SPPR!$E:$X,MATCH($A91,SPPR!$A:$A,0),9),""),"")</f>
        <v/>
      </c>
      <c r="M91">
        <f>IFERROR(IF(ISNUMBER(INDEX(SPPR!$E:$X,MATCH($A91,SPPR!$A:$A,0),10)),$C91*INDEX(SPPR!$E:$X,MATCH($A91,SPPR!$A:$A,0),10),""),"")</f>
        <v/>
      </c>
      <c r="N91">
        <f>IFERROR(IF(ISNUMBER(INDEX(SPPR!$E:$X,MATCH($A91,SPPR!$A:$A,0),11)),$C91*INDEX(SPPR!$E:$X,MATCH($A91,SPPR!$A:$A,0),11),""),"")</f>
        <v/>
      </c>
      <c r="O91">
        <f>IFERROR(IF(ISNUMBER(INDEX(SPPR!$E:$X,MATCH($A91,SPPR!$A:$A,0),12)),$C91*INDEX(SPPR!$E:$X,MATCH($A91,SPPR!$A:$A,0),12),""),"")</f>
        <v/>
      </c>
      <c r="P91">
        <f>IFERROR(IF(ISNUMBER(INDEX(SPPR!$E:$X,MATCH($A91,SPPR!$A:$A,0),13)),$C91*INDEX(SPPR!$E:$X,MATCH($A91,SPPR!$A:$A,0),13),""),"")</f>
        <v/>
      </c>
      <c r="Q91">
        <f>IFERROR(IF(ISNUMBER(INDEX(SPPR!$E:$X,MATCH($A91,SPPR!$A:$A,0),14)),$C91*INDEX(SPPR!$E:$X,MATCH($A91,SPPR!$A:$A,0),14),""),"")</f>
        <v/>
      </c>
      <c r="R91">
        <f>IFERROR(IF(ISNUMBER(INDEX(SPPR!$E:$X,MATCH($A91,SPPR!$A:$A,0),15)),$C91*INDEX(SPPR!$E:$X,MATCH($A91,SPPR!$A:$A,0),15),""),"")</f>
        <v/>
      </c>
      <c r="S91">
        <f>IFERROR(IF(ISNUMBER(INDEX(SPPR!$E:$X,MATCH($A91,SPPR!$A:$A,0),16)),$C91*INDEX(SPPR!$E:$X,MATCH($A91,SPPR!$A:$A,0),16),""),"")</f>
        <v/>
      </c>
      <c r="T91">
        <f>IFERROR(IF(ISNUMBER(INDEX(SPPR!$E:$X,MATCH($A91,SPPR!$A:$A,0),17)),$C91*INDEX(SPPR!$E:$X,MATCH($A91,SPPR!$A:$A,0),17),""),"")</f>
        <v/>
      </c>
      <c r="U91">
        <f>IFERROR(IF(ISNUMBER(INDEX(SPPR!$E:$X,MATCH($A91,SPPR!$A:$A,0),18)),$C91*INDEX(SPPR!$E:$X,MATCH($A91,SPPR!$A:$A,0),18),""),"")</f>
        <v/>
      </c>
      <c r="V91">
        <f>IFERROR(IF(ISNUMBER(INDEX(SPPR!$E:$X,MATCH($A91,SPPR!$A:$A,0),19)),$C91*INDEX(SPPR!$E:$X,MATCH($A91,SPPR!$A:$A,0),19),""),"")</f>
        <v/>
      </c>
      <c r="W91">
        <f>IFERROR(IF(ISNUMBER(INDEX(SPPR!$E:$X,MATCH($A91,SPPR!$A:$A,0),20)),$C91*INDEX(SPPR!$E:$X,MATCH($A91,SPPR!$A:$A,0),20),""),"")</f>
        <v/>
      </c>
    </row>
    <row r="92">
      <c r="A92" t="inlineStr">
        <is>
          <t>Scorpaeniformes</t>
        </is>
      </c>
      <c r="B92">
        <f>IFERROR(INDEX(SPPR!$D:$D,MATCH($A92,SPPR!$A:$A,0)),"")</f>
        <v/>
      </c>
      <c r="C92">
        <f>IFERROR(INDEX(Catch!$E:$BV,MATCH($A92,Catch!$A:$A,0),MATCH($B$4,Catch!$E$1:$BV$1,0)),0)</f>
        <v/>
      </c>
      <c r="D92">
        <f>IFERROR(IF(ISNUMBER(INDEX(SPPR!$E:$X,MATCH($A92,SPPR!$A:$A,0),1)),$C92*INDEX(SPPR!$E:$X,MATCH($A92,SPPR!$A:$A,0),1),""),"")</f>
        <v/>
      </c>
      <c r="E92">
        <f>IFERROR(IF(ISNUMBER(INDEX(SPPR!$E:$X,MATCH($A92,SPPR!$A:$A,0),2)),$C92*INDEX(SPPR!$E:$X,MATCH($A92,SPPR!$A:$A,0),2),""),"")</f>
        <v/>
      </c>
      <c r="F92">
        <f>IFERROR(IF(ISNUMBER(INDEX(SPPR!$E:$X,MATCH($A92,SPPR!$A:$A,0),3)),$C92*INDEX(SPPR!$E:$X,MATCH($A92,SPPR!$A:$A,0),3),""),"")</f>
        <v/>
      </c>
      <c r="G92">
        <f>IFERROR(IF(ISNUMBER(INDEX(SPPR!$E:$X,MATCH($A92,SPPR!$A:$A,0),4)),$C92*INDEX(SPPR!$E:$X,MATCH($A92,SPPR!$A:$A,0),4),""),"")</f>
        <v/>
      </c>
      <c r="H92">
        <f>IFERROR(IF(ISNUMBER(INDEX(SPPR!$E:$X,MATCH($A92,SPPR!$A:$A,0),5)),$C92*INDEX(SPPR!$E:$X,MATCH($A92,SPPR!$A:$A,0),5),""),"")</f>
        <v/>
      </c>
      <c r="I92">
        <f>IFERROR(IF(ISNUMBER(INDEX(SPPR!$E:$X,MATCH($A92,SPPR!$A:$A,0),6)),$C92*INDEX(SPPR!$E:$X,MATCH($A92,SPPR!$A:$A,0),6),""),"")</f>
        <v/>
      </c>
      <c r="J92">
        <f>IFERROR(IF(ISNUMBER(INDEX(SPPR!$E:$X,MATCH($A92,SPPR!$A:$A,0),7)),$C92*INDEX(SPPR!$E:$X,MATCH($A92,SPPR!$A:$A,0),7),""),"")</f>
        <v/>
      </c>
      <c r="K92">
        <f>IFERROR(IF(ISNUMBER(INDEX(SPPR!$E:$X,MATCH($A92,SPPR!$A:$A,0),8)),$C92*INDEX(SPPR!$E:$X,MATCH($A92,SPPR!$A:$A,0),8),""),"")</f>
        <v/>
      </c>
      <c r="L92">
        <f>IFERROR(IF(ISNUMBER(INDEX(SPPR!$E:$X,MATCH($A92,SPPR!$A:$A,0),9)),$C92*INDEX(SPPR!$E:$X,MATCH($A92,SPPR!$A:$A,0),9),""),"")</f>
        <v/>
      </c>
      <c r="M92">
        <f>IFERROR(IF(ISNUMBER(INDEX(SPPR!$E:$X,MATCH($A92,SPPR!$A:$A,0),10)),$C92*INDEX(SPPR!$E:$X,MATCH($A92,SPPR!$A:$A,0),10),""),"")</f>
        <v/>
      </c>
      <c r="N92">
        <f>IFERROR(IF(ISNUMBER(INDEX(SPPR!$E:$X,MATCH($A92,SPPR!$A:$A,0),11)),$C92*INDEX(SPPR!$E:$X,MATCH($A92,SPPR!$A:$A,0),11),""),"")</f>
        <v/>
      </c>
      <c r="O92">
        <f>IFERROR(IF(ISNUMBER(INDEX(SPPR!$E:$X,MATCH($A92,SPPR!$A:$A,0),12)),$C92*INDEX(SPPR!$E:$X,MATCH($A92,SPPR!$A:$A,0),12),""),"")</f>
        <v/>
      </c>
      <c r="P92">
        <f>IFERROR(IF(ISNUMBER(INDEX(SPPR!$E:$X,MATCH($A92,SPPR!$A:$A,0),13)),$C92*INDEX(SPPR!$E:$X,MATCH($A92,SPPR!$A:$A,0),13),""),"")</f>
        <v/>
      </c>
      <c r="Q92">
        <f>IFERROR(IF(ISNUMBER(INDEX(SPPR!$E:$X,MATCH($A92,SPPR!$A:$A,0),14)),$C92*INDEX(SPPR!$E:$X,MATCH($A92,SPPR!$A:$A,0),14),""),"")</f>
        <v/>
      </c>
      <c r="R92">
        <f>IFERROR(IF(ISNUMBER(INDEX(SPPR!$E:$X,MATCH($A92,SPPR!$A:$A,0),15)),$C92*INDEX(SPPR!$E:$X,MATCH($A92,SPPR!$A:$A,0),15),""),"")</f>
        <v/>
      </c>
      <c r="S92">
        <f>IFERROR(IF(ISNUMBER(INDEX(SPPR!$E:$X,MATCH($A92,SPPR!$A:$A,0),16)),$C92*INDEX(SPPR!$E:$X,MATCH($A92,SPPR!$A:$A,0),16),""),"")</f>
        <v/>
      </c>
      <c r="T92">
        <f>IFERROR(IF(ISNUMBER(INDEX(SPPR!$E:$X,MATCH($A92,SPPR!$A:$A,0),17)),$C92*INDEX(SPPR!$E:$X,MATCH($A92,SPPR!$A:$A,0),17),""),"")</f>
        <v/>
      </c>
      <c r="U92">
        <f>IFERROR(IF(ISNUMBER(INDEX(SPPR!$E:$X,MATCH($A92,SPPR!$A:$A,0),18)),$C92*INDEX(SPPR!$E:$X,MATCH($A92,SPPR!$A:$A,0),18),""),"")</f>
        <v/>
      </c>
      <c r="V92">
        <f>IFERROR(IF(ISNUMBER(INDEX(SPPR!$E:$X,MATCH($A92,SPPR!$A:$A,0),19)),$C92*INDEX(SPPR!$E:$X,MATCH($A92,SPPR!$A:$A,0),19),""),"")</f>
        <v/>
      </c>
      <c r="W92">
        <f>IFERROR(IF(ISNUMBER(INDEX(SPPR!$E:$X,MATCH($A92,SPPR!$A:$A,0),20)),$C92*INDEX(SPPR!$E:$X,MATCH($A92,SPPR!$A:$A,0),20),""),"")</f>
        <v/>
      </c>
    </row>
    <row r="93">
      <c r="A93" t="inlineStr">
        <is>
          <t>Pandalus goniurus</t>
        </is>
      </c>
      <c r="B93">
        <f>IFERROR(INDEX(SPPR!$D:$D,MATCH($A93,SPPR!$A:$A,0)),"")</f>
        <v/>
      </c>
      <c r="C93">
        <f>IFERROR(INDEX(Catch!$E:$BV,MATCH($A93,Catch!$A:$A,0),MATCH($B$4,Catch!$E$1:$BV$1,0)),0)</f>
        <v/>
      </c>
      <c r="D93">
        <f>IFERROR(IF(ISNUMBER(INDEX(SPPR!$E:$X,MATCH($A93,SPPR!$A:$A,0),1)),$C93*INDEX(SPPR!$E:$X,MATCH($A93,SPPR!$A:$A,0),1),""),"")</f>
        <v/>
      </c>
      <c r="E93">
        <f>IFERROR(IF(ISNUMBER(INDEX(SPPR!$E:$X,MATCH($A93,SPPR!$A:$A,0),2)),$C93*INDEX(SPPR!$E:$X,MATCH($A93,SPPR!$A:$A,0),2),""),"")</f>
        <v/>
      </c>
      <c r="F93">
        <f>IFERROR(IF(ISNUMBER(INDEX(SPPR!$E:$X,MATCH($A93,SPPR!$A:$A,0),3)),$C93*INDEX(SPPR!$E:$X,MATCH($A93,SPPR!$A:$A,0),3),""),"")</f>
        <v/>
      </c>
      <c r="G93">
        <f>IFERROR(IF(ISNUMBER(INDEX(SPPR!$E:$X,MATCH($A93,SPPR!$A:$A,0),4)),$C93*INDEX(SPPR!$E:$X,MATCH($A93,SPPR!$A:$A,0),4),""),"")</f>
        <v/>
      </c>
      <c r="H93">
        <f>IFERROR(IF(ISNUMBER(INDEX(SPPR!$E:$X,MATCH($A93,SPPR!$A:$A,0),5)),$C93*INDEX(SPPR!$E:$X,MATCH($A93,SPPR!$A:$A,0),5),""),"")</f>
        <v/>
      </c>
      <c r="I93">
        <f>IFERROR(IF(ISNUMBER(INDEX(SPPR!$E:$X,MATCH($A93,SPPR!$A:$A,0),6)),$C93*INDEX(SPPR!$E:$X,MATCH($A93,SPPR!$A:$A,0),6),""),"")</f>
        <v/>
      </c>
      <c r="J93">
        <f>IFERROR(IF(ISNUMBER(INDEX(SPPR!$E:$X,MATCH($A93,SPPR!$A:$A,0),7)),$C93*INDEX(SPPR!$E:$X,MATCH($A93,SPPR!$A:$A,0),7),""),"")</f>
        <v/>
      </c>
      <c r="K93">
        <f>IFERROR(IF(ISNUMBER(INDEX(SPPR!$E:$X,MATCH($A93,SPPR!$A:$A,0),8)),$C93*INDEX(SPPR!$E:$X,MATCH($A93,SPPR!$A:$A,0),8),""),"")</f>
        <v/>
      </c>
      <c r="L93">
        <f>IFERROR(IF(ISNUMBER(INDEX(SPPR!$E:$X,MATCH($A93,SPPR!$A:$A,0),9)),$C93*INDEX(SPPR!$E:$X,MATCH($A93,SPPR!$A:$A,0),9),""),"")</f>
        <v/>
      </c>
      <c r="M93">
        <f>IFERROR(IF(ISNUMBER(INDEX(SPPR!$E:$X,MATCH($A93,SPPR!$A:$A,0),10)),$C93*INDEX(SPPR!$E:$X,MATCH($A93,SPPR!$A:$A,0),10),""),"")</f>
        <v/>
      </c>
      <c r="N93">
        <f>IFERROR(IF(ISNUMBER(INDEX(SPPR!$E:$X,MATCH($A93,SPPR!$A:$A,0),11)),$C93*INDEX(SPPR!$E:$X,MATCH($A93,SPPR!$A:$A,0),11),""),"")</f>
        <v/>
      </c>
      <c r="O93">
        <f>IFERROR(IF(ISNUMBER(INDEX(SPPR!$E:$X,MATCH($A93,SPPR!$A:$A,0),12)),$C93*INDEX(SPPR!$E:$X,MATCH($A93,SPPR!$A:$A,0),12),""),"")</f>
        <v/>
      </c>
      <c r="P93">
        <f>IFERROR(IF(ISNUMBER(INDEX(SPPR!$E:$X,MATCH($A93,SPPR!$A:$A,0),13)),$C93*INDEX(SPPR!$E:$X,MATCH($A93,SPPR!$A:$A,0),13),""),"")</f>
        <v/>
      </c>
      <c r="Q93">
        <f>IFERROR(IF(ISNUMBER(INDEX(SPPR!$E:$X,MATCH($A93,SPPR!$A:$A,0),14)),$C93*INDEX(SPPR!$E:$X,MATCH($A93,SPPR!$A:$A,0),14),""),"")</f>
        <v/>
      </c>
      <c r="R93">
        <f>IFERROR(IF(ISNUMBER(INDEX(SPPR!$E:$X,MATCH($A93,SPPR!$A:$A,0),15)),$C93*INDEX(SPPR!$E:$X,MATCH($A93,SPPR!$A:$A,0),15),""),"")</f>
        <v/>
      </c>
      <c r="S93">
        <f>IFERROR(IF(ISNUMBER(INDEX(SPPR!$E:$X,MATCH($A93,SPPR!$A:$A,0),16)),$C93*INDEX(SPPR!$E:$X,MATCH($A93,SPPR!$A:$A,0),16),""),"")</f>
        <v/>
      </c>
      <c r="T93">
        <f>IFERROR(IF(ISNUMBER(INDEX(SPPR!$E:$X,MATCH($A93,SPPR!$A:$A,0),17)),$C93*INDEX(SPPR!$E:$X,MATCH($A93,SPPR!$A:$A,0),17),""),"")</f>
        <v/>
      </c>
      <c r="U93">
        <f>IFERROR(IF(ISNUMBER(INDEX(SPPR!$E:$X,MATCH($A93,SPPR!$A:$A,0),18)),$C93*INDEX(SPPR!$E:$X,MATCH($A93,SPPR!$A:$A,0),18),""),"")</f>
        <v/>
      </c>
      <c r="V93">
        <f>IFERROR(IF(ISNUMBER(INDEX(SPPR!$E:$X,MATCH($A93,SPPR!$A:$A,0),19)),$C93*INDEX(SPPR!$E:$X,MATCH($A93,SPPR!$A:$A,0),19),""),"")</f>
        <v/>
      </c>
      <c r="W93">
        <f>IFERROR(IF(ISNUMBER(INDEX(SPPR!$E:$X,MATCH($A93,SPPR!$A:$A,0),20)),$C93*INDEX(SPPR!$E:$X,MATCH($A93,SPPR!$A:$A,0),20),""),"")</f>
        <v/>
      </c>
    </row>
    <row r="94">
      <c r="A94" t="inlineStr">
        <is>
          <t>Clupeiformes</t>
        </is>
      </c>
      <c r="B94">
        <f>IFERROR(INDEX(SPPR!$D:$D,MATCH($A94,SPPR!$A:$A,0)),"")</f>
        <v/>
      </c>
      <c r="C94">
        <f>IFERROR(INDEX(Catch!$E:$BV,MATCH($A94,Catch!$A:$A,0),MATCH($B$4,Catch!$E$1:$BV$1,0)),0)</f>
        <v/>
      </c>
      <c r="D94">
        <f>IFERROR(IF(ISNUMBER(INDEX(SPPR!$E:$X,MATCH($A94,SPPR!$A:$A,0),1)),$C94*INDEX(SPPR!$E:$X,MATCH($A94,SPPR!$A:$A,0),1),""),"")</f>
        <v/>
      </c>
      <c r="E94">
        <f>IFERROR(IF(ISNUMBER(INDEX(SPPR!$E:$X,MATCH($A94,SPPR!$A:$A,0),2)),$C94*INDEX(SPPR!$E:$X,MATCH($A94,SPPR!$A:$A,0),2),""),"")</f>
        <v/>
      </c>
      <c r="F94">
        <f>IFERROR(IF(ISNUMBER(INDEX(SPPR!$E:$X,MATCH($A94,SPPR!$A:$A,0),3)),$C94*INDEX(SPPR!$E:$X,MATCH($A94,SPPR!$A:$A,0),3),""),"")</f>
        <v/>
      </c>
      <c r="G94">
        <f>IFERROR(IF(ISNUMBER(INDEX(SPPR!$E:$X,MATCH($A94,SPPR!$A:$A,0),4)),$C94*INDEX(SPPR!$E:$X,MATCH($A94,SPPR!$A:$A,0),4),""),"")</f>
        <v/>
      </c>
      <c r="H94">
        <f>IFERROR(IF(ISNUMBER(INDEX(SPPR!$E:$X,MATCH($A94,SPPR!$A:$A,0),5)),$C94*INDEX(SPPR!$E:$X,MATCH($A94,SPPR!$A:$A,0),5),""),"")</f>
        <v/>
      </c>
      <c r="I94">
        <f>IFERROR(IF(ISNUMBER(INDEX(SPPR!$E:$X,MATCH($A94,SPPR!$A:$A,0),6)),$C94*INDEX(SPPR!$E:$X,MATCH($A94,SPPR!$A:$A,0),6),""),"")</f>
        <v/>
      </c>
      <c r="J94">
        <f>IFERROR(IF(ISNUMBER(INDEX(SPPR!$E:$X,MATCH($A94,SPPR!$A:$A,0),7)),$C94*INDEX(SPPR!$E:$X,MATCH($A94,SPPR!$A:$A,0),7),""),"")</f>
        <v/>
      </c>
      <c r="K94">
        <f>IFERROR(IF(ISNUMBER(INDEX(SPPR!$E:$X,MATCH($A94,SPPR!$A:$A,0),8)),$C94*INDEX(SPPR!$E:$X,MATCH($A94,SPPR!$A:$A,0),8),""),"")</f>
        <v/>
      </c>
      <c r="L94">
        <f>IFERROR(IF(ISNUMBER(INDEX(SPPR!$E:$X,MATCH($A94,SPPR!$A:$A,0),9)),$C94*INDEX(SPPR!$E:$X,MATCH($A94,SPPR!$A:$A,0),9),""),"")</f>
        <v/>
      </c>
      <c r="M94">
        <f>IFERROR(IF(ISNUMBER(INDEX(SPPR!$E:$X,MATCH($A94,SPPR!$A:$A,0),10)),$C94*INDEX(SPPR!$E:$X,MATCH($A94,SPPR!$A:$A,0),10),""),"")</f>
        <v/>
      </c>
      <c r="N94">
        <f>IFERROR(IF(ISNUMBER(INDEX(SPPR!$E:$X,MATCH($A94,SPPR!$A:$A,0),11)),$C94*INDEX(SPPR!$E:$X,MATCH($A94,SPPR!$A:$A,0),11),""),"")</f>
        <v/>
      </c>
      <c r="O94">
        <f>IFERROR(IF(ISNUMBER(INDEX(SPPR!$E:$X,MATCH($A94,SPPR!$A:$A,0),12)),$C94*INDEX(SPPR!$E:$X,MATCH($A94,SPPR!$A:$A,0),12),""),"")</f>
        <v/>
      </c>
      <c r="P94">
        <f>IFERROR(IF(ISNUMBER(INDEX(SPPR!$E:$X,MATCH($A94,SPPR!$A:$A,0),13)),$C94*INDEX(SPPR!$E:$X,MATCH($A94,SPPR!$A:$A,0),13),""),"")</f>
        <v/>
      </c>
      <c r="Q94">
        <f>IFERROR(IF(ISNUMBER(INDEX(SPPR!$E:$X,MATCH($A94,SPPR!$A:$A,0),14)),$C94*INDEX(SPPR!$E:$X,MATCH($A94,SPPR!$A:$A,0),14),""),"")</f>
        <v/>
      </c>
      <c r="R94">
        <f>IFERROR(IF(ISNUMBER(INDEX(SPPR!$E:$X,MATCH($A94,SPPR!$A:$A,0),15)),$C94*INDEX(SPPR!$E:$X,MATCH($A94,SPPR!$A:$A,0),15),""),"")</f>
        <v/>
      </c>
      <c r="S94">
        <f>IFERROR(IF(ISNUMBER(INDEX(SPPR!$E:$X,MATCH($A94,SPPR!$A:$A,0),16)),$C94*INDEX(SPPR!$E:$X,MATCH($A94,SPPR!$A:$A,0),16),""),"")</f>
        <v/>
      </c>
      <c r="T94">
        <f>IFERROR(IF(ISNUMBER(INDEX(SPPR!$E:$X,MATCH($A94,SPPR!$A:$A,0),17)),$C94*INDEX(SPPR!$E:$X,MATCH($A94,SPPR!$A:$A,0),17),""),"")</f>
        <v/>
      </c>
      <c r="U94">
        <f>IFERROR(IF(ISNUMBER(INDEX(SPPR!$E:$X,MATCH($A94,SPPR!$A:$A,0),18)),$C94*INDEX(SPPR!$E:$X,MATCH($A94,SPPR!$A:$A,0),18),""),"")</f>
        <v/>
      </c>
      <c r="V94">
        <f>IFERROR(IF(ISNUMBER(INDEX(SPPR!$E:$X,MATCH($A94,SPPR!$A:$A,0),19)),$C94*INDEX(SPPR!$E:$X,MATCH($A94,SPPR!$A:$A,0),19),""),"")</f>
        <v/>
      </c>
      <c r="W94">
        <f>IFERROR(IF(ISNUMBER(INDEX(SPPR!$E:$X,MATCH($A94,SPPR!$A:$A,0),20)),$C94*INDEX(SPPR!$E:$X,MATCH($A94,SPPR!$A:$A,0),20),""),"")</f>
        <v/>
      </c>
    </row>
    <row r="95">
      <c r="A95" t="inlineStr">
        <is>
          <t>Thunnus orientalis</t>
        </is>
      </c>
      <c r="B95">
        <f>IFERROR(INDEX(SPPR!$D:$D,MATCH($A95,SPPR!$A:$A,0)),"")</f>
        <v/>
      </c>
      <c r="C95">
        <f>IFERROR(INDEX(Catch!$E:$BV,MATCH($A95,Catch!$A:$A,0),MATCH($B$4,Catch!$E$1:$BV$1,0)),0)</f>
        <v/>
      </c>
      <c r="D95">
        <f>IFERROR(IF(ISNUMBER(INDEX(SPPR!$E:$X,MATCH($A95,SPPR!$A:$A,0),1)),$C95*INDEX(SPPR!$E:$X,MATCH($A95,SPPR!$A:$A,0),1),""),"")</f>
        <v/>
      </c>
      <c r="E95">
        <f>IFERROR(IF(ISNUMBER(INDEX(SPPR!$E:$X,MATCH($A95,SPPR!$A:$A,0),2)),$C95*INDEX(SPPR!$E:$X,MATCH($A95,SPPR!$A:$A,0),2),""),"")</f>
        <v/>
      </c>
      <c r="F95">
        <f>IFERROR(IF(ISNUMBER(INDEX(SPPR!$E:$X,MATCH($A95,SPPR!$A:$A,0),3)),$C95*INDEX(SPPR!$E:$X,MATCH($A95,SPPR!$A:$A,0),3),""),"")</f>
        <v/>
      </c>
      <c r="G95">
        <f>IFERROR(IF(ISNUMBER(INDEX(SPPR!$E:$X,MATCH($A95,SPPR!$A:$A,0),4)),$C95*INDEX(SPPR!$E:$X,MATCH($A95,SPPR!$A:$A,0),4),""),"")</f>
        <v/>
      </c>
      <c r="H95">
        <f>IFERROR(IF(ISNUMBER(INDEX(SPPR!$E:$X,MATCH($A95,SPPR!$A:$A,0),5)),$C95*INDEX(SPPR!$E:$X,MATCH($A95,SPPR!$A:$A,0),5),""),"")</f>
        <v/>
      </c>
      <c r="I95">
        <f>IFERROR(IF(ISNUMBER(INDEX(SPPR!$E:$X,MATCH($A95,SPPR!$A:$A,0),6)),$C95*INDEX(SPPR!$E:$X,MATCH($A95,SPPR!$A:$A,0),6),""),"")</f>
        <v/>
      </c>
      <c r="J95">
        <f>IFERROR(IF(ISNUMBER(INDEX(SPPR!$E:$X,MATCH($A95,SPPR!$A:$A,0),7)),$C95*INDEX(SPPR!$E:$X,MATCH($A95,SPPR!$A:$A,0),7),""),"")</f>
        <v/>
      </c>
      <c r="K95">
        <f>IFERROR(IF(ISNUMBER(INDEX(SPPR!$E:$X,MATCH($A95,SPPR!$A:$A,0),8)),$C95*INDEX(SPPR!$E:$X,MATCH($A95,SPPR!$A:$A,0),8),""),"")</f>
        <v/>
      </c>
      <c r="L95">
        <f>IFERROR(IF(ISNUMBER(INDEX(SPPR!$E:$X,MATCH($A95,SPPR!$A:$A,0),9)),$C95*INDEX(SPPR!$E:$X,MATCH($A95,SPPR!$A:$A,0),9),""),"")</f>
        <v/>
      </c>
      <c r="M95">
        <f>IFERROR(IF(ISNUMBER(INDEX(SPPR!$E:$X,MATCH($A95,SPPR!$A:$A,0),10)),$C95*INDEX(SPPR!$E:$X,MATCH($A95,SPPR!$A:$A,0),10),""),"")</f>
        <v/>
      </c>
      <c r="N95">
        <f>IFERROR(IF(ISNUMBER(INDEX(SPPR!$E:$X,MATCH($A95,SPPR!$A:$A,0),11)),$C95*INDEX(SPPR!$E:$X,MATCH($A95,SPPR!$A:$A,0),11),""),"")</f>
        <v/>
      </c>
      <c r="O95">
        <f>IFERROR(IF(ISNUMBER(INDEX(SPPR!$E:$X,MATCH($A95,SPPR!$A:$A,0),12)),$C95*INDEX(SPPR!$E:$X,MATCH($A95,SPPR!$A:$A,0),12),""),"")</f>
        <v/>
      </c>
      <c r="P95">
        <f>IFERROR(IF(ISNUMBER(INDEX(SPPR!$E:$X,MATCH($A95,SPPR!$A:$A,0),13)),$C95*INDEX(SPPR!$E:$X,MATCH($A95,SPPR!$A:$A,0),13),""),"")</f>
        <v/>
      </c>
      <c r="Q95">
        <f>IFERROR(IF(ISNUMBER(INDEX(SPPR!$E:$X,MATCH($A95,SPPR!$A:$A,0),14)),$C95*INDEX(SPPR!$E:$X,MATCH($A95,SPPR!$A:$A,0),14),""),"")</f>
        <v/>
      </c>
      <c r="R95">
        <f>IFERROR(IF(ISNUMBER(INDEX(SPPR!$E:$X,MATCH($A95,SPPR!$A:$A,0),15)),$C95*INDEX(SPPR!$E:$X,MATCH($A95,SPPR!$A:$A,0),15),""),"")</f>
        <v/>
      </c>
      <c r="S95">
        <f>IFERROR(IF(ISNUMBER(INDEX(SPPR!$E:$X,MATCH($A95,SPPR!$A:$A,0),16)),$C95*INDEX(SPPR!$E:$X,MATCH($A95,SPPR!$A:$A,0),16),""),"")</f>
        <v/>
      </c>
      <c r="T95">
        <f>IFERROR(IF(ISNUMBER(INDEX(SPPR!$E:$X,MATCH($A95,SPPR!$A:$A,0),17)),$C95*INDEX(SPPR!$E:$X,MATCH($A95,SPPR!$A:$A,0),17),""),"")</f>
        <v/>
      </c>
      <c r="U95">
        <f>IFERROR(IF(ISNUMBER(INDEX(SPPR!$E:$X,MATCH($A95,SPPR!$A:$A,0),18)),$C95*INDEX(SPPR!$E:$X,MATCH($A95,SPPR!$A:$A,0),18),""),"")</f>
        <v/>
      </c>
      <c r="V95">
        <f>IFERROR(IF(ISNUMBER(INDEX(SPPR!$E:$X,MATCH($A95,SPPR!$A:$A,0),19)),$C95*INDEX(SPPR!$E:$X,MATCH($A95,SPPR!$A:$A,0),19),""),"")</f>
        <v/>
      </c>
      <c r="W95">
        <f>IFERROR(IF(ISNUMBER(INDEX(SPPR!$E:$X,MATCH($A95,SPPR!$A:$A,0),20)),$C95*INDEX(SPPR!$E:$X,MATCH($A95,SPPR!$A:$A,0),20),""),"")</f>
        <v/>
      </c>
    </row>
    <row r="96">
      <c r="A96" t="inlineStr">
        <is>
          <t>Chionoecetes japonicus</t>
        </is>
      </c>
      <c r="B96">
        <f>IFERROR(INDEX(SPPR!$D:$D,MATCH($A96,SPPR!$A:$A,0)),"")</f>
        <v/>
      </c>
      <c r="C96">
        <f>IFERROR(INDEX(Catch!$E:$BV,MATCH($A96,Catch!$A:$A,0),MATCH($B$4,Catch!$E$1:$BV$1,0)),0)</f>
        <v/>
      </c>
      <c r="D96">
        <f>IFERROR(IF(ISNUMBER(INDEX(SPPR!$E:$X,MATCH($A96,SPPR!$A:$A,0),1)),$C96*INDEX(SPPR!$E:$X,MATCH($A96,SPPR!$A:$A,0),1),""),"")</f>
        <v/>
      </c>
      <c r="E96">
        <f>IFERROR(IF(ISNUMBER(INDEX(SPPR!$E:$X,MATCH($A96,SPPR!$A:$A,0),2)),$C96*INDEX(SPPR!$E:$X,MATCH($A96,SPPR!$A:$A,0),2),""),"")</f>
        <v/>
      </c>
      <c r="F96">
        <f>IFERROR(IF(ISNUMBER(INDEX(SPPR!$E:$X,MATCH($A96,SPPR!$A:$A,0),3)),$C96*INDEX(SPPR!$E:$X,MATCH($A96,SPPR!$A:$A,0),3),""),"")</f>
        <v/>
      </c>
      <c r="G96">
        <f>IFERROR(IF(ISNUMBER(INDEX(SPPR!$E:$X,MATCH($A96,SPPR!$A:$A,0),4)),$C96*INDEX(SPPR!$E:$X,MATCH($A96,SPPR!$A:$A,0),4),""),"")</f>
        <v/>
      </c>
      <c r="H96">
        <f>IFERROR(IF(ISNUMBER(INDEX(SPPR!$E:$X,MATCH($A96,SPPR!$A:$A,0),5)),$C96*INDEX(SPPR!$E:$X,MATCH($A96,SPPR!$A:$A,0),5),""),"")</f>
        <v/>
      </c>
      <c r="I96">
        <f>IFERROR(IF(ISNUMBER(INDEX(SPPR!$E:$X,MATCH($A96,SPPR!$A:$A,0),6)),$C96*INDEX(SPPR!$E:$X,MATCH($A96,SPPR!$A:$A,0),6),""),"")</f>
        <v/>
      </c>
      <c r="J96">
        <f>IFERROR(IF(ISNUMBER(INDEX(SPPR!$E:$X,MATCH($A96,SPPR!$A:$A,0),7)),$C96*INDEX(SPPR!$E:$X,MATCH($A96,SPPR!$A:$A,0),7),""),"")</f>
        <v/>
      </c>
      <c r="K96">
        <f>IFERROR(IF(ISNUMBER(INDEX(SPPR!$E:$X,MATCH($A96,SPPR!$A:$A,0),8)),$C96*INDEX(SPPR!$E:$X,MATCH($A96,SPPR!$A:$A,0),8),""),"")</f>
        <v/>
      </c>
      <c r="L96">
        <f>IFERROR(IF(ISNUMBER(INDEX(SPPR!$E:$X,MATCH($A96,SPPR!$A:$A,0),9)),$C96*INDEX(SPPR!$E:$X,MATCH($A96,SPPR!$A:$A,0),9),""),"")</f>
        <v/>
      </c>
      <c r="M96">
        <f>IFERROR(IF(ISNUMBER(INDEX(SPPR!$E:$X,MATCH($A96,SPPR!$A:$A,0),10)),$C96*INDEX(SPPR!$E:$X,MATCH($A96,SPPR!$A:$A,0),10),""),"")</f>
        <v/>
      </c>
      <c r="N96">
        <f>IFERROR(IF(ISNUMBER(INDEX(SPPR!$E:$X,MATCH($A96,SPPR!$A:$A,0),11)),$C96*INDEX(SPPR!$E:$X,MATCH($A96,SPPR!$A:$A,0),11),""),"")</f>
        <v/>
      </c>
      <c r="O96">
        <f>IFERROR(IF(ISNUMBER(INDEX(SPPR!$E:$X,MATCH($A96,SPPR!$A:$A,0),12)),$C96*INDEX(SPPR!$E:$X,MATCH($A96,SPPR!$A:$A,0),12),""),"")</f>
        <v/>
      </c>
      <c r="P96">
        <f>IFERROR(IF(ISNUMBER(INDEX(SPPR!$E:$X,MATCH($A96,SPPR!$A:$A,0),13)),$C96*INDEX(SPPR!$E:$X,MATCH($A96,SPPR!$A:$A,0),13),""),"")</f>
        <v/>
      </c>
      <c r="Q96">
        <f>IFERROR(IF(ISNUMBER(INDEX(SPPR!$E:$X,MATCH($A96,SPPR!$A:$A,0),14)),$C96*INDEX(SPPR!$E:$X,MATCH($A96,SPPR!$A:$A,0),14),""),"")</f>
        <v/>
      </c>
      <c r="R96">
        <f>IFERROR(IF(ISNUMBER(INDEX(SPPR!$E:$X,MATCH($A96,SPPR!$A:$A,0),15)),$C96*INDEX(SPPR!$E:$X,MATCH($A96,SPPR!$A:$A,0),15),""),"")</f>
        <v/>
      </c>
      <c r="S96">
        <f>IFERROR(IF(ISNUMBER(INDEX(SPPR!$E:$X,MATCH($A96,SPPR!$A:$A,0),16)),$C96*INDEX(SPPR!$E:$X,MATCH($A96,SPPR!$A:$A,0),16),""),"")</f>
        <v/>
      </c>
      <c r="T96">
        <f>IFERROR(IF(ISNUMBER(INDEX(SPPR!$E:$X,MATCH($A96,SPPR!$A:$A,0),17)),$C96*INDEX(SPPR!$E:$X,MATCH($A96,SPPR!$A:$A,0),17),""),"")</f>
        <v/>
      </c>
      <c r="U96">
        <f>IFERROR(IF(ISNUMBER(INDEX(SPPR!$E:$X,MATCH($A96,SPPR!$A:$A,0),18)),$C96*INDEX(SPPR!$E:$X,MATCH($A96,SPPR!$A:$A,0),18),""),"")</f>
        <v/>
      </c>
      <c r="V96">
        <f>IFERROR(IF(ISNUMBER(INDEX(SPPR!$E:$X,MATCH($A96,SPPR!$A:$A,0),19)),$C96*INDEX(SPPR!$E:$X,MATCH($A96,SPPR!$A:$A,0),19),""),"")</f>
        <v/>
      </c>
      <c r="W96">
        <f>IFERROR(IF(ISNUMBER(INDEX(SPPR!$E:$X,MATCH($A96,SPPR!$A:$A,0),20)),$C96*INDEX(SPPR!$E:$X,MATCH($A96,SPPR!$A:$A,0),20),""),"")</f>
        <v/>
      </c>
    </row>
    <row r="97">
      <c r="A97" t="inlineStr">
        <is>
          <t>Ommastrephidae</t>
        </is>
      </c>
      <c r="B97">
        <f>IFERROR(INDEX(SPPR!$D:$D,MATCH($A97,SPPR!$A:$A,0)),"")</f>
        <v/>
      </c>
      <c r="C97">
        <f>IFERROR(INDEX(Catch!$E:$BV,MATCH($A97,Catch!$A:$A,0),MATCH($B$4,Catch!$E$1:$BV$1,0)),0)</f>
        <v/>
      </c>
      <c r="D97">
        <f>IFERROR(IF(ISNUMBER(INDEX(SPPR!$E:$X,MATCH($A97,SPPR!$A:$A,0),1)),$C97*INDEX(SPPR!$E:$X,MATCH($A97,SPPR!$A:$A,0),1),""),"")</f>
        <v/>
      </c>
      <c r="E97">
        <f>IFERROR(IF(ISNUMBER(INDEX(SPPR!$E:$X,MATCH($A97,SPPR!$A:$A,0),2)),$C97*INDEX(SPPR!$E:$X,MATCH($A97,SPPR!$A:$A,0),2),""),"")</f>
        <v/>
      </c>
      <c r="F97">
        <f>IFERROR(IF(ISNUMBER(INDEX(SPPR!$E:$X,MATCH($A97,SPPR!$A:$A,0),3)),$C97*INDEX(SPPR!$E:$X,MATCH($A97,SPPR!$A:$A,0),3),""),"")</f>
        <v/>
      </c>
      <c r="G97">
        <f>IFERROR(IF(ISNUMBER(INDEX(SPPR!$E:$X,MATCH($A97,SPPR!$A:$A,0),4)),$C97*INDEX(SPPR!$E:$X,MATCH($A97,SPPR!$A:$A,0),4),""),"")</f>
        <v/>
      </c>
      <c r="H97">
        <f>IFERROR(IF(ISNUMBER(INDEX(SPPR!$E:$X,MATCH($A97,SPPR!$A:$A,0),5)),$C97*INDEX(SPPR!$E:$X,MATCH($A97,SPPR!$A:$A,0),5),""),"")</f>
        <v/>
      </c>
      <c r="I97">
        <f>IFERROR(IF(ISNUMBER(INDEX(SPPR!$E:$X,MATCH($A97,SPPR!$A:$A,0),6)),$C97*INDEX(SPPR!$E:$X,MATCH($A97,SPPR!$A:$A,0),6),""),"")</f>
        <v/>
      </c>
      <c r="J97">
        <f>IFERROR(IF(ISNUMBER(INDEX(SPPR!$E:$X,MATCH($A97,SPPR!$A:$A,0),7)),$C97*INDEX(SPPR!$E:$X,MATCH($A97,SPPR!$A:$A,0),7),""),"")</f>
        <v/>
      </c>
      <c r="K97">
        <f>IFERROR(IF(ISNUMBER(INDEX(SPPR!$E:$X,MATCH($A97,SPPR!$A:$A,0),8)),$C97*INDEX(SPPR!$E:$X,MATCH($A97,SPPR!$A:$A,0),8),""),"")</f>
        <v/>
      </c>
      <c r="L97">
        <f>IFERROR(IF(ISNUMBER(INDEX(SPPR!$E:$X,MATCH($A97,SPPR!$A:$A,0),9)),$C97*INDEX(SPPR!$E:$X,MATCH($A97,SPPR!$A:$A,0),9),""),"")</f>
        <v/>
      </c>
      <c r="M97">
        <f>IFERROR(IF(ISNUMBER(INDEX(SPPR!$E:$X,MATCH($A97,SPPR!$A:$A,0),10)),$C97*INDEX(SPPR!$E:$X,MATCH($A97,SPPR!$A:$A,0),10),""),"")</f>
        <v/>
      </c>
      <c r="N97">
        <f>IFERROR(IF(ISNUMBER(INDEX(SPPR!$E:$X,MATCH($A97,SPPR!$A:$A,0),11)),$C97*INDEX(SPPR!$E:$X,MATCH($A97,SPPR!$A:$A,0),11),""),"")</f>
        <v/>
      </c>
      <c r="O97">
        <f>IFERROR(IF(ISNUMBER(INDEX(SPPR!$E:$X,MATCH($A97,SPPR!$A:$A,0),12)),$C97*INDEX(SPPR!$E:$X,MATCH($A97,SPPR!$A:$A,0),12),""),"")</f>
        <v/>
      </c>
      <c r="P97">
        <f>IFERROR(IF(ISNUMBER(INDEX(SPPR!$E:$X,MATCH($A97,SPPR!$A:$A,0),13)),$C97*INDEX(SPPR!$E:$X,MATCH($A97,SPPR!$A:$A,0),13),""),"")</f>
        <v/>
      </c>
      <c r="Q97">
        <f>IFERROR(IF(ISNUMBER(INDEX(SPPR!$E:$X,MATCH($A97,SPPR!$A:$A,0),14)),$C97*INDEX(SPPR!$E:$X,MATCH($A97,SPPR!$A:$A,0),14),""),"")</f>
        <v/>
      </c>
      <c r="R97">
        <f>IFERROR(IF(ISNUMBER(INDEX(SPPR!$E:$X,MATCH($A97,SPPR!$A:$A,0),15)),$C97*INDEX(SPPR!$E:$X,MATCH($A97,SPPR!$A:$A,0),15),""),"")</f>
        <v/>
      </c>
      <c r="S97">
        <f>IFERROR(IF(ISNUMBER(INDEX(SPPR!$E:$X,MATCH($A97,SPPR!$A:$A,0),16)),$C97*INDEX(SPPR!$E:$X,MATCH($A97,SPPR!$A:$A,0),16),""),"")</f>
        <v/>
      </c>
      <c r="T97">
        <f>IFERROR(IF(ISNUMBER(INDEX(SPPR!$E:$X,MATCH($A97,SPPR!$A:$A,0),17)),$C97*INDEX(SPPR!$E:$X,MATCH($A97,SPPR!$A:$A,0),17),""),"")</f>
        <v/>
      </c>
      <c r="U97">
        <f>IFERROR(IF(ISNUMBER(INDEX(SPPR!$E:$X,MATCH($A97,SPPR!$A:$A,0),18)),$C97*INDEX(SPPR!$E:$X,MATCH($A97,SPPR!$A:$A,0),18),""),"")</f>
        <v/>
      </c>
      <c r="V97">
        <f>IFERROR(IF(ISNUMBER(INDEX(SPPR!$E:$X,MATCH($A97,SPPR!$A:$A,0),19)),$C97*INDEX(SPPR!$E:$X,MATCH($A97,SPPR!$A:$A,0),19),""),"")</f>
        <v/>
      </c>
      <c r="W97">
        <f>IFERROR(IF(ISNUMBER(INDEX(SPPR!$E:$X,MATCH($A97,SPPR!$A:$A,0),20)),$C97*INDEX(SPPR!$E:$X,MATCH($A97,SPPR!$A:$A,0),20),""),"")</f>
        <v/>
      </c>
    </row>
    <row r="98">
      <c r="A98" t="inlineStr">
        <is>
          <t>Sebastolobus alascanus</t>
        </is>
      </c>
      <c r="B98">
        <f>IFERROR(INDEX(SPPR!$D:$D,MATCH($A98,SPPR!$A:$A,0)),"")</f>
        <v/>
      </c>
      <c r="C98">
        <f>IFERROR(INDEX(Catch!$E:$BV,MATCH($A98,Catch!$A:$A,0),MATCH($B$4,Catch!$E$1:$BV$1,0)),0)</f>
        <v/>
      </c>
      <c r="D98">
        <f>IFERROR(IF(ISNUMBER(INDEX(SPPR!$E:$X,MATCH($A98,SPPR!$A:$A,0),1)),$C98*INDEX(SPPR!$E:$X,MATCH($A98,SPPR!$A:$A,0),1),""),"")</f>
        <v/>
      </c>
      <c r="E98">
        <f>IFERROR(IF(ISNUMBER(INDEX(SPPR!$E:$X,MATCH($A98,SPPR!$A:$A,0),2)),$C98*INDEX(SPPR!$E:$X,MATCH($A98,SPPR!$A:$A,0),2),""),"")</f>
        <v/>
      </c>
      <c r="F98">
        <f>IFERROR(IF(ISNUMBER(INDEX(SPPR!$E:$X,MATCH($A98,SPPR!$A:$A,0),3)),$C98*INDEX(SPPR!$E:$X,MATCH($A98,SPPR!$A:$A,0),3),""),"")</f>
        <v/>
      </c>
      <c r="G98">
        <f>IFERROR(IF(ISNUMBER(INDEX(SPPR!$E:$X,MATCH($A98,SPPR!$A:$A,0),4)),$C98*INDEX(SPPR!$E:$X,MATCH($A98,SPPR!$A:$A,0),4),""),"")</f>
        <v/>
      </c>
      <c r="H98">
        <f>IFERROR(IF(ISNUMBER(INDEX(SPPR!$E:$X,MATCH($A98,SPPR!$A:$A,0),5)),$C98*INDEX(SPPR!$E:$X,MATCH($A98,SPPR!$A:$A,0),5),""),"")</f>
        <v/>
      </c>
      <c r="I98">
        <f>IFERROR(IF(ISNUMBER(INDEX(SPPR!$E:$X,MATCH($A98,SPPR!$A:$A,0),6)),$C98*INDEX(SPPR!$E:$X,MATCH($A98,SPPR!$A:$A,0),6),""),"")</f>
        <v/>
      </c>
      <c r="J98">
        <f>IFERROR(IF(ISNUMBER(INDEX(SPPR!$E:$X,MATCH($A98,SPPR!$A:$A,0),7)),$C98*INDEX(SPPR!$E:$X,MATCH($A98,SPPR!$A:$A,0),7),""),"")</f>
        <v/>
      </c>
      <c r="K98">
        <f>IFERROR(IF(ISNUMBER(INDEX(SPPR!$E:$X,MATCH($A98,SPPR!$A:$A,0),8)),$C98*INDEX(SPPR!$E:$X,MATCH($A98,SPPR!$A:$A,0),8),""),"")</f>
        <v/>
      </c>
      <c r="L98">
        <f>IFERROR(IF(ISNUMBER(INDEX(SPPR!$E:$X,MATCH($A98,SPPR!$A:$A,0),9)),$C98*INDEX(SPPR!$E:$X,MATCH($A98,SPPR!$A:$A,0),9),""),"")</f>
        <v/>
      </c>
      <c r="M98">
        <f>IFERROR(IF(ISNUMBER(INDEX(SPPR!$E:$X,MATCH($A98,SPPR!$A:$A,0),10)),$C98*INDEX(SPPR!$E:$X,MATCH($A98,SPPR!$A:$A,0),10),""),"")</f>
        <v/>
      </c>
      <c r="N98">
        <f>IFERROR(IF(ISNUMBER(INDEX(SPPR!$E:$X,MATCH($A98,SPPR!$A:$A,0),11)),$C98*INDEX(SPPR!$E:$X,MATCH($A98,SPPR!$A:$A,0),11),""),"")</f>
        <v/>
      </c>
      <c r="O98">
        <f>IFERROR(IF(ISNUMBER(INDEX(SPPR!$E:$X,MATCH($A98,SPPR!$A:$A,0),12)),$C98*INDEX(SPPR!$E:$X,MATCH($A98,SPPR!$A:$A,0),12),""),"")</f>
        <v/>
      </c>
      <c r="P98">
        <f>IFERROR(IF(ISNUMBER(INDEX(SPPR!$E:$X,MATCH($A98,SPPR!$A:$A,0),13)),$C98*INDEX(SPPR!$E:$X,MATCH($A98,SPPR!$A:$A,0),13),""),"")</f>
        <v/>
      </c>
      <c r="Q98">
        <f>IFERROR(IF(ISNUMBER(INDEX(SPPR!$E:$X,MATCH($A98,SPPR!$A:$A,0),14)),$C98*INDEX(SPPR!$E:$X,MATCH($A98,SPPR!$A:$A,0),14),""),"")</f>
        <v/>
      </c>
      <c r="R98">
        <f>IFERROR(IF(ISNUMBER(INDEX(SPPR!$E:$X,MATCH($A98,SPPR!$A:$A,0),15)),$C98*INDEX(SPPR!$E:$X,MATCH($A98,SPPR!$A:$A,0),15),""),"")</f>
        <v/>
      </c>
      <c r="S98">
        <f>IFERROR(IF(ISNUMBER(INDEX(SPPR!$E:$X,MATCH($A98,SPPR!$A:$A,0),16)),$C98*INDEX(SPPR!$E:$X,MATCH($A98,SPPR!$A:$A,0),16),""),"")</f>
        <v/>
      </c>
      <c r="T98">
        <f>IFERROR(IF(ISNUMBER(INDEX(SPPR!$E:$X,MATCH($A98,SPPR!$A:$A,0),17)),$C98*INDEX(SPPR!$E:$X,MATCH($A98,SPPR!$A:$A,0),17),""),"")</f>
        <v/>
      </c>
      <c r="U98">
        <f>IFERROR(IF(ISNUMBER(INDEX(SPPR!$E:$X,MATCH($A98,SPPR!$A:$A,0),18)),$C98*INDEX(SPPR!$E:$X,MATCH($A98,SPPR!$A:$A,0),18),""),"")</f>
        <v/>
      </c>
      <c r="V98">
        <f>IFERROR(IF(ISNUMBER(INDEX(SPPR!$E:$X,MATCH($A98,SPPR!$A:$A,0),19)),$C98*INDEX(SPPR!$E:$X,MATCH($A98,SPPR!$A:$A,0),19),""),"")</f>
        <v/>
      </c>
      <c r="W98">
        <f>IFERROR(IF(ISNUMBER(INDEX(SPPR!$E:$X,MATCH($A98,SPPR!$A:$A,0),20)),$C98*INDEX(SPPR!$E:$X,MATCH($A98,SPPR!$A:$A,0),20),""),"")</f>
        <v/>
      </c>
    </row>
    <row r="99">
      <c r="A99" t="inlineStr">
        <is>
          <t>Octopus</t>
        </is>
      </c>
      <c r="B99">
        <f>IFERROR(INDEX(SPPR!$D:$D,MATCH($A99,SPPR!$A:$A,0)),"")</f>
        <v/>
      </c>
      <c r="C99">
        <f>IFERROR(INDEX(Catch!$E:$BV,MATCH($A99,Catch!$A:$A,0),MATCH($B$4,Catch!$E$1:$BV$1,0)),0)</f>
        <v/>
      </c>
      <c r="D99">
        <f>IFERROR(IF(ISNUMBER(INDEX(SPPR!$E:$X,MATCH($A99,SPPR!$A:$A,0),1)),$C99*INDEX(SPPR!$E:$X,MATCH($A99,SPPR!$A:$A,0),1),""),"")</f>
        <v/>
      </c>
      <c r="E99">
        <f>IFERROR(IF(ISNUMBER(INDEX(SPPR!$E:$X,MATCH($A99,SPPR!$A:$A,0),2)),$C99*INDEX(SPPR!$E:$X,MATCH($A99,SPPR!$A:$A,0),2),""),"")</f>
        <v/>
      </c>
      <c r="F99">
        <f>IFERROR(IF(ISNUMBER(INDEX(SPPR!$E:$X,MATCH($A99,SPPR!$A:$A,0),3)),$C99*INDEX(SPPR!$E:$X,MATCH($A99,SPPR!$A:$A,0),3),""),"")</f>
        <v/>
      </c>
      <c r="G99">
        <f>IFERROR(IF(ISNUMBER(INDEX(SPPR!$E:$X,MATCH($A99,SPPR!$A:$A,0),4)),$C99*INDEX(SPPR!$E:$X,MATCH($A99,SPPR!$A:$A,0),4),""),"")</f>
        <v/>
      </c>
      <c r="H99">
        <f>IFERROR(IF(ISNUMBER(INDEX(SPPR!$E:$X,MATCH($A99,SPPR!$A:$A,0),5)),$C99*INDEX(SPPR!$E:$X,MATCH($A99,SPPR!$A:$A,0),5),""),"")</f>
        <v/>
      </c>
      <c r="I99">
        <f>IFERROR(IF(ISNUMBER(INDEX(SPPR!$E:$X,MATCH($A99,SPPR!$A:$A,0),6)),$C99*INDEX(SPPR!$E:$X,MATCH($A99,SPPR!$A:$A,0),6),""),"")</f>
        <v/>
      </c>
      <c r="J99">
        <f>IFERROR(IF(ISNUMBER(INDEX(SPPR!$E:$X,MATCH($A99,SPPR!$A:$A,0),7)),$C99*INDEX(SPPR!$E:$X,MATCH($A99,SPPR!$A:$A,0),7),""),"")</f>
        <v/>
      </c>
      <c r="K99">
        <f>IFERROR(IF(ISNUMBER(INDEX(SPPR!$E:$X,MATCH($A99,SPPR!$A:$A,0),8)),$C99*INDEX(SPPR!$E:$X,MATCH($A99,SPPR!$A:$A,0),8),""),"")</f>
        <v/>
      </c>
      <c r="L99">
        <f>IFERROR(IF(ISNUMBER(INDEX(SPPR!$E:$X,MATCH($A99,SPPR!$A:$A,0),9)),$C99*INDEX(SPPR!$E:$X,MATCH($A99,SPPR!$A:$A,0),9),""),"")</f>
        <v/>
      </c>
      <c r="M99">
        <f>IFERROR(IF(ISNUMBER(INDEX(SPPR!$E:$X,MATCH($A99,SPPR!$A:$A,0),10)),$C99*INDEX(SPPR!$E:$X,MATCH($A99,SPPR!$A:$A,0),10),""),"")</f>
        <v/>
      </c>
      <c r="N99">
        <f>IFERROR(IF(ISNUMBER(INDEX(SPPR!$E:$X,MATCH($A99,SPPR!$A:$A,0),11)),$C99*INDEX(SPPR!$E:$X,MATCH($A99,SPPR!$A:$A,0),11),""),"")</f>
        <v/>
      </c>
      <c r="O99">
        <f>IFERROR(IF(ISNUMBER(INDEX(SPPR!$E:$X,MATCH($A99,SPPR!$A:$A,0),12)),$C99*INDEX(SPPR!$E:$X,MATCH($A99,SPPR!$A:$A,0),12),""),"")</f>
        <v/>
      </c>
      <c r="P99">
        <f>IFERROR(IF(ISNUMBER(INDEX(SPPR!$E:$X,MATCH($A99,SPPR!$A:$A,0),13)),$C99*INDEX(SPPR!$E:$X,MATCH($A99,SPPR!$A:$A,0),13),""),"")</f>
        <v/>
      </c>
      <c r="Q99">
        <f>IFERROR(IF(ISNUMBER(INDEX(SPPR!$E:$X,MATCH($A99,SPPR!$A:$A,0),14)),$C99*INDEX(SPPR!$E:$X,MATCH($A99,SPPR!$A:$A,0),14),""),"")</f>
        <v/>
      </c>
      <c r="R99">
        <f>IFERROR(IF(ISNUMBER(INDEX(SPPR!$E:$X,MATCH($A99,SPPR!$A:$A,0),15)),$C99*INDEX(SPPR!$E:$X,MATCH($A99,SPPR!$A:$A,0),15),""),"")</f>
        <v/>
      </c>
      <c r="S99">
        <f>IFERROR(IF(ISNUMBER(INDEX(SPPR!$E:$X,MATCH($A99,SPPR!$A:$A,0),16)),$C99*INDEX(SPPR!$E:$X,MATCH($A99,SPPR!$A:$A,0),16),""),"")</f>
        <v/>
      </c>
      <c r="T99">
        <f>IFERROR(IF(ISNUMBER(INDEX(SPPR!$E:$X,MATCH($A99,SPPR!$A:$A,0),17)),$C99*INDEX(SPPR!$E:$X,MATCH($A99,SPPR!$A:$A,0),17),""),"")</f>
        <v/>
      </c>
      <c r="U99">
        <f>IFERROR(IF(ISNUMBER(INDEX(SPPR!$E:$X,MATCH($A99,SPPR!$A:$A,0),18)),$C99*INDEX(SPPR!$E:$X,MATCH($A99,SPPR!$A:$A,0),18),""),"")</f>
        <v/>
      </c>
      <c r="V99">
        <f>IFERROR(IF(ISNUMBER(INDEX(SPPR!$E:$X,MATCH($A99,SPPR!$A:$A,0),19)),$C99*INDEX(SPPR!$E:$X,MATCH($A99,SPPR!$A:$A,0),19),""),"")</f>
        <v/>
      </c>
      <c r="W99">
        <f>IFERROR(IF(ISNUMBER(INDEX(SPPR!$E:$X,MATCH($A99,SPPR!$A:$A,0),20)),$C99*INDEX(SPPR!$E:$X,MATCH($A99,SPPR!$A:$A,0),20),""),"")</f>
        <v/>
      </c>
    </row>
    <row r="100">
      <c r="A100" t="inlineStr">
        <is>
          <t>Pandalus hypsinotus</t>
        </is>
      </c>
      <c r="B100">
        <f>IFERROR(INDEX(SPPR!$D:$D,MATCH($A100,SPPR!$A:$A,0)),"")</f>
        <v/>
      </c>
      <c r="C100">
        <f>IFERROR(INDEX(Catch!$E:$BV,MATCH($A100,Catch!$A:$A,0),MATCH($B$4,Catch!$E$1:$BV$1,0)),0)</f>
        <v/>
      </c>
      <c r="D100">
        <f>IFERROR(IF(ISNUMBER(INDEX(SPPR!$E:$X,MATCH($A100,SPPR!$A:$A,0),1)),$C100*INDEX(SPPR!$E:$X,MATCH($A100,SPPR!$A:$A,0),1),""),"")</f>
        <v/>
      </c>
      <c r="E100">
        <f>IFERROR(IF(ISNUMBER(INDEX(SPPR!$E:$X,MATCH($A100,SPPR!$A:$A,0),2)),$C100*INDEX(SPPR!$E:$X,MATCH($A100,SPPR!$A:$A,0),2),""),"")</f>
        <v/>
      </c>
      <c r="F100">
        <f>IFERROR(IF(ISNUMBER(INDEX(SPPR!$E:$X,MATCH($A100,SPPR!$A:$A,0),3)),$C100*INDEX(SPPR!$E:$X,MATCH($A100,SPPR!$A:$A,0),3),""),"")</f>
        <v/>
      </c>
      <c r="G100">
        <f>IFERROR(IF(ISNUMBER(INDEX(SPPR!$E:$X,MATCH($A100,SPPR!$A:$A,0),4)),$C100*INDEX(SPPR!$E:$X,MATCH($A100,SPPR!$A:$A,0),4),""),"")</f>
        <v/>
      </c>
      <c r="H100">
        <f>IFERROR(IF(ISNUMBER(INDEX(SPPR!$E:$X,MATCH($A100,SPPR!$A:$A,0),5)),$C100*INDEX(SPPR!$E:$X,MATCH($A100,SPPR!$A:$A,0),5),""),"")</f>
        <v/>
      </c>
      <c r="I100">
        <f>IFERROR(IF(ISNUMBER(INDEX(SPPR!$E:$X,MATCH($A100,SPPR!$A:$A,0),6)),$C100*INDEX(SPPR!$E:$X,MATCH($A100,SPPR!$A:$A,0),6),""),"")</f>
        <v/>
      </c>
      <c r="J100">
        <f>IFERROR(IF(ISNUMBER(INDEX(SPPR!$E:$X,MATCH($A100,SPPR!$A:$A,0),7)),$C100*INDEX(SPPR!$E:$X,MATCH($A100,SPPR!$A:$A,0),7),""),"")</f>
        <v/>
      </c>
      <c r="K100">
        <f>IFERROR(IF(ISNUMBER(INDEX(SPPR!$E:$X,MATCH($A100,SPPR!$A:$A,0),8)),$C100*INDEX(SPPR!$E:$X,MATCH($A100,SPPR!$A:$A,0),8),""),"")</f>
        <v/>
      </c>
      <c r="L100">
        <f>IFERROR(IF(ISNUMBER(INDEX(SPPR!$E:$X,MATCH($A100,SPPR!$A:$A,0),9)),$C100*INDEX(SPPR!$E:$X,MATCH($A100,SPPR!$A:$A,0),9),""),"")</f>
        <v/>
      </c>
      <c r="M100">
        <f>IFERROR(IF(ISNUMBER(INDEX(SPPR!$E:$X,MATCH($A100,SPPR!$A:$A,0),10)),$C100*INDEX(SPPR!$E:$X,MATCH($A100,SPPR!$A:$A,0),10),""),"")</f>
        <v/>
      </c>
      <c r="N100">
        <f>IFERROR(IF(ISNUMBER(INDEX(SPPR!$E:$X,MATCH($A100,SPPR!$A:$A,0),11)),$C100*INDEX(SPPR!$E:$X,MATCH($A100,SPPR!$A:$A,0),11),""),"")</f>
        <v/>
      </c>
      <c r="O100">
        <f>IFERROR(IF(ISNUMBER(INDEX(SPPR!$E:$X,MATCH($A100,SPPR!$A:$A,0),12)),$C100*INDEX(SPPR!$E:$X,MATCH($A100,SPPR!$A:$A,0),12),""),"")</f>
        <v/>
      </c>
      <c r="P100">
        <f>IFERROR(IF(ISNUMBER(INDEX(SPPR!$E:$X,MATCH($A100,SPPR!$A:$A,0),13)),$C100*INDEX(SPPR!$E:$X,MATCH($A100,SPPR!$A:$A,0),13),""),"")</f>
        <v/>
      </c>
      <c r="Q100">
        <f>IFERROR(IF(ISNUMBER(INDEX(SPPR!$E:$X,MATCH($A100,SPPR!$A:$A,0),14)),$C100*INDEX(SPPR!$E:$X,MATCH($A100,SPPR!$A:$A,0),14),""),"")</f>
        <v/>
      </c>
      <c r="R100">
        <f>IFERROR(IF(ISNUMBER(INDEX(SPPR!$E:$X,MATCH($A100,SPPR!$A:$A,0),15)),$C100*INDEX(SPPR!$E:$X,MATCH($A100,SPPR!$A:$A,0),15),""),"")</f>
        <v/>
      </c>
      <c r="S100">
        <f>IFERROR(IF(ISNUMBER(INDEX(SPPR!$E:$X,MATCH($A100,SPPR!$A:$A,0),16)),$C100*INDEX(SPPR!$E:$X,MATCH($A100,SPPR!$A:$A,0),16),""),"")</f>
        <v/>
      </c>
      <c r="T100">
        <f>IFERROR(IF(ISNUMBER(INDEX(SPPR!$E:$X,MATCH($A100,SPPR!$A:$A,0),17)),$C100*INDEX(SPPR!$E:$X,MATCH($A100,SPPR!$A:$A,0),17),""),"")</f>
        <v/>
      </c>
      <c r="U100">
        <f>IFERROR(IF(ISNUMBER(INDEX(SPPR!$E:$X,MATCH($A100,SPPR!$A:$A,0),18)),$C100*INDEX(SPPR!$E:$X,MATCH($A100,SPPR!$A:$A,0),18),""),"")</f>
        <v/>
      </c>
      <c r="V100">
        <f>IFERROR(IF(ISNUMBER(INDEX(SPPR!$E:$X,MATCH($A100,SPPR!$A:$A,0),19)),$C100*INDEX(SPPR!$E:$X,MATCH($A100,SPPR!$A:$A,0),19),""),"")</f>
        <v/>
      </c>
      <c r="W100">
        <f>IFERROR(IF(ISNUMBER(INDEX(SPPR!$E:$X,MATCH($A100,SPPR!$A:$A,0),20)),$C100*INDEX(SPPR!$E:$X,MATCH($A100,SPPR!$A:$A,0),20),""),"")</f>
        <v/>
      </c>
    </row>
    <row r="101">
      <c r="A101" t="inlineStr">
        <is>
          <t>Squillidae</t>
        </is>
      </c>
      <c r="B101">
        <f>IFERROR(INDEX(SPPR!$D:$D,MATCH($A101,SPPR!$A:$A,0)),"")</f>
        <v/>
      </c>
      <c r="C101">
        <f>IFERROR(INDEX(Catch!$E:$BV,MATCH($A101,Catch!$A:$A,0),MATCH($B$4,Catch!$E$1:$BV$1,0)),0)</f>
        <v/>
      </c>
      <c r="D101">
        <f>IFERROR(IF(ISNUMBER(INDEX(SPPR!$E:$X,MATCH($A101,SPPR!$A:$A,0),1)),$C101*INDEX(SPPR!$E:$X,MATCH($A101,SPPR!$A:$A,0),1),""),"")</f>
        <v/>
      </c>
      <c r="E101">
        <f>IFERROR(IF(ISNUMBER(INDEX(SPPR!$E:$X,MATCH($A101,SPPR!$A:$A,0),2)),$C101*INDEX(SPPR!$E:$X,MATCH($A101,SPPR!$A:$A,0),2),""),"")</f>
        <v/>
      </c>
      <c r="F101">
        <f>IFERROR(IF(ISNUMBER(INDEX(SPPR!$E:$X,MATCH($A101,SPPR!$A:$A,0),3)),$C101*INDEX(SPPR!$E:$X,MATCH($A101,SPPR!$A:$A,0),3),""),"")</f>
        <v/>
      </c>
      <c r="G101">
        <f>IFERROR(IF(ISNUMBER(INDEX(SPPR!$E:$X,MATCH($A101,SPPR!$A:$A,0),4)),$C101*INDEX(SPPR!$E:$X,MATCH($A101,SPPR!$A:$A,0),4),""),"")</f>
        <v/>
      </c>
      <c r="H101">
        <f>IFERROR(IF(ISNUMBER(INDEX(SPPR!$E:$X,MATCH($A101,SPPR!$A:$A,0),5)),$C101*INDEX(SPPR!$E:$X,MATCH($A101,SPPR!$A:$A,0),5),""),"")</f>
        <v/>
      </c>
      <c r="I101">
        <f>IFERROR(IF(ISNUMBER(INDEX(SPPR!$E:$X,MATCH($A101,SPPR!$A:$A,0),6)),$C101*INDEX(SPPR!$E:$X,MATCH($A101,SPPR!$A:$A,0),6),""),"")</f>
        <v/>
      </c>
      <c r="J101">
        <f>IFERROR(IF(ISNUMBER(INDEX(SPPR!$E:$X,MATCH($A101,SPPR!$A:$A,0),7)),$C101*INDEX(SPPR!$E:$X,MATCH($A101,SPPR!$A:$A,0),7),""),"")</f>
        <v/>
      </c>
      <c r="K101">
        <f>IFERROR(IF(ISNUMBER(INDEX(SPPR!$E:$X,MATCH($A101,SPPR!$A:$A,0),8)),$C101*INDEX(SPPR!$E:$X,MATCH($A101,SPPR!$A:$A,0),8),""),"")</f>
        <v/>
      </c>
      <c r="L101">
        <f>IFERROR(IF(ISNUMBER(INDEX(SPPR!$E:$X,MATCH($A101,SPPR!$A:$A,0),9)),$C101*INDEX(SPPR!$E:$X,MATCH($A101,SPPR!$A:$A,0),9),""),"")</f>
        <v/>
      </c>
      <c r="M101">
        <f>IFERROR(IF(ISNUMBER(INDEX(SPPR!$E:$X,MATCH($A101,SPPR!$A:$A,0),10)),$C101*INDEX(SPPR!$E:$X,MATCH($A101,SPPR!$A:$A,0),10),""),"")</f>
        <v/>
      </c>
      <c r="N101">
        <f>IFERROR(IF(ISNUMBER(INDEX(SPPR!$E:$X,MATCH($A101,SPPR!$A:$A,0),11)),$C101*INDEX(SPPR!$E:$X,MATCH($A101,SPPR!$A:$A,0),11),""),"")</f>
        <v/>
      </c>
      <c r="O101">
        <f>IFERROR(IF(ISNUMBER(INDEX(SPPR!$E:$X,MATCH($A101,SPPR!$A:$A,0),12)),$C101*INDEX(SPPR!$E:$X,MATCH($A101,SPPR!$A:$A,0),12),""),"")</f>
        <v/>
      </c>
      <c r="P101">
        <f>IFERROR(IF(ISNUMBER(INDEX(SPPR!$E:$X,MATCH($A101,SPPR!$A:$A,0),13)),$C101*INDEX(SPPR!$E:$X,MATCH($A101,SPPR!$A:$A,0),13),""),"")</f>
        <v/>
      </c>
      <c r="Q101">
        <f>IFERROR(IF(ISNUMBER(INDEX(SPPR!$E:$X,MATCH($A101,SPPR!$A:$A,0),14)),$C101*INDEX(SPPR!$E:$X,MATCH($A101,SPPR!$A:$A,0),14),""),"")</f>
        <v/>
      </c>
      <c r="R101">
        <f>IFERROR(IF(ISNUMBER(INDEX(SPPR!$E:$X,MATCH($A101,SPPR!$A:$A,0),15)),$C101*INDEX(SPPR!$E:$X,MATCH($A101,SPPR!$A:$A,0),15),""),"")</f>
        <v/>
      </c>
      <c r="S101">
        <f>IFERROR(IF(ISNUMBER(INDEX(SPPR!$E:$X,MATCH($A101,SPPR!$A:$A,0),16)),$C101*INDEX(SPPR!$E:$X,MATCH($A101,SPPR!$A:$A,0),16),""),"")</f>
        <v/>
      </c>
      <c r="T101">
        <f>IFERROR(IF(ISNUMBER(INDEX(SPPR!$E:$X,MATCH($A101,SPPR!$A:$A,0),17)),$C101*INDEX(SPPR!$E:$X,MATCH($A101,SPPR!$A:$A,0),17),""),"")</f>
        <v/>
      </c>
      <c r="U101">
        <f>IFERROR(IF(ISNUMBER(INDEX(SPPR!$E:$X,MATCH($A101,SPPR!$A:$A,0),18)),$C101*INDEX(SPPR!$E:$X,MATCH($A101,SPPR!$A:$A,0),18),""),"")</f>
        <v/>
      </c>
      <c r="V101">
        <f>IFERROR(IF(ISNUMBER(INDEX(SPPR!$E:$X,MATCH($A101,SPPR!$A:$A,0),19)),$C101*INDEX(SPPR!$E:$X,MATCH($A101,SPPR!$A:$A,0),19),""),"")</f>
        <v/>
      </c>
      <c r="W101">
        <f>IFERROR(IF(ISNUMBER(INDEX(SPPR!$E:$X,MATCH($A101,SPPR!$A:$A,0),20)),$C101*INDEX(SPPR!$E:$X,MATCH($A101,SPPR!$A:$A,0),20),""),"")</f>
        <v/>
      </c>
    </row>
    <row r="102">
      <c r="A102" t="inlineStr">
        <is>
          <t>Elasmobranchii</t>
        </is>
      </c>
      <c r="B102">
        <f>IFERROR(INDEX(SPPR!$D:$D,MATCH($A102,SPPR!$A:$A,0)),"")</f>
        <v/>
      </c>
      <c r="C102">
        <f>IFERROR(INDEX(Catch!$E:$BV,MATCH($A102,Catch!$A:$A,0),MATCH($B$4,Catch!$E$1:$BV$1,0)),0)</f>
        <v/>
      </c>
      <c r="D102">
        <f>IFERROR(IF(ISNUMBER(INDEX(SPPR!$E:$X,MATCH($A102,SPPR!$A:$A,0),1)),$C102*INDEX(SPPR!$E:$X,MATCH($A102,SPPR!$A:$A,0),1),""),"")</f>
        <v/>
      </c>
      <c r="E102">
        <f>IFERROR(IF(ISNUMBER(INDEX(SPPR!$E:$X,MATCH($A102,SPPR!$A:$A,0),2)),$C102*INDEX(SPPR!$E:$X,MATCH($A102,SPPR!$A:$A,0),2),""),"")</f>
        <v/>
      </c>
      <c r="F102">
        <f>IFERROR(IF(ISNUMBER(INDEX(SPPR!$E:$X,MATCH($A102,SPPR!$A:$A,0),3)),$C102*INDEX(SPPR!$E:$X,MATCH($A102,SPPR!$A:$A,0),3),""),"")</f>
        <v/>
      </c>
      <c r="G102">
        <f>IFERROR(IF(ISNUMBER(INDEX(SPPR!$E:$X,MATCH($A102,SPPR!$A:$A,0),4)),$C102*INDEX(SPPR!$E:$X,MATCH($A102,SPPR!$A:$A,0),4),""),"")</f>
        <v/>
      </c>
      <c r="H102">
        <f>IFERROR(IF(ISNUMBER(INDEX(SPPR!$E:$X,MATCH($A102,SPPR!$A:$A,0),5)),$C102*INDEX(SPPR!$E:$X,MATCH($A102,SPPR!$A:$A,0),5),""),"")</f>
        <v/>
      </c>
      <c r="I102">
        <f>IFERROR(IF(ISNUMBER(INDEX(SPPR!$E:$X,MATCH($A102,SPPR!$A:$A,0),6)),$C102*INDEX(SPPR!$E:$X,MATCH($A102,SPPR!$A:$A,0),6),""),"")</f>
        <v/>
      </c>
      <c r="J102">
        <f>IFERROR(IF(ISNUMBER(INDEX(SPPR!$E:$X,MATCH($A102,SPPR!$A:$A,0),7)),$C102*INDEX(SPPR!$E:$X,MATCH($A102,SPPR!$A:$A,0),7),""),"")</f>
        <v/>
      </c>
      <c r="K102">
        <f>IFERROR(IF(ISNUMBER(INDEX(SPPR!$E:$X,MATCH($A102,SPPR!$A:$A,0),8)),$C102*INDEX(SPPR!$E:$X,MATCH($A102,SPPR!$A:$A,0),8),""),"")</f>
        <v/>
      </c>
      <c r="L102">
        <f>IFERROR(IF(ISNUMBER(INDEX(SPPR!$E:$X,MATCH($A102,SPPR!$A:$A,0),9)),$C102*INDEX(SPPR!$E:$X,MATCH($A102,SPPR!$A:$A,0),9),""),"")</f>
        <v/>
      </c>
      <c r="M102">
        <f>IFERROR(IF(ISNUMBER(INDEX(SPPR!$E:$X,MATCH($A102,SPPR!$A:$A,0),10)),$C102*INDEX(SPPR!$E:$X,MATCH($A102,SPPR!$A:$A,0),10),""),"")</f>
        <v/>
      </c>
      <c r="N102">
        <f>IFERROR(IF(ISNUMBER(INDEX(SPPR!$E:$X,MATCH($A102,SPPR!$A:$A,0),11)),$C102*INDEX(SPPR!$E:$X,MATCH($A102,SPPR!$A:$A,0),11),""),"")</f>
        <v/>
      </c>
      <c r="O102">
        <f>IFERROR(IF(ISNUMBER(INDEX(SPPR!$E:$X,MATCH($A102,SPPR!$A:$A,0),12)),$C102*INDEX(SPPR!$E:$X,MATCH($A102,SPPR!$A:$A,0),12),""),"")</f>
        <v/>
      </c>
      <c r="P102">
        <f>IFERROR(IF(ISNUMBER(INDEX(SPPR!$E:$X,MATCH($A102,SPPR!$A:$A,0),13)),$C102*INDEX(SPPR!$E:$X,MATCH($A102,SPPR!$A:$A,0),13),""),"")</f>
        <v/>
      </c>
      <c r="Q102">
        <f>IFERROR(IF(ISNUMBER(INDEX(SPPR!$E:$X,MATCH($A102,SPPR!$A:$A,0),14)),$C102*INDEX(SPPR!$E:$X,MATCH($A102,SPPR!$A:$A,0),14),""),"")</f>
        <v/>
      </c>
      <c r="R102">
        <f>IFERROR(IF(ISNUMBER(INDEX(SPPR!$E:$X,MATCH($A102,SPPR!$A:$A,0),15)),$C102*INDEX(SPPR!$E:$X,MATCH($A102,SPPR!$A:$A,0),15),""),"")</f>
        <v/>
      </c>
      <c r="S102">
        <f>IFERROR(IF(ISNUMBER(INDEX(SPPR!$E:$X,MATCH($A102,SPPR!$A:$A,0),16)),$C102*INDEX(SPPR!$E:$X,MATCH($A102,SPPR!$A:$A,0),16),""),"")</f>
        <v/>
      </c>
      <c r="T102">
        <f>IFERROR(IF(ISNUMBER(INDEX(SPPR!$E:$X,MATCH($A102,SPPR!$A:$A,0),17)),$C102*INDEX(SPPR!$E:$X,MATCH($A102,SPPR!$A:$A,0),17),""),"")</f>
        <v/>
      </c>
      <c r="U102">
        <f>IFERROR(IF(ISNUMBER(INDEX(SPPR!$E:$X,MATCH($A102,SPPR!$A:$A,0),18)),$C102*INDEX(SPPR!$E:$X,MATCH($A102,SPPR!$A:$A,0),18),""),"")</f>
        <v/>
      </c>
      <c r="V102">
        <f>IFERROR(IF(ISNUMBER(INDEX(SPPR!$E:$X,MATCH($A102,SPPR!$A:$A,0),19)),$C102*INDEX(SPPR!$E:$X,MATCH($A102,SPPR!$A:$A,0),19),""),"")</f>
        <v/>
      </c>
      <c r="W102">
        <f>IFERROR(IF(ISNUMBER(INDEX(SPPR!$E:$X,MATCH($A102,SPPR!$A:$A,0),20)),$C102*INDEX(SPPR!$E:$X,MATCH($A102,SPPR!$A:$A,0),20),""),"")</f>
        <v/>
      </c>
    </row>
    <row r="103">
      <c r="A103" t="inlineStr">
        <is>
          <t>Trachurus</t>
        </is>
      </c>
      <c r="B103">
        <f>IFERROR(INDEX(SPPR!$D:$D,MATCH($A103,SPPR!$A:$A,0)),"")</f>
        <v/>
      </c>
      <c r="C103">
        <f>IFERROR(INDEX(Catch!$E:$BV,MATCH($A103,Catch!$A:$A,0),MATCH($B$4,Catch!$E$1:$BV$1,0)),0)</f>
        <v/>
      </c>
      <c r="D103">
        <f>IFERROR(IF(ISNUMBER(INDEX(SPPR!$E:$X,MATCH($A103,SPPR!$A:$A,0),1)),$C103*INDEX(SPPR!$E:$X,MATCH($A103,SPPR!$A:$A,0),1),""),"")</f>
        <v/>
      </c>
      <c r="E103">
        <f>IFERROR(IF(ISNUMBER(INDEX(SPPR!$E:$X,MATCH($A103,SPPR!$A:$A,0),2)),$C103*INDEX(SPPR!$E:$X,MATCH($A103,SPPR!$A:$A,0),2),""),"")</f>
        <v/>
      </c>
      <c r="F103">
        <f>IFERROR(IF(ISNUMBER(INDEX(SPPR!$E:$X,MATCH($A103,SPPR!$A:$A,0),3)),$C103*INDEX(SPPR!$E:$X,MATCH($A103,SPPR!$A:$A,0),3),""),"")</f>
        <v/>
      </c>
      <c r="G103">
        <f>IFERROR(IF(ISNUMBER(INDEX(SPPR!$E:$X,MATCH($A103,SPPR!$A:$A,0),4)),$C103*INDEX(SPPR!$E:$X,MATCH($A103,SPPR!$A:$A,0),4),""),"")</f>
        <v/>
      </c>
      <c r="H103">
        <f>IFERROR(IF(ISNUMBER(INDEX(SPPR!$E:$X,MATCH($A103,SPPR!$A:$A,0),5)),$C103*INDEX(SPPR!$E:$X,MATCH($A103,SPPR!$A:$A,0),5),""),"")</f>
        <v/>
      </c>
      <c r="I103">
        <f>IFERROR(IF(ISNUMBER(INDEX(SPPR!$E:$X,MATCH($A103,SPPR!$A:$A,0),6)),$C103*INDEX(SPPR!$E:$X,MATCH($A103,SPPR!$A:$A,0),6),""),"")</f>
        <v/>
      </c>
      <c r="J103">
        <f>IFERROR(IF(ISNUMBER(INDEX(SPPR!$E:$X,MATCH($A103,SPPR!$A:$A,0),7)),$C103*INDEX(SPPR!$E:$X,MATCH($A103,SPPR!$A:$A,0),7),""),"")</f>
        <v/>
      </c>
      <c r="K103">
        <f>IFERROR(IF(ISNUMBER(INDEX(SPPR!$E:$X,MATCH($A103,SPPR!$A:$A,0),8)),$C103*INDEX(SPPR!$E:$X,MATCH($A103,SPPR!$A:$A,0),8),""),"")</f>
        <v/>
      </c>
      <c r="L103">
        <f>IFERROR(IF(ISNUMBER(INDEX(SPPR!$E:$X,MATCH($A103,SPPR!$A:$A,0),9)),$C103*INDEX(SPPR!$E:$X,MATCH($A103,SPPR!$A:$A,0),9),""),"")</f>
        <v/>
      </c>
      <c r="M103">
        <f>IFERROR(IF(ISNUMBER(INDEX(SPPR!$E:$X,MATCH($A103,SPPR!$A:$A,0),10)),$C103*INDEX(SPPR!$E:$X,MATCH($A103,SPPR!$A:$A,0),10),""),"")</f>
        <v/>
      </c>
      <c r="N103">
        <f>IFERROR(IF(ISNUMBER(INDEX(SPPR!$E:$X,MATCH($A103,SPPR!$A:$A,0),11)),$C103*INDEX(SPPR!$E:$X,MATCH($A103,SPPR!$A:$A,0),11),""),"")</f>
        <v/>
      </c>
      <c r="O103">
        <f>IFERROR(IF(ISNUMBER(INDEX(SPPR!$E:$X,MATCH($A103,SPPR!$A:$A,0),12)),$C103*INDEX(SPPR!$E:$X,MATCH($A103,SPPR!$A:$A,0),12),""),"")</f>
        <v/>
      </c>
      <c r="P103">
        <f>IFERROR(IF(ISNUMBER(INDEX(SPPR!$E:$X,MATCH($A103,SPPR!$A:$A,0),13)),$C103*INDEX(SPPR!$E:$X,MATCH($A103,SPPR!$A:$A,0),13),""),"")</f>
        <v/>
      </c>
      <c r="Q103">
        <f>IFERROR(IF(ISNUMBER(INDEX(SPPR!$E:$X,MATCH($A103,SPPR!$A:$A,0),14)),$C103*INDEX(SPPR!$E:$X,MATCH($A103,SPPR!$A:$A,0),14),""),"")</f>
        <v/>
      </c>
      <c r="R103">
        <f>IFERROR(IF(ISNUMBER(INDEX(SPPR!$E:$X,MATCH($A103,SPPR!$A:$A,0),15)),$C103*INDEX(SPPR!$E:$X,MATCH($A103,SPPR!$A:$A,0),15),""),"")</f>
        <v/>
      </c>
      <c r="S103">
        <f>IFERROR(IF(ISNUMBER(INDEX(SPPR!$E:$X,MATCH($A103,SPPR!$A:$A,0),16)),$C103*INDEX(SPPR!$E:$X,MATCH($A103,SPPR!$A:$A,0),16),""),"")</f>
        <v/>
      </c>
      <c r="T103">
        <f>IFERROR(IF(ISNUMBER(INDEX(SPPR!$E:$X,MATCH($A103,SPPR!$A:$A,0),17)),$C103*INDEX(SPPR!$E:$X,MATCH($A103,SPPR!$A:$A,0),17),""),"")</f>
        <v/>
      </c>
      <c r="U103">
        <f>IFERROR(IF(ISNUMBER(INDEX(SPPR!$E:$X,MATCH($A103,SPPR!$A:$A,0),18)),$C103*INDEX(SPPR!$E:$X,MATCH($A103,SPPR!$A:$A,0),18),""),"")</f>
        <v/>
      </c>
      <c r="V103">
        <f>IFERROR(IF(ISNUMBER(INDEX(SPPR!$E:$X,MATCH($A103,SPPR!$A:$A,0),19)),$C103*INDEX(SPPR!$E:$X,MATCH($A103,SPPR!$A:$A,0),19),""),"")</f>
        <v/>
      </c>
      <c r="W103">
        <f>IFERROR(IF(ISNUMBER(INDEX(SPPR!$E:$X,MATCH($A103,SPPR!$A:$A,0),20)),$C103*INDEX(SPPR!$E:$X,MATCH($A103,SPPR!$A:$A,0),20),""),"")</f>
        <v/>
      </c>
    </row>
    <row r="104">
      <c r="A104" t="inlineStr">
        <is>
          <t>Haliotidae</t>
        </is>
      </c>
      <c r="B104">
        <f>IFERROR(INDEX(SPPR!$D:$D,MATCH($A104,SPPR!$A:$A,0)),"")</f>
        <v/>
      </c>
      <c r="C104">
        <f>IFERROR(INDEX(Catch!$E:$BV,MATCH($A104,Catch!$A:$A,0),MATCH($B$4,Catch!$E$1:$BV$1,0)),0)</f>
        <v/>
      </c>
      <c r="D104">
        <f>IFERROR(IF(ISNUMBER(INDEX(SPPR!$E:$X,MATCH($A104,SPPR!$A:$A,0),1)),$C104*INDEX(SPPR!$E:$X,MATCH($A104,SPPR!$A:$A,0),1),""),"")</f>
        <v/>
      </c>
      <c r="E104">
        <f>IFERROR(IF(ISNUMBER(INDEX(SPPR!$E:$X,MATCH($A104,SPPR!$A:$A,0),2)),$C104*INDEX(SPPR!$E:$X,MATCH($A104,SPPR!$A:$A,0),2),""),"")</f>
        <v/>
      </c>
      <c r="F104">
        <f>IFERROR(IF(ISNUMBER(INDEX(SPPR!$E:$X,MATCH($A104,SPPR!$A:$A,0),3)),$C104*INDEX(SPPR!$E:$X,MATCH($A104,SPPR!$A:$A,0),3),""),"")</f>
        <v/>
      </c>
      <c r="G104">
        <f>IFERROR(IF(ISNUMBER(INDEX(SPPR!$E:$X,MATCH($A104,SPPR!$A:$A,0),4)),$C104*INDEX(SPPR!$E:$X,MATCH($A104,SPPR!$A:$A,0),4),""),"")</f>
        <v/>
      </c>
      <c r="H104">
        <f>IFERROR(IF(ISNUMBER(INDEX(SPPR!$E:$X,MATCH($A104,SPPR!$A:$A,0),5)),$C104*INDEX(SPPR!$E:$X,MATCH($A104,SPPR!$A:$A,0),5),""),"")</f>
        <v/>
      </c>
      <c r="I104">
        <f>IFERROR(IF(ISNUMBER(INDEX(SPPR!$E:$X,MATCH($A104,SPPR!$A:$A,0),6)),$C104*INDEX(SPPR!$E:$X,MATCH($A104,SPPR!$A:$A,0),6),""),"")</f>
        <v/>
      </c>
      <c r="J104">
        <f>IFERROR(IF(ISNUMBER(INDEX(SPPR!$E:$X,MATCH($A104,SPPR!$A:$A,0),7)),$C104*INDEX(SPPR!$E:$X,MATCH($A104,SPPR!$A:$A,0),7),""),"")</f>
        <v/>
      </c>
      <c r="K104">
        <f>IFERROR(IF(ISNUMBER(INDEX(SPPR!$E:$X,MATCH($A104,SPPR!$A:$A,0),8)),$C104*INDEX(SPPR!$E:$X,MATCH($A104,SPPR!$A:$A,0),8),""),"")</f>
        <v/>
      </c>
      <c r="L104">
        <f>IFERROR(IF(ISNUMBER(INDEX(SPPR!$E:$X,MATCH($A104,SPPR!$A:$A,0),9)),$C104*INDEX(SPPR!$E:$X,MATCH($A104,SPPR!$A:$A,0),9),""),"")</f>
        <v/>
      </c>
      <c r="M104">
        <f>IFERROR(IF(ISNUMBER(INDEX(SPPR!$E:$X,MATCH($A104,SPPR!$A:$A,0),10)),$C104*INDEX(SPPR!$E:$X,MATCH($A104,SPPR!$A:$A,0),10),""),"")</f>
        <v/>
      </c>
      <c r="N104">
        <f>IFERROR(IF(ISNUMBER(INDEX(SPPR!$E:$X,MATCH($A104,SPPR!$A:$A,0),11)),$C104*INDEX(SPPR!$E:$X,MATCH($A104,SPPR!$A:$A,0),11),""),"")</f>
        <v/>
      </c>
      <c r="O104">
        <f>IFERROR(IF(ISNUMBER(INDEX(SPPR!$E:$X,MATCH($A104,SPPR!$A:$A,0),12)),$C104*INDEX(SPPR!$E:$X,MATCH($A104,SPPR!$A:$A,0),12),""),"")</f>
        <v/>
      </c>
      <c r="P104">
        <f>IFERROR(IF(ISNUMBER(INDEX(SPPR!$E:$X,MATCH($A104,SPPR!$A:$A,0),13)),$C104*INDEX(SPPR!$E:$X,MATCH($A104,SPPR!$A:$A,0),13),""),"")</f>
        <v/>
      </c>
      <c r="Q104">
        <f>IFERROR(IF(ISNUMBER(INDEX(SPPR!$E:$X,MATCH($A104,SPPR!$A:$A,0),14)),$C104*INDEX(SPPR!$E:$X,MATCH($A104,SPPR!$A:$A,0),14),""),"")</f>
        <v/>
      </c>
      <c r="R104">
        <f>IFERROR(IF(ISNUMBER(INDEX(SPPR!$E:$X,MATCH($A104,SPPR!$A:$A,0),15)),$C104*INDEX(SPPR!$E:$X,MATCH($A104,SPPR!$A:$A,0),15),""),"")</f>
        <v/>
      </c>
      <c r="S104">
        <f>IFERROR(IF(ISNUMBER(INDEX(SPPR!$E:$X,MATCH($A104,SPPR!$A:$A,0),16)),$C104*INDEX(SPPR!$E:$X,MATCH($A104,SPPR!$A:$A,0),16),""),"")</f>
        <v/>
      </c>
      <c r="T104">
        <f>IFERROR(IF(ISNUMBER(INDEX(SPPR!$E:$X,MATCH($A104,SPPR!$A:$A,0),17)),$C104*INDEX(SPPR!$E:$X,MATCH($A104,SPPR!$A:$A,0),17),""),"")</f>
        <v/>
      </c>
      <c r="U104">
        <f>IFERROR(IF(ISNUMBER(INDEX(SPPR!$E:$X,MATCH($A104,SPPR!$A:$A,0),18)),$C104*INDEX(SPPR!$E:$X,MATCH($A104,SPPR!$A:$A,0),18),""),"")</f>
        <v/>
      </c>
      <c r="V104">
        <f>IFERROR(IF(ISNUMBER(INDEX(SPPR!$E:$X,MATCH($A104,SPPR!$A:$A,0),19)),$C104*INDEX(SPPR!$E:$X,MATCH($A104,SPPR!$A:$A,0),19),""),"")</f>
        <v/>
      </c>
      <c r="W104">
        <f>IFERROR(IF(ISNUMBER(INDEX(SPPR!$E:$X,MATCH($A104,SPPR!$A:$A,0),20)),$C104*INDEX(SPPR!$E:$X,MATCH($A104,SPPR!$A:$A,0),20),""),"")</f>
        <v/>
      </c>
    </row>
    <row r="105">
      <c r="A105" t="inlineStr">
        <is>
          <t>Corbicula japonica</t>
        </is>
      </c>
      <c r="B105">
        <f>IFERROR(INDEX(SPPR!$D:$D,MATCH($A105,SPPR!$A:$A,0)),"")</f>
        <v/>
      </c>
      <c r="C105">
        <f>IFERROR(INDEX(Catch!$E:$BV,MATCH($A105,Catch!$A:$A,0),MATCH($B$4,Catch!$E$1:$BV$1,0)),0)</f>
        <v/>
      </c>
      <c r="D105">
        <f>IFERROR(IF(ISNUMBER(INDEX(SPPR!$E:$X,MATCH($A105,SPPR!$A:$A,0),1)),$C105*INDEX(SPPR!$E:$X,MATCH($A105,SPPR!$A:$A,0),1),""),"")</f>
        <v/>
      </c>
      <c r="E105">
        <f>IFERROR(IF(ISNUMBER(INDEX(SPPR!$E:$X,MATCH($A105,SPPR!$A:$A,0),2)),$C105*INDEX(SPPR!$E:$X,MATCH($A105,SPPR!$A:$A,0),2),""),"")</f>
        <v/>
      </c>
      <c r="F105">
        <f>IFERROR(IF(ISNUMBER(INDEX(SPPR!$E:$X,MATCH($A105,SPPR!$A:$A,0),3)),$C105*INDEX(SPPR!$E:$X,MATCH($A105,SPPR!$A:$A,0),3),""),"")</f>
        <v/>
      </c>
      <c r="G105">
        <f>IFERROR(IF(ISNUMBER(INDEX(SPPR!$E:$X,MATCH($A105,SPPR!$A:$A,0),4)),$C105*INDEX(SPPR!$E:$X,MATCH($A105,SPPR!$A:$A,0),4),""),"")</f>
        <v/>
      </c>
      <c r="H105">
        <f>IFERROR(IF(ISNUMBER(INDEX(SPPR!$E:$X,MATCH($A105,SPPR!$A:$A,0),5)),$C105*INDEX(SPPR!$E:$X,MATCH($A105,SPPR!$A:$A,0),5),""),"")</f>
        <v/>
      </c>
      <c r="I105">
        <f>IFERROR(IF(ISNUMBER(INDEX(SPPR!$E:$X,MATCH($A105,SPPR!$A:$A,0),6)),$C105*INDEX(SPPR!$E:$X,MATCH($A105,SPPR!$A:$A,0),6),""),"")</f>
        <v/>
      </c>
      <c r="J105">
        <f>IFERROR(IF(ISNUMBER(INDEX(SPPR!$E:$X,MATCH($A105,SPPR!$A:$A,0),7)),$C105*INDEX(SPPR!$E:$X,MATCH($A105,SPPR!$A:$A,0),7),""),"")</f>
        <v/>
      </c>
      <c r="K105">
        <f>IFERROR(IF(ISNUMBER(INDEX(SPPR!$E:$X,MATCH($A105,SPPR!$A:$A,0),8)),$C105*INDEX(SPPR!$E:$X,MATCH($A105,SPPR!$A:$A,0),8),""),"")</f>
        <v/>
      </c>
      <c r="L105">
        <f>IFERROR(IF(ISNUMBER(INDEX(SPPR!$E:$X,MATCH($A105,SPPR!$A:$A,0),9)),$C105*INDEX(SPPR!$E:$X,MATCH($A105,SPPR!$A:$A,0),9),""),"")</f>
        <v/>
      </c>
      <c r="M105">
        <f>IFERROR(IF(ISNUMBER(INDEX(SPPR!$E:$X,MATCH($A105,SPPR!$A:$A,0),10)),$C105*INDEX(SPPR!$E:$X,MATCH($A105,SPPR!$A:$A,0),10),""),"")</f>
        <v/>
      </c>
      <c r="N105">
        <f>IFERROR(IF(ISNUMBER(INDEX(SPPR!$E:$X,MATCH($A105,SPPR!$A:$A,0),11)),$C105*INDEX(SPPR!$E:$X,MATCH($A105,SPPR!$A:$A,0),11),""),"")</f>
        <v/>
      </c>
      <c r="O105">
        <f>IFERROR(IF(ISNUMBER(INDEX(SPPR!$E:$X,MATCH($A105,SPPR!$A:$A,0),12)),$C105*INDEX(SPPR!$E:$X,MATCH($A105,SPPR!$A:$A,0),12),""),"")</f>
        <v/>
      </c>
      <c r="P105">
        <f>IFERROR(IF(ISNUMBER(INDEX(SPPR!$E:$X,MATCH($A105,SPPR!$A:$A,0),13)),$C105*INDEX(SPPR!$E:$X,MATCH($A105,SPPR!$A:$A,0),13),""),"")</f>
        <v/>
      </c>
      <c r="Q105">
        <f>IFERROR(IF(ISNUMBER(INDEX(SPPR!$E:$X,MATCH($A105,SPPR!$A:$A,0),14)),$C105*INDEX(SPPR!$E:$X,MATCH($A105,SPPR!$A:$A,0),14),""),"")</f>
        <v/>
      </c>
      <c r="R105">
        <f>IFERROR(IF(ISNUMBER(INDEX(SPPR!$E:$X,MATCH($A105,SPPR!$A:$A,0),15)),$C105*INDEX(SPPR!$E:$X,MATCH($A105,SPPR!$A:$A,0),15),""),"")</f>
        <v/>
      </c>
      <c r="S105">
        <f>IFERROR(IF(ISNUMBER(INDEX(SPPR!$E:$X,MATCH($A105,SPPR!$A:$A,0),16)),$C105*INDEX(SPPR!$E:$X,MATCH($A105,SPPR!$A:$A,0),16),""),"")</f>
        <v/>
      </c>
      <c r="T105">
        <f>IFERROR(IF(ISNUMBER(INDEX(SPPR!$E:$X,MATCH($A105,SPPR!$A:$A,0),17)),$C105*INDEX(SPPR!$E:$X,MATCH($A105,SPPR!$A:$A,0),17),""),"")</f>
        <v/>
      </c>
      <c r="U105">
        <f>IFERROR(IF(ISNUMBER(INDEX(SPPR!$E:$X,MATCH($A105,SPPR!$A:$A,0),18)),$C105*INDEX(SPPR!$E:$X,MATCH($A105,SPPR!$A:$A,0),18),""),"")</f>
        <v/>
      </c>
      <c r="V105">
        <f>IFERROR(IF(ISNUMBER(INDEX(SPPR!$E:$X,MATCH($A105,SPPR!$A:$A,0),19)),$C105*INDEX(SPPR!$E:$X,MATCH($A105,SPPR!$A:$A,0),19),""),"")</f>
        <v/>
      </c>
      <c r="W105">
        <f>IFERROR(IF(ISNUMBER(INDEX(SPPR!$E:$X,MATCH($A105,SPPR!$A:$A,0),20)),$C105*INDEX(SPPR!$E:$X,MATCH($A105,SPPR!$A:$A,0),20),""),"")</f>
        <v/>
      </c>
    </row>
    <row r="106">
      <c r="A106" t="inlineStr">
        <is>
          <t>Gadiformes</t>
        </is>
      </c>
      <c r="B106">
        <f>IFERROR(INDEX(SPPR!$D:$D,MATCH($A106,SPPR!$A:$A,0)),"")</f>
        <v/>
      </c>
      <c r="C106">
        <f>IFERROR(INDEX(Catch!$E:$BV,MATCH($A106,Catch!$A:$A,0),MATCH($B$4,Catch!$E$1:$BV$1,0)),0)</f>
        <v/>
      </c>
      <c r="D106">
        <f>IFERROR(IF(ISNUMBER(INDEX(SPPR!$E:$X,MATCH($A106,SPPR!$A:$A,0),1)),$C106*INDEX(SPPR!$E:$X,MATCH($A106,SPPR!$A:$A,0),1),""),"")</f>
        <v/>
      </c>
      <c r="E106">
        <f>IFERROR(IF(ISNUMBER(INDEX(SPPR!$E:$X,MATCH($A106,SPPR!$A:$A,0),2)),$C106*INDEX(SPPR!$E:$X,MATCH($A106,SPPR!$A:$A,0),2),""),"")</f>
        <v/>
      </c>
      <c r="F106">
        <f>IFERROR(IF(ISNUMBER(INDEX(SPPR!$E:$X,MATCH($A106,SPPR!$A:$A,0),3)),$C106*INDEX(SPPR!$E:$X,MATCH($A106,SPPR!$A:$A,0),3),""),"")</f>
        <v/>
      </c>
      <c r="G106">
        <f>IFERROR(IF(ISNUMBER(INDEX(SPPR!$E:$X,MATCH($A106,SPPR!$A:$A,0),4)),$C106*INDEX(SPPR!$E:$X,MATCH($A106,SPPR!$A:$A,0),4),""),"")</f>
        <v/>
      </c>
      <c r="H106">
        <f>IFERROR(IF(ISNUMBER(INDEX(SPPR!$E:$X,MATCH($A106,SPPR!$A:$A,0),5)),$C106*INDEX(SPPR!$E:$X,MATCH($A106,SPPR!$A:$A,0),5),""),"")</f>
        <v/>
      </c>
      <c r="I106">
        <f>IFERROR(IF(ISNUMBER(INDEX(SPPR!$E:$X,MATCH($A106,SPPR!$A:$A,0),6)),$C106*INDEX(SPPR!$E:$X,MATCH($A106,SPPR!$A:$A,0),6),""),"")</f>
        <v/>
      </c>
      <c r="J106">
        <f>IFERROR(IF(ISNUMBER(INDEX(SPPR!$E:$X,MATCH($A106,SPPR!$A:$A,0),7)),$C106*INDEX(SPPR!$E:$X,MATCH($A106,SPPR!$A:$A,0),7),""),"")</f>
        <v/>
      </c>
      <c r="K106">
        <f>IFERROR(IF(ISNUMBER(INDEX(SPPR!$E:$X,MATCH($A106,SPPR!$A:$A,0),8)),$C106*INDEX(SPPR!$E:$X,MATCH($A106,SPPR!$A:$A,0),8),""),"")</f>
        <v/>
      </c>
      <c r="L106">
        <f>IFERROR(IF(ISNUMBER(INDEX(SPPR!$E:$X,MATCH($A106,SPPR!$A:$A,0),9)),$C106*INDEX(SPPR!$E:$X,MATCH($A106,SPPR!$A:$A,0),9),""),"")</f>
        <v/>
      </c>
      <c r="M106">
        <f>IFERROR(IF(ISNUMBER(INDEX(SPPR!$E:$X,MATCH($A106,SPPR!$A:$A,0),10)),$C106*INDEX(SPPR!$E:$X,MATCH($A106,SPPR!$A:$A,0),10),""),"")</f>
        <v/>
      </c>
      <c r="N106">
        <f>IFERROR(IF(ISNUMBER(INDEX(SPPR!$E:$X,MATCH($A106,SPPR!$A:$A,0),11)),$C106*INDEX(SPPR!$E:$X,MATCH($A106,SPPR!$A:$A,0),11),""),"")</f>
        <v/>
      </c>
      <c r="O106">
        <f>IFERROR(IF(ISNUMBER(INDEX(SPPR!$E:$X,MATCH($A106,SPPR!$A:$A,0),12)),$C106*INDEX(SPPR!$E:$X,MATCH($A106,SPPR!$A:$A,0),12),""),"")</f>
        <v/>
      </c>
      <c r="P106">
        <f>IFERROR(IF(ISNUMBER(INDEX(SPPR!$E:$X,MATCH($A106,SPPR!$A:$A,0),13)),$C106*INDEX(SPPR!$E:$X,MATCH($A106,SPPR!$A:$A,0),13),""),"")</f>
        <v/>
      </c>
      <c r="Q106">
        <f>IFERROR(IF(ISNUMBER(INDEX(SPPR!$E:$X,MATCH($A106,SPPR!$A:$A,0),14)),$C106*INDEX(SPPR!$E:$X,MATCH($A106,SPPR!$A:$A,0),14),""),"")</f>
        <v/>
      </c>
      <c r="R106">
        <f>IFERROR(IF(ISNUMBER(INDEX(SPPR!$E:$X,MATCH($A106,SPPR!$A:$A,0),15)),$C106*INDEX(SPPR!$E:$X,MATCH($A106,SPPR!$A:$A,0),15),""),"")</f>
        <v/>
      </c>
      <c r="S106">
        <f>IFERROR(IF(ISNUMBER(INDEX(SPPR!$E:$X,MATCH($A106,SPPR!$A:$A,0),16)),$C106*INDEX(SPPR!$E:$X,MATCH($A106,SPPR!$A:$A,0),16),""),"")</f>
        <v/>
      </c>
      <c r="T106">
        <f>IFERROR(IF(ISNUMBER(INDEX(SPPR!$E:$X,MATCH($A106,SPPR!$A:$A,0),17)),$C106*INDEX(SPPR!$E:$X,MATCH($A106,SPPR!$A:$A,0),17),""),"")</f>
        <v/>
      </c>
      <c r="U106">
        <f>IFERROR(IF(ISNUMBER(INDEX(SPPR!$E:$X,MATCH($A106,SPPR!$A:$A,0),18)),$C106*INDEX(SPPR!$E:$X,MATCH($A106,SPPR!$A:$A,0),18),""),"")</f>
        <v/>
      </c>
      <c r="V106">
        <f>IFERROR(IF(ISNUMBER(INDEX(SPPR!$E:$X,MATCH($A106,SPPR!$A:$A,0),19)),$C106*INDEX(SPPR!$E:$X,MATCH($A106,SPPR!$A:$A,0),19),""),"")</f>
        <v/>
      </c>
      <c r="W106">
        <f>IFERROR(IF(ISNUMBER(INDEX(SPPR!$E:$X,MATCH($A106,SPPR!$A:$A,0),20)),$C106*INDEX(SPPR!$E:$X,MATCH($A106,SPPR!$A:$A,0),20),""),"")</f>
        <v/>
      </c>
    </row>
    <row r="107">
      <c r="A107" t="inlineStr">
        <is>
          <t>Lycodes</t>
        </is>
      </c>
      <c r="B107">
        <f>IFERROR(INDEX(SPPR!$D:$D,MATCH($A107,SPPR!$A:$A,0)),"")</f>
        <v/>
      </c>
      <c r="C107">
        <f>IFERROR(INDEX(Catch!$E:$BV,MATCH($A107,Catch!$A:$A,0),MATCH($B$4,Catch!$E$1:$BV$1,0)),0)</f>
        <v/>
      </c>
      <c r="D107">
        <f>IFERROR(IF(ISNUMBER(INDEX(SPPR!$E:$X,MATCH($A107,SPPR!$A:$A,0),1)),$C107*INDEX(SPPR!$E:$X,MATCH($A107,SPPR!$A:$A,0),1),""),"")</f>
        <v/>
      </c>
      <c r="E107">
        <f>IFERROR(IF(ISNUMBER(INDEX(SPPR!$E:$X,MATCH($A107,SPPR!$A:$A,0),2)),$C107*INDEX(SPPR!$E:$X,MATCH($A107,SPPR!$A:$A,0),2),""),"")</f>
        <v/>
      </c>
      <c r="F107">
        <f>IFERROR(IF(ISNUMBER(INDEX(SPPR!$E:$X,MATCH($A107,SPPR!$A:$A,0),3)),$C107*INDEX(SPPR!$E:$X,MATCH($A107,SPPR!$A:$A,0),3),""),"")</f>
        <v/>
      </c>
      <c r="G107">
        <f>IFERROR(IF(ISNUMBER(INDEX(SPPR!$E:$X,MATCH($A107,SPPR!$A:$A,0),4)),$C107*INDEX(SPPR!$E:$X,MATCH($A107,SPPR!$A:$A,0),4),""),"")</f>
        <v/>
      </c>
      <c r="H107">
        <f>IFERROR(IF(ISNUMBER(INDEX(SPPR!$E:$X,MATCH($A107,SPPR!$A:$A,0),5)),$C107*INDEX(SPPR!$E:$X,MATCH($A107,SPPR!$A:$A,0),5),""),"")</f>
        <v/>
      </c>
      <c r="I107">
        <f>IFERROR(IF(ISNUMBER(INDEX(SPPR!$E:$X,MATCH($A107,SPPR!$A:$A,0),6)),$C107*INDEX(SPPR!$E:$X,MATCH($A107,SPPR!$A:$A,0),6),""),"")</f>
        <v/>
      </c>
      <c r="J107">
        <f>IFERROR(IF(ISNUMBER(INDEX(SPPR!$E:$X,MATCH($A107,SPPR!$A:$A,0),7)),$C107*INDEX(SPPR!$E:$X,MATCH($A107,SPPR!$A:$A,0),7),""),"")</f>
        <v/>
      </c>
      <c r="K107">
        <f>IFERROR(IF(ISNUMBER(INDEX(SPPR!$E:$X,MATCH($A107,SPPR!$A:$A,0),8)),$C107*INDEX(SPPR!$E:$X,MATCH($A107,SPPR!$A:$A,0),8),""),"")</f>
        <v/>
      </c>
      <c r="L107">
        <f>IFERROR(IF(ISNUMBER(INDEX(SPPR!$E:$X,MATCH($A107,SPPR!$A:$A,0),9)),$C107*INDEX(SPPR!$E:$X,MATCH($A107,SPPR!$A:$A,0),9),""),"")</f>
        <v/>
      </c>
      <c r="M107">
        <f>IFERROR(IF(ISNUMBER(INDEX(SPPR!$E:$X,MATCH($A107,SPPR!$A:$A,0),10)),$C107*INDEX(SPPR!$E:$X,MATCH($A107,SPPR!$A:$A,0),10),""),"")</f>
        <v/>
      </c>
      <c r="N107">
        <f>IFERROR(IF(ISNUMBER(INDEX(SPPR!$E:$X,MATCH($A107,SPPR!$A:$A,0),11)),$C107*INDEX(SPPR!$E:$X,MATCH($A107,SPPR!$A:$A,0),11),""),"")</f>
        <v/>
      </c>
      <c r="O107">
        <f>IFERROR(IF(ISNUMBER(INDEX(SPPR!$E:$X,MATCH($A107,SPPR!$A:$A,0),12)),$C107*INDEX(SPPR!$E:$X,MATCH($A107,SPPR!$A:$A,0),12),""),"")</f>
        <v/>
      </c>
      <c r="P107">
        <f>IFERROR(IF(ISNUMBER(INDEX(SPPR!$E:$X,MATCH($A107,SPPR!$A:$A,0),13)),$C107*INDEX(SPPR!$E:$X,MATCH($A107,SPPR!$A:$A,0),13),""),"")</f>
        <v/>
      </c>
      <c r="Q107">
        <f>IFERROR(IF(ISNUMBER(INDEX(SPPR!$E:$X,MATCH($A107,SPPR!$A:$A,0),14)),$C107*INDEX(SPPR!$E:$X,MATCH($A107,SPPR!$A:$A,0),14),""),"")</f>
        <v/>
      </c>
      <c r="R107">
        <f>IFERROR(IF(ISNUMBER(INDEX(SPPR!$E:$X,MATCH($A107,SPPR!$A:$A,0),15)),$C107*INDEX(SPPR!$E:$X,MATCH($A107,SPPR!$A:$A,0),15),""),"")</f>
        <v/>
      </c>
      <c r="S107">
        <f>IFERROR(IF(ISNUMBER(INDEX(SPPR!$E:$X,MATCH($A107,SPPR!$A:$A,0),16)),$C107*INDEX(SPPR!$E:$X,MATCH($A107,SPPR!$A:$A,0),16),""),"")</f>
        <v/>
      </c>
      <c r="T107">
        <f>IFERROR(IF(ISNUMBER(INDEX(SPPR!$E:$X,MATCH($A107,SPPR!$A:$A,0),17)),$C107*INDEX(SPPR!$E:$X,MATCH($A107,SPPR!$A:$A,0),17),""),"")</f>
        <v/>
      </c>
      <c r="U107">
        <f>IFERROR(IF(ISNUMBER(INDEX(SPPR!$E:$X,MATCH($A107,SPPR!$A:$A,0),18)),$C107*INDEX(SPPR!$E:$X,MATCH($A107,SPPR!$A:$A,0),18),""),"")</f>
        <v/>
      </c>
      <c r="V107">
        <f>IFERROR(IF(ISNUMBER(INDEX(SPPR!$E:$X,MATCH($A107,SPPR!$A:$A,0),19)),$C107*INDEX(SPPR!$E:$X,MATCH($A107,SPPR!$A:$A,0),19),""),"")</f>
        <v/>
      </c>
      <c r="W107">
        <f>IFERROR(IF(ISNUMBER(INDEX(SPPR!$E:$X,MATCH($A107,SPPR!$A:$A,0),20)),$C107*INDEX(SPPR!$E:$X,MATCH($A107,SPPR!$A:$A,0),20),""),"")</f>
        <v/>
      </c>
    </row>
    <row r="108">
      <c r="A108" t="inlineStr">
        <is>
          <t>Actinopterygii</t>
        </is>
      </c>
      <c r="B108">
        <f>IFERROR(INDEX(SPPR!$D:$D,MATCH($A108,SPPR!$A:$A,0)),"")</f>
        <v/>
      </c>
      <c r="C108">
        <f>IFERROR(INDEX(Catch!$E:$BV,MATCH($A108,Catch!$A:$A,0),MATCH($B$4,Catch!$E$1:$BV$1,0)),0)</f>
        <v/>
      </c>
      <c r="D108">
        <f>IFERROR(IF(ISNUMBER(INDEX(SPPR!$E:$X,MATCH($A108,SPPR!$A:$A,0),1)),$C108*INDEX(SPPR!$E:$X,MATCH($A108,SPPR!$A:$A,0),1),""),"")</f>
        <v/>
      </c>
      <c r="E108">
        <f>IFERROR(IF(ISNUMBER(INDEX(SPPR!$E:$X,MATCH($A108,SPPR!$A:$A,0),2)),$C108*INDEX(SPPR!$E:$X,MATCH($A108,SPPR!$A:$A,0),2),""),"")</f>
        <v/>
      </c>
      <c r="F108">
        <f>IFERROR(IF(ISNUMBER(INDEX(SPPR!$E:$X,MATCH($A108,SPPR!$A:$A,0),3)),$C108*INDEX(SPPR!$E:$X,MATCH($A108,SPPR!$A:$A,0),3),""),"")</f>
        <v/>
      </c>
      <c r="G108">
        <f>IFERROR(IF(ISNUMBER(INDEX(SPPR!$E:$X,MATCH($A108,SPPR!$A:$A,0),4)),$C108*INDEX(SPPR!$E:$X,MATCH($A108,SPPR!$A:$A,0),4),""),"")</f>
        <v/>
      </c>
      <c r="H108">
        <f>IFERROR(IF(ISNUMBER(INDEX(SPPR!$E:$X,MATCH($A108,SPPR!$A:$A,0),5)),$C108*INDEX(SPPR!$E:$X,MATCH($A108,SPPR!$A:$A,0),5),""),"")</f>
        <v/>
      </c>
      <c r="I108">
        <f>IFERROR(IF(ISNUMBER(INDEX(SPPR!$E:$X,MATCH($A108,SPPR!$A:$A,0),6)),$C108*INDEX(SPPR!$E:$X,MATCH($A108,SPPR!$A:$A,0),6),""),"")</f>
        <v/>
      </c>
      <c r="J108">
        <f>IFERROR(IF(ISNUMBER(INDEX(SPPR!$E:$X,MATCH($A108,SPPR!$A:$A,0),7)),$C108*INDEX(SPPR!$E:$X,MATCH($A108,SPPR!$A:$A,0),7),""),"")</f>
        <v/>
      </c>
      <c r="K108">
        <f>IFERROR(IF(ISNUMBER(INDEX(SPPR!$E:$X,MATCH($A108,SPPR!$A:$A,0),8)),$C108*INDEX(SPPR!$E:$X,MATCH($A108,SPPR!$A:$A,0),8),""),"")</f>
        <v/>
      </c>
      <c r="L108">
        <f>IFERROR(IF(ISNUMBER(INDEX(SPPR!$E:$X,MATCH($A108,SPPR!$A:$A,0),9)),$C108*INDEX(SPPR!$E:$X,MATCH($A108,SPPR!$A:$A,0),9),""),"")</f>
        <v/>
      </c>
      <c r="M108">
        <f>IFERROR(IF(ISNUMBER(INDEX(SPPR!$E:$X,MATCH($A108,SPPR!$A:$A,0),10)),$C108*INDEX(SPPR!$E:$X,MATCH($A108,SPPR!$A:$A,0),10),""),"")</f>
        <v/>
      </c>
      <c r="N108">
        <f>IFERROR(IF(ISNUMBER(INDEX(SPPR!$E:$X,MATCH($A108,SPPR!$A:$A,0),11)),$C108*INDEX(SPPR!$E:$X,MATCH($A108,SPPR!$A:$A,0),11),""),"")</f>
        <v/>
      </c>
      <c r="O108">
        <f>IFERROR(IF(ISNUMBER(INDEX(SPPR!$E:$X,MATCH($A108,SPPR!$A:$A,0),12)),$C108*INDEX(SPPR!$E:$X,MATCH($A108,SPPR!$A:$A,0),12),""),"")</f>
        <v/>
      </c>
      <c r="P108">
        <f>IFERROR(IF(ISNUMBER(INDEX(SPPR!$E:$X,MATCH($A108,SPPR!$A:$A,0),13)),$C108*INDEX(SPPR!$E:$X,MATCH($A108,SPPR!$A:$A,0),13),""),"")</f>
        <v/>
      </c>
      <c r="Q108">
        <f>IFERROR(IF(ISNUMBER(INDEX(SPPR!$E:$X,MATCH($A108,SPPR!$A:$A,0),14)),$C108*INDEX(SPPR!$E:$X,MATCH($A108,SPPR!$A:$A,0),14),""),"")</f>
        <v/>
      </c>
      <c r="R108">
        <f>IFERROR(IF(ISNUMBER(INDEX(SPPR!$E:$X,MATCH($A108,SPPR!$A:$A,0),15)),$C108*INDEX(SPPR!$E:$X,MATCH($A108,SPPR!$A:$A,0),15),""),"")</f>
        <v/>
      </c>
      <c r="S108">
        <f>IFERROR(IF(ISNUMBER(INDEX(SPPR!$E:$X,MATCH($A108,SPPR!$A:$A,0),16)),$C108*INDEX(SPPR!$E:$X,MATCH($A108,SPPR!$A:$A,0),16),""),"")</f>
        <v/>
      </c>
      <c r="T108">
        <f>IFERROR(IF(ISNUMBER(INDEX(SPPR!$E:$X,MATCH($A108,SPPR!$A:$A,0),17)),$C108*INDEX(SPPR!$E:$X,MATCH($A108,SPPR!$A:$A,0),17),""),"")</f>
        <v/>
      </c>
      <c r="U108">
        <f>IFERROR(IF(ISNUMBER(INDEX(SPPR!$E:$X,MATCH($A108,SPPR!$A:$A,0),18)),$C108*INDEX(SPPR!$E:$X,MATCH($A108,SPPR!$A:$A,0),18),""),"")</f>
        <v/>
      </c>
      <c r="V108">
        <f>IFERROR(IF(ISNUMBER(INDEX(SPPR!$E:$X,MATCH($A108,SPPR!$A:$A,0),19)),$C108*INDEX(SPPR!$E:$X,MATCH($A108,SPPR!$A:$A,0),19),""),"")</f>
        <v/>
      </c>
      <c r="W108">
        <f>IFERROR(IF(ISNUMBER(INDEX(SPPR!$E:$X,MATCH($A108,SPPR!$A:$A,0),20)),$C108*INDEX(SPPR!$E:$X,MATCH($A108,SPPR!$A:$A,0),20),""),"")</f>
        <v/>
      </c>
    </row>
    <row r="109">
      <c r="A109" t="inlineStr">
        <is>
          <t>Miscellaneous aquatic invertebrates</t>
        </is>
      </c>
      <c r="B109">
        <f>IFERROR(INDEX(SPPR!$D:$D,MATCH($A109,SPPR!$A:$A,0)),"")</f>
        <v/>
      </c>
      <c r="C109">
        <f>IFERROR(INDEX(Catch!$E:$BV,MATCH($A109,Catch!$A:$A,0),MATCH($B$4,Catch!$E$1:$BV$1,0)),0)</f>
        <v/>
      </c>
      <c r="D109">
        <f>IFERROR(IF(ISNUMBER(INDEX(SPPR!$E:$X,MATCH($A109,SPPR!$A:$A,0),1)),$C109*INDEX(SPPR!$E:$X,MATCH($A109,SPPR!$A:$A,0),1),""),"")</f>
        <v/>
      </c>
      <c r="E109">
        <f>IFERROR(IF(ISNUMBER(INDEX(SPPR!$E:$X,MATCH($A109,SPPR!$A:$A,0),2)),$C109*INDEX(SPPR!$E:$X,MATCH($A109,SPPR!$A:$A,0),2),""),"")</f>
        <v/>
      </c>
      <c r="F109">
        <f>IFERROR(IF(ISNUMBER(INDEX(SPPR!$E:$X,MATCH($A109,SPPR!$A:$A,0),3)),$C109*INDEX(SPPR!$E:$X,MATCH($A109,SPPR!$A:$A,0),3),""),"")</f>
        <v/>
      </c>
      <c r="G109">
        <f>IFERROR(IF(ISNUMBER(INDEX(SPPR!$E:$X,MATCH($A109,SPPR!$A:$A,0),4)),$C109*INDEX(SPPR!$E:$X,MATCH($A109,SPPR!$A:$A,0),4),""),"")</f>
        <v/>
      </c>
      <c r="H109">
        <f>IFERROR(IF(ISNUMBER(INDEX(SPPR!$E:$X,MATCH($A109,SPPR!$A:$A,0),5)),$C109*INDEX(SPPR!$E:$X,MATCH($A109,SPPR!$A:$A,0),5),""),"")</f>
        <v/>
      </c>
      <c r="I109">
        <f>IFERROR(IF(ISNUMBER(INDEX(SPPR!$E:$X,MATCH($A109,SPPR!$A:$A,0),6)),$C109*INDEX(SPPR!$E:$X,MATCH($A109,SPPR!$A:$A,0),6),""),"")</f>
        <v/>
      </c>
      <c r="J109">
        <f>IFERROR(IF(ISNUMBER(INDEX(SPPR!$E:$X,MATCH($A109,SPPR!$A:$A,0),7)),$C109*INDEX(SPPR!$E:$X,MATCH($A109,SPPR!$A:$A,0),7),""),"")</f>
        <v/>
      </c>
      <c r="K109">
        <f>IFERROR(IF(ISNUMBER(INDEX(SPPR!$E:$X,MATCH($A109,SPPR!$A:$A,0),8)),$C109*INDEX(SPPR!$E:$X,MATCH($A109,SPPR!$A:$A,0),8),""),"")</f>
        <v/>
      </c>
      <c r="L109">
        <f>IFERROR(IF(ISNUMBER(INDEX(SPPR!$E:$X,MATCH($A109,SPPR!$A:$A,0),9)),$C109*INDEX(SPPR!$E:$X,MATCH($A109,SPPR!$A:$A,0),9),""),"")</f>
        <v/>
      </c>
      <c r="M109">
        <f>IFERROR(IF(ISNUMBER(INDEX(SPPR!$E:$X,MATCH($A109,SPPR!$A:$A,0),10)),$C109*INDEX(SPPR!$E:$X,MATCH($A109,SPPR!$A:$A,0),10),""),"")</f>
        <v/>
      </c>
      <c r="N109">
        <f>IFERROR(IF(ISNUMBER(INDEX(SPPR!$E:$X,MATCH($A109,SPPR!$A:$A,0),11)),$C109*INDEX(SPPR!$E:$X,MATCH($A109,SPPR!$A:$A,0),11),""),"")</f>
        <v/>
      </c>
      <c r="O109">
        <f>IFERROR(IF(ISNUMBER(INDEX(SPPR!$E:$X,MATCH($A109,SPPR!$A:$A,0),12)),$C109*INDEX(SPPR!$E:$X,MATCH($A109,SPPR!$A:$A,0),12),""),"")</f>
        <v/>
      </c>
      <c r="P109">
        <f>IFERROR(IF(ISNUMBER(INDEX(SPPR!$E:$X,MATCH($A109,SPPR!$A:$A,0),13)),$C109*INDEX(SPPR!$E:$X,MATCH($A109,SPPR!$A:$A,0),13),""),"")</f>
        <v/>
      </c>
      <c r="Q109">
        <f>IFERROR(IF(ISNUMBER(INDEX(SPPR!$E:$X,MATCH($A109,SPPR!$A:$A,0),14)),$C109*INDEX(SPPR!$E:$X,MATCH($A109,SPPR!$A:$A,0),14),""),"")</f>
        <v/>
      </c>
      <c r="R109">
        <f>IFERROR(IF(ISNUMBER(INDEX(SPPR!$E:$X,MATCH($A109,SPPR!$A:$A,0),15)),$C109*INDEX(SPPR!$E:$X,MATCH($A109,SPPR!$A:$A,0),15),""),"")</f>
        <v/>
      </c>
      <c r="S109">
        <f>IFERROR(IF(ISNUMBER(INDEX(SPPR!$E:$X,MATCH($A109,SPPR!$A:$A,0),16)),$C109*INDEX(SPPR!$E:$X,MATCH($A109,SPPR!$A:$A,0),16),""),"")</f>
        <v/>
      </c>
      <c r="T109">
        <f>IFERROR(IF(ISNUMBER(INDEX(SPPR!$E:$X,MATCH($A109,SPPR!$A:$A,0),17)),$C109*INDEX(SPPR!$E:$X,MATCH($A109,SPPR!$A:$A,0),17),""),"")</f>
        <v/>
      </c>
      <c r="U109">
        <f>IFERROR(IF(ISNUMBER(INDEX(SPPR!$E:$X,MATCH($A109,SPPR!$A:$A,0),18)),$C109*INDEX(SPPR!$E:$X,MATCH($A109,SPPR!$A:$A,0),18),""),"")</f>
        <v/>
      </c>
      <c r="V109">
        <f>IFERROR(IF(ISNUMBER(INDEX(SPPR!$E:$X,MATCH($A109,SPPR!$A:$A,0),19)),$C109*INDEX(SPPR!$E:$X,MATCH($A109,SPPR!$A:$A,0),19),""),"")</f>
        <v/>
      </c>
      <c r="W109">
        <f>IFERROR(IF(ISNUMBER(INDEX(SPPR!$E:$X,MATCH($A109,SPPR!$A:$A,0),20)),$C109*INDEX(SPPR!$E:$X,MATCH($A109,SPPR!$A:$A,0),20),""),"")</f>
        <v/>
      </c>
    </row>
    <row r="110">
      <c r="A110" t="inlineStr">
        <is>
          <t>Erimacrus isenbeckii</t>
        </is>
      </c>
      <c r="B110">
        <f>IFERROR(INDEX(SPPR!$D:$D,MATCH($A110,SPPR!$A:$A,0)),"")</f>
        <v/>
      </c>
      <c r="C110">
        <f>IFERROR(INDEX(Catch!$E:$BV,MATCH($A110,Catch!$A:$A,0),MATCH($B$4,Catch!$E$1:$BV$1,0)),0)</f>
        <v/>
      </c>
      <c r="D110">
        <f>IFERROR(IF(ISNUMBER(INDEX(SPPR!$E:$X,MATCH($A110,SPPR!$A:$A,0),1)),$C110*INDEX(SPPR!$E:$X,MATCH($A110,SPPR!$A:$A,0),1),""),"")</f>
        <v/>
      </c>
      <c r="E110">
        <f>IFERROR(IF(ISNUMBER(INDEX(SPPR!$E:$X,MATCH($A110,SPPR!$A:$A,0),2)),$C110*INDEX(SPPR!$E:$X,MATCH($A110,SPPR!$A:$A,0),2),""),"")</f>
        <v/>
      </c>
      <c r="F110">
        <f>IFERROR(IF(ISNUMBER(INDEX(SPPR!$E:$X,MATCH($A110,SPPR!$A:$A,0),3)),$C110*INDEX(SPPR!$E:$X,MATCH($A110,SPPR!$A:$A,0),3),""),"")</f>
        <v/>
      </c>
      <c r="G110">
        <f>IFERROR(IF(ISNUMBER(INDEX(SPPR!$E:$X,MATCH($A110,SPPR!$A:$A,0),4)),$C110*INDEX(SPPR!$E:$X,MATCH($A110,SPPR!$A:$A,0),4),""),"")</f>
        <v/>
      </c>
      <c r="H110">
        <f>IFERROR(IF(ISNUMBER(INDEX(SPPR!$E:$X,MATCH($A110,SPPR!$A:$A,0),5)),$C110*INDEX(SPPR!$E:$X,MATCH($A110,SPPR!$A:$A,0),5),""),"")</f>
        <v/>
      </c>
      <c r="I110">
        <f>IFERROR(IF(ISNUMBER(INDEX(SPPR!$E:$X,MATCH($A110,SPPR!$A:$A,0),6)),$C110*INDEX(SPPR!$E:$X,MATCH($A110,SPPR!$A:$A,0),6),""),"")</f>
        <v/>
      </c>
      <c r="J110">
        <f>IFERROR(IF(ISNUMBER(INDEX(SPPR!$E:$X,MATCH($A110,SPPR!$A:$A,0),7)),$C110*INDEX(SPPR!$E:$X,MATCH($A110,SPPR!$A:$A,0),7),""),"")</f>
        <v/>
      </c>
      <c r="K110">
        <f>IFERROR(IF(ISNUMBER(INDEX(SPPR!$E:$X,MATCH($A110,SPPR!$A:$A,0),8)),$C110*INDEX(SPPR!$E:$X,MATCH($A110,SPPR!$A:$A,0),8),""),"")</f>
        <v/>
      </c>
      <c r="L110">
        <f>IFERROR(IF(ISNUMBER(INDEX(SPPR!$E:$X,MATCH($A110,SPPR!$A:$A,0),9)),$C110*INDEX(SPPR!$E:$X,MATCH($A110,SPPR!$A:$A,0),9),""),"")</f>
        <v/>
      </c>
      <c r="M110">
        <f>IFERROR(IF(ISNUMBER(INDEX(SPPR!$E:$X,MATCH($A110,SPPR!$A:$A,0),10)),$C110*INDEX(SPPR!$E:$X,MATCH($A110,SPPR!$A:$A,0),10),""),"")</f>
        <v/>
      </c>
      <c r="N110">
        <f>IFERROR(IF(ISNUMBER(INDEX(SPPR!$E:$X,MATCH($A110,SPPR!$A:$A,0),11)),$C110*INDEX(SPPR!$E:$X,MATCH($A110,SPPR!$A:$A,0),11),""),"")</f>
        <v/>
      </c>
      <c r="O110">
        <f>IFERROR(IF(ISNUMBER(INDEX(SPPR!$E:$X,MATCH($A110,SPPR!$A:$A,0),12)),$C110*INDEX(SPPR!$E:$X,MATCH($A110,SPPR!$A:$A,0),12),""),"")</f>
        <v/>
      </c>
      <c r="P110">
        <f>IFERROR(IF(ISNUMBER(INDEX(SPPR!$E:$X,MATCH($A110,SPPR!$A:$A,0),13)),$C110*INDEX(SPPR!$E:$X,MATCH($A110,SPPR!$A:$A,0),13),""),"")</f>
        <v/>
      </c>
      <c r="Q110">
        <f>IFERROR(IF(ISNUMBER(INDEX(SPPR!$E:$X,MATCH($A110,SPPR!$A:$A,0),14)),$C110*INDEX(SPPR!$E:$X,MATCH($A110,SPPR!$A:$A,0),14),""),"")</f>
        <v/>
      </c>
      <c r="R110">
        <f>IFERROR(IF(ISNUMBER(INDEX(SPPR!$E:$X,MATCH($A110,SPPR!$A:$A,0),15)),$C110*INDEX(SPPR!$E:$X,MATCH($A110,SPPR!$A:$A,0),15),""),"")</f>
        <v/>
      </c>
      <c r="S110">
        <f>IFERROR(IF(ISNUMBER(INDEX(SPPR!$E:$X,MATCH($A110,SPPR!$A:$A,0),16)),$C110*INDEX(SPPR!$E:$X,MATCH($A110,SPPR!$A:$A,0),16),""),"")</f>
        <v/>
      </c>
      <c r="T110">
        <f>IFERROR(IF(ISNUMBER(INDEX(SPPR!$E:$X,MATCH($A110,SPPR!$A:$A,0),17)),$C110*INDEX(SPPR!$E:$X,MATCH($A110,SPPR!$A:$A,0),17),""),"")</f>
        <v/>
      </c>
      <c r="U110">
        <f>IFERROR(IF(ISNUMBER(INDEX(SPPR!$E:$X,MATCH($A110,SPPR!$A:$A,0),18)),$C110*INDEX(SPPR!$E:$X,MATCH($A110,SPPR!$A:$A,0),18),""),"")</f>
        <v/>
      </c>
      <c r="V110">
        <f>IFERROR(IF(ISNUMBER(INDEX(SPPR!$E:$X,MATCH($A110,SPPR!$A:$A,0),19)),$C110*INDEX(SPPR!$E:$X,MATCH($A110,SPPR!$A:$A,0),19),""),"")</f>
        <v/>
      </c>
      <c r="W110">
        <f>IFERROR(IF(ISNUMBER(INDEX(SPPR!$E:$X,MATCH($A110,SPPR!$A:$A,0),20)),$C110*INDEX(SPPR!$E:$X,MATCH($A110,SPPR!$A:$A,0),20),""),"")</f>
        <v/>
      </c>
    </row>
    <row r="111">
      <c r="A111" t="inlineStr">
        <is>
          <t>Mytilidae</t>
        </is>
      </c>
      <c r="B111">
        <f>IFERROR(INDEX(SPPR!$D:$D,MATCH($A111,SPPR!$A:$A,0)),"")</f>
        <v/>
      </c>
      <c r="C111">
        <f>IFERROR(INDEX(Catch!$E:$BV,MATCH($A111,Catch!$A:$A,0),MATCH($B$4,Catch!$E$1:$BV$1,0)),0)</f>
        <v/>
      </c>
      <c r="D111">
        <f>IFERROR(IF(ISNUMBER(INDEX(SPPR!$E:$X,MATCH($A111,SPPR!$A:$A,0),1)),$C111*INDEX(SPPR!$E:$X,MATCH($A111,SPPR!$A:$A,0),1),""),"")</f>
        <v/>
      </c>
      <c r="E111">
        <f>IFERROR(IF(ISNUMBER(INDEX(SPPR!$E:$X,MATCH($A111,SPPR!$A:$A,0),2)),$C111*INDEX(SPPR!$E:$X,MATCH($A111,SPPR!$A:$A,0),2),""),"")</f>
        <v/>
      </c>
      <c r="F111">
        <f>IFERROR(IF(ISNUMBER(INDEX(SPPR!$E:$X,MATCH($A111,SPPR!$A:$A,0),3)),$C111*INDEX(SPPR!$E:$X,MATCH($A111,SPPR!$A:$A,0),3),""),"")</f>
        <v/>
      </c>
      <c r="G111">
        <f>IFERROR(IF(ISNUMBER(INDEX(SPPR!$E:$X,MATCH($A111,SPPR!$A:$A,0),4)),$C111*INDEX(SPPR!$E:$X,MATCH($A111,SPPR!$A:$A,0),4),""),"")</f>
        <v/>
      </c>
      <c r="H111">
        <f>IFERROR(IF(ISNUMBER(INDEX(SPPR!$E:$X,MATCH($A111,SPPR!$A:$A,0),5)),$C111*INDEX(SPPR!$E:$X,MATCH($A111,SPPR!$A:$A,0),5),""),"")</f>
        <v/>
      </c>
      <c r="I111">
        <f>IFERROR(IF(ISNUMBER(INDEX(SPPR!$E:$X,MATCH($A111,SPPR!$A:$A,0),6)),$C111*INDEX(SPPR!$E:$X,MATCH($A111,SPPR!$A:$A,0),6),""),"")</f>
        <v/>
      </c>
      <c r="J111">
        <f>IFERROR(IF(ISNUMBER(INDEX(SPPR!$E:$X,MATCH($A111,SPPR!$A:$A,0),7)),$C111*INDEX(SPPR!$E:$X,MATCH($A111,SPPR!$A:$A,0),7),""),"")</f>
        <v/>
      </c>
      <c r="K111">
        <f>IFERROR(IF(ISNUMBER(INDEX(SPPR!$E:$X,MATCH($A111,SPPR!$A:$A,0),8)),$C111*INDEX(SPPR!$E:$X,MATCH($A111,SPPR!$A:$A,0),8),""),"")</f>
        <v/>
      </c>
      <c r="L111">
        <f>IFERROR(IF(ISNUMBER(INDEX(SPPR!$E:$X,MATCH($A111,SPPR!$A:$A,0),9)),$C111*INDEX(SPPR!$E:$X,MATCH($A111,SPPR!$A:$A,0),9),""),"")</f>
        <v/>
      </c>
      <c r="M111">
        <f>IFERROR(IF(ISNUMBER(INDEX(SPPR!$E:$X,MATCH($A111,SPPR!$A:$A,0),10)),$C111*INDEX(SPPR!$E:$X,MATCH($A111,SPPR!$A:$A,0),10),""),"")</f>
        <v/>
      </c>
      <c r="N111">
        <f>IFERROR(IF(ISNUMBER(INDEX(SPPR!$E:$X,MATCH($A111,SPPR!$A:$A,0),11)),$C111*INDEX(SPPR!$E:$X,MATCH($A111,SPPR!$A:$A,0),11),""),"")</f>
        <v/>
      </c>
      <c r="O111">
        <f>IFERROR(IF(ISNUMBER(INDEX(SPPR!$E:$X,MATCH($A111,SPPR!$A:$A,0),12)),$C111*INDEX(SPPR!$E:$X,MATCH($A111,SPPR!$A:$A,0),12),""),"")</f>
        <v/>
      </c>
      <c r="P111">
        <f>IFERROR(IF(ISNUMBER(INDEX(SPPR!$E:$X,MATCH($A111,SPPR!$A:$A,0),13)),$C111*INDEX(SPPR!$E:$X,MATCH($A111,SPPR!$A:$A,0),13),""),"")</f>
        <v/>
      </c>
      <c r="Q111">
        <f>IFERROR(IF(ISNUMBER(INDEX(SPPR!$E:$X,MATCH($A111,SPPR!$A:$A,0),14)),$C111*INDEX(SPPR!$E:$X,MATCH($A111,SPPR!$A:$A,0),14),""),"")</f>
        <v/>
      </c>
      <c r="R111">
        <f>IFERROR(IF(ISNUMBER(INDEX(SPPR!$E:$X,MATCH($A111,SPPR!$A:$A,0),15)),$C111*INDEX(SPPR!$E:$X,MATCH($A111,SPPR!$A:$A,0),15),""),"")</f>
        <v/>
      </c>
      <c r="S111">
        <f>IFERROR(IF(ISNUMBER(INDEX(SPPR!$E:$X,MATCH($A111,SPPR!$A:$A,0),16)),$C111*INDEX(SPPR!$E:$X,MATCH($A111,SPPR!$A:$A,0),16),""),"")</f>
        <v/>
      </c>
      <c r="T111">
        <f>IFERROR(IF(ISNUMBER(INDEX(SPPR!$E:$X,MATCH($A111,SPPR!$A:$A,0),17)),$C111*INDEX(SPPR!$E:$X,MATCH($A111,SPPR!$A:$A,0),17),""),"")</f>
        <v/>
      </c>
      <c r="U111">
        <f>IFERROR(IF(ISNUMBER(INDEX(SPPR!$E:$X,MATCH($A111,SPPR!$A:$A,0),18)),$C111*INDEX(SPPR!$E:$X,MATCH($A111,SPPR!$A:$A,0),18),""),"")</f>
        <v/>
      </c>
      <c r="V111">
        <f>IFERROR(IF(ISNUMBER(INDEX(SPPR!$E:$X,MATCH($A111,SPPR!$A:$A,0),19)),$C111*INDEX(SPPR!$E:$X,MATCH($A111,SPPR!$A:$A,0),19),""),"")</f>
        <v/>
      </c>
      <c r="W111">
        <f>IFERROR(IF(ISNUMBER(INDEX(SPPR!$E:$X,MATCH($A111,SPPR!$A:$A,0),20)),$C111*INDEX(SPPR!$E:$X,MATCH($A111,SPPR!$A:$A,0),20),""),"")</f>
        <v/>
      </c>
    </row>
    <row r="112">
      <c r="A112" t="inlineStr">
        <is>
          <t>Penaeus chinensis</t>
        </is>
      </c>
      <c r="B112">
        <f>IFERROR(INDEX(SPPR!$D:$D,MATCH($A112,SPPR!$A:$A,0)),"")</f>
        <v/>
      </c>
      <c r="C112">
        <f>IFERROR(INDEX(Catch!$E:$BV,MATCH($A112,Catch!$A:$A,0),MATCH($B$4,Catch!$E$1:$BV$1,0)),0)</f>
        <v/>
      </c>
      <c r="D112">
        <f>IFERROR(IF(ISNUMBER(INDEX(SPPR!$E:$X,MATCH($A112,SPPR!$A:$A,0),1)),$C112*INDEX(SPPR!$E:$X,MATCH($A112,SPPR!$A:$A,0),1),""),"")</f>
        <v/>
      </c>
      <c r="E112">
        <f>IFERROR(IF(ISNUMBER(INDEX(SPPR!$E:$X,MATCH($A112,SPPR!$A:$A,0),2)),$C112*INDEX(SPPR!$E:$X,MATCH($A112,SPPR!$A:$A,0),2),""),"")</f>
        <v/>
      </c>
      <c r="F112">
        <f>IFERROR(IF(ISNUMBER(INDEX(SPPR!$E:$X,MATCH($A112,SPPR!$A:$A,0),3)),$C112*INDEX(SPPR!$E:$X,MATCH($A112,SPPR!$A:$A,0),3),""),"")</f>
        <v/>
      </c>
      <c r="G112">
        <f>IFERROR(IF(ISNUMBER(INDEX(SPPR!$E:$X,MATCH($A112,SPPR!$A:$A,0),4)),$C112*INDEX(SPPR!$E:$X,MATCH($A112,SPPR!$A:$A,0),4),""),"")</f>
        <v/>
      </c>
      <c r="H112">
        <f>IFERROR(IF(ISNUMBER(INDEX(SPPR!$E:$X,MATCH($A112,SPPR!$A:$A,0),5)),$C112*INDEX(SPPR!$E:$X,MATCH($A112,SPPR!$A:$A,0),5),""),"")</f>
        <v/>
      </c>
      <c r="I112">
        <f>IFERROR(IF(ISNUMBER(INDEX(SPPR!$E:$X,MATCH($A112,SPPR!$A:$A,0),6)),$C112*INDEX(SPPR!$E:$X,MATCH($A112,SPPR!$A:$A,0),6),""),"")</f>
        <v/>
      </c>
      <c r="J112">
        <f>IFERROR(IF(ISNUMBER(INDEX(SPPR!$E:$X,MATCH($A112,SPPR!$A:$A,0),7)),$C112*INDEX(SPPR!$E:$X,MATCH($A112,SPPR!$A:$A,0),7),""),"")</f>
        <v/>
      </c>
      <c r="K112">
        <f>IFERROR(IF(ISNUMBER(INDEX(SPPR!$E:$X,MATCH($A112,SPPR!$A:$A,0),8)),$C112*INDEX(SPPR!$E:$X,MATCH($A112,SPPR!$A:$A,0),8),""),"")</f>
        <v/>
      </c>
      <c r="L112">
        <f>IFERROR(IF(ISNUMBER(INDEX(SPPR!$E:$X,MATCH($A112,SPPR!$A:$A,0),9)),$C112*INDEX(SPPR!$E:$X,MATCH($A112,SPPR!$A:$A,0),9),""),"")</f>
        <v/>
      </c>
      <c r="M112">
        <f>IFERROR(IF(ISNUMBER(INDEX(SPPR!$E:$X,MATCH($A112,SPPR!$A:$A,0),10)),$C112*INDEX(SPPR!$E:$X,MATCH($A112,SPPR!$A:$A,0),10),""),"")</f>
        <v/>
      </c>
      <c r="N112">
        <f>IFERROR(IF(ISNUMBER(INDEX(SPPR!$E:$X,MATCH($A112,SPPR!$A:$A,0),11)),$C112*INDEX(SPPR!$E:$X,MATCH($A112,SPPR!$A:$A,0),11),""),"")</f>
        <v/>
      </c>
      <c r="O112">
        <f>IFERROR(IF(ISNUMBER(INDEX(SPPR!$E:$X,MATCH($A112,SPPR!$A:$A,0),12)),$C112*INDEX(SPPR!$E:$X,MATCH($A112,SPPR!$A:$A,0),12),""),"")</f>
        <v/>
      </c>
      <c r="P112">
        <f>IFERROR(IF(ISNUMBER(INDEX(SPPR!$E:$X,MATCH($A112,SPPR!$A:$A,0),13)),$C112*INDEX(SPPR!$E:$X,MATCH($A112,SPPR!$A:$A,0),13),""),"")</f>
        <v/>
      </c>
      <c r="Q112">
        <f>IFERROR(IF(ISNUMBER(INDEX(SPPR!$E:$X,MATCH($A112,SPPR!$A:$A,0),14)),$C112*INDEX(SPPR!$E:$X,MATCH($A112,SPPR!$A:$A,0),14),""),"")</f>
        <v/>
      </c>
      <c r="R112">
        <f>IFERROR(IF(ISNUMBER(INDEX(SPPR!$E:$X,MATCH($A112,SPPR!$A:$A,0),15)),$C112*INDEX(SPPR!$E:$X,MATCH($A112,SPPR!$A:$A,0),15),""),"")</f>
        <v/>
      </c>
      <c r="S112">
        <f>IFERROR(IF(ISNUMBER(INDEX(SPPR!$E:$X,MATCH($A112,SPPR!$A:$A,0),16)),$C112*INDEX(SPPR!$E:$X,MATCH($A112,SPPR!$A:$A,0),16),""),"")</f>
        <v/>
      </c>
      <c r="T112">
        <f>IFERROR(IF(ISNUMBER(INDEX(SPPR!$E:$X,MATCH($A112,SPPR!$A:$A,0),17)),$C112*INDEX(SPPR!$E:$X,MATCH($A112,SPPR!$A:$A,0),17),""),"")</f>
        <v/>
      </c>
      <c r="U112">
        <f>IFERROR(IF(ISNUMBER(INDEX(SPPR!$E:$X,MATCH($A112,SPPR!$A:$A,0),18)),$C112*INDEX(SPPR!$E:$X,MATCH($A112,SPPR!$A:$A,0),18),""),"")</f>
        <v/>
      </c>
      <c r="V112">
        <f>IFERROR(IF(ISNUMBER(INDEX(SPPR!$E:$X,MATCH($A112,SPPR!$A:$A,0),19)),$C112*INDEX(SPPR!$E:$X,MATCH($A112,SPPR!$A:$A,0),19),""),"")</f>
        <v/>
      </c>
      <c r="W112">
        <f>IFERROR(IF(ISNUMBER(INDEX(SPPR!$E:$X,MATCH($A112,SPPR!$A:$A,0),20)),$C112*INDEX(SPPR!$E:$X,MATCH($A112,SPPR!$A:$A,0),20),""),"")</f>
        <v/>
      </c>
    </row>
    <row r="113">
      <c r="A113" t="inlineStr">
        <is>
          <t>Congridae</t>
        </is>
      </c>
      <c r="B113">
        <f>IFERROR(INDEX(SPPR!$D:$D,MATCH($A113,SPPR!$A:$A,0)),"")</f>
        <v/>
      </c>
      <c r="C113">
        <f>IFERROR(INDEX(Catch!$E:$BV,MATCH($A113,Catch!$A:$A,0),MATCH($B$4,Catch!$E$1:$BV$1,0)),0)</f>
        <v/>
      </c>
      <c r="D113">
        <f>IFERROR(IF(ISNUMBER(INDEX(SPPR!$E:$X,MATCH($A113,SPPR!$A:$A,0),1)),$C113*INDEX(SPPR!$E:$X,MATCH($A113,SPPR!$A:$A,0),1),""),"")</f>
        <v/>
      </c>
      <c r="E113">
        <f>IFERROR(IF(ISNUMBER(INDEX(SPPR!$E:$X,MATCH($A113,SPPR!$A:$A,0),2)),$C113*INDEX(SPPR!$E:$X,MATCH($A113,SPPR!$A:$A,0),2),""),"")</f>
        <v/>
      </c>
      <c r="F113">
        <f>IFERROR(IF(ISNUMBER(INDEX(SPPR!$E:$X,MATCH($A113,SPPR!$A:$A,0),3)),$C113*INDEX(SPPR!$E:$X,MATCH($A113,SPPR!$A:$A,0),3),""),"")</f>
        <v/>
      </c>
      <c r="G113">
        <f>IFERROR(IF(ISNUMBER(INDEX(SPPR!$E:$X,MATCH($A113,SPPR!$A:$A,0),4)),$C113*INDEX(SPPR!$E:$X,MATCH($A113,SPPR!$A:$A,0),4),""),"")</f>
        <v/>
      </c>
      <c r="H113">
        <f>IFERROR(IF(ISNUMBER(INDEX(SPPR!$E:$X,MATCH($A113,SPPR!$A:$A,0),5)),$C113*INDEX(SPPR!$E:$X,MATCH($A113,SPPR!$A:$A,0),5),""),"")</f>
        <v/>
      </c>
      <c r="I113">
        <f>IFERROR(IF(ISNUMBER(INDEX(SPPR!$E:$X,MATCH($A113,SPPR!$A:$A,0),6)),$C113*INDEX(SPPR!$E:$X,MATCH($A113,SPPR!$A:$A,0),6),""),"")</f>
        <v/>
      </c>
      <c r="J113">
        <f>IFERROR(IF(ISNUMBER(INDEX(SPPR!$E:$X,MATCH($A113,SPPR!$A:$A,0),7)),$C113*INDEX(SPPR!$E:$X,MATCH($A113,SPPR!$A:$A,0),7),""),"")</f>
        <v/>
      </c>
      <c r="K113">
        <f>IFERROR(IF(ISNUMBER(INDEX(SPPR!$E:$X,MATCH($A113,SPPR!$A:$A,0),8)),$C113*INDEX(SPPR!$E:$X,MATCH($A113,SPPR!$A:$A,0),8),""),"")</f>
        <v/>
      </c>
      <c r="L113">
        <f>IFERROR(IF(ISNUMBER(INDEX(SPPR!$E:$X,MATCH($A113,SPPR!$A:$A,0),9)),$C113*INDEX(SPPR!$E:$X,MATCH($A113,SPPR!$A:$A,0),9),""),"")</f>
        <v/>
      </c>
      <c r="M113">
        <f>IFERROR(IF(ISNUMBER(INDEX(SPPR!$E:$X,MATCH($A113,SPPR!$A:$A,0),10)),$C113*INDEX(SPPR!$E:$X,MATCH($A113,SPPR!$A:$A,0),10),""),"")</f>
        <v/>
      </c>
      <c r="N113">
        <f>IFERROR(IF(ISNUMBER(INDEX(SPPR!$E:$X,MATCH($A113,SPPR!$A:$A,0),11)),$C113*INDEX(SPPR!$E:$X,MATCH($A113,SPPR!$A:$A,0),11),""),"")</f>
        <v/>
      </c>
      <c r="O113">
        <f>IFERROR(IF(ISNUMBER(INDEX(SPPR!$E:$X,MATCH($A113,SPPR!$A:$A,0),12)),$C113*INDEX(SPPR!$E:$X,MATCH($A113,SPPR!$A:$A,0),12),""),"")</f>
        <v/>
      </c>
      <c r="P113">
        <f>IFERROR(IF(ISNUMBER(INDEX(SPPR!$E:$X,MATCH($A113,SPPR!$A:$A,0),13)),$C113*INDEX(SPPR!$E:$X,MATCH($A113,SPPR!$A:$A,0),13),""),"")</f>
        <v/>
      </c>
      <c r="Q113">
        <f>IFERROR(IF(ISNUMBER(INDEX(SPPR!$E:$X,MATCH($A113,SPPR!$A:$A,0),14)),$C113*INDEX(SPPR!$E:$X,MATCH($A113,SPPR!$A:$A,0),14),""),"")</f>
        <v/>
      </c>
      <c r="R113">
        <f>IFERROR(IF(ISNUMBER(INDEX(SPPR!$E:$X,MATCH($A113,SPPR!$A:$A,0),15)),$C113*INDEX(SPPR!$E:$X,MATCH($A113,SPPR!$A:$A,0),15),""),"")</f>
        <v/>
      </c>
      <c r="S113">
        <f>IFERROR(IF(ISNUMBER(INDEX(SPPR!$E:$X,MATCH($A113,SPPR!$A:$A,0),16)),$C113*INDEX(SPPR!$E:$X,MATCH($A113,SPPR!$A:$A,0),16),""),"")</f>
        <v/>
      </c>
      <c r="T113">
        <f>IFERROR(IF(ISNUMBER(INDEX(SPPR!$E:$X,MATCH($A113,SPPR!$A:$A,0),17)),$C113*INDEX(SPPR!$E:$X,MATCH($A113,SPPR!$A:$A,0),17),""),"")</f>
        <v/>
      </c>
      <c r="U113">
        <f>IFERROR(IF(ISNUMBER(INDEX(SPPR!$E:$X,MATCH($A113,SPPR!$A:$A,0),18)),$C113*INDEX(SPPR!$E:$X,MATCH($A113,SPPR!$A:$A,0),18),""),"")</f>
        <v/>
      </c>
      <c r="V113">
        <f>IFERROR(IF(ISNUMBER(INDEX(SPPR!$E:$X,MATCH($A113,SPPR!$A:$A,0),19)),$C113*INDEX(SPPR!$E:$X,MATCH($A113,SPPR!$A:$A,0),19),""),"")</f>
        <v/>
      </c>
      <c r="W113">
        <f>IFERROR(IF(ISNUMBER(INDEX(SPPR!$E:$X,MATCH($A113,SPPR!$A:$A,0),20)),$C113*INDEX(SPPR!$E:$X,MATCH($A113,SPPR!$A:$A,0),20),""),"")</f>
        <v/>
      </c>
    </row>
    <row r="114">
      <c r="A114" t="inlineStr">
        <is>
          <t>Serranidae</t>
        </is>
      </c>
      <c r="B114">
        <f>IFERROR(INDEX(SPPR!$D:$D,MATCH($A114,SPPR!$A:$A,0)),"")</f>
        <v/>
      </c>
      <c r="C114">
        <f>IFERROR(INDEX(Catch!$E:$BV,MATCH($A114,Catch!$A:$A,0),MATCH($B$4,Catch!$E$1:$BV$1,0)),0)</f>
        <v/>
      </c>
      <c r="D114">
        <f>IFERROR(IF(ISNUMBER(INDEX(SPPR!$E:$X,MATCH($A114,SPPR!$A:$A,0),1)),$C114*INDEX(SPPR!$E:$X,MATCH($A114,SPPR!$A:$A,0),1),""),"")</f>
        <v/>
      </c>
      <c r="E114">
        <f>IFERROR(IF(ISNUMBER(INDEX(SPPR!$E:$X,MATCH($A114,SPPR!$A:$A,0),2)),$C114*INDEX(SPPR!$E:$X,MATCH($A114,SPPR!$A:$A,0),2),""),"")</f>
        <v/>
      </c>
      <c r="F114">
        <f>IFERROR(IF(ISNUMBER(INDEX(SPPR!$E:$X,MATCH($A114,SPPR!$A:$A,0),3)),$C114*INDEX(SPPR!$E:$X,MATCH($A114,SPPR!$A:$A,0),3),""),"")</f>
        <v/>
      </c>
      <c r="G114">
        <f>IFERROR(IF(ISNUMBER(INDEX(SPPR!$E:$X,MATCH($A114,SPPR!$A:$A,0),4)),$C114*INDEX(SPPR!$E:$X,MATCH($A114,SPPR!$A:$A,0),4),""),"")</f>
        <v/>
      </c>
      <c r="H114">
        <f>IFERROR(IF(ISNUMBER(INDEX(SPPR!$E:$X,MATCH($A114,SPPR!$A:$A,0),5)),$C114*INDEX(SPPR!$E:$X,MATCH($A114,SPPR!$A:$A,0),5),""),"")</f>
        <v/>
      </c>
      <c r="I114">
        <f>IFERROR(IF(ISNUMBER(INDEX(SPPR!$E:$X,MATCH($A114,SPPR!$A:$A,0),6)),$C114*INDEX(SPPR!$E:$X,MATCH($A114,SPPR!$A:$A,0),6),""),"")</f>
        <v/>
      </c>
      <c r="J114">
        <f>IFERROR(IF(ISNUMBER(INDEX(SPPR!$E:$X,MATCH($A114,SPPR!$A:$A,0),7)),$C114*INDEX(SPPR!$E:$X,MATCH($A114,SPPR!$A:$A,0),7),""),"")</f>
        <v/>
      </c>
      <c r="K114">
        <f>IFERROR(IF(ISNUMBER(INDEX(SPPR!$E:$X,MATCH($A114,SPPR!$A:$A,0),8)),$C114*INDEX(SPPR!$E:$X,MATCH($A114,SPPR!$A:$A,0),8),""),"")</f>
        <v/>
      </c>
      <c r="L114">
        <f>IFERROR(IF(ISNUMBER(INDEX(SPPR!$E:$X,MATCH($A114,SPPR!$A:$A,0),9)),$C114*INDEX(SPPR!$E:$X,MATCH($A114,SPPR!$A:$A,0),9),""),"")</f>
        <v/>
      </c>
      <c r="M114">
        <f>IFERROR(IF(ISNUMBER(INDEX(SPPR!$E:$X,MATCH($A114,SPPR!$A:$A,0),10)),$C114*INDEX(SPPR!$E:$X,MATCH($A114,SPPR!$A:$A,0),10),""),"")</f>
        <v/>
      </c>
      <c r="N114">
        <f>IFERROR(IF(ISNUMBER(INDEX(SPPR!$E:$X,MATCH($A114,SPPR!$A:$A,0),11)),$C114*INDEX(SPPR!$E:$X,MATCH($A114,SPPR!$A:$A,0),11),""),"")</f>
        <v/>
      </c>
      <c r="O114">
        <f>IFERROR(IF(ISNUMBER(INDEX(SPPR!$E:$X,MATCH($A114,SPPR!$A:$A,0),12)),$C114*INDEX(SPPR!$E:$X,MATCH($A114,SPPR!$A:$A,0),12),""),"")</f>
        <v/>
      </c>
      <c r="P114">
        <f>IFERROR(IF(ISNUMBER(INDEX(SPPR!$E:$X,MATCH($A114,SPPR!$A:$A,0),13)),$C114*INDEX(SPPR!$E:$X,MATCH($A114,SPPR!$A:$A,0),13),""),"")</f>
        <v/>
      </c>
      <c r="Q114">
        <f>IFERROR(IF(ISNUMBER(INDEX(SPPR!$E:$X,MATCH($A114,SPPR!$A:$A,0),14)),$C114*INDEX(SPPR!$E:$X,MATCH($A114,SPPR!$A:$A,0),14),""),"")</f>
        <v/>
      </c>
      <c r="R114">
        <f>IFERROR(IF(ISNUMBER(INDEX(SPPR!$E:$X,MATCH($A114,SPPR!$A:$A,0),15)),$C114*INDEX(SPPR!$E:$X,MATCH($A114,SPPR!$A:$A,0),15),""),"")</f>
        <v/>
      </c>
      <c r="S114">
        <f>IFERROR(IF(ISNUMBER(INDEX(SPPR!$E:$X,MATCH($A114,SPPR!$A:$A,0),16)),$C114*INDEX(SPPR!$E:$X,MATCH($A114,SPPR!$A:$A,0),16),""),"")</f>
        <v/>
      </c>
      <c r="T114">
        <f>IFERROR(IF(ISNUMBER(INDEX(SPPR!$E:$X,MATCH($A114,SPPR!$A:$A,0),17)),$C114*INDEX(SPPR!$E:$X,MATCH($A114,SPPR!$A:$A,0),17),""),"")</f>
        <v/>
      </c>
      <c r="U114">
        <f>IFERROR(IF(ISNUMBER(INDEX(SPPR!$E:$X,MATCH($A114,SPPR!$A:$A,0),18)),$C114*INDEX(SPPR!$E:$X,MATCH($A114,SPPR!$A:$A,0),18),""),"")</f>
        <v/>
      </c>
      <c r="V114">
        <f>IFERROR(IF(ISNUMBER(INDEX(SPPR!$E:$X,MATCH($A114,SPPR!$A:$A,0),19)),$C114*INDEX(SPPR!$E:$X,MATCH($A114,SPPR!$A:$A,0),19),""),"")</f>
        <v/>
      </c>
      <c r="W114">
        <f>IFERROR(IF(ISNUMBER(INDEX(SPPR!$E:$X,MATCH($A114,SPPR!$A:$A,0),20)),$C114*INDEX(SPPR!$E:$X,MATCH($A114,SPPR!$A:$A,0),20),""),"")</f>
        <v/>
      </c>
    </row>
    <row r="115">
      <c r="A115" t="inlineStr">
        <is>
          <t>Synodontidae</t>
        </is>
      </c>
      <c r="B115">
        <f>IFERROR(INDEX(SPPR!$D:$D,MATCH($A115,SPPR!$A:$A,0)),"")</f>
        <v/>
      </c>
      <c r="C115">
        <f>IFERROR(INDEX(Catch!$E:$BV,MATCH($A115,Catch!$A:$A,0),MATCH($B$4,Catch!$E$1:$BV$1,0)),0)</f>
        <v/>
      </c>
      <c r="D115">
        <f>IFERROR(IF(ISNUMBER(INDEX(SPPR!$E:$X,MATCH($A115,SPPR!$A:$A,0),1)),$C115*INDEX(SPPR!$E:$X,MATCH($A115,SPPR!$A:$A,0),1),""),"")</f>
        <v/>
      </c>
      <c r="E115">
        <f>IFERROR(IF(ISNUMBER(INDEX(SPPR!$E:$X,MATCH($A115,SPPR!$A:$A,0),2)),$C115*INDEX(SPPR!$E:$X,MATCH($A115,SPPR!$A:$A,0),2),""),"")</f>
        <v/>
      </c>
      <c r="F115">
        <f>IFERROR(IF(ISNUMBER(INDEX(SPPR!$E:$X,MATCH($A115,SPPR!$A:$A,0),3)),$C115*INDEX(SPPR!$E:$X,MATCH($A115,SPPR!$A:$A,0),3),""),"")</f>
        <v/>
      </c>
      <c r="G115">
        <f>IFERROR(IF(ISNUMBER(INDEX(SPPR!$E:$X,MATCH($A115,SPPR!$A:$A,0),4)),$C115*INDEX(SPPR!$E:$X,MATCH($A115,SPPR!$A:$A,0),4),""),"")</f>
        <v/>
      </c>
      <c r="H115">
        <f>IFERROR(IF(ISNUMBER(INDEX(SPPR!$E:$X,MATCH($A115,SPPR!$A:$A,0),5)),$C115*INDEX(SPPR!$E:$X,MATCH($A115,SPPR!$A:$A,0),5),""),"")</f>
        <v/>
      </c>
      <c r="I115">
        <f>IFERROR(IF(ISNUMBER(INDEX(SPPR!$E:$X,MATCH($A115,SPPR!$A:$A,0),6)),$C115*INDEX(SPPR!$E:$X,MATCH($A115,SPPR!$A:$A,0),6),""),"")</f>
        <v/>
      </c>
      <c r="J115">
        <f>IFERROR(IF(ISNUMBER(INDEX(SPPR!$E:$X,MATCH($A115,SPPR!$A:$A,0),7)),$C115*INDEX(SPPR!$E:$X,MATCH($A115,SPPR!$A:$A,0),7),""),"")</f>
        <v/>
      </c>
      <c r="K115">
        <f>IFERROR(IF(ISNUMBER(INDEX(SPPR!$E:$X,MATCH($A115,SPPR!$A:$A,0),8)),$C115*INDEX(SPPR!$E:$X,MATCH($A115,SPPR!$A:$A,0),8),""),"")</f>
        <v/>
      </c>
      <c r="L115">
        <f>IFERROR(IF(ISNUMBER(INDEX(SPPR!$E:$X,MATCH($A115,SPPR!$A:$A,0),9)),$C115*INDEX(SPPR!$E:$X,MATCH($A115,SPPR!$A:$A,0),9),""),"")</f>
        <v/>
      </c>
      <c r="M115">
        <f>IFERROR(IF(ISNUMBER(INDEX(SPPR!$E:$X,MATCH($A115,SPPR!$A:$A,0),10)),$C115*INDEX(SPPR!$E:$X,MATCH($A115,SPPR!$A:$A,0),10),""),"")</f>
        <v/>
      </c>
      <c r="N115">
        <f>IFERROR(IF(ISNUMBER(INDEX(SPPR!$E:$X,MATCH($A115,SPPR!$A:$A,0),11)),$C115*INDEX(SPPR!$E:$X,MATCH($A115,SPPR!$A:$A,0),11),""),"")</f>
        <v/>
      </c>
      <c r="O115">
        <f>IFERROR(IF(ISNUMBER(INDEX(SPPR!$E:$X,MATCH($A115,SPPR!$A:$A,0),12)),$C115*INDEX(SPPR!$E:$X,MATCH($A115,SPPR!$A:$A,0),12),""),"")</f>
        <v/>
      </c>
      <c r="P115">
        <f>IFERROR(IF(ISNUMBER(INDEX(SPPR!$E:$X,MATCH($A115,SPPR!$A:$A,0),13)),$C115*INDEX(SPPR!$E:$X,MATCH($A115,SPPR!$A:$A,0),13),""),"")</f>
        <v/>
      </c>
      <c r="Q115">
        <f>IFERROR(IF(ISNUMBER(INDEX(SPPR!$E:$X,MATCH($A115,SPPR!$A:$A,0),14)),$C115*INDEX(SPPR!$E:$X,MATCH($A115,SPPR!$A:$A,0),14),""),"")</f>
        <v/>
      </c>
      <c r="R115">
        <f>IFERROR(IF(ISNUMBER(INDEX(SPPR!$E:$X,MATCH($A115,SPPR!$A:$A,0),15)),$C115*INDEX(SPPR!$E:$X,MATCH($A115,SPPR!$A:$A,0),15),""),"")</f>
        <v/>
      </c>
      <c r="S115">
        <f>IFERROR(IF(ISNUMBER(INDEX(SPPR!$E:$X,MATCH($A115,SPPR!$A:$A,0),16)),$C115*INDEX(SPPR!$E:$X,MATCH($A115,SPPR!$A:$A,0),16),""),"")</f>
        <v/>
      </c>
      <c r="T115">
        <f>IFERROR(IF(ISNUMBER(INDEX(SPPR!$E:$X,MATCH($A115,SPPR!$A:$A,0),17)),$C115*INDEX(SPPR!$E:$X,MATCH($A115,SPPR!$A:$A,0),17),""),"")</f>
        <v/>
      </c>
      <c r="U115">
        <f>IFERROR(IF(ISNUMBER(INDEX(SPPR!$E:$X,MATCH($A115,SPPR!$A:$A,0),18)),$C115*INDEX(SPPR!$E:$X,MATCH($A115,SPPR!$A:$A,0),18),""),"")</f>
        <v/>
      </c>
      <c r="V115">
        <f>IFERROR(IF(ISNUMBER(INDEX(SPPR!$E:$X,MATCH($A115,SPPR!$A:$A,0),19)),$C115*INDEX(SPPR!$E:$X,MATCH($A115,SPPR!$A:$A,0),19),""),"")</f>
        <v/>
      </c>
      <c r="W115">
        <f>IFERROR(IF(ISNUMBER(INDEX(SPPR!$E:$X,MATCH($A115,SPPR!$A:$A,0),20)),$C115*INDEX(SPPR!$E:$X,MATCH($A115,SPPR!$A:$A,0),20),""),"")</f>
        <v/>
      </c>
    </row>
    <row r="116">
      <c r="A116" t="inlineStr">
        <is>
          <t>Perciformes</t>
        </is>
      </c>
      <c r="B116">
        <f>IFERROR(INDEX(SPPR!$D:$D,MATCH($A116,SPPR!$A:$A,0)),"")</f>
        <v/>
      </c>
      <c r="C116">
        <f>IFERROR(INDEX(Catch!$E:$BV,MATCH($A116,Catch!$A:$A,0),MATCH($B$4,Catch!$E$1:$BV$1,0)),0)</f>
        <v/>
      </c>
      <c r="D116">
        <f>IFERROR(IF(ISNUMBER(INDEX(SPPR!$E:$X,MATCH($A116,SPPR!$A:$A,0),1)),$C116*INDEX(SPPR!$E:$X,MATCH($A116,SPPR!$A:$A,0),1),""),"")</f>
        <v/>
      </c>
      <c r="E116">
        <f>IFERROR(IF(ISNUMBER(INDEX(SPPR!$E:$X,MATCH($A116,SPPR!$A:$A,0),2)),$C116*INDEX(SPPR!$E:$X,MATCH($A116,SPPR!$A:$A,0),2),""),"")</f>
        <v/>
      </c>
      <c r="F116">
        <f>IFERROR(IF(ISNUMBER(INDEX(SPPR!$E:$X,MATCH($A116,SPPR!$A:$A,0),3)),$C116*INDEX(SPPR!$E:$X,MATCH($A116,SPPR!$A:$A,0),3),""),"")</f>
        <v/>
      </c>
      <c r="G116">
        <f>IFERROR(IF(ISNUMBER(INDEX(SPPR!$E:$X,MATCH($A116,SPPR!$A:$A,0),4)),$C116*INDEX(SPPR!$E:$X,MATCH($A116,SPPR!$A:$A,0),4),""),"")</f>
        <v/>
      </c>
      <c r="H116">
        <f>IFERROR(IF(ISNUMBER(INDEX(SPPR!$E:$X,MATCH($A116,SPPR!$A:$A,0),5)),$C116*INDEX(SPPR!$E:$X,MATCH($A116,SPPR!$A:$A,0),5),""),"")</f>
        <v/>
      </c>
      <c r="I116">
        <f>IFERROR(IF(ISNUMBER(INDEX(SPPR!$E:$X,MATCH($A116,SPPR!$A:$A,0),6)),$C116*INDEX(SPPR!$E:$X,MATCH($A116,SPPR!$A:$A,0),6),""),"")</f>
        <v/>
      </c>
      <c r="J116">
        <f>IFERROR(IF(ISNUMBER(INDEX(SPPR!$E:$X,MATCH($A116,SPPR!$A:$A,0),7)),$C116*INDEX(SPPR!$E:$X,MATCH($A116,SPPR!$A:$A,0),7),""),"")</f>
        <v/>
      </c>
      <c r="K116">
        <f>IFERROR(IF(ISNUMBER(INDEX(SPPR!$E:$X,MATCH($A116,SPPR!$A:$A,0),8)),$C116*INDEX(SPPR!$E:$X,MATCH($A116,SPPR!$A:$A,0),8),""),"")</f>
        <v/>
      </c>
      <c r="L116">
        <f>IFERROR(IF(ISNUMBER(INDEX(SPPR!$E:$X,MATCH($A116,SPPR!$A:$A,0),9)),$C116*INDEX(SPPR!$E:$X,MATCH($A116,SPPR!$A:$A,0),9),""),"")</f>
        <v/>
      </c>
      <c r="M116">
        <f>IFERROR(IF(ISNUMBER(INDEX(SPPR!$E:$X,MATCH($A116,SPPR!$A:$A,0),10)),$C116*INDEX(SPPR!$E:$X,MATCH($A116,SPPR!$A:$A,0),10),""),"")</f>
        <v/>
      </c>
      <c r="N116">
        <f>IFERROR(IF(ISNUMBER(INDEX(SPPR!$E:$X,MATCH($A116,SPPR!$A:$A,0),11)),$C116*INDEX(SPPR!$E:$X,MATCH($A116,SPPR!$A:$A,0),11),""),"")</f>
        <v/>
      </c>
      <c r="O116">
        <f>IFERROR(IF(ISNUMBER(INDEX(SPPR!$E:$X,MATCH($A116,SPPR!$A:$A,0),12)),$C116*INDEX(SPPR!$E:$X,MATCH($A116,SPPR!$A:$A,0),12),""),"")</f>
        <v/>
      </c>
      <c r="P116">
        <f>IFERROR(IF(ISNUMBER(INDEX(SPPR!$E:$X,MATCH($A116,SPPR!$A:$A,0),13)),$C116*INDEX(SPPR!$E:$X,MATCH($A116,SPPR!$A:$A,0),13),""),"")</f>
        <v/>
      </c>
      <c r="Q116">
        <f>IFERROR(IF(ISNUMBER(INDEX(SPPR!$E:$X,MATCH($A116,SPPR!$A:$A,0),14)),$C116*INDEX(SPPR!$E:$X,MATCH($A116,SPPR!$A:$A,0),14),""),"")</f>
        <v/>
      </c>
      <c r="R116">
        <f>IFERROR(IF(ISNUMBER(INDEX(SPPR!$E:$X,MATCH($A116,SPPR!$A:$A,0),15)),$C116*INDEX(SPPR!$E:$X,MATCH($A116,SPPR!$A:$A,0),15),""),"")</f>
        <v/>
      </c>
      <c r="S116">
        <f>IFERROR(IF(ISNUMBER(INDEX(SPPR!$E:$X,MATCH($A116,SPPR!$A:$A,0),16)),$C116*INDEX(SPPR!$E:$X,MATCH($A116,SPPR!$A:$A,0),16),""),"")</f>
        <v/>
      </c>
      <c r="T116">
        <f>IFERROR(IF(ISNUMBER(INDEX(SPPR!$E:$X,MATCH($A116,SPPR!$A:$A,0),17)),$C116*INDEX(SPPR!$E:$X,MATCH($A116,SPPR!$A:$A,0),17),""),"")</f>
        <v/>
      </c>
      <c r="U116">
        <f>IFERROR(IF(ISNUMBER(INDEX(SPPR!$E:$X,MATCH($A116,SPPR!$A:$A,0),18)),$C116*INDEX(SPPR!$E:$X,MATCH($A116,SPPR!$A:$A,0),18),""),"")</f>
        <v/>
      </c>
      <c r="V116">
        <f>IFERROR(IF(ISNUMBER(INDEX(SPPR!$E:$X,MATCH($A116,SPPR!$A:$A,0),19)),$C116*INDEX(SPPR!$E:$X,MATCH($A116,SPPR!$A:$A,0),19),""),"")</f>
        <v/>
      </c>
      <c r="W116">
        <f>IFERROR(IF(ISNUMBER(INDEX(SPPR!$E:$X,MATCH($A116,SPPR!$A:$A,0),20)),$C116*INDEX(SPPR!$E:$X,MATCH($A116,SPPR!$A:$A,0),20),""),"")</f>
        <v/>
      </c>
    </row>
    <row r="117">
      <c r="A117" t="inlineStr">
        <is>
          <t>Ommastrephes bartramii</t>
        </is>
      </c>
      <c r="B117">
        <f>IFERROR(INDEX(SPPR!$D:$D,MATCH($A117,SPPR!$A:$A,0)),"")</f>
        <v/>
      </c>
      <c r="C117">
        <f>IFERROR(INDEX(Catch!$E:$BV,MATCH($A117,Catch!$A:$A,0),MATCH($B$4,Catch!$E$1:$BV$1,0)),0)</f>
        <v/>
      </c>
      <c r="D117">
        <f>IFERROR(IF(ISNUMBER(INDEX(SPPR!$E:$X,MATCH($A117,SPPR!$A:$A,0),1)),$C117*INDEX(SPPR!$E:$X,MATCH($A117,SPPR!$A:$A,0),1),""),"")</f>
        <v/>
      </c>
      <c r="E117">
        <f>IFERROR(IF(ISNUMBER(INDEX(SPPR!$E:$X,MATCH($A117,SPPR!$A:$A,0),2)),$C117*INDEX(SPPR!$E:$X,MATCH($A117,SPPR!$A:$A,0),2),""),"")</f>
        <v/>
      </c>
      <c r="F117">
        <f>IFERROR(IF(ISNUMBER(INDEX(SPPR!$E:$X,MATCH($A117,SPPR!$A:$A,0),3)),$C117*INDEX(SPPR!$E:$X,MATCH($A117,SPPR!$A:$A,0),3),""),"")</f>
        <v/>
      </c>
      <c r="G117">
        <f>IFERROR(IF(ISNUMBER(INDEX(SPPR!$E:$X,MATCH($A117,SPPR!$A:$A,0),4)),$C117*INDEX(SPPR!$E:$X,MATCH($A117,SPPR!$A:$A,0),4),""),"")</f>
        <v/>
      </c>
      <c r="H117">
        <f>IFERROR(IF(ISNUMBER(INDEX(SPPR!$E:$X,MATCH($A117,SPPR!$A:$A,0),5)),$C117*INDEX(SPPR!$E:$X,MATCH($A117,SPPR!$A:$A,0),5),""),"")</f>
        <v/>
      </c>
      <c r="I117">
        <f>IFERROR(IF(ISNUMBER(INDEX(SPPR!$E:$X,MATCH($A117,SPPR!$A:$A,0),6)),$C117*INDEX(SPPR!$E:$X,MATCH($A117,SPPR!$A:$A,0),6),""),"")</f>
        <v/>
      </c>
      <c r="J117">
        <f>IFERROR(IF(ISNUMBER(INDEX(SPPR!$E:$X,MATCH($A117,SPPR!$A:$A,0),7)),$C117*INDEX(SPPR!$E:$X,MATCH($A117,SPPR!$A:$A,0),7),""),"")</f>
        <v/>
      </c>
      <c r="K117">
        <f>IFERROR(IF(ISNUMBER(INDEX(SPPR!$E:$X,MATCH($A117,SPPR!$A:$A,0),8)),$C117*INDEX(SPPR!$E:$X,MATCH($A117,SPPR!$A:$A,0),8),""),"")</f>
        <v/>
      </c>
      <c r="L117">
        <f>IFERROR(IF(ISNUMBER(INDEX(SPPR!$E:$X,MATCH($A117,SPPR!$A:$A,0),9)),$C117*INDEX(SPPR!$E:$X,MATCH($A117,SPPR!$A:$A,0),9),""),"")</f>
        <v/>
      </c>
      <c r="M117">
        <f>IFERROR(IF(ISNUMBER(INDEX(SPPR!$E:$X,MATCH($A117,SPPR!$A:$A,0),10)),$C117*INDEX(SPPR!$E:$X,MATCH($A117,SPPR!$A:$A,0),10),""),"")</f>
        <v/>
      </c>
      <c r="N117">
        <f>IFERROR(IF(ISNUMBER(INDEX(SPPR!$E:$X,MATCH($A117,SPPR!$A:$A,0),11)),$C117*INDEX(SPPR!$E:$X,MATCH($A117,SPPR!$A:$A,0),11),""),"")</f>
        <v/>
      </c>
      <c r="O117">
        <f>IFERROR(IF(ISNUMBER(INDEX(SPPR!$E:$X,MATCH($A117,SPPR!$A:$A,0),12)),$C117*INDEX(SPPR!$E:$X,MATCH($A117,SPPR!$A:$A,0),12),""),"")</f>
        <v/>
      </c>
      <c r="P117">
        <f>IFERROR(IF(ISNUMBER(INDEX(SPPR!$E:$X,MATCH($A117,SPPR!$A:$A,0),13)),$C117*INDEX(SPPR!$E:$X,MATCH($A117,SPPR!$A:$A,0),13),""),"")</f>
        <v/>
      </c>
      <c r="Q117">
        <f>IFERROR(IF(ISNUMBER(INDEX(SPPR!$E:$X,MATCH($A117,SPPR!$A:$A,0),14)),$C117*INDEX(SPPR!$E:$X,MATCH($A117,SPPR!$A:$A,0),14),""),"")</f>
        <v/>
      </c>
      <c r="R117">
        <f>IFERROR(IF(ISNUMBER(INDEX(SPPR!$E:$X,MATCH($A117,SPPR!$A:$A,0),15)),$C117*INDEX(SPPR!$E:$X,MATCH($A117,SPPR!$A:$A,0),15),""),"")</f>
        <v/>
      </c>
      <c r="S117">
        <f>IFERROR(IF(ISNUMBER(INDEX(SPPR!$E:$X,MATCH($A117,SPPR!$A:$A,0),16)),$C117*INDEX(SPPR!$E:$X,MATCH($A117,SPPR!$A:$A,0),16),""),"")</f>
        <v/>
      </c>
      <c r="T117">
        <f>IFERROR(IF(ISNUMBER(INDEX(SPPR!$E:$X,MATCH($A117,SPPR!$A:$A,0),17)),$C117*INDEX(SPPR!$E:$X,MATCH($A117,SPPR!$A:$A,0),17),""),"")</f>
        <v/>
      </c>
      <c r="U117">
        <f>IFERROR(IF(ISNUMBER(INDEX(SPPR!$E:$X,MATCH($A117,SPPR!$A:$A,0),18)),$C117*INDEX(SPPR!$E:$X,MATCH($A117,SPPR!$A:$A,0),18),""),"")</f>
        <v/>
      </c>
      <c r="V117">
        <f>IFERROR(IF(ISNUMBER(INDEX(SPPR!$E:$X,MATCH($A117,SPPR!$A:$A,0),19)),$C117*INDEX(SPPR!$E:$X,MATCH($A117,SPPR!$A:$A,0),19),""),"")</f>
        <v/>
      </c>
      <c r="W117">
        <f>IFERROR(IF(ISNUMBER(INDEX(SPPR!$E:$X,MATCH($A117,SPPR!$A:$A,0),20)),$C117*INDEX(SPPR!$E:$X,MATCH($A117,SPPR!$A:$A,0),20),""),"")</f>
        <v/>
      </c>
    </row>
    <row r="118">
      <c r="A118" t="inlineStr">
        <is>
          <t>Sclerocrangon</t>
        </is>
      </c>
      <c r="B118">
        <f>IFERROR(INDEX(SPPR!$D:$D,MATCH($A118,SPPR!$A:$A,0)),"")</f>
        <v/>
      </c>
      <c r="C118">
        <f>IFERROR(INDEX(Catch!$E:$BV,MATCH($A118,Catch!$A:$A,0),MATCH($B$4,Catch!$E$1:$BV$1,0)),0)</f>
        <v/>
      </c>
      <c r="D118">
        <f>IFERROR(IF(ISNUMBER(INDEX(SPPR!$E:$X,MATCH($A118,SPPR!$A:$A,0),1)),$C118*INDEX(SPPR!$E:$X,MATCH($A118,SPPR!$A:$A,0),1),""),"")</f>
        <v/>
      </c>
      <c r="E118">
        <f>IFERROR(IF(ISNUMBER(INDEX(SPPR!$E:$X,MATCH($A118,SPPR!$A:$A,0),2)),$C118*INDEX(SPPR!$E:$X,MATCH($A118,SPPR!$A:$A,0),2),""),"")</f>
        <v/>
      </c>
      <c r="F118">
        <f>IFERROR(IF(ISNUMBER(INDEX(SPPR!$E:$X,MATCH($A118,SPPR!$A:$A,0),3)),$C118*INDEX(SPPR!$E:$X,MATCH($A118,SPPR!$A:$A,0),3),""),"")</f>
        <v/>
      </c>
      <c r="G118">
        <f>IFERROR(IF(ISNUMBER(INDEX(SPPR!$E:$X,MATCH($A118,SPPR!$A:$A,0),4)),$C118*INDEX(SPPR!$E:$X,MATCH($A118,SPPR!$A:$A,0),4),""),"")</f>
        <v/>
      </c>
      <c r="H118">
        <f>IFERROR(IF(ISNUMBER(INDEX(SPPR!$E:$X,MATCH($A118,SPPR!$A:$A,0),5)),$C118*INDEX(SPPR!$E:$X,MATCH($A118,SPPR!$A:$A,0),5),""),"")</f>
        <v/>
      </c>
      <c r="I118">
        <f>IFERROR(IF(ISNUMBER(INDEX(SPPR!$E:$X,MATCH($A118,SPPR!$A:$A,0),6)),$C118*INDEX(SPPR!$E:$X,MATCH($A118,SPPR!$A:$A,0),6),""),"")</f>
        <v/>
      </c>
      <c r="J118">
        <f>IFERROR(IF(ISNUMBER(INDEX(SPPR!$E:$X,MATCH($A118,SPPR!$A:$A,0),7)),$C118*INDEX(SPPR!$E:$X,MATCH($A118,SPPR!$A:$A,0),7),""),"")</f>
        <v/>
      </c>
      <c r="K118">
        <f>IFERROR(IF(ISNUMBER(INDEX(SPPR!$E:$X,MATCH($A118,SPPR!$A:$A,0),8)),$C118*INDEX(SPPR!$E:$X,MATCH($A118,SPPR!$A:$A,0),8),""),"")</f>
        <v/>
      </c>
      <c r="L118">
        <f>IFERROR(IF(ISNUMBER(INDEX(SPPR!$E:$X,MATCH($A118,SPPR!$A:$A,0),9)),$C118*INDEX(SPPR!$E:$X,MATCH($A118,SPPR!$A:$A,0),9),""),"")</f>
        <v/>
      </c>
      <c r="M118">
        <f>IFERROR(IF(ISNUMBER(INDEX(SPPR!$E:$X,MATCH($A118,SPPR!$A:$A,0),10)),$C118*INDEX(SPPR!$E:$X,MATCH($A118,SPPR!$A:$A,0),10),""),"")</f>
        <v/>
      </c>
      <c r="N118">
        <f>IFERROR(IF(ISNUMBER(INDEX(SPPR!$E:$X,MATCH($A118,SPPR!$A:$A,0),11)),$C118*INDEX(SPPR!$E:$X,MATCH($A118,SPPR!$A:$A,0),11),""),"")</f>
        <v/>
      </c>
      <c r="O118">
        <f>IFERROR(IF(ISNUMBER(INDEX(SPPR!$E:$X,MATCH($A118,SPPR!$A:$A,0),12)),$C118*INDEX(SPPR!$E:$X,MATCH($A118,SPPR!$A:$A,0),12),""),"")</f>
        <v/>
      </c>
      <c r="P118">
        <f>IFERROR(IF(ISNUMBER(INDEX(SPPR!$E:$X,MATCH($A118,SPPR!$A:$A,0),13)),$C118*INDEX(SPPR!$E:$X,MATCH($A118,SPPR!$A:$A,0),13),""),"")</f>
        <v/>
      </c>
      <c r="Q118">
        <f>IFERROR(IF(ISNUMBER(INDEX(SPPR!$E:$X,MATCH($A118,SPPR!$A:$A,0),14)),$C118*INDEX(SPPR!$E:$X,MATCH($A118,SPPR!$A:$A,0),14),""),"")</f>
        <v/>
      </c>
      <c r="R118">
        <f>IFERROR(IF(ISNUMBER(INDEX(SPPR!$E:$X,MATCH($A118,SPPR!$A:$A,0),15)),$C118*INDEX(SPPR!$E:$X,MATCH($A118,SPPR!$A:$A,0),15),""),"")</f>
        <v/>
      </c>
      <c r="S118">
        <f>IFERROR(IF(ISNUMBER(INDEX(SPPR!$E:$X,MATCH($A118,SPPR!$A:$A,0),16)),$C118*INDEX(SPPR!$E:$X,MATCH($A118,SPPR!$A:$A,0),16),""),"")</f>
        <v/>
      </c>
      <c r="T118">
        <f>IFERROR(IF(ISNUMBER(INDEX(SPPR!$E:$X,MATCH($A118,SPPR!$A:$A,0),17)),$C118*INDEX(SPPR!$E:$X,MATCH($A118,SPPR!$A:$A,0),17),""),"")</f>
        <v/>
      </c>
      <c r="U118">
        <f>IFERROR(IF(ISNUMBER(INDEX(SPPR!$E:$X,MATCH($A118,SPPR!$A:$A,0),18)),$C118*INDEX(SPPR!$E:$X,MATCH($A118,SPPR!$A:$A,0),18),""),"")</f>
        <v/>
      </c>
      <c r="V118">
        <f>IFERROR(IF(ISNUMBER(INDEX(SPPR!$E:$X,MATCH($A118,SPPR!$A:$A,0),19)),$C118*INDEX(SPPR!$E:$X,MATCH($A118,SPPR!$A:$A,0),19),""),"")</f>
        <v/>
      </c>
      <c r="W118">
        <f>IFERROR(IF(ISNUMBER(INDEX(SPPR!$E:$X,MATCH($A118,SPPR!$A:$A,0),20)),$C118*INDEX(SPPR!$E:$X,MATCH($A118,SPPR!$A:$A,0),20),""),"")</f>
        <v/>
      </c>
    </row>
    <row r="119">
      <c r="A119" t="inlineStr">
        <is>
          <t>Mugilidae</t>
        </is>
      </c>
      <c r="B119">
        <f>IFERROR(INDEX(SPPR!$D:$D,MATCH($A119,SPPR!$A:$A,0)),"")</f>
        <v/>
      </c>
      <c r="C119">
        <f>IFERROR(INDEX(Catch!$E:$BV,MATCH($A119,Catch!$A:$A,0),MATCH($B$4,Catch!$E$1:$BV$1,0)),0)</f>
        <v/>
      </c>
      <c r="D119">
        <f>IFERROR(IF(ISNUMBER(INDEX(SPPR!$E:$X,MATCH($A119,SPPR!$A:$A,0),1)),$C119*INDEX(SPPR!$E:$X,MATCH($A119,SPPR!$A:$A,0),1),""),"")</f>
        <v/>
      </c>
      <c r="E119">
        <f>IFERROR(IF(ISNUMBER(INDEX(SPPR!$E:$X,MATCH($A119,SPPR!$A:$A,0),2)),$C119*INDEX(SPPR!$E:$X,MATCH($A119,SPPR!$A:$A,0),2),""),"")</f>
        <v/>
      </c>
      <c r="F119">
        <f>IFERROR(IF(ISNUMBER(INDEX(SPPR!$E:$X,MATCH($A119,SPPR!$A:$A,0),3)),$C119*INDEX(SPPR!$E:$X,MATCH($A119,SPPR!$A:$A,0),3),""),"")</f>
        <v/>
      </c>
      <c r="G119">
        <f>IFERROR(IF(ISNUMBER(INDEX(SPPR!$E:$X,MATCH($A119,SPPR!$A:$A,0),4)),$C119*INDEX(SPPR!$E:$X,MATCH($A119,SPPR!$A:$A,0),4),""),"")</f>
        <v/>
      </c>
      <c r="H119">
        <f>IFERROR(IF(ISNUMBER(INDEX(SPPR!$E:$X,MATCH($A119,SPPR!$A:$A,0),5)),$C119*INDEX(SPPR!$E:$X,MATCH($A119,SPPR!$A:$A,0),5),""),"")</f>
        <v/>
      </c>
      <c r="I119">
        <f>IFERROR(IF(ISNUMBER(INDEX(SPPR!$E:$X,MATCH($A119,SPPR!$A:$A,0),6)),$C119*INDEX(SPPR!$E:$X,MATCH($A119,SPPR!$A:$A,0),6),""),"")</f>
        <v/>
      </c>
      <c r="J119">
        <f>IFERROR(IF(ISNUMBER(INDEX(SPPR!$E:$X,MATCH($A119,SPPR!$A:$A,0),7)),$C119*INDEX(SPPR!$E:$X,MATCH($A119,SPPR!$A:$A,0),7),""),"")</f>
        <v/>
      </c>
      <c r="K119">
        <f>IFERROR(IF(ISNUMBER(INDEX(SPPR!$E:$X,MATCH($A119,SPPR!$A:$A,0),8)),$C119*INDEX(SPPR!$E:$X,MATCH($A119,SPPR!$A:$A,0),8),""),"")</f>
        <v/>
      </c>
      <c r="L119">
        <f>IFERROR(IF(ISNUMBER(INDEX(SPPR!$E:$X,MATCH($A119,SPPR!$A:$A,0),9)),$C119*INDEX(SPPR!$E:$X,MATCH($A119,SPPR!$A:$A,0),9),""),"")</f>
        <v/>
      </c>
      <c r="M119">
        <f>IFERROR(IF(ISNUMBER(INDEX(SPPR!$E:$X,MATCH($A119,SPPR!$A:$A,0),10)),$C119*INDEX(SPPR!$E:$X,MATCH($A119,SPPR!$A:$A,0),10),""),"")</f>
        <v/>
      </c>
      <c r="N119">
        <f>IFERROR(IF(ISNUMBER(INDEX(SPPR!$E:$X,MATCH($A119,SPPR!$A:$A,0),11)),$C119*INDEX(SPPR!$E:$X,MATCH($A119,SPPR!$A:$A,0),11),""),"")</f>
        <v/>
      </c>
      <c r="O119">
        <f>IFERROR(IF(ISNUMBER(INDEX(SPPR!$E:$X,MATCH($A119,SPPR!$A:$A,0),12)),$C119*INDEX(SPPR!$E:$X,MATCH($A119,SPPR!$A:$A,0),12),""),"")</f>
        <v/>
      </c>
      <c r="P119">
        <f>IFERROR(IF(ISNUMBER(INDEX(SPPR!$E:$X,MATCH($A119,SPPR!$A:$A,0),13)),$C119*INDEX(SPPR!$E:$X,MATCH($A119,SPPR!$A:$A,0),13),""),"")</f>
        <v/>
      </c>
      <c r="Q119">
        <f>IFERROR(IF(ISNUMBER(INDEX(SPPR!$E:$X,MATCH($A119,SPPR!$A:$A,0),14)),$C119*INDEX(SPPR!$E:$X,MATCH($A119,SPPR!$A:$A,0),14),""),"")</f>
        <v/>
      </c>
      <c r="R119">
        <f>IFERROR(IF(ISNUMBER(INDEX(SPPR!$E:$X,MATCH($A119,SPPR!$A:$A,0),15)),$C119*INDEX(SPPR!$E:$X,MATCH($A119,SPPR!$A:$A,0),15),""),"")</f>
        <v/>
      </c>
      <c r="S119">
        <f>IFERROR(IF(ISNUMBER(INDEX(SPPR!$E:$X,MATCH($A119,SPPR!$A:$A,0),16)),$C119*INDEX(SPPR!$E:$X,MATCH($A119,SPPR!$A:$A,0),16),""),"")</f>
        <v/>
      </c>
      <c r="T119">
        <f>IFERROR(IF(ISNUMBER(INDEX(SPPR!$E:$X,MATCH($A119,SPPR!$A:$A,0),17)),$C119*INDEX(SPPR!$E:$X,MATCH($A119,SPPR!$A:$A,0),17),""),"")</f>
        <v/>
      </c>
      <c r="U119">
        <f>IFERROR(IF(ISNUMBER(INDEX(SPPR!$E:$X,MATCH($A119,SPPR!$A:$A,0),18)),$C119*INDEX(SPPR!$E:$X,MATCH($A119,SPPR!$A:$A,0),18),""),"")</f>
        <v/>
      </c>
      <c r="V119">
        <f>IFERROR(IF(ISNUMBER(INDEX(SPPR!$E:$X,MATCH($A119,SPPR!$A:$A,0),19)),$C119*INDEX(SPPR!$E:$X,MATCH($A119,SPPR!$A:$A,0),19),""),"")</f>
        <v/>
      </c>
      <c r="W119">
        <f>IFERROR(IF(ISNUMBER(INDEX(SPPR!$E:$X,MATCH($A119,SPPR!$A:$A,0),20)),$C119*INDEX(SPPR!$E:$X,MATCH($A119,SPPR!$A:$A,0),20),""),"")</f>
        <v/>
      </c>
    </row>
    <row r="120">
      <c r="A120" t="inlineStr">
        <is>
          <t>Hexagrammos otakii</t>
        </is>
      </c>
      <c r="B120">
        <f>IFERROR(INDEX(SPPR!$D:$D,MATCH($A120,SPPR!$A:$A,0)),"")</f>
        <v/>
      </c>
      <c r="C120">
        <f>IFERROR(INDEX(Catch!$E:$BV,MATCH($A120,Catch!$A:$A,0),MATCH($B$4,Catch!$E$1:$BV$1,0)),0)</f>
        <v/>
      </c>
      <c r="D120">
        <f>IFERROR(IF(ISNUMBER(INDEX(SPPR!$E:$X,MATCH($A120,SPPR!$A:$A,0),1)),$C120*INDEX(SPPR!$E:$X,MATCH($A120,SPPR!$A:$A,0),1),""),"")</f>
        <v/>
      </c>
      <c r="E120">
        <f>IFERROR(IF(ISNUMBER(INDEX(SPPR!$E:$X,MATCH($A120,SPPR!$A:$A,0),2)),$C120*INDEX(SPPR!$E:$X,MATCH($A120,SPPR!$A:$A,0),2),""),"")</f>
        <v/>
      </c>
      <c r="F120">
        <f>IFERROR(IF(ISNUMBER(INDEX(SPPR!$E:$X,MATCH($A120,SPPR!$A:$A,0),3)),$C120*INDEX(SPPR!$E:$X,MATCH($A120,SPPR!$A:$A,0),3),""),"")</f>
        <v/>
      </c>
      <c r="G120">
        <f>IFERROR(IF(ISNUMBER(INDEX(SPPR!$E:$X,MATCH($A120,SPPR!$A:$A,0),4)),$C120*INDEX(SPPR!$E:$X,MATCH($A120,SPPR!$A:$A,0),4),""),"")</f>
        <v/>
      </c>
      <c r="H120">
        <f>IFERROR(IF(ISNUMBER(INDEX(SPPR!$E:$X,MATCH($A120,SPPR!$A:$A,0),5)),$C120*INDEX(SPPR!$E:$X,MATCH($A120,SPPR!$A:$A,0),5),""),"")</f>
        <v/>
      </c>
      <c r="I120">
        <f>IFERROR(IF(ISNUMBER(INDEX(SPPR!$E:$X,MATCH($A120,SPPR!$A:$A,0),6)),$C120*INDEX(SPPR!$E:$X,MATCH($A120,SPPR!$A:$A,0),6),""),"")</f>
        <v/>
      </c>
      <c r="J120">
        <f>IFERROR(IF(ISNUMBER(INDEX(SPPR!$E:$X,MATCH($A120,SPPR!$A:$A,0),7)),$C120*INDEX(SPPR!$E:$X,MATCH($A120,SPPR!$A:$A,0),7),""),"")</f>
        <v/>
      </c>
      <c r="K120">
        <f>IFERROR(IF(ISNUMBER(INDEX(SPPR!$E:$X,MATCH($A120,SPPR!$A:$A,0),8)),$C120*INDEX(SPPR!$E:$X,MATCH($A120,SPPR!$A:$A,0),8),""),"")</f>
        <v/>
      </c>
      <c r="L120">
        <f>IFERROR(IF(ISNUMBER(INDEX(SPPR!$E:$X,MATCH($A120,SPPR!$A:$A,0),9)),$C120*INDEX(SPPR!$E:$X,MATCH($A120,SPPR!$A:$A,0),9),""),"")</f>
        <v/>
      </c>
      <c r="M120">
        <f>IFERROR(IF(ISNUMBER(INDEX(SPPR!$E:$X,MATCH($A120,SPPR!$A:$A,0),10)),$C120*INDEX(SPPR!$E:$X,MATCH($A120,SPPR!$A:$A,0),10),""),"")</f>
        <v/>
      </c>
      <c r="N120">
        <f>IFERROR(IF(ISNUMBER(INDEX(SPPR!$E:$X,MATCH($A120,SPPR!$A:$A,0),11)),$C120*INDEX(SPPR!$E:$X,MATCH($A120,SPPR!$A:$A,0),11),""),"")</f>
        <v/>
      </c>
      <c r="O120">
        <f>IFERROR(IF(ISNUMBER(INDEX(SPPR!$E:$X,MATCH($A120,SPPR!$A:$A,0),12)),$C120*INDEX(SPPR!$E:$X,MATCH($A120,SPPR!$A:$A,0),12),""),"")</f>
        <v/>
      </c>
      <c r="P120">
        <f>IFERROR(IF(ISNUMBER(INDEX(SPPR!$E:$X,MATCH($A120,SPPR!$A:$A,0),13)),$C120*INDEX(SPPR!$E:$X,MATCH($A120,SPPR!$A:$A,0),13),""),"")</f>
        <v/>
      </c>
      <c r="Q120">
        <f>IFERROR(IF(ISNUMBER(INDEX(SPPR!$E:$X,MATCH($A120,SPPR!$A:$A,0),14)),$C120*INDEX(SPPR!$E:$X,MATCH($A120,SPPR!$A:$A,0),14),""),"")</f>
        <v/>
      </c>
      <c r="R120">
        <f>IFERROR(IF(ISNUMBER(INDEX(SPPR!$E:$X,MATCH($A120,SPPR!$A:$A,0),15)),$C120*INDEX(SPPR!$E:$X,MATCH($A120,SPPR!$A:$A,0),15),""),"")</f>
        <v/>
      </c>
      <c r="S120">
        <f>IFERROR(IF(ISNUMBER(INDEX(SPPR!$E:$X,MATCH($A120,SPPR!$A:$A,0),16)),$C120*INDEX(SPPR!$E:$X,MATCH($A120,SPPR!$A:$A,0),16),""),"")</f>
        <v/>
      </c>
      <c r="T120">
        <f>IFERROR(IF(ISNUMBER(INDEX(SPPR!$E:$X,MATCH($A120,SPPR!$A:$A,0),17)),$C120*INDEX(SPPR!$E:$X,MATCH($A120,SPPR!$A:$A,0),17),""),"")</f>
        <v/>
      </c>
      <c r="U120">
        <f>IFERROR(IF(ISNUMBER(INDEX(SPPR!$E:$X,MATCH($A120,SPPR!$A:$A,0),18)),$C120*INDEX(SPPR!$E:$X,MATCH($A120,SPPR!$A:$A,0),18),""),"")</f>
        <v/>
      </c>
      <c r="V120">
        <f>IFERROR(IF(ISNUMBER(INDEX(SPPR!$E:$X,MATCH($A120,SPPR!$A:$A,0),19)),$C120*INDEX(SPPR!$E:$X,MATCH($A120,SPPR!$A:$A,0),19),""),"")</f>
        <v/>
      </c>
      <c r="W120">
        <f>IFERROR(IF(ISNUMBER(INDEX(SPPR!$E:$X,MATCH($A120,SPPR!$A:$A,0),20)),$C120*INDEX(SPPR!$E:$X,MATCH($A120,SPPR!$A:$A,0),20),""),"")</f>
        <v/>
      </c>
    </row>
    <row r="121">
      <c r="A121" t="inlineStr">
        <is>
          <t>Hexagrammidae</t>
        </is>
      </c>
      <c r="B121">
        <f>IFERROR(INDEX(SPPR!$D:$D,MATCH($A121,SPPR!$A:$A,0)),"")</f>
        <v/>
      </c>
      <c r="C121">
        <f>IFERROR(INDEX(Catch!$E:$BV,MATCH($A121,Catch!$A:$A,0),MATCH($B$4,Catch!$E$1:$BV$1,0)),0)</f>
        <v/>
      </c>
      <c r="D121">
        <f>IFERROR(IF(ISNUMBER(INDEX(SPPR!$E:$X,MATCH($A121,SPPR!$A:$A,0),1)),$C121*INDEX(SPPR!$E:$X,MATCH($A121,SPPR!$A:$A,0),1),""),"")</f>
        <v/>
      </c>
      <c r="E121">
        <f>IFERROR(IF(ISNUMBER(INDEX(SPPR!$E:$X,MATCH($A121,SPPR!$A:$A,0),2)),$C121*INDEX(SPPR!$E:$X,MATCH($A121,SPPR!$A:$A,0),2),""),"")</f>
        <v/>
      </c>
      <c r="F121">
        <f>IFERROR(IF(ISNUMBER(INDEX(SPPR!$E:$X,MATCH($A121,SPPR!$A:$A,0),3)),$C121*INDEX(SPPR!$E:$X,MATCH($A121,SPPR!$A:$A,0),3),""),"")</f>
        <v/>
      </c>
      <c r="G121">
        <f>IFERROR(IF(ISNUMBER(INDEX(SPPR!$E:$X,MATCH($A121,SPPR!$A:$A,0),4)),$C121*INDEX(SPPR!$E:$X,MATCH($A121,SPPR!$A:$A,0),4),""),"")</f>
        <v/>
      </c>
      <c r="H121">
        <f>IFERROR(IF(ISNUMBER(INDEX(SPPR!$E:$X,MATCH($A121,SPPR!$A:$A,0),5)),$C121*INDEX(SPPR!$E:$X,MATCH($A121,SPPR!$A:$A,0),5),""),"")</f>
        <v/>
      </c>
      <c r="I121">
        <f>IFERROR(IF(ISNUMBER(INDEX(SPPR!$E:$X,MATCH($A121,SPPR!$A:$A,0),6)),$C121*INDEX(SPPR!$E:$X,MATCH($A121,SPPR!$A:$A,0),6),""),"")</f>
        <v/>
      </c>
      <c r="J121">
        <f>IFERROR(IF(ISNUMBER(INDEX(SPPR!$E:$X,MATCH($A121,SPPR!$A:$A,0),7)),$C121*INDEX(SPPR!$E:$X,MATCH($A121,SPPR!$A:$A,0),7),""),"")</f>
        <v/>
      </c>
      <c r="K121">
        <f>IFERROR(IF(ISNUMBER(INDEX(SPPR!$E:$X,MATCH($A121,SPPR!$A:$A,0),8)),$C121*INDEX(SPPR!$E:$X,MATCH($A121,SPPR!$A:$A,0),8),""),"")</f>
        <v/>
      </c>
      <c r="L121">
        <f>IFERROR(IF(ISNUMBER(INDEX(SPPR!$E:$X,MATCH($A121,SPPR!$A:$A,0),9)),$C121*INDEX(SPPR!$E:$X,MATCH($A121,SPPR!$A:$A,0),9),""),"")</f>
        <v/>
      </c>
      <c r="M121">
        <f>IFERROR(IF(ISNUMBER(INDEX(SPPR!$E:$X,MATCH($A121,SPPR!$A:$A,0),10)),$C121*INDEX(SPPR!$E:$X,MATCH($A121,SPPR!$A:$A,0),10),""),"")</f>
        <v/>
      </c>
      <c r="N121">
        <f>IFERROR(IF(ISNUMBER(INDEX(SPPR!$E:$X,MATCH($A121,SPPR!$A:$A,0),11)),$C121*INDEX(SPPR!$E:$X,MATCH($A121,SPPR!$A:$A,0),11),""),"")</f>
        <v/>
      </c>
      <c r="O121">
        <f>IFERROR(IF(ISNUMBER(INDEX(SPPR!$E:$X,MATCH($A121,SPPR!$A:$A,0),12)),$C121*INDEX(SPPR!$E:$X,MATCH($A121,SPPR!$A:$A,0),12),""),"")</f>
        <v/>
      </c>
      <c r="P121">
        <f>IFERROR(IF(ISNUMBER(INDEX(SPPR!$E:$X,MATCH($A121,SPPR!$A:$A,0),13)),$C121*INDEX(SPPR!$E:$X,MATCH($A121,SPPR!$A:$A,0),13),""),"")</f>
        <v/>
      </c>
      <c r="Q121">
        <f>IFERROR(IF(ISNUMBER(INDEX(SPPR!$E:$X,MATCH($A121,SPPR!$A:$A,0),14)),$C121*INDEX(SPPR!$E:$X,MATCH($A121,SPPR!$A:$A,0),14),""),"")</f>
        <v/>
      </c>
      <c r="R121">
        <f>IFERROR(IF(ISNUMBER(INDEX(SPPR!$E:$X,MATCH($A121,SPPR!$A:$A,0),15)),$C121*INDEX(SPPR!$E:$X,MATCH($A121,SPPR!$A:$A,0),15),""),"")</f>
        <v/>
      </c>
      <c r="S121">
        <f>IFERROR(IF(ISNUMBER(INDEX(SPPR!$E:$X,MATCH($A121,SPPR!$A:$A,0),16)),$C121*INDEX(SPPR!$E:$X,MATCH($A121,SPPR!$A:$A,0),16),""),"")</f>
        <v/>
      </c>
      <c r="T121">
        <f>IFERROR(IF(ISNUMBER(INDEX(SPPR!$E:$X,MATCH($A121,SPPR!$A:$A,0),17)),$C121*INDEX(SPPR!$E:$X,MATCH($A121,SPPR!$A:$A,0),17),""),"")</f>
        <v/>
      </c>
      <c r="U121">
        <f>IFERROR(IF(ISNUMBER(INDEX(SPPR!$E:$X,MATCH($A121,SPPR!$A:$A,0),18)),$C121*INDEX(SPPR!$E:$X,MATCH($A121,SPPR!$A:$A,0),18),""),"")</f>
        <v/>
      </c>
      <c r="V121">
        <f>IFERROR(IF(ISNUMBER(INDEX(SPPR!$E:$X,MATCH($A121,SPPR!$A:$A,0),19)),$C121*INDEX(SPPR!$E:$X,MATCH($A121,SPPR!$A:$A,0),19),""),"")</f>
        <v/>
      </c>
      <c r="W121">
        <f>IFERROR(IF(ISNUMBER(INDEX(SPPR!$E:$X,MATCH($A121,SPPR!$A:$A,0),20)),$C121*INDEX(SPPR!$E:$X,MATCH($A121,SPPR!$A:$A,0),20),""),"")</f>
        <v/>
      </c>
    </row>
    <row r="122">
      <c r="A122" t="inlineStr">
        <is>
          <t>Marine pelagic fishes not identified</t>
        </is>
      </c>
      <c r="B122">
        <f>IFERROR(INDEX(SPPR!$D:$D,MATCH($A122,SPPR!$A:$A,0)),"")</f>
        <v/>
      </c>
      <c r="C122">
        <f>IFERROR(INDEX(Catch!$E:$BV,MATCH($A122,Catch!$A:$A,0),MATCH($B$4,Catch!$E$1:$BV$1,0)),0)</f>
        <v/>
      </c>
      <c r="D122">
        <f>IFERROR(IF(ISNUMBER(INDEX(SPPR!$E:$X,MATCH($A122,SPPR!$A:$A,0),1)),$C122*INDEX(SPPR!$E:$X,MATCH($A122,SPPR!$A:$A,0),1),""),"")</f>
        <v/>
      </c>
      <c r="E122">
        <f>IFERROR(IF(ISNUMBER(INDEX(SPPR!$E:$X,MATCH($A122,SPPR!$A:$A,0),2)),$C122*INDEX(SPPR!$E:$X,MATCH($A122,SPPR!$A:$A,0),2),""),"")</f>
        <v/>
      </c>
      <c r="F122">
        <f>IFERROR(IF(ISNUMBER(INDEX(SPPR!$E:$X,MATCH($A122,SPPR!$A:$A,0),3)),$C122*INDEX(SPPR!$E:$X,MATCH($A122,SPPR!$A:$A,0),3),""),"")</f>
        <v/>
      </c>
      <c r="G122">
        <f>IFERROR(IF(ISNUMBER(INDEX(SPPR!$E:$X,MATCH($A122,SPPR!$A:$A,0),4)),$C122*INDEX(SPPR!$E:$X,MATCH($A122,SPPR!$A:$A,0),4),""),"")</f>
        <v/>
      </c>
      <c r="H122">
        <f>IFERROR(IF(ISNUMBER(INDEX(SPPR!$E:$X,MATCH($A122,SPPR!$A:$A,0),5)),$C122*INDEX(SPPR!$E:$X,MATCH($A122,SPPR!$A:$A,0),5),""),"")</f>
        <v/>
      </c>
      <c r="I122">
        <f>IFERROR(IF(ISNUMBER(INDEX(SPPR!$E:$X,MATCH($A122,SPPR!$A:$A,0),6)),$C122*INDEX(SPPR!$E:$X,MATCH($A122,SPPR!$A:$A,0),6),""),"")</f>
        <v/>
      </c>
      <c r="J122">
        <f>IFERROR(IF(ISNUMBER(INDEX(SPPR!$E:$X,MATCH($A122,SPPR!$A:$A,0),7)),$C122*INDEX(SPPR!$E:$X,MATCH($A122,SPPR!$A:$A,0),7),""),"")</f>
        <v/>
      </c>
      <c r="K122">
        <f>IFERROR(IF(ISNUMBER(INDEX(SPPR!$E:$X,MATCH($A122,SPPR!$A:$A,0),8)),$C122*INDEX(SPPR!$E:$X,MATCH($A122,SPPR!$A:$A,0),8),""),"")</f>
        <v/>
      </c>
      <c r="L122">
        <f>IFERROR(IF(ISNUMBER(INDEX(SPPR!$E:$X,MATCH($A122,SPPR!$A:$A,0),9)),$C122*INDEX(SPPR!$E:$X,MATCH($A122,SPPR!$A:$A,0),9),""),"")</f>
        <v/>
      </c>
      <c r="M122">
        <f>IFERROR(IF(ISNUMBER(INDEX(SPPR!$E:$X,MATCH($A122,SPPR!$A:$A,0),10)),$C122*INDEX(SPPR!$E:$X,MATCH($A122,SPPR!$A:$A,0),10),""),"")</f>
        <v/>
      </c>
      <c r="N122">
        <f>IFERROR(IF(ISNUMBER(INDEX(SPPR!$E:$X,MATCH($A122,SPPR!$A:$A,0),11)),$C122*INDEX(SPPR!$E:$X,MATCH($A122,SPPR!$A:$A,0),11),""),"")</f>
        <v/>
      </c>
      <c r="O122">
        <f>IFERROR(IF(ISNUMBER(INDEX(SPPR!$E:$X,MATCH($A122,SPPR!$A:$A,0),12)),$C122*INDEX(SPPR!$E:$X,MATCH($A122,SPPR!$A:$A,0),12),""),"")</f>
        <v/>
      </c>
      <c r="P122">
        <f>IFERROR(IF(ISNUMBER(INDEX(SPPR!$E:$X,MATCH($A122,SPPR!$A:$A,0),13)),$C122*INDEX(SPPR!$E:$X,MATCH($A122,SPPR!$A:$A,0),13),""),"")</f>
        <v/>
      </c>
      <c r="Q122">
        <f>IFERROR(IF(ISNUMBER(INDEX(SPPR!$E:$X,MATCH($A122,SPPR!$A:$A,0),14)),$C122*INDEX(SPPR!$E:$X,MATCH($A122,SPPR!$A:$A,0),14),""),"")</f>
        <v/>
      </c>
      <c r="R122">
        <f>IFERROR(IF(ISNUMBER(INDEX(SPPR!$E:$X,MATCH($A122,SPPR!$A:$A,0),15)),$C122*INDEX(SPPR!$E:$X,MATCH($A122,SPPR!$A:$A,0),15),""),"")</f>
        <v/>
      </c>
      <c r="S122">
        <f>IFERROR(IF(ISNUMBER(INDEX(SPPR!$E:$X,MATCH($A122,SPPR!$A:$A,0),16)),$C122*INDEX(SPPR!$E:$X,MATCH($A122,SPPR!$A:$A,0),16),""),"")</f>
        <v/>
      </c>
      <c r="T122">
        <f>IFERROR(IF(ISNUMBER(INDEX(SPPR!$E:$X,MATCH($A122,SPPR!$A:$A,0),17)),$C122*INDEX(SPPR!$E:$X,MATCH($A122,SPPR!$A:$A,0),17),""),"")</f>
        <v/>
      </c>
      <c r="U122">
        <f>IFERROR(IF(ISNUMBER(INDEX(SPPR!$E:$X,MATCH($A122,SPPR!$A:$A,0),18)),$C122*INDEX(SPPR!$E:$X,MATCH($A122,SPPR!$A:$A,0),18),""),"")</f>
        <v/>
      </c>
      <c r="V122">
        <f>IFERROR(IF(ISNUMBER(INDEX(SPPR!$E:$X,MATCH($A122,SPPR!$A:$A,0),19)),$C122*INDEX(SPPR!$E:$X,MATCH($A122,SPPR!$A:$A,0),19),""),"")</f>
        <v/>
      </c>
      <c r="W122">
        <f>IFERROR(IF(ISNUMBER(INDEX(SPPR!$E:$X,MATCH($A122,SPPR!$A:$A,0),20)),$C122*INDEX(SPPR!$E:$X,MATCH($A122,SPPR!$A:$A,0),20),""),"")</f>
        <v/>
      </c>
    </row>
    <row r="123">
      <c r="A123" t="inlineStr">
        <is>
          <t>Beryx</t>
        </is>
      </c>
      <c r="B123">
        <f>IFERROR(INDEX(SPPR!$D:$D,MATCH($A123,SPPR!$A:$A,0)),"")</f>
        <v/>
      </c>
      <c r="C123">
        <f>IFERROR(INDEX(Catch!$E:$BV,MATCH($A123,Catch!$A:$A,0),MATCH($B$4,Catch!$E$1:$BV$1,0)),0)</f>
        <v/>
      </c>
      <c r="D123">
        <f>IFERROR(IF(ISNUMBER(INDEX(SPPR!$E:$X,MATCH($A123,SPPR!$A:$A,0),1)),$C123*INDEX(SPPR!$E:$X,MATCH($A123,SPPR!$A:$A,0),1),""),"")</f>
        <v/>
      </c>
      <c r="E123">
        <f>IFERROR(IF(ISNUMBER(INDEX(SPPR!$E:$X,MATCH($A123,SPPR!$A:$A,0),2)),$C123*INDEX(SPPR!$E:$X,MATCH($A123,SPPR!$A:$A,0),2),""),"")</f>
        <v/>
      </c>
      <c r="F123">
        <f>IFERROR(IF(ISNUMBER(INDEX(SPPR!$E:$X,MATCH($A123,SPPR!$A:$A,0),3)),$C123*INDEX(SPPR!$E:$X,MATCH($A123,SPPR!$A:$A,0),3),""),"")</f>
        <v/>
      </c>
      <c r="G123">
        <f>IFERROR(IF(ISNUMBER(INDEX(SPPR!$E:$X,MATCH($A123,SPPR!$A:$A,0),4)),$C123*INDEX(SPPR!$E:$X,MATCH($A123,SPPR!$A:$A,0),4),""),"")</f>
        <v/>
      </c>
      <c r="H123">
        <f>IFERROR(IF(ISNUMBER(INDEX(SPPR!$E:$X,MATCH($A123,SPPR!$A:$A,0),5)),$C123*INDEX(SPPR!$E:$X,MATCH($A123,SPPR!$A:$A,0),5),""),"")</f>
        <v/>
      </c>
      <c r="I123">
        <f>IFERROR(IF(ISNUMBER(INDEX(SPPR!$E:$X,MATCH($A123,SPPR!$A:$A,0),6)),$C123*INDEX(SPPR!$E:$X,MATCH($A123,SPPR!$A:$A,0),6),""),"")</f>
        <v/>
      </c>
      <c r="J123">
        <f>IFERROR(IF(ISNUMBER(INDEX(SPPR!$E:$X,MATCH($A123,SPPR!$A:$A,0),7)),$C123*INDEX(SPPR!$E:$X,MATCH($A123,SPPR!$A:$A,0),7),""),"")</f>
        <v/>
      </c>
      <c r="K123">
        <f>IFERROR(IF(ISNUMBER(INDEX(SPPR!$E:$X,MATCH($A123,SPPR!$A:$A,0),8)),$C123*INDEX(SPPR!$E:$X,MATCH($A123,SPPR!$A:$A,0),8),""),"")</f>
        <v/>
      </c>
      <c r="L123">
        <f>IFERROR(IF(ISNUMBER(INDEX(SPPR!$E:$X,MATCH($A123,SPPR!$A:$A,0),9)),$C123*INDEX(SPPR!$E:$X,MATCH($A123,SPPR!$A:$A,0),9),""),"")</f>
        <v/>
      </c>
      <c r="M123">
        <f>IFERROR(IF(ISNUMBER(INDEX(SPPR!$E:$X,MATCH($A123,SPPR!$A:$A,0),10)),$C123*INDEX(SPPR!$E:$X,MATCH($A123,SPPR!$A:$A,0),10),""),"")</f>
        <v/>
      </c>
      <c r="N123">
        <f>IFERROR(IF(ISNUMBER(INDEX(SPPR!$E:$X,MATCH($A123,SPPR!$A:$A,0),11)),$C123*INDEX(SPPR!$E:$X,MATCH($A123,SPPR!$A:$A,0),11),""),"")</f>
        <v/>
      </c>
      <c r="O123">
        <f>IFERROR(IF(ISNUMBER(INDEX(SPPR!$E:$X,MATCH($A123,SPPR!$A:$A,0),12)),$C123*INDEX(SPPR!$E:$X,MATCH($A123,SPPR!$A:$A,0),12),""),"")</f>
        <v/>
      </c>
      <c r="P123">
        <f>IFERROR(IF(ISNUMBER(INDEX(SPPR!$E:$X,MATCH($A123,SPPR!$A:$A,0),13)),$C123*INDEX(SPPR!$E:$X,MATCH($A123,SPPR!$A:$A,0),13),""),"")</f>
        <v/>
      </c>
      <c r="Q123">
        <f>IFERROR(IF(ISNUMBER(INDEX(SPPR!$E:$X,MATCH($A123,SPPR!$A:$A,0),14)),$C123*INDEX(SPPR!$E:$X,MATCH($A123,SPPR!$A:$A,0),14),""),"")</f>
        <v/>
      </c>
      <c r="R123">
        <f>IFERROR(IF(ISNUMBER(INDEX(SPPR!$E:$X,MATCH($A123,SPPR!$A:$A,0),15)),$C123*INDEX(SPPR!$E:$X,MATCH($A123,SPPR!$A:$A,0),15),""),"")</f>
        <v/>
      </c>
      <c r="S123">
        <f>IFERROR(IF(ISNUMBER(INDEX(SPPR!$E:$X,MATCH($A123,SPPR!$A:$A,0),16)),$C123*INDEX(SPPR!$E:$X,MATCH($A123,SPPR!$A:$A,0),16),""),"")</f>
        <v/>
      </c>
      <c r="T123">
        <f>IFERROR(IF(ISNUMBER(INDEX(SPPR!$E:$X,MATCH($A123,SPPR!$A:$A,0),17)),$C123*INDEX(SPPR!$E:$X,MATCH($A123,SPPR!$A:$A,0),17),""),"")</f>
        <v/>
      </c>
      <c r="U123">
        <f>IFERROR(IF(ISNUMBER(INDEX(SPPR!$E:$X,MATCH($A123,SPPR!$A:$A,0),18)),$C123*INDEX(SPPR!$E:$X,MATCH($A123,SPPR!$A:$A,0),18),""),"")</f>
        <v/>
      </c>
      <c r="V123">
        <f>IFERROR(IF(ISNUMBER(INDEX(SPPR!$E:$X,MATCH($A123,SPPR!$A:$A,0),19)),$C123*INDEX(SPPR!$E:$X,MATCH($A123,SPPR!$A:$A,0),19),""),"")</f>
        <v/>
      </c>
      <c r="W123">
        <f>IFERROR(IF(ISNUMBER(INDEX(SPPR!$E:$X,MATCH($A123,SPPR!$A:$A,0),20)),$C123*INDEX(SPPR!$E:$X,MATCH($A123,SPPR!$A:$A,0),20),""),"")</f>
        <v/>
      </c>
    </row>
    <row r="124">
      <c r="A124" t="inlineStr">
        <is>
          <t>Apostichopus japonicus</t>
        </is>
      </c>
      <c r="B124">
        <f>IFERROR(INDEX(SPPR!$D:$D,MATCH($A124,SPPR!$A:$A,0)),"")</f>
        <v/>
      </c>
      <c r="C124">
        <f>IFERROR(INDEX(Catch!$E:$BV,MATCH($A124,Catch!$A:$A,0),MATCH($B$4,Catch!$E$1:$BV$1,0)),0)</f>
        <v/>
      </c>
      <c r="D124">
        <f>IFERROR(IF(ISNUMBER(INDEX(SPPR!$E:$X,MATCH($A124,SPPR!$A:$A,0),1)),$C124*INDEX(SPPR!$E:$X,MATCH($A124,SPPR!$A:$A,0),1),""),"")</f>
        <v/>
      </c>
      <c r="E124">
        <f>IFERROR(IF(ISNUMBER(INDEX(SPPR!$E:$X,MATCH($A124,SPPR!$A:$A,0),2)),$C124*INDEX(SPPR!$E:$X,MATCH($A124,SPPR!$A:$A,0),2),""),"")</f>
        <v/>
      </c>
      <c r="F124">
        <f>IFERROR(IF(ISNUMBER(INDEX(SPPR!$E:$X,MATCH($A124,SPPR!$A:$A,0),3)),$C124*INDEX(SPPR!$E:$X,MATCH($A124,SPPR!$A:$A,0),3),""),"")</f>
        <v/>
      </c>
      <c r="G124">
        <f>IFERROR(IF(ISNUMBER(INDEX(SPPR!$E:$X,MATCH($A124,SPPR!$A:$A,0),4)),$C124*INDEX(SPPR!$E:$X,MATCH($A124,SPPR!$A:$A,0),4),""),"")</f>
        <v/>
      </c>
      <c r="H124">
        <f>IFERROR(IF(ISNUMBER(INDEX(SPPR!$E:$X,MATCH($A124,SPPR!$A:$A,0),5)),$C124*INDEX(SPPR!$E:$X,MATCH($A124,SPPR!$A:$A,0),5),""),"")</f>
        <v/>
      </c>
      <c r="I124">
        <f>IFERROR(IF(ISNUMBER(INDEX(SPPR!$E:$X,MATCH($A124,SPPR!$A:$A,0),6)),$C124*INDEX(SPPR!$E:$X,MATCH($A124,SPPR!$A:$A,0),6),""),"")</f>
        <v/>
      </c>
      <c r="J124">
        <f>IFERROR(IF(ISNUMBER(INDEX(SPPR!$E:$X,MATCH($A124,SPPR!$A:$A,0),7)),$C124*INDEX(SPPR!$E:$X,MATCH($A124,SPPR!$A:$A,0),7),""),"")</f>
        <v/>
      </c>
      <c r="K124">
        <f>IFERROR(IF(ISNUMBER(INDEX(SPPR!$E:$X,MATCH($A124,SPPR!$A:$A,0),8)),$C124*INDEX(SPPR!$E:$X,MATCH($A124,SPPR!$A:$A,0),8),""),"")</f>
        <v/>
      </c>
      <c r="L124">
        <f>IFERROR(IF(ISNUMBER(INDEX(SPPR!$E:$X,MATCH($A124,SPPR!$A:$A,0),9)),$C124*INDEX(SPPR!$E:$X,MATCH($A124,SPPR!$A:$A,0),9),""),"")</f>
        <v/>
      </c>
      <c r="M124">
        <f>IFERROR(IF(ISNUMBER(INDEX(SPPR!$E:$X,MATCH($A124,SPPR!$A:$A,0),10)),$C124*INDEX(SPPR!$E:$X,MATCH($A124,SPPR!$A:$A,0),10),""),"")</f>
        <v/>
      </c>
      <c r="N124">
        <f>IFERROR(IF(ISNUMBER(INDEX(SPPR!$E:$X,MATCH($A124,SPPR!$A:$A,0),11)),$C124*INDEX(SPPR!$E:$X,MATCH($A124,SPPR!$A:$A,0),11),""),"")</f>
        <v/>
      </c>
      <c r="O124">
        <f>IFERROR(IF(ISNUMBER(INDEX(SPPR!$E:$X,MATCH($A124,SPPR!$A:$A,0),12)),$C124*INDEX(SPPR!$E:$X,MATCH($A124,SPPR!$A:$A,0),12),""),"")</f>
        <v/>
      </c>
      <c r="P124">
        <f>IFERROR(IF(ISNUMBER(INDEX(SPPR!$E:$X,MATCH($A124,SPPR!$A:$A,0),13)),$C124*INDEX(SPPR!$E:$X,MATCH($A124,SPPR!$A:$A,0),13),""),"")</f>
        <v/>
      </c>
      <c r="Q124">
        <f>IFERROR(IF(ISNUMBER(INDEX(SPPR!$E:$X,MATCH($A124,SPPR!$A:$A,0),14)),$C124*INDEX(SPPR!$E:$X,MATCH($A124,SPPR!$A:$A,0),14),""),"")</f>
        <v/>
      </c>
      <c r="R124">
        <f>IFERROR(IF(ISNUMBER(INDEX(SPPR!$E:$X,MATCH($A124,SPPR!$A:$A,0),15)),$C124*INDEX(SPPR!$E:$X,MATCH($A124,SPPR!$A:$A,0),15),""),"")</f>
        <v/>
      </c>
      <c r="S124">
        <f>IFERROR(IF(ISNUMBER(INDEX(SPPR!$E:$X,MATCH($A124,SPPR!$A:$A,0),16)),$C124*INDEX(SPPR!$E:$X,MATCH($A124,SPPR!$A:$A,0),16),""),"")</f>
        <v/>
      </c>
      <c r="T124">
        <f>IFERROR(IF(ISNUMBER(INDEX(SPPR!$E:$X,MATCH($A124,SPPR!$A:$A,0),17)),$C124*INDEX(SPPR!$E:$X,MATCH($A124,SPPR!$A:$A,0),17),""),"")</f>
        <v/>
      </c>
      <c r="U124">
        <f>IFERROR(IF(ISNUMBER(INDEX(SPPR!$E:$X,MATCH($A124,SPPR!$A:$A,0),18)),$C124*INDEX(SPPR!$E:$X,MATCH($A124,SPPR!$A:$A,0),18),""),"")</f>
        <v/>
      </c>
      <c r="V124">
        <f>IFERROR(IF(ISNUMBER(INDEX(SPPR!$E:$X,MATCH($A124,SPPR!$A:$A,0),19)),$C124*INDEX(SPPR!$E:$X,MATCH($A124,SPPR!$A:$A,0),19),""),"")</f>
        <v/>
      </c>
      <c r="W124">
        <f>IFERROR(IF(ISNUMBER(INDEX(SPPR!$E:$X,MATCH($A124,SPPR!$A:$A,0),20)),$C124*INDEX(SPPR!$E:$X,MATCH($A124,SPPR!$A:$A,0),20),""),"")</f>
        <v/>
      </c>
    </row>
    <row r="125">
      <c r="A125" t="inlineStr">
        <is>
          <t>Crassostrea</t>
        </is>
      </c>
      <c r="B125">
        <f>IFERROR(INDEX(SPPR!$D:$D,MATCH($A125,SPPR!$A:$A,0)),"")</f>
        <v/>
      </c>
      <c r="C125">
        <f>IFERROR(INDEX(Catch!$E:$BV,MATCH($A125,Catch!$A:$A,0),MATCH($B$4,Catch!$E$1:$BV$1,0)),0)</f>
        <v/>
      </c>
      <c r="D125">
        <f>IFERROR(IF(ISNUMBER(INDEX(SPPR!$E:$X,MATCH($A125,SPPR!$A:$A,0),1)),$C125*INDEX(SPPR!$E:$X,MATCH($A125,SPPR!$A:$A,0),1),""),"")</f>
        <v/>
      </c>
      <c r="E125">
        <f>IFERROR(IF(ISNUMBER(INDEX(SPPR!$E:$X,MATCH($A125,SPPR!$A:$A,0),2)),$C125*INDEX(SPPR!$E:$X,MATCH($A125,SPPR!$A:$A,0),2),""),"")</f>
        <v/>
      </c>
      <c r="F125">
        <f>IFERROR(IF(ISNUMBER(INDEX(SPPR!$E:$X,MATCH($A125,SPPR!$A:$A,0),3)),$C125*INDEX(SPPR!$E:$X,MATCH($A125,SPPR!$A:$A,0),3),""),"")</f>
        <v/>
      </c>
      <c r="G125">
        <f>IFERROR(IF(ISNUMBER(INDEX(SPPR!$E:$X,MATCH($A125,SPPR!$A:$A,0),4)),$C125*INDEX(SPPR!$E:$X,MATCH($A125,SPPR!$A:$A,0),4),""),"")</f>
        <v/>
      </c>
      <c r="H125">
        <f>IFERROR(IF(ISNUMBER(INDEX(SPPR!$E:$X,MATCH($A125,SPPR!$A:$A,0),5)),$C125*INDEX(SPPR!$E:$X,MATCH($A125,SPPR!$A:$A,0),5),""),"")</f>
        <v/>
      </c>
      <c r="I125">
        <f>IFERROR(IF(ISNUMBER(INDEX(SPPR!$E:$X,MATCH($A125,SPPR!$A:$A,0),6)),$C125*INDEX(SPPR!$E:$X,MATCH($A125,SPPR!$A:$A,0),6),""),"")</f>
        <v/>
      </c>
      <c r="J125">
        <f>IFERROR(IF(ISNUMBER(INDEX(SPPR!$E:$X,MATCH($A125,SPPR!$A:$A,0),7)),$C125*INDEX(SPPR!$E:$X,MATCH($A125,SPPR!$A:$A,0),7),""),"")</f>
        <v/>
      </c>
      <c r="K125">
        <f>IFERROR(IF(ISNUMBER(INDEX(SPPR!$E:$X,MATCH($A125,SPPR!$A:$A,0),8)),$C125*INDEX(SPPR!$E:$X,MATCH($A125,SPPR!$A:$A,0),8),""),"")</f>
        <v/>
      </c>
      <c r="L125">
        <f>IFERROR(IF(ISNUMBER(INDEX(SPPR!$E:$X,MATCH($A125,SPPR!$A:$A,0),9)),$C125*INDEX(SPPR!$E:$X,MATCH($A125,SPPR!$A:$A,0),9),""),"")</f>
        <v/>
      </c>
      <c r="M125">
        <f>IFERROR(IF(ISNUMBER(INDEX(SPPR!$E:$X,MATCH($A125,SPPR!$A:$A,0),10)),$C125*INDEX(SPPR!$E:$X,MATCH($A125,SPPR!$A:$A,0),10),""),"")</f>
        <v/>
      </c>
      <c r="N125">
        <f>IFERROR(IF(ISNUMBER(INDEX(SPPR!$E:$X,MATCH($A125,SPPR!$A:$A,0),11)),$C125*INDEX(SPPR!$E:$X,MATCH($A125,SPPR!$A:$A,0),11),""),"")</f>
        <v/>
      </c>
      <c r="O125">
        <f>IFERROR(IF(ISNUMBER(INDEX(SPPR!$E:$X,MATCH($A125,SPPR!$A:$A,0),12)),$C125*INDEX(SPPR!$E:$X,MATCH($A125,SPPR!$A:$A,0),12),""),"")</f>
        <v/>
      </c>
      <c r="P125">
        <f>IFERROR(IF(ISNUMBER(INDEX(SPPR!$E:$X,MATCH($A125,SPPR!$A:$A,0),13)),$C125*INDEX(SPPR!$E:$X,MATCH($A125,SPPR!$A:$A,0),13),""),"")</f>
        <v/>
      </c>
      <c r="Q125">
        <f>IFERROR(IF(ISNUMBER(INDEX(SPPR!$E:$X,MATCH($A125,SPPR!$A:$A,0),14)),$C125*INDEX(SPPR!$E:$X,MATCH($A125,SPPR!$A:$A,0),14),""),"")</f>
        <v/>
      </c>
      <c r="R125">
        <f>IFERROR(IF(ISNUMBER(INDEX(SPPR!$E:$X,MATCH($A125,SPPR!$A:$A,0),15)),$C125*INDEX(SPPR!$E:$X,MATCH($A125,SPPR!$A:$A,0),15),""),"")</f>
        <v/>
      </c>
      <c r="S125">
        <f>IFERROR(IF(ISNUMBER(INDEX(SPPR!$E:$X,MATCH($A125,SPPR!$A:$A,0),16)),$C125*INDEX(SPPR!$E:$X,MATCH($A125,SPPR!$A:$A,0),16),""),"")</f>
        <v/>
      </c>
      <c r="T125">
        <f>IFERROR(IF(ISNUMBER(INDEX(SPPR!$E:$X,MATCH($A125,SPPR!$A:$A,0),17)),$C125*INDEX(SPPR!$E:$X,MATCH($A125,SPPR!$A:$A,0),17),""),"")</f>
        <v/>
      </c>
      <c r="U125">
        <f>IFERROR(IF(ISNUMBER(INDEX(SPPR!$E:$X,MATCH($A125,SPPR!$A:$A,0),18)),$C125*INDEX(SPPR!$E:$X,MATCH($A125,SPPR!$A:$A,0),18),""),"")</f>
        <v/>
      </c>
      <c r="V125">
        <f>IFERROR(IF(ISNUMBER(INDEX(SPPR!$E:$X,MATCH($A125,SPPR!$A:$A,0),19)),$C125*INDEX(SPPR!$E:$X,MATCH($A125,SPPR!$A:$A,0),19),""),"")</f>
        <v/>
      </c>
      <c r="W125">
        <f>IFERROR(IF(ISNUMBER(INDEX(SPPR!$E:$X,MATCH($A125,SPPR!$A:$A,0),20)),$C125*INDEX(SPPR!$E:$X,MATCH($A125,SPPR!$A:$A,0),20),""),"")</f>
        <v/>
      </c>
    </row>
    <row r="126">
      <c r="A126" t="inlineStr">
        <is>
          <t>Stromateidae</t>
        </is>
      </c>
      <c r="B126">
        <f>IFERROR(INDEX(SPPR!$D:$D,MATCH($A126,SPPR!$A:$A,0)),"")</f>
        <v/>
      </c>
      <c r="C126">
        <f>IFERROR(INDEX(Catch!$E:$BV,MATCH($A126,Catch!$A:$A,0),MATCH($B$4,Catch!$E$1:$BV$1,0)),0)</f>
        <v/>
      </c>
      <c r="D126">
        <f>IFERROR(IF(ISNUMBER(INDEX(SPPR!$E:$X,MATCH($A126,SPPR!$A:$A,0),1)),$C126*INDEX(SPPR!$E:$X,MATCH($A126,SPPR!$A:$A,0),1),""),"")</f>
        <v/>
      </c>
      <c r="E126">
        <f>IFERROR(IF(ISNUMBER(INDEX(SPPR!$E:$X,MATCH($A126,SPPR!$A:$A,0),2)),$C126*INDEX(SPPR!$E:$X,MATCH($A126,SPPR!$A:$A,0),2),""),"")</f>
        <v/>
      </c>
      <c r="F126">
        <f>IFERROR(IF(ISNUMBER(INDEX(SPPR!$E:$X,MATCH($A126,SPPR!$A:$A,0),3)),$C126*INDEX(SPPR!$E:$X,MATCH($A126,SPPR!$A:$A,0),3),""),"")</f>
        <v/>
      </c>
      <c r="G126">
        <f>IFERROR(IF(ISNUMBER(INDEX(SPPR!$E:$X,MATCH($A126,SPPR!$A:$A,0),4)),$C126*INDEX(SPPR!$E:$X,MATCH($A126,SPPR!$A:$A,0),4),""),"")</f>
        <v/>
      </c>
      <c r="H126">
        <f>IFERROR(IF(ISNUMBER(INDEX(SPPR!$E:$X,MATCH($A126,SPPR!$A:$A,0),5)),$C126*INDEX(SPPR!$E:$X,MATCH($A126,SPPR!$A:$A,0),5),""),"")</f>
        <v/>
      </c>
      <c r="I126">
        <f>IFERROR(IF(ISNUMBER(INDEX(SPPR!$E:$X,MATCH($A126,SPPR!$A:$A,0),6)),$C126*INDEX(SPPR!$E:$X,MATCH($A126,SPPR!$A:$A,0),6),""),"")</f>
        <v/>
      </c>
      <c r="J126">
        <f>IFERROR(IF(ISNUMBER(INDEX(SPPR!$E:$X,MATCH($A126,SPPR!$A:$A,0),7)),$C126*INDEX(SPPR!$E:$X,MATCH($A126,SPPR!$A:$A,0),7),""),"")</f>
        <v/>
      </c>
      <c r="K126">
        <f>IFERROR(IF(ISNUMBER(INDEX(SPPR!$E:$X,MATCH($A126,SPPR!$A:$A,0),8)),$C126*INDEX(SPPR!$E:$X,MATCH($A126,SPPR!$A:$A,0),8),""),"")</f>
        <v/>
      </c>
      <c r="L126">
        <f>IFERROR(IF(ISNUMBER(INDEX(SPPR!$E:$X,MATCH($A126,SPPR!$A:$A,0),9)),$C126*INDEX(SPPR!$E:$X,MATCH($A126,SPPR!$A:$A,0),9),""),"")</f>
        <v/>
      </c>
      <c r="M126">
        <f>IFERROR(IF(ISNUMBER(INDEX(SPPR!$E:$X,MATCH($A126,SPPR!$A:$A,0),10)),$C126*INDEX(SPPR!$E:$X,MATCH($A126,SPPR!$A:$A,0),10),""),"")</f>
        <v/>
      </c>
      <c r="N126">
        <f>IFERROR(IF(ISNUMBER(INDEX(SPPR!$E:$X,MATCH($A126,SPPR!$A:$A,0),11)),$C126*INDEX(SPPR!$E:$X,MATCH($A126,SPPR!$A:$A,0),11),""),"")</f>
        <v/>
      </c>
      <c r="O126">
        <f>IFERROR(IF(ISNUMBER(INDEX(SPPR!$E:$X,MATCH($A126,SPPR!$A:$A,0),12)),$C126*INDEX(SPPR!$E:$X,MATCH($A126,SPPR!$A:$A,0),12),""),"")</f>
        <v/>
      </c>
      <c r="P126">
        <f>IFERROR(IF(ISNUMBER(INDEX(SPPR!$E:$X,MATCH($A126,SPPR!$A:$A,0),13)),$C126*INDEX(SPPR!$E:$X,MATCH($A126,SPPR!$A:$A,0),13),""),"")</f>
        <v/>
      </c>
      <c r="Q126">
        <f>IFERROR(IF(ISNUMBER(INDEX(SPPR!$E:$X,MATCH($A126,SPPR!$A:$A,0),14)),$C126*INDEX(SPPR!$E:$X,MATCH($A126,SPPR!$A:$A,0),14),""),"")</f>
        <v/>
      </c>
      <c r="R126">
        <f>IFERROR(IF(ISNUMBER(INDEX(SPPR!$E:$X,MATCH($A126,SPPR!$A:$A,0),15)),$C126*INDEX(SPPR!$E:$X,MATCH($A126,SPPR!$A:$A,0),15),""),"")</f>
        <v/>
      </c>
      <c r="S126">
        <f>IFERROR(IF(ISNUMBER(INDEX(SPPR!$E:$X,MATCH($A126,SPPR!$A:$A,0),16)),$C126*INDEX(SPPR!$E:$X,MATCH($A126,SPPR!$A:$A,0),16),""),"")</f>
        <v/>
      </c>
      <c r="T126">
        <f>IFERROR(IF(ISNUMBER(INDEX(SPPR!$E:$X,MATCH($A126,SPPR!$A:$A,0),17)),$C126*INDEX(SPPR!$E:$X,MATCH($A126,SPPR!$A:$A,0),17),""),"")</f>
        <v/>
      </c>
      <c r="U126">
        <f>IFERROR(IF(ISNUMBER(INDEX(SPPR!$E:$X,MATCH($A126,SPPR!$A:$A,0),18)),$C126*INDEX(SPPR!$E:$X,MATCH($A126,SPPR!$A:$A,0),18),""),"")</f>
        <v/>
      </c>
      <c r="V126">
        <f>IFERROR(IF(ISNUMBER(INDEX(SPPR!$E:$X,MATCH($A126,SPPR!$A:$A,0),19)),$C126*INDEX(SPPR!$E:$X,MATCH($A126,SPPR!$A:$A,0),19),""),"")</f>
        <v/>
      </c>
      <c r="W126">
        <f>IFERROR(IF(ISNUMBER(INDEX(SPPR!$E:$X,MATCH($A126,SPPR!$A:$A,0),20)),$C126*INDEX(SPPR!$E:$X,MATCH($A126,SPPR!$A:$A,0),20),""),"")</f>
        <v/>
      </c>
    </row>
    <row r="127">
      <c r="A127" t="inlineStr">
        <is>
          <t>Bramidae</t>
        </is>
      </c>
      <c r="B127">
        <f>IFERROR(INDEX(SPPR!$D:$D,MATCH($A127,SPPR!$A:$A,0)),"")</f>
        <v/>
      </c>
      <c r="C127">
        <f>IFERROR(INDEX(Catch!$E:$BV,MATCH($A127,Catch!$A:$A,0),MATCH($B$4,Catch!$E$1:$BV$1,0)),0)</f>
        <v/>
      </c>
      <c r="D127">
        <f>IFERROR(IF(ISNUMBER(INDEX(SPPR!$E:$X,MATCH($A127,SPPR!$A:$A,0),1)),$C127*INDEX(SPPR!$E:$X,MATCH($A127,SPPR!$A:$A,0),1),""),"")</f>
        <v/>
      </c>
      <c r="E127">
        <f>IFERROR(IF(ISNUMBER(INDEX(SPPR!$E:$X,MATCH($A127,SPPR!$A:$A,0),2)),$C127*INDEX(SPPR!$E:$X,MATCH($A127,SPPR!$A:$A,0),2),""),"")</f>
        <v/>
      </c>
      <c r="F127">
        <f>IFERROR(IF(ISNUMBER(INDEX(SPPR!$E:$X,MATCH($A127,SPPR!$A:$A,0),3)),$C127*INDEX(SPPR!$E:$X,MATCH($A127,SPPR!$A:$A,0),3),""),"")</f>
        <v/>
      </c>
      <c r="G127">
        <f>IFERROR(IF(ISNUMBER(INDEX(SPPR!$E:$X,MATCH($A127,SPPR!$A:$A,0),4)),$C127*INDEX(SPPR!$E:$X,MATCH($A127,SPPR!$A:$A,0),4),""),"")</f>
        <v/>
      </c>
      <c r="H127">
        <f>IFERROR(IF(ISNUMBER(INDEX(SPPR!$E:$X,MATCH($A127,SPPR!$A:$A,0),5)),$C127*INDEX(SPPR!$E:$X,MATCH($A127,SPPR!$A:$A,0),5),""),"")</f>
        <v/>
      </c>
      <c r="I127">
        <f>IFERROR(IF(ISNUMBER(INDEX(SPPR!$E:$X,MATCH($A127,SPPR!$A:$A,0),6)),$C127*INDEX(SPPR!$E:$X,MATCH($A127,SPPR!$A:$A,0),6),""),"")</f>
        <v/>
      </c>
      <c r="J127">
        <f>IFERROR(IF(ISNUMBER(INDEX(SPPR!$E:$X,MATCH($A127,SPPR!$A:$A,0),7)),$C127*INDEX(SPPR!$E:$X,MATCH($A127,SPPR!$A:$A,0),7),""),"")</f>
        <v/>
      </c>
      <c r="K127">
        <f>IFERROR(IF(ISNUMBER(INDEX(SPPR!$E:$X,MATCH($A127,SPPR!$A:$A,0),8)),$C127*INDEX(SPPR!$E:$X,MATCH($A127,SPPR!$A:$A,0),8),""),"")</f>
        <v/>
      </c>
      <c r="L127">
        <f>IFERROR(IF(ISNUMBER(INDEX(SPPR!$E:$X,MATCH($A127,SPPR!$A:$A,0),9)),$C127*INDEX(SPPR!$E:$X,MATCH($A127,SPPR!$A:$A,0),9),""),"")</f>
        <v/>
      </c>
      <c r="M127">
        <f>IFERROR(IF(ISNUMBER(INDEX(SPPR!$E:$X,MATCH($A127,SPPR!$A:$A,0),10)),$C127*INDEX(SPPR!$E:$X,MATCH($A127,SPPR!$A:$A,0),10),""),"")</f>
        <v/>
      </c>
      <c r="N127">
        <f>IFERROR(IF(ISNUMBER(INDEX(SPPR!$E:$X,MATCH($A127,SPPR!$A:$A,0),11)),$C127*INDEX(SPPR!$E:$X,MATCH($A127,SPPR!$A:$A,0),11),""),"")</f>
        <v/>
      </c>
      <c r="O127">
        <f>IFERROR(IF(ISNUMBER(INDEX(SPPR!$E:$X,MATCH($A127,SPPR!$A:$A,0),12)),$C127*INDEX(SPPR!$E:$X,MATCH($A127,SPPR!$A:$A,0),12),""),"")</f>
        <v/>
      </c>
      <c r="P127">
        <f>IFERROR(IF(ISNUMBER(INDEX(SPPR!$E:$X,MATCH($A127,SPPR!$A:$A,0),13)),$C127*INDEX(SPPR!$E:$X,MATCH($A127,SPPR!$A:$A,0),13),""),"")</f>
        <v/>
      </c>
      <c r="Q127">
        <f>IFERROR(IF(ISNUMBER(INDEX(SPPR!$E:$X,MATCH($A127,SPPR!$A:$A,0),14)),$C127*INDEX(SPPR!$E:$X,MATCH($A127,SPPR!$A:$A,0),14),""),"")</f>
        <v/>
      </c>
      <c r="R127">
        <f>IFERROR(IF(ISNUMBER(INDEX(SPPR!$E:$X,MATCH($A127,SPPR!$A:$A,0),15)),$C127*INDEX(SPPR!$E:$X,MATCH($A127,SPPR!$A:$A,0),15),""),"")</f>
        <v/>
      </c>
      <c r="S127">
        <f>IFERROR(IF(ISNUMBER(INDEX(SPPR!$E:$X,MATCH($A127,SPPR!$A:$A,0),16)),$C127*INDEX(SPPR!$E:$X,MATCH($A127,SPPR!$A:$A,0),16),""),"")</f>
        <v/>
      </c>
      <c r="T127">
        <f>IFERROR(IF(ISNUMBER(INDEX(SPPR!$E:$X,MATCH($A127,SPPR!$A:$A,0),17)),$C127*INDEX(SPPR!$E:$X,MATCH($A127,SPPR!$A:$A,0),17),""),"")</f>
        <v/>
      </c>
      <c r="U127">
        <f>IFERROR(IF(ISNUMBER(INDEX(SPPR!$E:$X,MATCH($A127,SPPR!$A:$A,0),18)),$C127*INDEX(SPPR!$E:$X,MATCH($A127,SPPR!$A:$A,0),18),""),"")</f>
        <v/>
      </c>
      <c r="V127">
        <f>IFERROR(IF(ISNUMBER(INDEX(SPPR!$E:$X,MATCH($A127,SPPR!$A:$A,0),19)),$C127*INDEX(SPPR!$E:$X,MATCH($A127,SPPR!$A:$A,0),19),""),"")</f>
        <v/>
      </c>
      <c r="W127">
        <f>IFERROR(IF(ISNUMBER(INDEX(SPPR!$E:$X,MATCH($A127,SPPR!$A:$A,0),20)),$C127*INDEX(SPPR!$E:$X,MATCH($A127,SPPR!$A:$A,0),20),""),"")</f>
        <v/>
      </c>
    </row>
    <row r="128">
      <c r="A128" t="inlineStr">
        <is>
          <t>Cephea</t>
        </is>
      </c>
      <c r="B128">
        <f>IFERROR(INDEX(SPPR!$D:$D,MATCH($A128,SPPR!$A:$A,0)),"")</f>
        <v/>
      </c>
      <c r="C128">
        <f>IFERROR(INDEX(Catch!$E:$BV,MATCH($A128,Catch!$A:$A,0),MATCH($B$4,Catch!$E$1:$BV$1,0)),0)</f>
        <v/>
      </c>
      <c r="D128">
        <f>IFERROR(IF(ISNUMBER(INDEX(SPPR!$E:$X,MATCH($A128,SPPR!$A:$A,0),1)),$C128*INDEX(SPPR!$E:$X,MATCH($A128,SPPR!$A:$A,0),1),""),"")</f>
        <v/>
      </c>
      <c r="E128">
        <f>IFERROR(IF(ISNUMBER(INDEX(SPPR!$E:$X,MATCH($A128,SPPR!$A:$A,0),2)),$C128*INDEX(SPPR!$E:$X,MATCH($A128,SPPR!$A:$A,0),2),""),"")</f>
        <v/>
      </c>
      <c r="F128">
        <f>IFERROR(IF(ISNUMBER(INDEX(SPPR!$E:$X,MATCH($A128,SPPR!$A:$A,0),3)),$C128*INDEX(SPPR!$E:$X,MATCH($A128,SPPR!$A:$A,0),3),""),"")</f>
        <v/>
      </c>
      <c r="G128">
        <f>IFERROR(IF(ISNUMBER(INDEX(SPPR!$E:$X,MATCH($A128,SPPR!$A:$A,0),4)),$C128*INDEX(SPPR!$E:$X,MATCH($A128,SPPR!$A:$A,0),4),""),"")</f>
        <v/>
      </c>
      <c r="H128">
        <f>IFERROR(IF(ISNUMBER(INDEX(SPPR!$E:$X,MATCH($A128,SPPR!$A:$A,0),5)),$C128*INDEX(SPPR!$E:$X,MATCH($A128,SPPR!$A:$A,0),5),""),"")</f>
        <v/>
      </c>
      <c r="I128">
        <f>IFERROR(IF(ISNUMBER(INDEX(SPPR!$E:$X,MATCH($A128,SPPR!$A:$A,0),6)),$C128*INDEX(SPPR!$E:$X,MATCH($A128,SPPR!$A:$A,0),6),""),"")</f>
        <v/>
      </c>
      <c r="J128">
        <f>IFERROR(IF(ISNUMBER(INDEX(SPPR!$E:$X,MATCH($A128,SPPR!$A:$A,0),7)),$C128*INDEX(SPPR!$E:$X,MATCH($A128,SPPR!$A:$A,0),7),""),"")</f>
        <v/>
      </c>
      <c r="K128">
        <f>IFERROR(IF(ISNUMBER(INDEX(SPPR!$E:$X,MATCH($A128,SPPR!$A:$A,0),8)),$C128*INDEX(SPPR!$E:$X,MATCH($A128,SPPR!$A:$A,0),8),""),"")</f>
        <v/>
      </c>
      <c r="L128">
        <f>IFERROR(IF(ISNUMBER(INDEX(SPPR!$E:$X,MATCH($A128,SPPR!$A:$A,0),9)),$C128*INDEX(SPPR!$E:$X,MATCH($A128,SPPR!$A:$A,0),9),""),"")</f>
        <v/>
      </c>
      <c r="M128">
        <f>IFERROR(IF(ISNUMBER(INDEX(SPPR!$E:$X,MATCH($A128,SPPR!$A:$A,0),10)),$C128*INDEX(SPPR!$E:$X,MATCH($A128,SPPR!$A:$A,0),10),""),"")</f>
        <v/>
      </c>
      <c r="N128">
        <f>IFERROR(IF(ISNUMBER(INDEX(SPPR!$E:$X,MATCH($A128,SPPR!$A:$A,0),11)),$C128*INDEX(SPPR!$E:$X,MATCH($A128,SPPR!$A:$A,0),11),""),"")</f>
        <v/>
      </c>
      <c r="O128">
        <f>IFERROR(IF(ISNUMBER(INDEX(SPPR!$E:$X,MATCH($A128,SPPR!$A:$A,0),12)),$C128*INDEX(SPPR!$E:$X,MATCH($A128,SPPR!$A:$A,0),12),""),"")</f>
        <v/>
      </c>
      <c r="P128">
        <f>IFERROR(IF(ISNUMBER(INDEX(SPPR!$E:$X,MATCH($A128,SPPR!$A:$A,0),13)),$C128*INDEX(SPPR!$E:$X,MATCH($A128,SPPR!$A:$A,0),13),""),"")</f>
        <v/>
      </c>
      <c r="Q128">
        <f>IFERROR(IF(ISNUMBER(INDEX(SPPR!$E:$X,MATCH($A128,SPPR!$A:$A,0),14)),$C128*INDEX(SPPR!$E:$X,MATCH($A128,SPPR!$A:$A,0),14),""),"")</f>
        <v/>
      </c>
      <c r="R128">
        <f>IFERROR(IF(ISNUMBER(INDEX(SPPR!$E:$X,MATCH($A128,SPPR!$A:$A,0),15)),$C128*INDEX(SPPR!$E:$X,MATCH($A128,SPPR!$A:$A,0),15),""),"")</f>
        <v/>
      </c>
      <c r="S128">
        <f>IFERROR(IF(ISNUMBER(INDEX(SPPR!$E:$X,MATCH($A128,SPPR!$A:$A,0),16)),$C128*INDEX(SPPR!$E:$X,MATCH($A128,SPPR!$A:$A,0),16),""),"")</f>
        <v/>
      </c>
      <c r="T128">
        <f>IFERROR(IF(ISNUMBER(INDEX(SPPR!$E:$X,MATCH($A128,SPPR!$A:$A,0),17)),$C128*INDEX(SPPR!$E:$X,MATCH($A128,SPPR!$A:$A,0),17),""),"")</f>
        <v/>
      </c>
      <c r="U128">
        <f>IFERROR(IF(ISNUMBER(INDEX(SPPR!$E:$X,MATCH($A128,SPPR!$A:$A,0),18)),$C128*INDEX(SPPR!$E:$X,MATCH($A128,SPPR!$A:$A,0),18),""),"")</f>
        <v/>
      </c>
      <c r="V128">
        <f>IFERROR(IF(ISNUMBER(INDEX(SPPR!$E:$X,MATCH($A128,SPPR!$A:$A,0),19)),$C128*INDEX(SPPR!$E:$X,MATCH($A128,SPPR!$A:$A,0),19),""),"")</f>
        <v/>
      </c>
      <c r="W128">
        <f>IFERROR(IF(ISNUMBER(INDEX(SPPR!$E:$X,MATCH($A128,SPPR!$A:$A,0),20)),$C128*INDEX(SPPR!$E:$X,MATCH($A128,SPPR!$A:$A,0),20),""),"")</f>
        <v/>
      </c>
    </row>
    <row r="129">
      <c r="A129" t="inlineStr">
        <is>
          <t>Scorpaenidae</t>
        </is>
      </c>
      <c r="B129">
        <f>IFERROR(INDEX(SPPR!$D:$D,MATCH($A129,SPPR!$A:$A,0)),"")</f>
        <v/>
      </c>
      <c r="C129">
        <f>IFERROR(INDEX(Catch!$E:$BV,MATCH($A129,Catch!$A:$A,0),MATCH($B$4,Catch!$E$1:$BV$1,0)),0)</f>
        <v/>
      </c>
      <c r="D129">
        <f>IFERROR(IF(ISNUMBER(INDEX(SPPR!$E:$X,MATCH($A129,SPPR!$A:$A,0),1)),$C129*INDEX(SPPR!$E:$X,MATCH($A129,SPPR!$A:$A,0),1),""),"")</f>
        <v/>
      </c>
      <c r="E129">
        <f>IFERROR(IF(ISNUMBER(INDEX(SPPR!$E:$X,MATCH($A129,SPPR!$A:$A,0),2)),$C129*INDEX(SPPR!$E:$X,MATCH($A129,SPPR!$A:$A,0),2),""),"")</f>
        <v/>
      </c>
      <c r="F129">
        <f>IFERROR(IF(ISNUMBER(INDEX(SPPR!$E:$X,MATCH($A129,SPPR!$A:$A,0),3)),$C129*INDEX(SPPR!$E:$X,MATCH($A129,SPPR!$A:$A,0),3),""),"")</f>
        <v/>
      </c>
      <c r="G129">
        <f>IFERROR(IF(ISNUMBER(INDEX(SPPR!$E:$X,MATCH($A129,SPPR!$A:$A,0),4)),$C129*INDEX(SPPR!$E:$X,MATCH($A129,SPPR!$A:$A,0),4),""),"")</f>
        <v/>
      </c>
      <c r="H129">
        <f>IFERROR(IF(ISNUMBER(INDEX(SPPR!$E:$X,MATCH($A129,SPPR!$A:$A,0),5)),$C129*INDEX(SPPR!$E:$X,MATCH($A129,SPPR!$A:$A,0),5),""),"")</f>
        <v/>
      </c>
      <c r="I129">
        <f>IFERROR(IF(ISNUMBER(INDEX(SPPR!$E:$X,MATCH($A129,SPPR!$A:$A,0),6)),$C129*INDEX(SPPR!$E:$X,MATCH($A129,SPPR!$A:$A,0),6),""),"")</f>
        <v/>
      </c>
      <c r="J129">
        <f>IFERROR(IF(ISNUMBER(INDEX(SPPR!$E:$X,MATCH($A129,SPPR!$A:$A,0),7)),$C129*INDEX(SPPR!$E:$X,MATCH($A129,SPPR!$A:$A,0),7),""),"")</f>
        <v/>
      </c>
      <c r="K129">
        <f>IFERROR(IF(ISNUMBER(INDEX(SPPR!$E:$X,MATCH($A129,SPPR!$A:$A,0),8)),$C129*INDEX(SPPR!$E:$X,MATCH($A129,SPPR!$A:$A,0),8),""),"")</f>
        <v/>
      </c>
      <c r="L129">
        <f>IFERROR(IF(ISNUMBER(INDEX(SPPR!$E:$X,MATCH($A129,SPPR!$A:$A,0),9)),$C129*INDEX(SPPR!$E:$X,MATCH($A129,SPPR!$A:$A,0),9),""),"")</f>
        <v/>
      </c>
      <c r="M129">
        <f>IFERROR(IF(ISNUMBER(INDEX(SPPR!$E:$X,MATCH($A129,SPPR!$A:$A,0),10)),$C129*INDEX(SPPR!$E:$X,MATCH($A129,SPPR!$A:$A,0),10),""),"")</f>
        <v/>
      </c>
      <c r="N129">
        <f>IFERROR(IF(ISNUMBER(INDEX(SPPR!$E:$X,MATCH($A129,SPPR!$A:$A,0),11)),$C129*INDEX(SPPR!$E:$X,MATCH($A129,SPPR!$A:$A,0),11),""),"")</f>
        <v/>
      </c>
      <c r="O129">
        <f>IFERROR(IF(ISNUMBER(INDEX(SPPR!$E:$X,MATCH($A129,SPPR!$A:$A,0),12)),$C129*INDEX(SPPR!$E:$X,MATCH($A129,SPPR!$A:$A,0),12),""),"")</f>
        <v/>
      </c>
      <c r="P129">
        <f>IFERROR(IF(ISNUMBER(INDEX(SPPR!$E:$X,MATCH($A129,SPPR!$A:$A,0),13)),$C129*INDEX(SPPR!$E:$X,MATCH($A129,SPPR!$A:$A,0),13),""),"")</f>
        <v/>
      </c>
      <c r="Q129">
        <f>IFERROR(IF(ISNUMBER(INDEX(SPPR!$E:$X,MATCH($A129,SPPR!$A:$A,0),14)),$C129*INDEX(SPPR!$E:$X,MATCH($A129,SPPR!$A:$A,0),14),""),"")</f>
        <v/>
      </c>
      <c r="R129">
        <f>IFERROR(IF(ISNUMBER(INDEX(SPPR!$E:$X,MATCH($A129,SPPR!$A:$A,0),15)),$C129*INDEX(SPPR!$E:$X,MATCH($A129,SPPR!$A:$A,0),15),""),"")</f>
        <v/>
      </c>
      <c r="S129">
        <f>IFERROR(IF(ISNUMBER(INDEX(SPPR!$E:$X,MATCH($A129,SPPR!$A:$A,0),16)),$C129*INDEX(SPPR!$E:$X,MATCH($A129,SPPR!$A:$A,0),16),""),"")</f>
        <v/>
      </c>
      <c r="T129">
        <f>IFERROR(IF(ISNUMBER(INDEX(SPPR!$E:$X,MATCH($A129,SPPR!$A:$A,0),17)),$C129*INDEX(SPPR!$E:$X,MATCH($A129,SPPR!$A:$A,0),17),""),"")</f>
        <v/>
      </c>
      <c r="U129">
        <f>IFERROR(IF(ISNUMBER(INDEX(SPPR!$E:$X,MATCH($A129,SPPR!$A:$A,0),18)),$C129*INDEX(SPPR!$E:$X,MATCH($A129,SPPR!$A:$A,0),18),""),"")</f>
        <v/>
      </c>
      <c r="V129">
        <f>IFERROR(IF(ISNUMBER(INDEX(SPPR!$E:$X,MATCH($A129,SPPR!$A:$A,0),19)),$C129*INDEX(SPPR!$E:$X,MATCH($A129,SPPR!$A:$A,0),19),""),"")</f>
        <v/>
      </c>
      <c r="W129">
        <f>IFERROR(IF(ISNUMBER(INDEX(SPPR!$E:$X,MATCH($A129,SPPR!$A:$A,0),20)),$C129*INDEX(SPPR!$E:$X,MATCH($A129,SPPR!$A:$A,0),20),""),"")</f>
        <v/>
      </c>
    </row>
    <row r="130">
      <c r="A130" t="inlineStr">
        <is>
          <t>Scyphozoa</t>
        </is>
      </c>
      <c r="B130">
        <f>IFERROR(INDEX(SPPR!$D:$D,MATCH($A130,SPPR!$A:$A,0)),"")</f>
        <v/>
      </c>
      <c r="C130">
        <f>IFERROR(INDEX(Catch!$E:$BV,MATCH($A130,Catch!$A:$A,0),MATCH($B$4,Catch!$E$1:$BV$1,0)),0)</f>
        <v/>
      </c>
      <c r="D130">
        <f>IFERROR(IF(ISNUMBER(INDEX(SPPR!$E:$X,MATCH($A130,SPPR!$A:$A,0),1)),$C130*INDEX(SPPR!$E:$X,MATCH($A130,SPPR!$A:$A,0),1),""),"")</f>
        <v/>
      </c>
      <c r="E130">
        <f>IFERROR(IF(ISNUMBER(INDEX(SPPR!$E:$X,MATCH($A130,SPPR!$A:$A,0),2)),$C130*INDEX(SPPR!$E:$X,MATCH($A130,SPPR!$A:$A,0),2),""),"")</f>
        <v/>
      </c>
      <c r="F130">
        <f>IFERROR(IF(ISNUMBER(INDEX(SPPR!$E:$X,MATCH($A130,SPPR!$A:$A,0),3)),$C130*INDEX(SPPR!$E:$X,MATCH($A130,SPPR!$A:$A,0),3),""),"")</f>
        <v/>
      </c>
      <c r="G130">
        <f>IFERROR(IF(ISNUMBER(INDEX(SPPR!$E:$X,MATCH($A130,SPPR!$A:$A,0),4)),$C130*INDEX(SPPR!$E:$X,MATCH($A130,SPPR!$A:$A,0),4),""),"")</f>
        <v/>
      </c>
      <c r="H130">
        <f>IFERROR(IF(ISNUMBER(INDEX(SPPR!$E:$X,MATCH($A130,SPPR!$A:$A,0),5)),$C130*INDEX(SPPR!$E:$X,MATCH($A130,SPPR!$A:$A,0),5),""),"")</f>
        <v/>
      </c>
      <c r="I130">
        <f>IFERROR(IF(ISNUMBER(INDEX(SPPR!$E:$X,MATCH($A130,SPPR!$A:$A,0),6)),$C130*INDEX(SPPR!$E:$X,MATCH($A130,SPPR!$A:$A,0),6),""),"")</f>
        <v/>
      </c>
      <c r="J130">
        <f>IFERROR(IF(ISNUMBER(INDEX(SPPR!$E:$X,MATCH($A130,SPPR!$A:$A,0),7)),$C130*INDEX(SPPR!$E:$X,MATCH($A130,SPPR!$A:$A,0),7),""),"")</f>
        <v/>
      </c>
      <c r="K130">
        <f>IFERROR(IF(ISNUMBER(INDEX(SPPR!$E:$X,MATCH($A130,SPPR!$A:$A,0),8)),$C130*INDEX(SPPR!$E:$X,MATCH($A130,SPPR!$A:$A,0),8),""),"")</f>
        <v/>
      </c>
      <c r="L130">
        <f>IFERROR(IF(ISNUMBER(INDEX(SPPR!$E:$X,MATCH($A130,SPPR!$A:$A,0),9)),$C130*INDEX(SPPR!$E:$X,MATCH($A130,SPPR!$A:$A,0),9),""),"")</f>
        <v/>
      </c>
      <c r="M130">
        <f>IFERROR(IF(ISNUMBER(INDEX(SPPR!$E:$X,MATCH($A130,SPPR!$A:$A,0),10)),$C130*INDEX(SPPR!$E:$X,MATCH($A130,SPPR!$A:$A,0),10),""),"")</f>
        <v/>
      </c>
      <c r="N130">
        <f>IFERROR(IF(ISNUMBER(INDEX(SPPR!$E:$X,MATCH($A130,SPPR!$A:$A,0),11)),$C130*INDEX(SPPR!$E:$X,MATCH($A130,SPPR!$A:$A,0),11),""),"")</f>
        <v/>
      </c>
      <c r="O130">
        <f>IFERROR(IF(ISNUMBER(INDEX(SPPR!$E:$X,MATCH($A130,SPPR!$A:$A,0),12)),$C130*INDEX(SPPR!$E:$X,MATCH($A130,SPPR!$A:$A,0),12),""),"")</f>
        <v/>
      </c>
      <c r="P130">
        <f>IFERROR(IF(ISNUMBER(INDEX(SPPR!$E:$X,MATCH($A130,SPPR!$A:$A,0),13)),$C130*INDEX(SPPR!$E:$X,MATCH($A130,SPPR!$A:$A,0),13),""),"")</f>
        <v/>
      </c>
      <c r="Q130">
        <f>IFERROR(IF(ISNUMBER(INDEX(SPPR!$E:$X,MATCH($A130,SPPR!$A:$A,0),14)),$C130*INDEX(SPPR!$E:$X,MATCH($A130,SPPR!$A:$A,0),14),""),"")</f>
        <v/>
      </c>
      <c r="R130">
        <f>IFERROR(IF(ISNUMBER(INDEX(SPPR!$E:$X,MATCH($A130,SPPR!$A:$A,0),15)),$C130*INDEX(SPPR!$E:$X,MATCH($A130,SPPR!$A:$A,0),15),""),"")</f>
        <v/>
      </c>
      <c r="S130">
        <f>IFERROR(IF(ISNUMBER(INDEX(SPPR!$E:$X,MATCH($A130,SPPR!$A:$A,0),16)),$C130*INDEX(SPPR!$E:$X,MATCH($A130,SPPR!$A:$A,0),16),""),"")</f>
        <v/>
      </c>
      <c r="T130">
        <f>IFERROR(IF(ISNUMBER(INDEX(SPPR!$E:$X,MATCH($A130,SPPR!$A:$A,0),17)),$C130*INDEX(SPPR!$E:$X,MATCH($A130,SPPR!$A:$A,0),17),""),"")</f>
        <v/>
      </c>
      <c r="U130">
        <f>IFERROR(IF(ISNUMBER(INDEX(SPPR!$E:$X,MATCH($A130,SPPR!$A:$A,0),18)),$C130*INDEX(SPPR!$E:$X,MATCH($A130,SPPR!$A:$A,0),18),""),"")</f>
        <v/>
      </c>
      <c r="V130">
        <f>IFERROR(IF(ISNUMBER(INDEX(SPPR!$E:$X,MATCH($A130,SPPR!$A:$A,0),19)),$C130*INDEX(SPPR!$E:$X,MATCH($A130,SPPR!$A:$A,0),19),""),"")</f>
        <v/>
      </c>
      <c r="W130">
        <f>IFERROR(IF(ISNUMBER(INDEX(SPPR!$E:$X,MATCH($A130,SPPR!$A:$A,0),20)),$C130*INDEX(SPPR!$E:$X,MATCH($A130,SPPR!$A:$A,0),20),""),"")</f>
        <v/>
      </c>
    </row>
    <row r="131">
      <c r="A131" t="inlineStr">
        <is>
          <t>Pandalopsis japonica</t>
        </is>
      </c>
      <c r="B131">
        <f>IFERROR(INDEX(SPPR!$D:$D,MATCH($A131,SPPR!$A:$A,0)),"")</f>
        <v/>
      </c>
      <c r="C131">
        <f>IFERROR(INDEX(Catch!$E:$BV,MATCH($A131,Catch!$A:$A,0),MATCH($B$4,Catch!$E$1:$BV$1,0)),0)</f>
        <v/>
      </c>
      <c r="D131">
        <f>IFERROR(IF(ISNUMBER(INDEX(SPPR!$E:$X,MATCH($A131,SPPR!$A:$A,0),1)),$C131*INDEX(SPPR!$E:$X,MATCH($A131,SPPR!$A:$A,0),1),""),"")</f>
        <v/>
      </c>
      <c r="E131">
        <f>IFERROR(IF(ISNUMBER(INDEX(SPPR!$E:$X,MATCH($A131,SPPR!$A:$A,0),2)),$C131*INDEX(SPPR!$E:$X,MATCH($A131,SPPR!$A:$A,0),2),""),"")</f>
        <v/>
      </c>
      <c r="F131">
        <f>IFERROR(IF(ISNUMBER(INDEX(SPPR!$E:$X,MATCH($A131,SPPR!$A:$A,0),3)),$C131*INDEX(SPPR!$E:$X,MATCH($A131,SPPR!$A:$A,0),3),""),"")</f>
        <v/>
      </c>
      <c r="G131">
        <f>IFERROR(IF(ISNUMBER(INDEX(SPPR!$E:$X,MATCH($A131,SPPR!$A:$A,0),4)),$C131*INDEX(SPPR!$E:$X,MATCH($A131,SPPR!$A:$A,0),4),""),"")</f>
        <v/>
      </c>
      <c r="H131">
        <f>IFERROR(IF(ISNUMBER(INDEX(SPPR!$E:$X,MATCH($A131,SPPR!$A:$A,0),5)),$C131*INDEX(SPPR!$E:$X,MATCH($A131,SPPR!$A:$A,0),5),""),"")</f>
        <v/>
      </c>
      <c r="I131">
        <f>IFERROR(IF(ISNUMBER(INDEX(SPPR!$E:$X,MATCH($A131,SPPR!$A:$A,0),6)),$C131*INDEX(SPPR!$E:$X,MATCH($A131,SPPR!$A:$A,0),6),""),"")</f>
        <v/>
      </c>
      <c r="J131">
        <f>IFERROR(IF(ISNUMBER(INDEX(SPPR!$E:$X,MATCH($A131,SPPR!$A:$A,0),7)),$C131*INDEX(SPPR!$E:$X,MATCH($A131,SPPR!$A:$A,0),7),""),"")</f>
        <v/>
      </c>
      <c r="K131">
        <f>IFERROR(IF(ISNUMBER(INDEX(SPPR!$E:$X,MATCH($A131,SPPR!$A:$A,0),8)),$C131*INDEX(SPPR!$E:$X,MATCH($A131,SPPR!$A:$A,0),8),""),"")</f>
        <v/>
      </c>
      <c r="L131">
        <f>IFERROR(IF(ISNUMBER(INDEX(SPPR!$E:$X,MATCH($A131,SPPR!$A:$A,0),9)),$C131*INDEX(SPPR!$E:$X,MATCH($A131,SPPR!$A:$A,0),9),""),"")</f>
        <v/>
      </c>
      <c r="M131">
        <f>IFERROR(IF(ISNUMBER(INDEX(SPPR!$E:$X,MATCH($A131,SPPR!$A:$A,0),10)),$C131*INDEX(SPPR!$E:$X,MATCH($A131,SPPR!$A:$A,0),10),""),"")</f>
        <v/>
      </c>
      <c r="N131">
        <f>IFERROR(IF(ISNUMBER(INDEX(SPPR!$E:$X,MATCH($A131,SPPR!$A:$A,0),11)),$C131*INDEX(SPPR!$E:$X,MATCH($A131,SPPR!$A:$A,0),11),""),"")</f>
        <v/>
      </c>
      <c r="O131">
        <f>IFERROR(IF(ISNUMBER(INDEX(SPPR!$E:$X,MATCH($A131,SPPR!$A:$A,0),12)),$C131*INDEX(SPPR!$E:$X,MATCH($A131,SPPR!$A:$A,0),12),""),"")</f>
        <v/>
      </c>
      <c r="P131">
        <f>IFERROR(IF(ISNUMBER(INDEX(SPPR!$E:$X,MATCH($A131,SPPR!$A:$A,0),13)),$C131*INDEX(SPPR!$E:$X,MATCH($A131,SPPR!$A:$A,0),13),""),"")</f>
        <v/>
      </c>
      <c r="Q131">
        <f>IFERROR(IF(ISNUMBER(INDEX(SPPR!$E:$X,MATCH($A131,SPPR!$A:$A,0),14)),$C131*INDEX(SPPR!$E:$X,MATCH($A131,SPPR!$A:$A,0),14),""),"")</f>
        <v/>
      </c>
      <c r="R131">
        <f>IFERROR(IF(ISNUMBER(INDEX(SPPR!$E:$X,MATCH($A131,SPPR!$A:$A,0),15)),$C131*INDEX(SPPR!$E:$X,MATCH($A131,SPPR!$A:$A,0),15),""),"")</f>
        <v/>
      </c>
      <c r="S131">
        <f>IFERROR(IF(ISNUMBER(INDEX(SPPR!$E:$X,MATCH($A131,SPPR!$A:$A,0),16)),$C131*INDEX(SPPR!$E:$X,MATCH($A131,SPPR!$A:$A,0),16),""),"")</f>
        <v/>
      </c>
      <c r="T131">
        <f>IFERROR(IF(ISNUMBER(INDEX(SPPR!$E:$X,MATCH($A131,SPPR!$A:$A,0),17)),$C131*INDEX(SPPR!$E:$X,MATCH($A131,SPPR!$A:$A,0),17),""),"")</f>
        <v/>
      </c>
      <c r="U131">
        <f>IFERROR(IF(ISNUMBER(INDEX(SPPR!$E:$X,MATCH($A131,SPPR!$A:$A,0),18)),$C131*INDEX(SPPR!$E:$X,MATCH($A131,SPPR!$A:$A,0),18),""),"")</f>
        <v/>
      </c>
      <c r="V131">
        <f>IFERROR(IF(ISNUMBER(INDEX(SPPR!$E:$X,MATCH($A131,SPPR!$A:$A,0),19)),$C131*INDEX(SPPR!$E:$X,MATCH($A131,SPPR!$A:$A,0),19),""),"")</f>
        <v/>
      </c>
      <c r="W131">
        <f>IFERROR(IF(ISNUMBER(INDEX(SPPR!$E:$X,MATCH($A131,SPPR!$A:$A,0),20)),$C131*INDEX(SPPR!$E:$X,MATCH($A131,SPPR!$A:$A,0),20),""),"")</f>
        <v/>
      </c>
    </row>
    <row r="132">
      <c r="A132" t="inlineStr">
        <is>
          <t>Pandalus kessleri</t>
        </is>
      </c>
      <c r="B132">
        <f>IFERROR(INDEX(SPPR!$D:$D,MATCH($A132,SPPR!$A:$A,0)),"")</f>
        <v/>
      </c>
      <c r="C132">
        <f>IFERROR(INDEX(Catch!$E:$BV,MATCH($A132,Catch!$A:$A,0),MATCH($B$4,Catch!$E$1:$BV$1,0)),0)</f>
        <v/>
      </c>
      <c r="D132">
        <f>IFERROR(IF(ISNUMBER(INDEX(SPPR!$E:$X,MATCH($A132,SPPR!$A:$A,0),1)),$C132*INDEX(SPPR!$E:$X,MATCH($A132,SPPR!$A:$A,0),1),""),"")</f>
        <v/>
      </c>
      <c r="E132">
        <f>IFERROR(IF(ISNUMBER(INDEX(SPPR!$E:$X,MATCH($A132,SPPR!$A:$A,0),2)),$C132*INDEX(SPPR!$E:$X,MATCH($A132,SPPR!$A:$A,0),2),""),"")</f>
        <v/>
      </c>
      <c r="F132">
        <f>IFERROR(IF(ISNUMBER(INDEX(SPPR!$E:$X,MATCH($A132,SPPR!$A:$A,0),3)),$C132*INDEX(SPPR!$E:$X,MATCH($A132,SPPR!$A:$A,0),3),""),"")</f>
        <v/>
      </c>
      <c r="G132">
        <f>IFERROR(IF(ISNUMBER(INDEX(SPPR!$E:$X,MATCH($A132,SPPR!$A:$A,0),4)),$C132*INDEX(SPPR!$E:$X,MATCH($A132,SPPR!$A:$A,0),4),""),"")</f>
        <v/>
      </c>
      <c r="H132">
        <f>IFERROR(IF(ISNUMBER(INDEX(SPPR!$E:$X,MATCH($A132,SPPR!$A:$A,0),5)),$C132*INDEX(SPPR!$E:$X,MATCH($A132,SPPR!$A:$A,0),5),""),"")</f>
        <v/>
      </c>
      <c r="I132">
        <f>IFERROR(IF(ISNUMBER(INDEX(SPPR!$E:$X,MATCH($A132,SPPR!$A:$A,0),6)),$C132*INDEX(SPPR!$E:$X,MATCH($A132,SPPR!$A:$A,0),6),""),"")</f>
        <v/>
      </c>
      <c r="J132">
        <f>IFERROR(IF(ISNUMBER(INDEX(SPPR!$E:$X,MATCH($A132,SPPR!$A:$A,0),7)),$C132*INDEX(SPPR!$E:$X,MATCH($A132,SPPR!$A:$A,0),7),""),"")</f>
        <v/>
      </c>
      <c r="K132">
        <f>IFERROR(IF(ISNUMBER(INDEX(SPPR!$E:$X,MATCH($A132,SPPR!$A:$A,0),8)),$C132*INDEX(SPPR!$E:$X,MATCH($A132,SPPR!$A:$A,0),8),""),"")</f>
        <v/>
      </c>
      <c r="L132">
        <f>IFERROR(IF(ISNUMBER(INDEX(SPPR!$E:$X,MATCH($A132,SPPR!$A:$A,0),9)),$C132*INDEX(SPPR!$E:$X,MATCH($A132,SPPR!$A:$A,0),9),""),"")</f>
        <v/>
      </c>
      <c r="M132">
        <f>IFERROR(IF(ISNUMBER(INDEX(SPPR!$E:$X,MATCH($A132,SPPR!$A:$A,0),10)),$C132*INDEX(SPPR!$E:$X,MATCH($A132,SPPR!$A:$A,0),10),""),"")</f>
        <v/>
      </c>
      <c r="N132">
        <f>IFERROR(IF(ISNUMBER(INDEX(SPPR!$E:$X,MATCH($A132,SPPR!$A:$A,0),11)),$C132*INDEX(SPPR!$E:$X,MATCH($A132,SPPR!$A:$A,0),11),""),"")</f>
        <v/>
      </c>
      <c r="O132">
        <f>IFERROR(IF(ISNUMBER(INDEX(SPPR!$E:$X,MATCH($A132,SPPR!$A:$A,0),12)),$C132*INDEX(SPPR!$E:$X,MATCH($A132,SPPR!$A:$A,0),12),""),"")</f>
        <v/>
      </c>
      <c r="P132">
        <f>IFERROR(IF(ISNUMBER(INDEX(SPPR!$E:$X,MATCH($A132,SPPR!$A:$A,0),13)),$C132*INDEX(SPPR!$E:$X,MATCH($A132,SPPR!$A:$A,0),13),""),"")</f>
        <v/>
      </c>
      <c r="Q132">
        <f>IFERROR(IF(ISNUMBER(INDEX(SPPR!$E:$X,MATCH($A132,SPPR!$A:$A,0),14)),$C132*INDEX(SPPR!$E:$X,MATCH($A132,SPPR!$A:$A,0),14),""),"")</f>
        <v/>
      </c>
      <c r="R132">
        <f>IFERROR(IF(ISNUMBER(INDEX(SPPR!$E:$X,MATCH($A132,SPPR!$A:$A,0),15)),$C132*INDEX(SPPR!$E:$X,MATCH($A132,SPPR!$A:$A,0),15),""),"")</f>
        <v/>
      </c>
      <c r="S132">
        <f>IFERROR(IF(ISNUMBER(INDEX(SPPR!$E:$X,MATCH($A132,SPPR!$A:$A,0),16)),$C132*INDEX(SPPR!$E:$X,MATCH($A132,SPPR!$A:$A,0),16),""),"")</f>
        <v/>
      </c>
      <c r="T132">
        <f>IFERROR(IF(ISNUMBER(INDEX(SPPR!$E:$X,MATCH($A132,SPPR!$A:$A,0),17)),$C132*INDEX(SPPR!$E:$X,MATCH($A132,SPPR!$A:$A,0),17),""),"")</f>
        <v/>
      </c>
      <c r="U132">
        <f>IFERROR(IF(ISNUMBER(INDEX(SPPR!$E:$X,MATCH($A132,SPPR!$A:$A,0),18)),$C132*INDEX(SPPR!$E:$X,MATCH($A132,SPPR!$A:$A,0),18),""),"")</f>
        <v/>
      </c>
      <c r="V132">
        <f>IFERROR(IF(ISNUMBER(INDEX(SPPR!$E:$X,MATCH($A132,SPPR!$A:$A,0),19)),$C132*INDEX(SPPR!$E:$X,MATCH($A132,SPPR!$A:$A,0),19),""),"")</f>
        <v/>
      </c>
      <c r="W132">
        <f>IFERROR(IF(ISNUMBER(INDEX(SPPR!$E:$X,MATCH($A132,SPPR!$A:$A,0),20)),$C132*INDEX(SPPR!$E:$X,MATCH($A132,SPPR!$A:$A,0),20),""),"")</f>
        <v/>
      </c>
    </row>
    <row r="133">
      <c r="A133" t="inlineStr">
        <is>
          <t>Oncorhynchus masou</t>
        </is>
      </c>
      <c r="B133">
        <f>IFERROR(INDEX(SPPR!$D:$D,MATCH($A133,SPPR!$A:$A,0)),"")</f>
        <v/>
      </c>
      <c r="C133">
        <f>IFERROR(INDEX(Catch!$E:$BV,MATCH($A133,Catch!$A:$A,0),MATCH($B$4,Catch!$E$1:$BV$1,0)),0)</f>
        <v/>
      </c>
      <c r="D133">
        <f>IFERROR(IF(ISNUMBER(INDEX(SPPR!$E:$X,MATCH($A133,SPPR!$A:$A,0),1)),$C133*INDEX(SPPR!$E:$X,MATCH($A133,SPPR!$A:$A,0),1),""),"")</f>
        <v/>
      </c>
      <c r="E133">
        <f>IFERROR(IF(ISNUMBER(INDEX(SPPR!$E:$X,MATCH($A133,SPPR!$A:$A,0),2)),$C133*INDEX(SPPR!$E:$X,MATCH($A133,SPPR!$A:$A,0),2),""),"")</f>
        <v/>
      </c>
      <c r="F133">
        <f>IFERROR(IF(ISNUMBER(INDEX(SPPR!$E:$X,MATCH($A133,SPPR!$A:$A,0),3)),$C133*INDEX(SPPR!$E:$X,MATCH($A133,SPPR!$A:$A,0),3),""),"")</f>
        <v/>
      </c>
      <c r="G133">
        <f>IFERROR(IF(ISNUMBER(INDEX(SPPR!$E:$X,MATCH($A133,SPPR!$A:$A,0),4)),$C133*INDEX(SPPR!$E:$X,MATCH($A133,SPPR!$A:$A,0),4),""),"")</f>
        <v/>
      </c>
      <c r="H133">
        <f>IFERROR(IF(ISNUMBER(INDEX(SPPR!$E:$X,MATCH($A133,SPPR!$A:$A,0),5)),$C133*INDEX(SPPR!$E:$X,MATCH($A133,SPPR!$A:$A,0),5),""),"")</f>
        <v/>
      </c>
      <c r="I133">
        <f>IFERROR(IF(ISNUMBER(INDEX(SPPR!$E:$X,MATCH($A133,SPPR!$A:$A,0),6)),$C133*INDEX(SPPR!$E:$X,MATCH($A133,SPPR!$A:$A,0),6),""),"")</f>
        <v/>
      </c>
      <c r="J133">
        <f>IFERROR(IF(ISNUMBER(INDEX(SPPR!$E:$X,MATCH($A133,SPPR!$A:$A,0),7)),$C133*INDEX(SPPR!$E:$X,MATCH($A133,SPPR!$A:$A,0),7),""),"")</f>
        <v/>
      </c>
      <c r="K133">
        <f>IFERROR(IF(ISNUMBER(INDEX(SPPR!$E:$X,MATCH($A133,SPPR!$A:$A,0),8)),$C133*INDEX(SPPR!$E:$X,MATCH($A133,SPPR!$A:$A,0),8),""),"")</f>
        <v/>
      </c>
      <c r="L133">
        <f>IFERROR(IF(ISNUMBER(INDEX(SPPR!$E:$X,MATCH($A133,SPPR!$A:$A,0),9)),$C133*INDEX(SPPR!$E:$X,MATCH($A133,SPPR!$A:$A,0),9),""),"")</f>
        <v/>
      </c>
      <c r="M133">
        <f>IFERROR(IF(ISNUMBER(INDEX(SPPR!$E:$X,MATCH($A133,SPPR!$A:$A,0),10)),$C133*INDEX(SPPR!$E:$X,MATCH($A133,SPPR!$A:$A,0),10),""),"")</f>
        <v/>
      </c>
      <c r="N133">
        <f>IFERROR(IF(ISNUMBER(INDEX(SPPR!$E:$X,MATCH($A133,SPPR!$A:$A,0),11)),$C133*INDEX(SPPR!$E:$X,MATCH($A133,SPPR!$A:$A,0),11),""),"")</f>
        <v/>
      </c>
      <c r="O133">
        <f>IFERROR(IF(ISNUMBER(INDEX(SPPR!$E:$X,MATCH($A133,SPPR!$A:$A,0),12)),$C133*INDEX(SPPR!$E:$X,MATCH($A133,SPPR!$A:$A,0),12),""),"")</f>
        <v/>
      </c>
      <c r="P133">
        <f>IFERROR(IF(ISNUMBER(INDEX(SPPR!$E:$X,MATCH($A133,SPPR!$A:$A,0),13)),$C133*INDEX(SPPR!$E:$X,MATCH($A133,SPPR!$A:$A,0),13),""),"")</f>
        <v/>
      </c>
      <c r="Q133">
        <f>IFERROR(IF(ISNUMBER(INDEX(SPPR!$E:$X,MATCH($A133,SPPR!$A:$A,0),14)),$C133*INDEX(SPPR!$E:$X,MATCH($A133,SPPR!$A:$A,0),14),""),"")</f>
        <v/>
      </c>
      <c r="R133">
        <f>IFERROR(IF(ISNUMBER(INDEX(SPPR!$E:$X,MATCH($A133,SPPR!$A:$A,0),15)),$C133*INDEX(SPPR!$E:$X,MATCH($A133,SPPR!$A:$A,0),15),""),"")</f>
        <v/>
      </c>
      <c r="S133">
        <f>IFERROR(IF(ISNUMBER(INDEX(SPPR!$E:$X,MATCH($A133,SPPR!$A:$A,0),16)),$C133*INDEX(SPPR!$E:$X,MATCH($A133,SPPR!$A:$A,0),16),""),"")</f>
        <v/>
      </c>
      <c r="T133">
        <f>IFERROR(IF(ISNUMBER(INDEX(SPPR!$E:$X,MATCH($A133,SPPR!$A:$A,0),17)),$C133*INDEX(SPPR!$E:$X,MATCH($A133,SPPR!$A:$A,0),17),""),"")</f>
        <v/>
      </c>
      <c r="U133">
        <f>IFERROR(IF(ISNUMBER(INDEX(SPPR!$E:$X,MATCH($A133,SPPR!$A:$A,0),18)),$C133*INDEX(SPPR!$E:$X,MATCH($A133,SPPR!$A:$A,0),18),""),"")</f>
        <v/>
      </c>
      <c r="V133">
        <f>IFERROR(IF(ISNUMBER(INDEX(SPPR!$E:$X,MATCH($A133,SPPR!$A:$A,0),19)),$C133*INDEX(SPPR!$E:$X,MATCH($A133,SPPR!$A:$A,0),19),""),"")</f>
        <v/>
      </c>
      <c r="W133">
        <f>IFERROR(IF(ISNUMBER(INDEX(SPPR!$E:$X,MATCH($A133,SPPR!$A:$A,0),20)),$C133*INDEX(SPPR!$E:$X,MATCH($A133,SPPR!$A:$A,0),20),""),"")</f>
        <v/>
      </c>
    </row>
    <row r="134">
      <c r="A134" t="inlineStr">
        <is>
          <t>Isurus</t>
        </is>
      </c>
      <c r="B134">
        <f>IFERROR(INDEX(SPPR!$D:$D,MATCH($A134,SPPR!$A:$A,0)),"")</f>
        <v/>
      </c>
      <c r="C134">
        <f>IFERROR(INDEX(Catch!$E:$BV,MATCH($A134,Catch!$A:$A,0),MATCH($B$4,Catch!$E$1:$BV$1,0)),0)</f>
        <v/>
      </c>
      <c r="D134">
        <f>IFERROR(IF(ISNUMBER(INDEX(SPPR!$E:$X,MATCH($A134,SPPR!$A:$A,0),1)),$C134*INDEX(SPPR!$E:$X,MATCH($A134,SPPR!$A:$A,0),1),""),"")</f>
        <v/>
      </c>
      <c r="E134">
        <f>IFERROR(IF(ISNUMBER(INDEX(SPPR!$E:$X,MATCH($A134,SPPR!$A:$A,0),2)),$C134*INDEX(SPPR!$E:$X,MATCH($A134,SPPR!$A:$A,0),2),""),"")</f>
        <v/>
      </c>
      <c r="F134">
        <f>IFERROR(IF(ISNUMBER(INDEX(SPPR!$E:$X,MATCH($A134,SPPR!$A:$A,0),3)),$C134*INDEX(SPPR!$E:$X,MATCH($A134,SPPR!$A:$A,0),3),""),"")</f>
        <v/>
      </c>
      <c r="G134">
        <f>IFERROR(IF(ISNUMBER(INDEX(SPPR!$E:$X,MATCH($A134,SPPR!$A:$A,0),4)),$C134*INDEX(SPPR!$E:$X,MATCH($A134,SPPR!$A:$A,0),4),""),"")</f>
        <v/>
      </c>
      <c r="H134">
        <f>IFERROR(IF(ISNUMBER(INDEX(SPPR!$E:$X,MATCH($A134,SPPR!$A:$A,0),5)),$C134*INDEX(SPPR!$E:$X,MATCH($A134,SPPR!$A:$A,0),5),""),"")</f>
        <v/>
      </c>
      <c r="I134">
        <f>IFERROR(IF(ISNUMBER(INDEX(SPPR!$E:$X,MATCH($A134,SPPR!$A:$A,0),6)),$C134*INDEX(SPPR!$E:$X,MATCH($A134,SPPR!$A:$A,0),6),""),"")</f>
        <v/>
      </c>
      <c r="J134">
        <f>IFERROR(IF(ISNUMBER(INDEX(SPPR!$E:$X,MATCH($A134,SPPR!$A:$A,0),7)),$C134*INDEX(SPPR!$E:$X,MATCH($A134,SPPR!$A:$A,0),7),""),"")</f>
        <v/>
      </c>
      <c r="K134">
        <f>IFERROR(IF(ISNUMBER(INDEX(SPPR!$E:$X,MATCH($A134,SPPR!$A:$A,0),8)),$C134*INDEX(SPPR!$E:$X,MATCH($A134,SPPR!$A:$A,0),8),""),"")</f>
        <v/>
      </c>
      <c r="L134">
        <f>IFERROR(IF(ISNUMBER(INDEX(SPPR!$E:$X,MATCH($A134,SPPR!$A:$A,0),9)),$C134*INDEX(SPPR!$E:$X,MATCH($A134,SPPR!$A:$A,0),9),""),"")</f>
        <v/>
      </c>
      <c r="M134">
        <f>IFERROR(IF(ISNUMBER(INDEX(SPPR!$E:$X,MATCH($A134,SPPR!$A:$A,0),10)),$C134*INDEX(SPPR!$E:$X,MATCH($A134,SPPR!$A:$A,0),10),""),"")</f>
        <v/>
      </c>
      <c r="N134">
        <f>IFERROR(IF(ISNUMBER(INDEX(SPPR!$E:$X,MATCH($A134,SPPR!$A:$A,0),11)),$C134*INDEX(SPPR!$E:$X,MATCH($A134,SPPR!$A:$A,0),11),""),"")</f>
        <v/>
      </c>
      <c r="O134">
        <f>IFERROR(IF(ISNUMBER(INDEX(SPPR!$E:$X,MATCH($A134,SPPR!$A:$A,0),12)),$C134*INDEX(SPPR!$E:$X,MATCH($A134,SPPR!$A:$A,0),12),""),"")</f>
        <v/>
      </c>
      <c r="P134">
        <f>IFERROR(IF(ISNUMBER(INDEX(SPPR!$E:$X,MATCH($A134,SPPR!$A:$A,0),13)),$C134*INDEX(SPPR!$E:$X,MATCH($A134,SPPR!$A:$A,0),13),""),"")</f>
        <v/>
      </c>
      <c r="Q134">
        <f>IFERROR(IF(ISNUMBER(INDEX(SPPR!$E:$X,MATCH($A134,SPPR!$A:$A,0),14)),$C134*INDEX(SPPR!$E:$X,MATCH($A134,SPPR!$A:$A,0),14),""),"")</f>
        <v/>
      </c>
      <c r="R134">
        <f>IFERROR(IF(ISNUMBER(INDEX(SPPR!$E:$X,MATCH($A134,SPPR!$A:$A,0),15)),$C134*INDEX(SPPR!$E:$X,MATCH($A134,SPPR!$A:$A,0),15),""),"")</f>
        <v/>
      </c>
      <c r="S134">
        <f>IFERROR(IF(ISNUMBER(INDEX(SPPR!$E:$X,MATCH($A134,SPPR!$A:$A,0),16)),$C134*INDEX(SPPR!$E:$X,MATCH($A134,SPPR!$A:$A,0),16),""),"")</f>
        <v/>
      </c>
      <c r="T134">
        <f>IFERROR(IF(ISNUMBER(INDEX(SPPR!$E:$X,MATCH($A134,SPPR!$A:$A,0),17)),$C134*INDEX(SPPR!$E:$X,MATCH($A134,SPPR!$A:$A,0),17),""),"")</f>
        <v/>
      </c>
      <c r="U134">
        <f>IFERROR(IF(ISNUMBER(INDEX(SPPR!$E:$X,MATCH($A134,SPPR!$A:$A,0),18)),$C134*INDEX(SPPR!$E:$X,MATCH($A134,SPPR!$A:$A,0),18),""),"")</f>
        <v/>
      </c>
      <c r="V134">
        <f>IFERROR(IF(ISNUMBER(INDEX(SPPR!$E:$X,MATCH($A134,SPPR!$A:$A,0),19)),$C134*INDEX(SPPR!$E:$X,MATCH($A134,SPPR!$A:$A,0),19),""),"")</f>
        <v/>
      </c>
      <c r="W134">
        <f>IFERROR(IF(ISNUMBER(INDEX(SPPR!$E:$X,MATCH($A134,SPPR!$A:$A,0),20)),$C134*INDEX(SPPR!$E:$X,MATCH($A134,SPPR!$A:$A,0),20),""),"")</f>
        <v/>
      </c>
    </row>
    <row r="135">
      <c r="A135" t="inlineStr">
        <is>
          <t>Paralithodes brevipes</t>
        </is>
      </c>
      <c r="B135">
        <f>IFERROR(INDEX(SPPR!$D:$D,MATCH($A135,SPPR!$A:$A,0)),"")</f>
        <v/>
      </c>
      <c r="C135">
        <f>IFERROR(INDEX(Catch!$E:$BV,MATCH($A135,Catch!$A:$A,0),MATCH($B$4,Catch!$E$1:$BV$1,0)),0)</f>
        <v/>
      </c>
      <c r="D135">
        <f>IFERROR(IF(ISNUMBER(INDEX(SPPR!$E:$X,MATCH($A135,SPPR!$A:$A,0),1)),$C135*INDEX(SPPR!$E:$X,MATCH($A135,SPPR!$A:$A,0),1),""),"")</f>
        <v/>
      </c>
      <c r="E135">
        <f>IFERROR(IF(ISNUMBER(INDEX(SPPR!$E:$X,MATCH($A135,SPPR!$A:$A,0),2)),$C135*INDEX(SPPR!$E:$X,MATCH($A135,SPPR!$A:$A,0),2),""),"")</f>
        <v/>
      </c>
      <c r="F135">
        <f>IFERROR(IF(ISNUMBER(INDEX(SPPR!$E:$X,MATCH($A135,SPPR!$A:$A,0),3)),$C135*INDEX(SPPR!$E:$X,MATCH($A135,SPPR!$A:$A,0),3),""),"")</f>
        <v/>
      </c>
      <c r="G135">
        <f>IFERROR(IF(ISNUMBER(INDEX(SPPR!$E:$X,MATCH($A135,SPPR!$A:$A,0),4)),$C135*INDEX(SPPR!$E:$X,MATCH($A135,SPPR!$A:$A,0),4),""),"")</f>
        <v/>
      </c>
      <c r="H135">
        <f>IFERROR(IF(ISNUMBER(INDEX(SPPR!$E:$X,MATCH($A135,SPPR!$A:$A,0),5)),$C135*INDEX(SPPR!$E:$X,MATCH($A135,SPPR!$A:$A,0),5),""),"")</f>
        <v/>
      </c>
      <c r="I135">
        <f>IFERROR(IF(ISNUMBER(INDEX(SPPR!$E:$X,MATCH($A135,SPPR!$A:$A,0),6)),$C135*INDEX(SPPR!$E:$X,MATCH($A135,SPPR!$A:$A,0),6),""),"")</f>
        <v/>
      </c>
      <c r="J135">
        <f>IFERROR(IF(ISNUMBER(INDEX(SPPR!$E:$X,MATCH($A135,SPPR!$A:$A,0),7)),$C135*INDEX(SPPR!$E:$X,MATCH($A135,SPPR!$A:$A,0),7),""),"")</f>
        <v/>
      </c>
      <c r="K135">
        <f>IFERROR(IF(ISNUMBER(INDEX(SPPR!$E:$X,MATCH($A135,SPPR!$A:$A,0),8)),$C135*INDEX(SPPR!$E:$X,MATCH($A135,SPPR!$A:$A,0),8),""),"")</f>
        <v/>
      </c>
      <c r="L135">
        <f>IFERROR(IF(ISNUMBER(INDEX(SPPR!$E:$X,MATCH($A135,SPPR!$A:$A,0),9)),$C135*INDEX(SPPR!$E:$X,MATCH($A135,SPPR!$A:$A,0),9),""),"")</f>
        <v/>
      </c>
      <c r="M135">
        <f>IFERROR(IF(ISNUMBER(INDEX(SPPR!$E:$X,MATCH($A135,SPPR!$A:$A,0),10)),$C135*INDEX(SPPR!$E:$X,MATCH($A135,SPPR!$A:$A,0),10),""),"")</f>
        <v/>
      </c>
      <c r="N135">
        <f>IFERROR(IF(ISNUMBER(INDEX(SPPR!$E:$X,MATCH($A135,SPPR!$A:$A,0),11)),$C135*INDEX(SPPR!$E:$X,MATCH($A135,SPPR!$A:$A,0),11),""),"")</f>
        <v/>
      </c>
      <c r="O135">
        <f>IFERROR(IF(ISNUMBER(INDEX(SPPR!$E:$X,MATCH($A135,SPPR!$A:$A,0),12)),$C135*INDEX(SPPR!$E:$X,MATCH($A135,SPPR!$A:$A,0),12),""),"")</f>
        <v/>
      </c>
      <c r="P135">
        <f>IFERROR(IF(ISNUMBER(INDEX(SPPR!$E:$X,MATCH($A135,SPPR!$A:$A,0),13)),$C135*INDEX(SPPR!$E:$X,MATCH($A135,SPPR!$A:$A,0),13),""),"")</f>
        <v/>
      </c>
      <c r="Q135">
        <f>IFERROR(IF(ISNUMBER(INDEX(SPPR!$E:$X,MATCH($A135,SPPR!$A:$A,0),14)),$C135*INDEX(SPPR!$E:$X,MATCH($A135,SPPR!$A:$A,0),14),""),"")</f>
        <v/>
      </c>
      <c r="R135">
        <f>IFERROR(IF(ISNUMBER(INDEX(SPPR!$E:$X,MATCH($A135,SPPR!$A:$A,0),15)),$C135*INDEX(SPPR!$E:$X,MATCH($A135,SPPR!$A:$A,0),15),""),"")</f>
        <v/>
      </c>
      <c r="S135">
        <f>IFERROR(IF(ISNUMBER(INDEX(SPPR!$E:$X,MATCH($A135,SPPR!$A:$A,0),16)),$C135*INDEX(SPPR!$E:$X,MATCH($A135,SPPR!$A:$A,0),16),""),"")</f>
        <v/>
      </c>
      <c r="T135">
        <f>IFERROR(IF(ISNUMBER(INDEX(SPPR!$E:$X,MATCH($A135,SPPR!$A:$A,0),17)),$C135*INDEX(SPPR!$E:$X,MATCH($A135,SPPR!$A:$A,0),17),""),"")</f>
        <v/>
      </c>
      <c r="U135">
        <f>IFERROR(IF(ISNUMBER(INDEX(SPPR!$E:$X,MATCH($A135,SPPR!$A:$A,0),18)),$C135*INDEX(SPPR!$E:$X,MATCH($A135,SPPR!$A:$A,0),18),""),"")</f>
        <v/>
      </c>
      <c r="V135">
        <f>IFERROR(IF(ISNUMBER(INDEX(SPPR!$E:$X,MATCH($A135,SPPR!$A:$A,0),19)),$C135*INDEX(SPPR!$E:$X,MATCH($A135,SPPR!$A:$A,0),19),""),"")</f>
        <v/>
      </c>
      <c r="W135">
        <f>IFERROR(IF(ISNUMBER(INDEX(SPPR!$E:$X,MATCH($A135,SPPR!$A:$A,0),20)),$C135*INDEX(SPPR!$E:$X,MATCH($A135,SPPR!$A:$A,0),20),""),"")</f>
        <v/>
      </c>
    </row>
    <row r="136">
      <c r="A136" t="inlineStr">
        <is>
          <t>Metapenaeus</t>
        </is>
      </c>
      <c r="B136">
        <f>IFERROR(INDEX(SPPR!$D:$D,MATCH($A136,SPPR!$A:$A,0)),"")</f>
        <v/>
      </c>
      <c r="C136">
        <f>IFERROR(INDEX(Catch!$E:$BV,MATCH($A136,Catch!$A:$A,0),MATCH($B$4,Catch!$E$1:$BV$1,0)),0)</f>
        <v/>
      </c>
      <c r="D136">
        <f>IFERROR(IF(ISNUMBER(INDEX(SPPR!$E:$X,MATCH($A136,SPPR!$A:$A,0),1)),$C136*INDEX(SPPR!$E:$X,MATCH($A136,SPPR!$A:$A,0),1),""),"")</f>
        <v/>
      </c>
      <c r="E136">
        <f>IFERROR(IF(ISNUMBER(INDEX(SPPR!$E:$X,MATCH($A136,SPPR!$A:$A,0),2)),$C136*INDEX(SPPR!$E:$X,MATCH($A136,SPPR!$A:$A,0),2),""),"")</f>
        <v/>
      </c>
      <c r="F136">
        <f>IFERROR(IF(ISNUMBER(INDEX(SPPR!$E:$X,MATCH($A136,SPPR!$A:$A,0),3)),$C136*INDEX(SPPR!$E:$X,MATCH($A136,SPPR!$A:$A,0),3),""),"")</f>
        <v/>
      </c>
      <c r="G136">
        <f>IFERROR(IF(ISNUMBER(INDEX(SPPR!$E:$X,MATCH($A136,SPPR!$A:$A,0),4)),$C136*INDEX(SPPR!$E:$X,MATCH($A136,SPPR!$A:$A,0),4),""),"")</f>
        <v/>
      </c>
      <c r="H136">
        <f>IFERROR(IF(ISNUMBER(INDEX(SPPR!$E:$X,MATCH($A136,SPPR!$A:$A,0),5)),$C136*INDEX(SPPR!$E:$X,MATCH($A136,SPPR!$A:$A,0),5),""),"")</f>
        <v/>
      </c>
      <c r="I136">
        <f>IFERROR(IF(ISNUMBER(INDEX(SPPR!$E:$X,MATCH($A136,SPPR!$A:$A,0),6)),$C136*INDEX(SPPR!$E:$X,MATCH($A136,SPPR!$A:$A,0),6),""),"")</f>
        <v/>
      </c>
      <c r="J136">
        <f>IFERROR(IF(ISNUMBER(INDEX(SPPR!$E:$X,MATCH($A136,SPPR!$A:$A,0),7)),$C136*INDEX(SPPR!$E:$X,MATCH($A136,SPPR!$A:$A,0),7),""),"")</f>
        <v/>
      </c>
      <c r="K136">
        <f>IFERROR(IF(ISNUMBER(INDEX(SPPR!$E:$X,MATCH($A136,SPPR!$A:$A,0),8)),$C136*INDEX(SPPR!$E:$X,MATCH($A136,SPPR!$A:$A,0),8),""),"")</f>
        <v/>
      </c>
      <c r="L136">
        <f>IFERROR(IF(ISNUMBER(INDEX(SPPR!$E:$X,MATCH($A136,SPPR!$A:$A,0),9)),$C136*INDEX(SPPR!$E:$X,MATCH($A136,SPPR!$A:$A,0),9),""),"")</f>
        <v/>
      </c>
      <c r="M136">
        <f>IFERROR(IF(ISNUMBER(INDEX(SPPR!$E:$X,MATCH($A136,SPPR!$A:$A,0),10)),$C136*INDEX(SPPR!$E:$X,MATCH($A136,SPPR!$A:$A,0),10),""),"")</f>
        <v/>
      </c>
      <c r="N136">
        <f>IFERROR(IF(ISNUMBER(INDEX(SPPR!$E:$X,MATCH($A136,SPPR!$A:$A,0),11)),$C136*INDEX(SPPR!$E:$X,MATCH($A136,SPPR!$A:$A,0),11),""),"")</f>
        <v/>
      </c>
      <c r="O136">
        <f>IFERROR(IF(ISNUMBER(INDEX(SPPR!$E:$X,MATCH($A136,SPPR!$A:$A,0),12)),$C136*INDEX(SPPR!$E:$X,MATCH($A136,SPPR!$A:$A,0),12),""),"")</f>
        <v/>
      </c>
      <c r="P136">
        <f>IFERROR(IF(ISNUMBER(INDEX(SPPR!$E:$X,MATCH($A136,SPPR!$A:$A,0),13)),$C136*INDEX(SPPR!$E:$X,MATCH($A136,SPPR!$A:$A,0),13),""),"")</f>
        <v/>
      </c>
      <c r="Q136">
        <f>IFERROR(IF(ISNUMBER(INDEX(SPPR!$E:$X,MATCH($A136,SPPR!$A:$A,0),14)),$C136*INDEX(SPPR!$E:$X,MATCH($A136,SPPR!$A:$A,0),14),""),"")</f>
        <v/>
      </c>
      <c r="R136">
        <f>IFERROR(IF(ISNUMBER(INDEX(SPPR!$E:$X,MATCH($A136,SPPR!$A:$A,0),15)),$C136*INDEX(SPPR!$E:$X,MATCH($A136,SPPR!$A:$A,0),15),""),"")</f>
        <v/>
      </c>
      <c r="S136">
        <f>IFERROR(IF(ISNUMBER(INDEX(SPPR!$E:$X,MATCH($A136,SPPR!$A:$A,0),16)),$C136*INDEX(SPPR!$E:$X,MATCH($A136,SPPR!$A:$A,0),16),""),"")</f>
        <v/>
      </c>
      <c r="T136">
        <f>IFERROR(IF(ISNUMBER(INDEX(SPPR!$E:$X,MATCH($A136,SPPR!$A:$A,0),17)),$C136*INDEX(SPPR!$E:$X,MATCH($A136,SPPR!$A:$A,0),17),""),"")</f>
        <v/>
      </c>
      <c r="U136">
        <f>IFERROR(IF(ISNUMBER(INDEX(SPPR!$E:$X,MATCH($A136,SPPR!$A:$A,0),18)),$C136*INDEX(SPPR!$E:$X,MATCH($A136,SPPR!$A:$A,0),18),""),"")</f>
        <v/>
      </c>
      <c r="V136">
        <f>IFERROR(IF(ISNUMBER(INDEX(SPPR!$E:$X,MATCH($A136,SPPR!$A:$A,0),19)),$C136*INDEX(SPPR!$E:$X,MATCH($A136,SPPR!$A:$A,0),19),""),"")</f>
        <v/>
      </c>
      <c r="W136">
        <f>IFERROR(IF(ISNUMBER(INDEX(SPPR!$E:$X,MATCH($A136,SPPR!$A:$A,0),20)),$C136*INDEX(SPPR!$E:$X,MATCH($A136,SPPR!$A:$A,0),20),""),"")</f>
        <v/>
      </c>
    </row>
    <row r="137">
      <c r="A137" t="inlineStr">
        <is>
          <t>Mola mola</t>
        </is>
      </c>
      <c r="B137">
        <f>IFERROR(INDEX(SPPR!$D:$D,MATCH($A137,SPPR!$A:$A,0)),"")</f>
        <v/>
      </c>
      <c r="C137">
        <f>IFERROR(INDEX(Catch!$E:$BV,MATCH($A137,Catch!$A:$A,0),MATCH($B$4,Catch!$E$1:$BV$1,0)),0)</f>
        <v/>
      </c>
      <c r="D137">
        <f>IFERROR(IF(ISNUMBER(INDEX(SPPR!$E:$X,MATCH($A137,SPPR!$A:$A,0),1)),$C137*INDEX(SPPR!$E:$X,MATCH($A137,SPPR!$A:$A,0),1),""),"")</f>
        <v/>
      </c>
      <c r="E137">
        <f>IFERROR(IF(ISNUMBER(INDEX(SPPR!$E:$X,MATCH($A137,SPPR!$A:$A,0),2)),$C137*INDEX(SPPR!$E:$X,MATCH($A137,SPPR!$A:$A,0),2),""),"")</f>
        <v/>
      </c>
      <c r="F137">
        <f>IFERROR(IF(ISNUMBER(INDEX(SPPR!$E:$X,MATCH($A137,SPPR!$A:$A,0),3)),$C137*INDEX(SPPR!$E:$X,MATCH($A137,SPPR!$A:$A,0),3),""),"")</f>
        <v/>
      </c>
      <c r="G137">
        <f>IFERROR(IF(ISNUMBER(INDEX(SPPR!$E:$X,MATCH($A137,SPPR!$A:$A,0),4)),$C137*INDEX(SPPR!$E:$X,MATCH($A137,SPPR!$A:$A,0),4),""),"")</f>
        <v/>
      </c>
      <c r="H137">
        <f>IFERROR(IF(ISNUMBER(INDEX(SPPR!$E:$X,MATCH($A137,SPPR!$A:$A,0),5)),$C137*INDEX(SPPR!$E:$X,MATCH($A137,SPPR!$A:$A,0),5),""),"")</f>
        <v/>
      </c>
      <c r="I137">
        <f>IFERROR(IF(ISNUMBER(INDEX(SPPR!$E:$X,MATCH($A137,SPPR!$A:$A,0),6)),$C137*INDEX(SPPR!$E:$X,MATCH($A137,SPPR!$A:$A,0),6),""),"")</f>
        <v/>
      </c>
      <c r="J137">
        <f>IFERROR(IF(ISNUMBER(INDEX(SPPR!$E:$X,MATCH($A137,SPPR!$A:$A,0),7)),$C137*INDEX(SPPR!$E:$X,MATCH($A137,SPPR!$A:$A,0),7),""),"")</f>
        <v/>
      </c>
      <c r="K137">
        <f>IFERROR(IF(ISNUMBER(INDEX(SPPR!$E:$X,MATCH($A137,SPPR!$A:$A,0),8)),$C137*INDEX(SPPR!$E:$X,MATCH($A137,SPPR!$A:$A,0),8),""),"")</f>
        <v/>
      </c>
      <c r="L137">
        <f>IFERROR(IF(ISNUMBER(INDEX(SPPR!$E:$X,MATCH($A137,SPPR!$A:$A,0),9)),$C137*INDEX(SPPR!$E:$X,MATCH($A137,SPPR!$A:$A,0),9),""),"")</f>
        <v/>
      </c>
      <c r="M137">
        <f>IFERROR(IF(ISNUMBER(INDEX(SPPR!$E:$X,MATCH($A137,SPPR!$A:$A,0),10)),$C137*INDEX(SPPR!$E:$X,MATCH($A137,SPPR!$A:$A,0),10),""),"")</f>
        <v/>
      </c>
      <c r="N137">
        <f>IFERROR(IF(ISNUMBER(INDEX(SPPR!$E:$X,MATCH($A137,SPPR!$A:$A,0),11)),$C137*INDEX(SPPR!$E:$X,MATCH($A137,SPPR!$A:$A,0),11),""),"")</f>
        <v/>
      </c>
      <c r="O137">
        <f>IFERROR(IF(ISNUMBER(INDEX(SPPR!$E:$X,MATCH($A137,SPPR!$A:$A,0),12)),$C137*INDEX(SPPR!$E:$X,MATCH($A137,SPPR!$A:$A,0),12),""),"")</f>
        <v/>
      </c>
      <c r="P137">
        <f>IFERROR(IF(ISNUMBER(INDEX(SPPR!$E:$X,MATCH($A137,SPPR!$A:$A,0),13)),$C137*INDEX(SPPR!$E:$X,MATCH($A137,SPPR!$A:$A,0),13),""),"")</f>
        <v/>
      </c>
      <c r="Q137">
        <f>IFERROR(IF(ISNUMBER(INDEX(SPPR!$E:$X,MATCH($A137,SPPR!$A:$A,0),14)),$C137*INDEX(SPPR!$E:$X,MATCH($A137,SPPR!$A:$A,0),14),""),"")</f>
        <v/>
      </c>
      <c r="R137">
        <f>IFERROR(IF(ISNUMBER(INDEX(SPPR!$E:$X,MATCH($A137,SPPR!$A:$A,0),15)),$C137*INDEX(SPPR!$E:$X,MATCH($A137,SPPR!$A:$A,0),15),""),"")</f>
        <v/>
      </c>
      <c r="S137">
        <f>IFERROR(IF(ISNUMBER(INDEX(SPPR!$E:$X,MATCH($A137,SPPR!$A:$A,0),16)),$C137*INDEX(SPPR!$E:$X,MATCH($A137,SPPR!$A:$A,0),16),""),"")</f>
        <v/>
      </c>
      <c r="T137">
        <f>IFERROR(IF(ISNUMBER(INDEX(SPPR!$E:$X,MATCH($A137,SPPR!$A:$A,0),17)),$C137*INDEX(SPPR!$E:$X,MATCH($A137,SPPR!$A:$A,0),17),""),"")</f>
        <v/>
      </c>
      <c r="U137">
        <f>IFERROR(IF(ISNUMBER(INDEX(SPPR!$E:$X,MATCH($A137,SPPR!$A:$A,0),18)),$C137*INDEX(SPPR!$E:$X,MATCH($A137,SPPR!$A:$A,0),18),""),"")</f>
        <v/>
      </c>
      <c r="V137">
        <f>IFERROR(IF(ISNUMBER(INDEX(SPPR!$E:$X,MATCH($A137,SPPR!$A:$A,0),19)),$C137*INDEX(SPPR!$E:$X,MATCH($A137,SPPR!$A:$A,0),19),""),"")</f>
        <v/>
      </c>
      <c r="W137">
        <f>IFERROR(IF(ISNUMBER(INDEX(SPPR!$E:$X,MATCH($A137,SPPR!$A:$A,0),20)),$C137*INDEX(SPPR!$E:$X,MATCH($A137,SPPR!$A:$A,0),20),""),"")</f>
        <v/>
      </c>
    </row>
    <row r="138">
      <c r="A138" t="inlineStr">
        <is>
          <t>Magallana gigas</t>
        </is>
      </c>
      <c r="B138">
        <f>IFERROR(INDEX(SPPR!$D:$D,MATCH($A138,SPPR!$A:$A,0)),"")</f>
        <v/>
      </c>
      <c r="C138">
        <f>IFERROR(INDEX(Catch!$E:$BV,MATCH($A138,Catch!$A:$A,0),MATCH($B$4,Catch!$E$1:$BV$1,0)),0)</f>
        <v/>
      </c>
      <c r="D138">
        <f>IFERROR(IF(ISNUMBER(INDEX(SPPR!$E:$X,MATCH($A138,SPPR!$A:$A,0),1)),$C138*INDEX(SPPR!$E:$X,MATCH($A138,SPPR!$A:$A,0),1),""),"")</f>
        <v/>
      </c>
      <c r="E138">
        <f>IFERROR(IF(ISNUMBER(INDEX(SPPR!$E:$X,MATCH($A138,SPPR!$A:$A,0),2)),$C138*INDEX(SPPR!$E:$X,MATCH($A138,SPPR!$A:$A,0),2),""),"")</f>
        <v/>
      </c>
      <c r="F138">
        <f>IFERROR(IF(ISNUMBER(INDEX(SPPR!$E:$X,MATCH($A138,SPPR!$A:$A,0),3)),$C138*INDEX(SPPR!$E:$X,MATCH($A138,SPPR!$A:$A,0),3),""),"")</f>
        <v/>
      </c>
      <c r="G138">
        <f>IFERROR(IF(ISNUMBER(INDEX(SPPR!$E:$X,MATCH($A138,SPPR!$A:$A,0),4)),$C138*INDEX(SPPR!$E:$X,MATCH($A138,SPPR!$A:$A,0),4),""),"")</f>
        <v/>
      </c>
      <c r="H138">
        <f>IFERROR(IF(ISNUMBER(INDEX(SPPR!$E:$X,MATCH($A138,SPPR!$A:$A,0),5)),$C138*INDEX(SPPR!$E:$X,MATCH($A138,SPPR!$A:$A,0),5),""),"")</f>
        <v/>
      </c>
      <c r="I138">
        <f>IFERROR(IF(ISNUMBER(INDEX(SPPR!$E:$X,MATCH($A138,SPPR!$A:$A,0),6)),$C138*INDEX(SPPR!$E:$X,MATCH($A138,SPPR!$A:$A,0),6),""),"")</f>
        <v/>
      </c>
      <c r="J138">
        <f>IFERROR(IF(ISNUMBER(INDEX(SPPR!$E:$X,MATCH($A138,SPPR!$A:$A,0),7)),$C138*INDEX(SPPR!$E:$X,MATCH($A138,SPPR!$A:$A,0),7),""),"")</f>
        <v/>
      </c>
      <c r="K138">
        <f>IFERROR(IF(ISNUMBER(INDEX(SPPR!$E:$X,MATCH($A138,SPPR!$A:$A,0),8)),$C138*INDEX(SPPR!$E:$X,MATCH($A138,SPPR!$A:$A,0),8),""),"")</f>
        <v/>
      </c>
      <c r="L138">
        <f>IFERROR(IF(ISNUMBER(INDEX(SPPR!$E:$X,MATCH($A138,SPPR!$A:$A,0),9)),$C138*INDEX(SPPR!$E:$X,MATCH($A138,SPPR!$A:$A,0),9),""),"")</f>
        <v/>
      </c>
      <c r="M138">
        <f>IFERROR(IF(ISNUMBER(INDEX(SPPR!$E:$X,MATCH($A138,SPPR!$A:$A,0),10)),$C138*INDEX(SPPR!$E:$X,MATCH($A138,SPPR!$A:$A,0),10),""),"")</f>
        <v/>
      </c>
      <c r="N138">
        <f>IFERROR(IF(ISNUMBER(INDEX(SPPR!$E:$X,MATCH($A138,SPPR!$A:$A,0),11)),$C138*INDEX(SPPR!$E:$X,MATCH($A138,SPPR!$A:$A,0),11),""),"")</f>
        <v/>
      </c>
      <c r="O138">
        <f>IFERROR(IF(ISNUMBER(INDEX(SPPR!$E:$X,MATCH($A138,SPPR!$A:$A,0),12)),$C138*INDEX(SPPR!$E:$X,MATCH($A138,SPPR!$A:$A,0),12),""),"")</f>
        <v/>
      </c>
      <c r="P138">
        <f>IFERROR(IF(ISNUMBER(INDEX(SPPR!$E:$X,MATCH($A138,SPPR!$A:$A,0),13)),$C138*INDEX(SPPR!$E:$X,MATCH($A138,SPPR!$A:$A,0),13),""),"")</f>
        <v/>
      </c>
      <c r="Q138">
        <f>IFERROR(IF(ISNUMBER(INDEX(SPPR!$E:$X,MATCH($A138,SPPR!$A:$A,0),14)),$C138*INDEX(SPPR!$E:$X,MATCH($A138,SPPR!$A:$A,0),14),""),"")</f>
        <v/>
      </c>
      <c r="R138">
        <f>IFERROR(IF(ISNUMBER(INDEX(SPPR!$E:$X,MATCH($A138,SPPR!$A:$A,0),15)),$C138*INDEX(SPPR!$E:$X,MATCH($A138,SPPR!$A:$A,0),15),""),"")</f>
        <v/>
      </c>
      <c r="S138">
        <f>IFERROR(IF(ISNUMBER(INDEX(SPPR!$E:$X,MATCH($A138,SPPR!$A:$A,0),16)),$C138*INDEX(SPPR!$E:$X,MATCH($A138,SPPR!$A:$A,0),16),""),"")</f>
        <v/>
      </c>
      <c r="T138">
        <f>IFERROR(IF(ISNUMBER(INDEX(SPPR!$E:$X,MATCH($A138,SPPR!$A:$A,0),17)),$C138*INDEX(SPPR!$E:$X,MATCH($A138,SPPR!$A:$A,0),17),""),"")</f>
        <v/>
      </c>
      <c r="U138">
        <f>IFERROR(IF(ISNUMBER(INDEX(SPPR!$E:$X,MATCH($A138,SPPR!$A:$A,0),18)),$C138*INDEX(SPPR!$E:$X,MATCH($A138,SPPR!$A:$A,0),18),""),"")</f>
        <v/>
      </c>
      <c r="V138">
        <f>IFERROR(IF(ISNUMBER(INDEX(SPPR!$E:$X,MATCH($A138,SPPR!$A:$A,0),19)),$C138*INDEX(SPPR!$E:$X,MATCH($A138,SPPR!$A:$A,0),19),""),"")</f>
        <v/>
      </c>
      <c r="W138">
        <f>IFERROR(IF(ISNUMBER(INDEX(SPPR!$E:$X,MATCH($A138,SPPR!$A:$A,0),20)),$C138*INDEX(SPPR!$E:$X,MATCH($A138,SPPR!$A:$A,0),20),""),"")</f>
        <v/>
      </c>
    </row>
    <row r="139">
      <c r="A139" t="inlineStr">
        <is>
          <t>Xiphias gladius</t>
        </is>
      </c>
      <c r="B139">
        <f>IFERROR(INDEX(SPPR!$D:$D,MATCH($A139,SPPR!$A:$A,0)),"")</f>
        <v/>
      </c>
      <c r="C139">
        <f>IFERROR(INDEX(Catch!$E:$BV,MATCH($A139,Catch!$A:$A,0),MATCH($B$4,Catch!$E$1:$BV$1,0)),0)</f>
        <v/>
      </c>
      <c r="D139">
        <f>IFERROR(IF(ISNUMBER(INDEX(SPPR!$E:$X,MATCH($A139,SPPR!$A:$A,0),1)),$C139*INDEX(SPPR!$E:$X,MATCH($A139,SPPR!$A:$A,0),1),""),"")</f>
        <v/>
      </c>
      <c r="E139">
        <f>IFERROR(IF(ISNUMBER(INDEX(SPPR!$E:$X,MATCH($A139,SPPR!$A:$A,0),2)),$C139*INDEX(SPPR!$E:$X,MATCH($A139,SPPR!$A:$A,0),2),""),"")</f>
        <v/>
      </c>
      <c r="F139">
        <f>IFERROR(IF(ISNUMBER(INDEX(SPPR!$E:$X,MATCH($A139,SPPR!$A:$A,0),3)),$C139*INDEX(SPPR!$E:$X,MATCH($A139,SPPR!$A:$A,0),3),""),"")</f>
        <v/>
      </c>
      <c r="G139">
        <f>IFERROR(IF(ISNUMBER(INDEX(SPPR!$E:$X,MATCH($A139,SPPR!$A:$A,0),4)),$C139*INDEX(SPPR!$E:$X,MATCH($A139,SPPR!$A:$A,0),4),""),"")</f>
        <v/>
      </c>
      <c r="H139">
        <f>IFERROR(IF(ISNUMBER(INDEX(SPPR!$E:$X,MATCH($A139,SPPR!$A:$A,0),5)),$C139*INDEX(SPPR!$E:$X,MATCH($A139,SPPR!$A:$A,0),5),""),"")</f>
        <v/>
      </c>
      <c r="I139">
        <f>IFERROR(IF(ISNUMBER(INDEX(SPPR!$E:$X,MATCH($A139,SPPR!$A:$A,0),6)),$C139*INDEX(SPPR!$E:$X,MATCH($A139,SPPR!$A:$A,0),6),""),"")</f>
        <v/>
      </c>
      <c r="J139">
        <f>IFERROR(IF(ISNUMBER(INDEX(SPPR!$E:$X,MATCH($A139,SPPR!$A:$A,0),7)),$C139*INDEX(SPPR!$E:$X,MATCH($A139,SPPR!$A:$A,0),7),""),"")</f>
        <v/>
      </c>
      <c r="K139">
        <f>IFERROR(IF(ISNUMBER(INDEX(SPPR!$E:$X,MATCH($A139,SPPR!$A:$A,0),8)),$C139*INDEX(SPPR!$E:$X,MATCH($A139,SPPR!$A:$A,0),8),""),"")</f>
        <v/>
      </c>
      <c r="L139">
        <f>IFERROR(IF(ISNUMBER(INDEX(SPPR!$E:$X,MATCH($A139,SPPR!$A:$A,0),9)),$C139*INDEX(SPPR!$E:$X,MATCH($A139,SPPR!$A:$A,0),9),""),"")</f>
        <v/>
      </c>
      <c r="M139">
        <f>IFERROR(IF(ISNUMBER(INDEX(SPPR!$E:$X,MATCH($A139,SPPR!$A:$A,0),10)),$C139*INDEX(SPPR!$E:$X,MATCH($A139,SPPR!$A:$A,0),10),""),"")</f>
        <v/>
      </c>
      <c r="N139">
        <f>IFERROR(IF(ISNUMBER(INDEX(SPPR!$E:$X,MATCH($A139,SPPR!$A:$A,0),11)),$C139*INDEX(SPPR!$E:$X,MATCH($A139,SPPR!$A:$A,0),11),""),"")</f>
        <v/>
      </c>
      <c r="O139">
        <f>IFERROR(IF(ISNUMBER(INDEX(SPPR!$E:$X,MATCH($A139,SPPR!$A:$A,0),12)),$C139*INDEX(SPPR!$E:$X,MATCH($A139,SPPR!$A:$A,0),12),""),"")</f>
        <v/>
      </c>
      <c r="P139">
        <f>IFERROR(IF(ISNUMBER(INDEX(SPPR!$E:$X,MATCH($A139,SPPR!$A:$A,0),13)),$C139*INDEX(SPPR!$E:$X,MATCH($A139,SPPR!$A:$A,0),13),""),"")</f>
        <v/>
      </c>
      <c r="Q139">
        <f>IFERROR(IF(ISNUMBER(INDEX(SPPR!$E:$X,MATCH($A139,SPPR!$A:$A,0),14)),$C139*INDEX(SPPR!$E:$X,MATCH($A139,SPPR!$A:$A,0),14),""),"")</f>
        <v/>
      </c>
      <c r="R139">
        <f>IFERROR(IF(ISNUMBER(INDEX(SPPR!$E:$X,MATCH($A139,SPPR!$A:$A,0),15)),$C139*INDEX(SPPR!$E:$X,MATCH($A139,SPPR!$A:$A,0),15),""),"")</f>
        <v/>
      </c>
      <c r="S139">
        <f>IFERROR(IF(ISNUMBER(INDEX(SPPR!$E:$X,MATCH($A139,SPPR!$A:$A,0),16)),$C139*INDEX(SPPR!$E:$X,MATCH($A139,SPPR!$A:$A,0),16),""),"")</f>
        <v/>
      </c>
      <c r="T139">
        <f>IFERROR(IF(ISNUMBER(INDEX(SPPR!$E:$X,MATCH($A139,SPPR!$A:$A,0),17)),$C139*INDEX(SPPR!$E:$X,MATCH($A139,SPPR!$A:$A,0),17),""),"")</f>
        <v/>
      </c>
      <c r="U139">
        <f>IFERROR(IF(ISNUMBER(INDEX(SPPR!$E:$X,MATCH($A139,SPPR!$A:$A,0),18)),$C139*INDEX(SPPR!$E:$X,MATCH($A139,SPPR!$A:$A,0),18),""),"")</f>
        <v/>
      </c>
      <c r="V139">
        <f>IFERROR(IF(ISNUMBER(INDEX(SPPR!$E:$X,MATCH($A139,SPPR!$A:$A,0),19)),$C139*INDEX(SPPR!$E:$X,MATCH($A139,SPPR!$A:$A,0),19),""),"")</f>
        <v/>
      </c>
      <c r="W139">
        <f>IFERROR(IF(ISNUMBER(INDEX(SPPR!$E:$X,MATCH($A139,SPPR!$A:$A,0),20)),$C139*INDEX(SPPR!$E:$X,MATCH($A139,SPPR!$A:$A,0),20),""),"")</f>
        <v/>
      </c>
    </row>
    <row r="140">
      <c r="A140" t="inlineStr">
        <is>
          <t>Decapterus</t>
        </is>
      </c>
      <c r="B140">
        <f>IFERROR(INDEX(SPPR!$D:$D,MATCH($A140,SPPR!$A:$A,0)),"")</f>
        <v/>
      </c>
      <c r="C140">
        <f>IFERROR(INDEX(Catch!$E:$BV,MATCH($A140,Catch!$A:$A,0),MATCH($B$4,Catch!$E$1:$BV$1,0)),0)</f>
        <v/>
      </c>
      <c r="D140">
        <f>IFERROR(IF(ISNUMBER(INDEX(SPPR!$E:$X,MATCH($A140,SPPR!$A:$A,0),1)),$C140*INDEX(SPPR!$E:$X,MATCH($A140,SPPR!$A:$A,0),1),""),"")</f>
        <v/>
      </c>
      <c r="E140">
        <f>IFERROR(IF(ISNUMBER(INDEX(SPPR!$E:$X,MATCH($A140,SPPR!$A:$A,0),2)),$C140*INDEX(SPPR!$E:$X,MATCH($A140,SPPR!$A:$A,0),2),""),"")</f>
        <v/>
      </c>
      <c r="F140">
        <f>IFERROR(IF(ISNUMBER(INDEX(SPPR!$E:$X,MATCH($A140,SPPR!$A:$A,0),3)),$C140*INDEX(SPPR!$E:$X,MATCH($A140,SPPR!$A:$A,0),3),""),"")</f>
        <v/>
      </c>
      <c r="G140">
        <f>IFERROR(IF(ISNUMBER(INDEX(SPPR!$E:$X,MATCH($A140,SPPR!$A:$A,0),4)),$C140*INDEX(SPPR!$E:$X,MATCH($A140,SPPR!$A:$A,0),4),""),"")</f>
        <v/>
      </c>
      <c r="H140">
        <f>IFERROR(IF(ISNUMBER(INDEX(SPPR!$E:$X,MATCH($A140,SPPR!$A:$A,0),5)),$C140*INDEX(SPPR!$E:$X,MATCH($A140,SPPR!$A:$A,0),5),""),"")</f>
        <v/>
      </c>
      <c r="I140">
        <f>IFERROR(IF(ISNUMBER(INDEX(SPPR!$E:$X,MATCH($A140,SPPR!$A:$A,0),6)),$C140*INDEX(SPPR!$E:$X,MATCH($A140,SPPR!$A:$A,0),6),""),"")</f>
        <v/>
      </c>
      <c r="J140">
        <f>IFERROR(IF(ISNUMBER(INDEX(SPPR!$E:$X,MATCH($A140,SPPR!$A:$A,0),7)),$C140*INDEX(SPPR!$E:$X,MATCH($A140,SPPR!$A:$A,0),7),""),"")</f>
        <v/>
      </c>
      <c r="K140">
        <f>IFERROR(IF(ISNUMBER(INDEX(SPPR!$E:$X,MATCH($A140,SPPR!$A:$A,0),8)),$C140*INDEX(SPPR!$E:$X,MATCH($A140,SPPR!$A:$A,0),8),""),"")</f>
        <v/>
      </c>
      <c r="L140">
        <f>IFERROR(IF(ISNUMBER(INDEX(SPPR!$E:$X,MATCH($A140,SPPR!$A:$A,0),9)),$C140*INDEX(SPPR!$E:$X,MATCH($A140,SPPR!$A:$A,0),9),""),"")</f>
        <v/>
      </c>
      <c r="M140">
        <f>IFERROR(IF(ISNUMBER(INDEX(SPPR!$E:$X,MATCH($A140,SPPR!$A:$A,0),10)),$C140*INDEX(SPPR!$E:$X,MATCH($A140,SPPR!$A:$A,0),10),""),"")</f>
        <v/>
      </c>
      <c r="N140">
        <f>IFERROR(IF(ISNUMBER(INDEX(SPPR!$E:$X,MATCH($A140,SPPR!$A:$A,0),11)),$C140*INDEX(SPPR!$E:$X,MATCH($A140,SPPR!$A:$A,0),11),""),"")</f>
        <v/>
      </c>
      <c r="O140">
        <f>IFERROR(IF(ISNUMBER(INDEX(SPPR!$E:$X,MATCH($A140,SPPR!$A:$A,0),12)),$C140*INDEX(SPPR!$E:$X,MATCH($A140,SPPR!$A:$A,0),12),""),"")</f>
        <v/>
      </c>
      <c r="P140">
        <f>IFERROR(IF(ISNUMBER(INDEX(SPPR!$E:$X,MATCH($A140,SPPR!$A:$A,0),13)),$C140*INDEX(SPPR!$E:$X,MATCH($A140,SPPR!$A:$A,0),13),""),"")</f>
        <v/>
      </c>
      <c r="Q140">
        <f>IFERROR(IF(ISNUMBER(INDEX(SPPR!$E:$X,MATCH($A140,SPPR!$A:$A,0),14)),$C140*INDEX(SPPR!$E:$X,MATCH($A140,SPPR!$A:$A,0),14),""),"")</f>
        <v/>
      </c>
      <c r="R140">
        <f>IFERROR(IF(ISNUMBER(INDEX(SPPR!$E:$X,MATCH($A140,SPPR!$A:$A,0),15)),$C140*INDEX(SPPR!$E:$X,MATCH($A140,SPPR!$A:$A,0),15),""),"")</f>
        <v/>
      </c>
      <c r="S140">
        <f>IFERROR(IF(ISNUMBER(INDEX(SPPR!$E:$X,MATCH($A140,SPPR!$A:$A,0),16)),$C140*INDEX(SPPR!$E:$X,MATCH($A140,SPPR!$A:$A,0),16),""),"")</f>
        <v/>
      </c>
      <c r="T140">
        <f>IFERROR(IF(ISNUMBER(INDEX(SPPR!$E:$X,MATCH($A140,SPPR!$A:$A,0),17)),$C140*INDEX(SPPR!$E:$X,MATCH($A140,SPPR!$A:$A,0),17),""),"")</f>
        <v/>
      </c>
      <c r="U140">
        <f>IFERROR(IF(ISNUMBER(INDEX(SPPR!$E:$X,MATCH($A140,SPPR!$A:$A,0),18)),$C140*INDEX(SPPR!$E:$X,MATCH($A140,SPPR!$A:$A,0),18),""),"")</f>
        <v/>
      </c>
      <c r="V140">
        <f>IFERROR(IF(ISNUMBER(INDEX(SPPR!$E:$X,MATCH($A140,SPPR!$A:$A,0),19)),$C140*INDEX(SPPR!$E:$X,MATCH($A140,SPPR!$A:$A,0),19),""),"")</f>
        <v/>
      </c>
      <c r="W140">
        <f>IFERROR(IF(ISNUMBER(INDEX(SPPR!$E:$X,MATCH($A140,SPPR!$A:$A,0),20)),$C140*INDEX(SPPR!$E:$X,MATCH($A140,SPPR!$A:$A,0),20),""),"")</f>
        <v/>
      </c>
    </row>
    <row r="141">
      <c r="A141" t="inlineStr">
        <is>
          <t>Scomberomorus niphonius</t>
        </is>
      </c>
      <c r="B141">
        <f>IFERROR(INDEX(SPPR!$D:$D,MATCH($A141,SPPR!$A:$A,0)),"")</f>
        <v/>
      </c>
      <c r="C141">
        <f>IFERROR(INDEX(Catch!$E:$BV,MATCH($A141,Catch!$A:$A,0),MATCH($B$4,Catch!$E$1:$BV$1,0)),0)</f>
        <v/>
      </c>
      <c r="D141">
        <f>IFERROR(IF(ISNUMBER(INDEX(SPPR!$E:$X,MATCH($A141,SPPR!$A:$A,0),1)),$C141*INDEX(SPPR!$E:$X,MATCH($A141,SPPR!$A:$A,0),1),""),"")</f>
        <v/>
      </c>
      <c r="E141">
        <f>IFERROR(IF(ISNUMBER(INDEX(SPPR!$E:$X,MATCH($A141,SPPR!$A:$A,0),2)),$C141*INDEX(SPPR!$E:$X,MATCH($A141,SPPR!$A:$A,0),2),""),"")</f>
        <v/>
      </c>
      <c r="F141">
        <f>IFERROR(IF(ISNUMBER(INDEX(SPPR!$E:$X,MATCH($A141,SPPR!$A:$A,0),3)),$C141*INDEX(SPPR!$E:$X,MATCH($A141,SPPR!$A:$A,0),3),""),"")</f>
        <v/>
      </c>
      <c r="G141">
        <f>IFERROR(IF(ISNUMBER(INDEX(SPPR!$E:$X,MATCH($A141,SPPR!$A:$A,0),4)),$C141*INDEX(SPPR!$E:$X,MATCH($A141,SPPR!$A:$A,0),4),""),"")</f>
        <v/>
      </c>
      <c r="H141">
        <f>IFERROR(IF(ISNUMBER(INDEX(SPPR!$E:$X,MATCH($A141,SPPR!$A:$A,0),5)),$C141*INDEX(SPPR!$E:$X,MATCH($A141,SPPR!$A:$A,0),5),""),"")</f>
        <v/>
      </c>
      <c r="I141">
        <f>IFERROR(IF(ISNUMBER(INDEX(SPPR!$E:$X,MATCH($A141,SPPR!$A:$A,0),6)),$C141*INDEX(SPPR!$E:$X,MATCH($A141,SPPR!$A:$A,0),6),""),"")</f>
        <v/>
      </c>
      <c r="J141">
        <f>IFERROR(IF(ISNUMBER(INDEX(SPPR!$E:$X,MATCH($A141,SPPR!$A:$A,0),7)),$C141*INDEX(SPPR!$E:$X,MATCH($A141,SPPR!$A:$A,0),7),""),"")</f>
        <v/>
      </c>
      <c r="K141">
        <f>IFERROR(IF(ISNUMBER(INDEX(SPPR!$E:$X,MATCH($A141,SPPR!$A:$A,0),8)),$C141*INDEX(SPPR!$E:$X,MATCH($A141,SPPR!$A:$A,0),8),""),"")</f>
        <v/>
      </c>
      <c r="L141">
        <f>IFERROR(IF(ISNUMBER(INDEX(SPPR!$E:$X,MATCH($A141,SPPR!$A:$A,0),9)),$C141*INDEX(SPPR!$E:$X,MATCH($A141,SPPR!$A:$A,0),9),""),"")</f>
        <v/>
      </c>
      <c r="M141">
        <f>IFERROR(IF(ISNUMBER(INDEX(SPPR!$E:$X,MATCH($A141,SPPR!$A:$A,0),10)),$C141*INDEX(SPPR!$E:$X,MATCH($A141,SPPR!$A:$A,0),10),""),"")</f>
        <v/>
      </c>
      <c r="N141">
        <f>IFERROR(IF(ISNUMBER(INDEX(SPPR!$E:$X,MATCH($A141,SPPR!$A:$A,0),11)),$C141*INDEX(SPPR!$E:$X,MATCH($A141,SPPR!$A:$A,0),11),""),"")</f>
        <v/>
      </c>
      <c r="O141">
        <f>IFERROR(IF(ISNUMBER(INDEX(SPPR!$E:$X,MATCH($A141,SPPR!$A:$A,0),12)),$C141*INDEX(SPPR!$E:$X,MATCH($A141,SPPR!$A:$A,0),12),""),"")</f>
        <v/>
      </c>
      <c r="P141">
        <f>IFERROR(IF(ISNUMBER(INDEX(SPPR!$E:$X,MATCH($A141,SPPR!$A:$A,0),13)),$C141*INDEX(SPPR!$E:$X,MATCH($A141,SPPR!$A:$A,0),13),""),"")</f>
        <v/>
      </c>
      <c r="Q141">
        <f>IFERROR(IF(ISNUMBER(INDEX(SPPR!$E:$X,MATCH($A141,SPPR!$A:$A,0),14)),$C141*INDEX(SPPR!$E:$X,MATCH($A141,SPPR!$A:$A,0),14),""),"")</f>
        <v/>
      </c>
      <c r="R141">
        <f>IFERROR(IF(ISNUMBER(INDEX(SPPR!$E:$X,MATCH($A141,SPPR!$A:$A,0),15)),$C141*INDEX(SPPR!$E:$X,MATCH($A141,SPPR!$A:$A,0),15),""),"")</f>
        <v/>
      </c>
      <c r="S141">
        <f>IFERROR(IF(ISNUMBER(INDEX(SPPR!$E:$X,MATCH($A141,SPPR!$A:$A,0),16)),$C141*INDEX(SPPR!$E:$X,MATCH($A141,SPPR!$A:$A,0),16),""),"")</f>
        <v/>
      </c>
      <c r="T141">
        <f>IFERROR(IF(ISNUMBER(INDEX(SPPR!$E:$X,MATCH($A141,SPPR!$A:$A,0),17)),$C141*INDEX(SPPR!$E:$X,MATCH($A141,SPPR!$A:$A,0),17),""),"")</f>
        <v/>
      </c>
      <c r="U141">
        <f>IFERROR(IF(ISNUMBER(INDEX(SPPR!$E:$X,MATCH($A141,SPPR!$A:$A,0),18)),$C141*INDEX(SPPR!$E:$X,MATCH($A141,SPPR!$A:$A,0),18),""),"")</f>
        <v/>
      </c>
      <c r="V141">
        <f>IFERROR(IF(ISNUMBER(INDEX(SPPR!$E:$X,MATCH($A141,SPPR!$A:$A,0),19)),$C141*INDEX(SPPR!$E:$X,MATCH($A141,SPPR!$A:$A,0),19),""),"")</f>
        <v/>
      </c>
      <c r="W141">
        <f>IFERROR(IF(ISNUMBER(INDEX(SPPR!$E:$X,MATCH($A141,SPPR!$A:$A,0),20)),$C141*INDEX(SPPR!$E:$X,MATCH($A141,SPPR!$A:$A,0),20),""),"")</f>
        <v/>
      </c>
    </row>
    <row r="142">
      <c r="A142" t="inlineStr">
        <is>
          <t>Panulirus</t>
        </is>
      </c>
      <c r="B142">
        <f>IFERROR(INDEX(SPPR!$D:$D,MATCH($A142,SPPR!$A:$A,0)),"")</f>
        <v/>
      </c>
      <c r="C142">
        <f>IFERROR(INDEX(Catch!$E:$BV,MATCH($A142,Catch!$A:$A,0),MATCH($B$4,Catch!$E$1:$BV$1,0)),0)</f>
        <v/>
      </c>
      <c r="D142">
        <f>IFERROR(IF(ISNUMBER(INDEX(SPPR!$E:$X,MATCH($A142,SPPR!$A:$A,0),1)),$C142*INDEX(SPPR!$E:$X,MATCH($A142,SPPR!$A:$A,0),1),""),"")</f>
        <v/>
      </c>
      <c r="E142">
        <f>IFERROR(IF(ISNUMBER(INDEX(SPPR!$E:$X,MATCH($A142,SPPR!$A:$A,0),2)),$C142*INDEX(SPPR!$E:$X,MATCH($A142,SPPR!$A:$A,0),2),""),"")</f>
        <v/>
      </c>
      <c r="F142">
        <f>IFERROR(IF(ISNUMBER(INDEX(SPPR!$E:$X,MATCH($A142,SPPR!$A:$A,0),3)),$C142*INDEX(SPPR!$E:$X,MATCH($A142,SPPR!$A:$A,0),3),""),"")</f>
        <v/>
      </c>
      <c r="G142">
        <f>IFERROR(IF(ISNUMBER(INDEX(SPPR!$E:$X,MATCH($A142,SPPR!$A:$A,0),4)),$C142*INDEX(SPPR!$E:$X,MATCH($A142,SPPR!$A:$A,0),4),""),"")</f>
        <v/>
      </c>
      <c r="H142">
        <f>IFERROR(IF(ISNUMBER(INDEX(SPPR!$E:$X,MATCH($A142,SPPR!$A:$A,0),5)),$C142*INDEX(SPPR!$E:$X,MATCH($A142,SPPR!$A:$A,0),5),""),"")</f>
        <v/>
      </c>
      <c r="I142">
        <f>IFERROR(IF(ISNUMBER(INDEX(SPPR!$E:$X,MATCH($A142,SPPR!$A:$A,0),6)),$C142*INDEX(SPPR!$E:$X,MATCH($A142,SPPR!$A:$A,0),6),""),"")</f>
        <v/>
      </c>
      <c r="J142">
        <f>IFERROR(IF(ISNUMBER(INDEX(SPPR!$E:$X,MATCH($A142,SPPR!$A:$A,0),7)),$C142*INDEX(SPPR!$E:$X,MATCH($A142,SPPR!$A:$A,0),7),""),"")</f>
        <v/>
      </c>
      <c r="K142">
        <f>IFERROR(IF(ISNUMBER(INDEX(SPPR!$E:$X,MATCH($A142,SPPR!$A:$A,0),8)),$C142*INDEX(SPPR!$E:$X,MATCH($A142,SPPR!$A:$A,0),8),""),"")</f>
        <v/>
      </c>
      <c r="L142">
        <f>IFERROR(IF(ISNUMBER(INDEX(SPPR!$E:$X,MATCH($A142,SPPR!$A:$A,0),9)),$C142*INDEX(SPPR!$E:$X,MATCH($A142,SPPR!$A:$A,0),9),""),"")</f>
        <v/>
      </c>
      <c r="M142">
        <f>IFERROR(IF(ISNUMBER(INDEX(SPPR!$E:$X,MATCH($A142,SPPR!$A:$A,0),10)),$C142*INDEX(SPPR!$E:$X,MATCH($A142,SPPR!$A:$A,0),10),""),"")</f>
        <v/>
      </c>
      <c r="N142">
        <f>IFERROR(IF(ISNUMBER(INDEX(SPPR!$E:$X,MATCH($A142,SPPR!$A:$A,0),11)),$C142*INDEX(SPPR!$E:$X,MATCH($A142,SPPR!$A:$A,0),11),""),"")</f>
        <v/>
      </c>
      <c r="O142">
        <f>IFERROR(IF(ISNUMBER(INDEX(SPPR!$E:$X,MATCH($A142,SPPR!$A:$A,0),12)),$C142*INDEX(SPPR!$E:$X,MATCH($A142,SPPR!$A:$A,0),12),""),"")</f>
        <v/>
      </c>
      <c r="P142">
        <f>IFERROR(IF(ISNUMBER(INDEX(SPPR!$E:$X,MATCH($A142,SPPR!$A:$A,0),13)),$C142*INDEX(SPPR!$E:$X,MATCH($A142,SPPR!$A:$A,0),13),""),"")</f>
        <v/>
      </c>
      <c r="Q142">
        <f>IFERROR(IF(ISNUMBER(INDEX(SPPR!$E:$X,MATCH($A142,SPPR!$A:$A,0),14)),$C142*INDEX(SPPR!$E:$X,MATCH($A142,SPPR!$A:$A,0),14),""),"")</f>
        <v/>
      </c>
      <c r="R142">
        <f>IFERROR(IF(ISNUMBER(INDEX(SPPR!$E:$X,MATCH($A142,SPPR!$A:$A,0),15)),$C142*INDEX(SPPR!$E:$X,MATCH($A142,SPPR!$A:$A,0),15),""),"")</f>
        <v/>
      </c>
      <c r="S142">
        <f>IFERROR(IF(ISNUMBER(INDEX(SPPR!$E:$X,MATCH($A142,SPPR!$A:$A,0),16)),$C142*INDEX(SPPR!$E:$X,MATCH($A142,SPPR!$A:$A,0),16),""),"")</f>
        <v/>
      </c>
      <c r="T142">
        <f>IFERROR(IF(ISNUMBER(INDEX(SPPR!$E:$X,MATCH($A142,SPPR!$A:$A,0),17)),$C142*INDEX(SPPR!$E:$X,MATCH($A142,SPPR!$A:$A,0),17),""),"")</f>
        <v/>
      </c>
      <c r="U142">
        <f>IFERROR(IF(ISNUMBER(INDEX(SPPR!$E:$X,MATCH($A142,SPPR!$A:$A,0),18)),$C142*INDEX(SPPR!$E:$X,MATCH($A142,SPPR!$A:$A,0),18),""),"")</f>
        <v/>
      </c>
      <c r="V142">
        <f>IFERROR(IF(ISNUMBER(INDEX(SPPR!$E:$X,MATCH($A142,SPPR!$A:$A,0),19)),$C142*INDEX(SPPR!$E:$X,MATCH($A142,SPPR!$A:$A,0),19),""),"")</f>
        <v/>
      </c>
      <c r="W142">
        <f>IFERROR(IF(ISNUMBER(INDEX(SPPR!$E:$X,MATCH($A142,SPPR!$A:$A,0),20)),$C142*INDEX(SPPR!$E:$X,MATCH($A142,SPPR!$A:$A,0),20),""),"")</f>
        <v/>
      </c>
    </row>
    <row r="143">
      <c r="A143" t="inlineStr">
        <is>
          <t>Rachycentron canadum</t>
        </is>
      </c>
      <c r="B143">
        <f>IFERROR(INDEX(SPPR!$D:$D,MATCH($A143,SPPR!$A:$A,0)),"")</f>
        <v/>
      </c>
      <c r="C143">
        <f>IFERROR(INDEX(Catch!$E:$BV,MATCH($A143,Catch!$A:$A,0),MATCH($B$4,Catch!$E$1:$BV$1,0)),0)</f>
        <v/>
      </c>
      <c r="D143">
        <f>IFERROR(IF(ISNUMBER(INDEX(SPPR!$E:$X,MATCH($A143,SPPR!$A:$A,0),1)),$C143*INDEX(SPPR!$E:$X,MATCH($A143,SPPR!$A:$A,0),1),""),"")</f>
        <v/>
      </c>
      <c r="E143">
        <f>IFERROR(IF(ISNUMBER(INDEX(SPPR!$E:$X,MATCH($A143,SPPR!$A:$A,0),2)),$C143*INDEX(SPPR!$E:$X,MATCH($A143,SPPR!$A:$A,0),2),""),"")</f>
        <v/>
      </c>
      <c r="F143">
        <f>IFERROR(IF(ISNUMBER(INDEX(SPPR!$E:$X,MATCH($A143,SPPR!$A:$A,0),3)),$C143*INDEX(SPPR!$E:$X,MATCH($A143,SPPR!$A:$A,0),3),""),"")</f>
        <v/>
      </c>
      <c r="G143">
        <f>IFERROR(IF(ISNUMBER(INDEX(SPPR!$E:$X,MATCH($A143,SPPR!$A:$A,0),4)),$C143*INDEX(SPPR!$E:$X,MATCH($A143,SPPR!$A:$A,0),4),""),"")</f>
        <v/>
      </c>
      <c r="H143">
        <f>IFERROR(IF(ISNUMBER(INDEX(SPPR!$E:$X,MATCH($A143,SPPR!$A:$A,0),5)),$C143*INDEX(SPPR!$E:$X,MATCH($A143,SPPR!$A:$A,0),5),""),"")</f>
        <v/>
      </c>
      <c r="I143">
        <f>IFERROR(IF(ISNUMBER(INDEX(SPPR!$E:$X,MATCH($A143,SPPR!$A:$A,0),6)),$C143*INDEX(SPPR!$E:$X,MATCH($A143,SPPR!$A:$A,0),6),""),"")</f>
        <v/>
      </c>
      <c r="J143">
        <f>IFERROR(IF(ISNUMBER(INDEX(SPPR!$E:$X,MATCH($A143,SPPR!$A:$A,0),7)),$C143*INDEX(SPPR!$E:$X,MATCH($A143,SPPR!$A:$A,0),7),""),"")</f>
        <v/>
      </c>
      <c r="K143">
        <f>IFERROR(IF(ISNUMBER(INDEX(SPPR!$E:$X,MATCH($A143,SPPR!$A:$A,0),8)),$C143*INDEX(SPPR!$E:$X,MATCH($A143,SPPR!$A:$A,0),8),""),"")</f>
        <v/>
      </c>
      <c r="L143">
        <f>IFERROR(IF(ISNUMBER(INDEX(SPPR!$E:$X,MATCH($A143,SPPR!$A:$A,0),9)),$C143*INDEX(SPPR!$E:$X,MATCH($A143,SPPR!$A:$A,0),9),""),"")</f>
        <v/>
      </c>
      <c r="M143">
        <f>IFERROR(IF(ISNUMBER(INDEX(SPPR!$E:$X,MATCH($A143,SPPR!$A:$A,0),10)),$C143*INDEX(SPPR!$E:$X,MATCH($A143,SPPR!$A:$A,0),10),""),"")</f>
        <v/>
      </c>
      <c r="N143">
        <f>IFERROR(IF(ISNUMBER(INDEX(SPPR!$E:$X,MATCH($A143,SPPR!$A:$A,0),11)),$C143*INDEX(SPPR!$E:$X,MATCH($A143,SPPR!$A:$A,0),11),""),"")</f>
        <v/>
      </c>
      <c r="O143">
        <f>IFERROR(IF(ISNUMBER(INDEX(SPPR!$E:$X,MATCH($A143,SPPR!$A:$A,0),12)),$C143*INDEX(SPPR!$E:$X,MATCH($A143,SPPR!$A:$A,0),12),""),"")</f>
        <v/>
      </c>
      <c r="P143">
        <f>IFERROR(IF(ISNUMBER(INDEX(SPPR!$E:$X,MATCH($A143,SPPR!$A:$A,0),13)),$C143*INDEX(SPPR!$E:$X,MATCH($A143,SPPR!$A:$A,0),13),""),"")</f>
        <v/>
      </c>
      <c r="Q143">
        <f>IFERROR(IF(ISNUMBER(INDEX(SPPR!$E:$X,MATCH($A143,SPPR!$A:$A,0),14)),$C143*INDEX(SPPR!$E:$X,MATCH($A143,SPPR!$A:$A,0),14),""),"")</f>
        <v/>
      </c>
      <c r="R143">
        <f>IFERROR(IF(ISNUMBER(INDEX(SPPR!$E:$X,MATCH($A143,SPPR!$A:$A,0),15)),$C143*INDEX(SPPR!$E:$X,MATCH($A143,SPPR!$A:$A,0),15),""),"")</f>
        <v/>
      </c>
      <c r="S143">
        <f>IFERROR(IF(ISNUMBER(INDEX(SPPR!$E:$X,MATCH($A143,SPPR!$A:$A,0),16)),$C143*INDEX(SPPR!$E:$X,MATCH($A143,SPPR!$A:$A,0),16),""),"")</f>
        <v/>
      </c>
      <c r="T143">
        <f>IFERROR(IF(ISNUMBER(INDEX(SPPR!$E:$X,MATCH($A143,SPPR!$A:$A,0),17)),$C143*INDEX(SPPR!$E:$X,MATCH($A143,SPPR!$A:$A,0),17),""),"")</f>
        <v/>
      </c>
      <c r="U143">
        <f>IFERROR(IF(ISNUMBER(INDEX(SPPR!$E:$X,MATCH($A143,SPPR!$A:$A,0),18)),$C143*INDEX(SPPR!$E:$X,MATCH($A143,SPPR!$A:$A,0),18),""),"")</f>
        <v/>
      </c>
      <c r="V143">
        <f>IFERROR(IF(ISNUMBER(INDEX(SPPR!$E:$X,MATCH($A143,SPPR!$A:$A,0),19)),$C143*INDEX(SPPR!$E:$X,MATCH($A143,SPPR!$A:$A,0),19),""),"")</f>
        <v/>
      </c>
      <c r="W143">
        <f>IFERROR(IF(ISNUMBER(INDEX(SPPR!$E:$X,MATCH($A143,SPPR!$A:$A,0),20)),$C143*INDEX(SPPR!$E:$X,MATCH($A143,SPPR!$A:$A,0),20),""),"")</f>
        <v/>
      </c>
    </row>
    <row r="144">
      <c r="A144" t="inlineStr">
        <is>
          <t>Coregonus</t>
        </is>
      </c>
      <c r="B144">
        <f>IFERROR(INDEX(SPPR!$D:$D,MATCH($A144,SPPR!$A:$A,0)),"")</f>
        <v/>
      </c>
      <c r="C144">
        <f>IFERROR(INDEX(Catch!$E:$BV,MATCH($A144,Catch!$A:$A,0),MATCH($B$4,Catch!$E$1:$BV$1,0)),0)</f>
        <v/>
      </c>
      <c r="D144">
        <f>IFERROR(IF(ISNUMBER(INDEX(SPPR!$E:$X,MATCH($A144,SPPR!$A:$A,0),1)),$C144*INDEX(SPPR!$E:$X,MATCH($A144,SPPR!$A:$A,0),1),""),"")</f>
        <v/>
      </c>
      <c r="E144">
        <f>IFERROR(IF(ISNUMBER(INDEX(SPPR!$E:$X,MATCH($A144,SPPR!$A:$A,0),2)),$C144*INDEX(SPPR!$E:$X,MATCH($A144,SPPR!$A:$A,0),2),""),"")</f>
        <v/>
      </c>
      <c r="F144">
        <f>IFERROR(IF(ISNUMBER(INDEX(SPPR!$E:$X,MATCH($A144,SPPR!$A:$A,0),3)),$C144*INDEX(SPPR!$E:$X,MATCH($A144,SPPR!$A:$A,0),3),""),"")</f>
        <v/>
      </c>
      <c r="G144">
        <f>IFERROR(IF(ISNUMBER(INDEX(SPPR!$E:$X,MATCH($A144,SPPR!$A:$A,0),4)),$C144*INDEX(SPPR!$E:$X,MATCH($A144,SPPR!$A:$A,0),4),""),"")</f>
        <v/>
      </c>
      <c r="H144">
        <f>IFERROR(IF(ISNUMBER(INDEX(SPPR!$E:$X,MATCH($A144,SPPR!$A:$A,0),5)),$C144*INDEX(SPPR!$E:$X,MATCH($A144,SPPR!$A:$A,0),5),""),"")</f>
        <v/>
      </c>
      <c r="I144">
        <f>IFERROR(IF(ISNUMBER(INDEX(SPPR!$E:$X,MATCH($A144,SPPR!$A:$A,0),6)),$C144*INDEX(SPPR!$E:$X,MATCH($A144,SPPR!$A:$A,0),6),""),"")</f>
        <v/>
      </c>
      <c r="J144">
        <f>IFERROR(IF(ISNUMBER(INDEX(SPPR!$E:$X,MATCH($A144,SPPR!$A:$A,0),7)),$C144*INDEX(SPPR!$E:$X,MATCH($A144,SPPR!$A:$A,0),7),""),"")</f>
        <v/>
      </c>
      <c r="K144">
        <f>IFERROR(IF(ISNUMBER(INDEX(SPPR!$E:$X,MATCH($A144,SPPR!$A:$A,0),8)),$C144*INDEX(SPPR!$E:$X,MATCH($A144,SPPR!$A:$A,0),8),""),"")</f>
        <v/>
      </c>
      <c r="L144">
        <f>IFERROR(IF(ISNUMBER(INDEX(SPPR!$E:$X,MATCH($A144,SPPR!$A:$A,0),9)),$C144*INDEX(SPPR!$E:$X,MATCH($A144,SPPR!$A:$A,0),9),""),"")</f>
        <v/>
      </c>
      <c r="M144">
        <f>IFERROR(IF(ISNUMBER(INDEX(SPPR!$E:$X,MATCH($A144,SPPR!$A:$A,0),10)),$C144*INDEX(SPPR!$E:$X,MATCH($A144,SPPR!$A:$A,0),10),""),"")</f>
        <v/>
      </c>
      <c r="N144">
        <f>IFERROR(IF(ISNUMBER(INDEX(SPPR!$E:$X,MATCH($A144,SPPR!$A:$A,0),11)),$C144*INDEX(SPPR!$E:$X,MATCH($A144,SPPR!$A:$A,0),11),""),"")</f>
        <v/>
      </c>
      <c r="O144">
        <f>IFERROR(IF(ISNUMBER(INDEX(SPPR!$E:$X,MATCH($A144,SPPR!$A:$A,0),12)),$C144*INDEX(SPPR!$E:$X,MATCH($A144,SPPR!$A:$A,0),12),""),"")</f>
        <v/>
      </c>
      <c r="P144">
        <f>IFERROR(IF(ISNUMBER(INDEX(SPPR!$E:$X,MATCH($A144,SPPR!$A:$A,0),13)),$C144*INDEX(SPPR!$E:$X,MATCH($A144,SPPR!$A:$A,0),13),""),"")</f>
        <v/>
      </c>
      <c r="Q144">
        <f>IFERROR(IF(ISNUMBER(INDEX(SPPR!$E:$X,MATCH($A144,SPPR!$A:$A,0),14)),$C144*INDEX(SPPR!$E:$X,MATCH($A144,SPPR!$A:$A,0),14),""),"")</f>
        <v/>
      </c>
      <c r="R144">
        <f>IFERROR(IF(ISNUMBER(INDEX(SPPR!$E:$X,MATCH($A144,SPPR!$A:$A,0),15)),$C144*INDEX(SPPR!$E:$X,MATCH($A144,SPPR!$A:$A,0),15),""),"")</f>
        <v/>
      </c>
      <c r="S144">
        <f>IFERROR(IF(ISNUMBER(INDEX(SPPR!$E:$X,MATCH($A144,SPPR!$A:$A,0),16)),$C144*INDEX(SPPR!$E:$X,MATCH($A144,SPPR!$A:$A,0),16),""),"")</f>
        <v/>
      </c>
      <c r="T144">
        <f>IFERROR(IF(ISNUMBER(INDEX(SPPR!$E:$X,MATCH($A144,SPPR!$A:$A,0),17)),$C144*INDEX(SPPR!$E:$X,MATCH($A144,SPPR!$A:$A,0),17),""),"")</f>
        <v/>
      </c>
      <c r="U144">
        <f>IFERROR(IF(ISNUMBER(INDEX(SPPR!$E:$X,MATCH($A144,SPPR!$A:$A,0),18)),$C144*INDEX(SPPR!$E:$X,MATCH($A144,SPPR!$A:$A,0),18),""),"")</f>
        <v/>
      </c>
      <c r="V144">
        <f>IFERROR(IF(ISNUMBER(INDEX(SPPR!$E:$X,MATCH($A144,SPPR!$A:$A,0),19)),$C144*INDEX(SPPR!$E:$X,MATCH($A144,SPPR!$A:$A,0),19),""),"")</f>
        <v/>
      </c>
      <c r="W144">
        <f>IFERROR(IF(ISNUMBER(INDEX(SPPR!$E:$X,MATCH($A144,SPPR!$A:$A,0),20)),$C144*INDEX(SPPR!$E:$X,MATCH($A144,SPPR!$A:$A,0),20),""),"")</f>
        <v/>
      </c>
    </row>
    <row r="145">
      <c r="A145" t="inlineStr">
        <is>
          <t>Haliotis</t>
        </is>
      </c>
      <c r="B145">
        <f>IFERROR(INDEX(SPPR!$D:$D,MATCH($A145,SPPR!$A:$A,0)),"")</f>
        <v/>
      </c>
      <c r="C145">
        <f>IFERROR(INDEX(Catch!$E:$BV,MATCH($A145,Catch!$A:$A,0),MATCH($B$4,Catch!$E$1:$BV$1,0)),0)</f>
        <v/>
      </c>
      <c r="D145">
        <f>IFERROR(IF(ISNUMBER(INDEX(SPPR!$E:$X,MATCH($A145,SPPR!$A:$A,0),1)),$C145*INDEX(SPPR!$E:$X,MATCH($A145,SPPR!$A:$A,0),1),""),"")</f>
        <v/>
      </c>
      <c r="E145">
        <f>IFERROR(IF(ISNUMBER(INDEX(SPPR!$E:$X,MATCH($A145,SPPR!$A:$A,0),2)),$C145*INDEX(SPPR!$E:$X,MATCH($A145,SPPR!$A:$A,0),2),""),"")</f>
        <v/>
      </c>
      <c r="F145">
        <f>IFERROR(IF(ISNUMBER(INDEX(SPPR!$E:$X,MATCH($A145,SPPR!$A:$A,0),3)),$C145*INDEX(SPPR!$E:$X,MATCH($A145,SPPR!$A:$A,0),3),""),"")</f>
        <v/>
      </c>
      <c r="G145">
        <f>IFERROR(IF(ISNUMBER(INDEX(SPPR!$E:$X,MATCH($A145,SPPR!$A:$A,0),4)),$C145*INDEX(SPPR!$E:$X,MATCH($A145,SPPR!$A:$A,0),4),""),"")</f>
        <v/>
      </c>
      <c r="H145">
        <f>IFERROR(IF(ISNUMBER(INDEX(SPPR!$E:$X,MATCH($A145,SPPR!$A:$A,0),5)),$C145*INDEX(SPPR!$E:$X,MATCH($A145,SPPR!$A:$A,0),5),""),"")</f>
        <v/>
      </c>
      <c r="I145">
        <f>IFERROR(IF(ISNUMBER(INDEX(SPPR!$E:$X,MATCH($A145,SPPR!$A:$A,0),6)),$C145*INDEX(SPPR!$E:$X,MATCH($A145,SPPR!$A:$A,0),6),""),"")</f>
        <v/>
      </c>
      <c r="J145">
        <f>IFERROR(IF(ISNUMBER(INDEX(SPPR!$E:$X,MATCH($A145,SPPR!$A:$A,0),7)),$C145*INDEX(SPPR!$E:$X,MATCH($A145,SPPR!$A:$A,0),7),""),"")</f>
        <v/>
      </c>
      <c r="K145">
        <f>IFERROR(IF(ISNUMBER(INDEX(SPPR!$E:$X,MATCH($A145,SPPR!$A:$A,0),8)),$C145*INDEX(SPPR!$E:$X,MATCH($A145,SPPR!$A:$A,0),8),""),"")</f>
        <v/>
      </c>
      <c r="L145">
        <f>IFERROR(IF(ISNUMBER(INDEX(SPPR!$E:$X,MATCH($A145,SPPR!$A:$A,0),9)),$C145*INDEX(SPPR!$E:$X,MATCH($A145,SPPR!$A:$A,0),9),""),"")</f>
        <v/>
      </c>
      <c r="M145">
        <f>IFERROR(IF(ISNUMBER(INDEX(SPPR!$E:$X,MATCH($A145,SPPR!$A:$A,0),10)),$C145*INDEX(SPPR!$E:$X,MATCH($A145,SPPR!$A:$A,0),10),""),"")</f>
        <v/>
      </c>
      <c r="N145">
        <f>IFERROR(IF(ISNUMBER(INDEX(SPPR!$E:$X,MATCH($A145,SPPR!$A:$A,0),11)),$C145*INDEX(SPPR!$E:$X,MATCH($A145,SPPR!$A:$A,0),11),""),"")</f>
        <v/>
      </c>
      <c r="O145">
        <f>IFERROR(IF(ISNUMBER(INDEX(SPPR!$E:$X,MATCH($A145,SPPR!$A:$A,0),12)),$C145*INDEX(SPPR!$E:$X,MATCH($A145,SPPR!$A:$A,0),12),""),"")</f>
        <v/>
      </c>
      <c r="P145">
        <f>IFERROR(IF(ISNUMBER(INDEX(SPPR!$E:$X,MATCH($A145,SPPR!$A:$A,0),13)),$C145*INDEX(SPPR!$E:$X,MATCH($A145,SPPR!$A:$A,0),13),""),"")</f>
        <v/>
      </c>
      <c r="Q145">
        <f>IFERROR(IF(ISNUMBER(INDEX(SPPR!$E:$X,MATCH($A145,SPPR!$A:$A,0),14)),$C145*INDEX(SPPR!$E:$X,MATCH($A145,SPPR!$A:$A,0),14),""),"")</f>
        <v/>
      </c>
      <c r="R145">
        <f>IFERROR(IF(ISNUMBER(INDEX(SPPR!$E:$X,MATCH($A145,SPPR!$A:$A,0),15)),$C145*INDEX(SPPR!$E:$X,MATCH($A145,SPPR!$A:$A,0),15),""),"")</f>
        <v/>
      </c>
      <c r="S145">
        <f>IFERROR(IF(ISNUMBER(INDEX(SPPR!$E:$X,MATCH($A145,SPPR!$A:$A,0),16)),$C145*INDEX(SPPR!$E:$X,MATCH($A145,SPPR!$A:$A,0),16),""),"")</f>
        <v/>
      </c>
      <c r="T145">
        <f>IFERROR(IF(ISNUMBER(INDEX(SPPR!$E:$X,MATCH($A145,SPPR!$A:$A,0),17)),$C145*INDEX(SPPR!$E:$X,MATCH($A145,SPPR!$A:$A,0),17),""),"")</f>
        <v/>
      </c>
      <c r="U145">
        <f>IFERROR(IF(ISNUMBER(INDEX(SPPR!$E:$X,MATCH($A145,SPPR!$A:$A,0),18)),$C145*INDEX(SPPR!$E:$X,MATCH($A145,SPPR!$A:$A,0),18),""),"")</f>
        <v/>
      </c>
      <c r="V145">
        <f>IFERROR(IF(ISNUMBER(INDEX(SPPR!$E:$X,MATCH($A145,SPPR!$A:$A,0),19)),$C145*INDEX(SPPR!$E:$X,MATCH($A145,SPPR!$A:$A,0),19),""),"")</f>
        <v/>
      </c>
      <c r="W145">
        <f>IFERROR(IF(ISNUMBER(INDEX(SPPR!$E:$X,MATCH($A145,SPPR!$A:$A,0),20)),$C145*INDEX(SPPR!$E:$X,MATCH($A145,SPPR!$A:$A,0),20),""),"")</f>
        <v/>
      </c>
    </row>
    <row r="146">
      <c r="A146" t="inlineStr">
        <is>
          <t>Seriola dumerili</t>
        </is>
      </c>
      <c r="B146">
        <f>IFERROR(INDEX(SPPR!$D:$D,MATCH($A146,SPPR!$A:$A,0)),"")</f>
        <v/>
      </c>
      <c r="C146">
        <f>IFERROR(INDEX(Catch!$E:$BV,MATCH($A146,Catch!$A:$A,0),MATCH($B$4,Catch!$E$1:$BV$1,0)),0)</f>
        <v/>
      </c>
      <c r="D146">
        <f>IFERROR(IF(ISNUMBER(INDEX(SPPR!$E:$X,MATCH($A146,SPPR!$A:$A,0),1)),$C146*INDEX(SPPR!$E:$X,MATCH($A146,SPPR!$A:$A,0),1),""),"")</f>
        <v/>
      </c>
      <c r="E146">
        <f>IFERROR(IF(ISNUMBER(INDEX(SPPR!$E:$X,MATCH($A146,SPPR!$A:$A,0),2)),$C146*INDEX(SPPR!$E:$X,MATCH($A146,SPPR!$A:$A,0),2),""),"")</f>
        <v/>
      </c>
      <c r="F146">
        <f>IFERROR(IF(ISNUMBER(INDEX(SPPR!$E:$X,MATCH($A146,SPPR!$A:$A,0),3)),$C146*INDEX(SPPR!$E:$X,MATCH($A146,SPPR!$A:$A,0),3),""),"")</f>
        <v/>
      </c>
      <c r="G146">
        <f>IFERROR(IF(ISNUMBER(INDEX(SPPR!$E:$X,MATCH($A146,SPPR!$A:$A,0),4)),$C146*INDEX(SPPR!$E:$X,MATCH($A146,SPPR!$A:$A,0),4),""),"")</f>
        <v/>
      </c>
      <c r="H146">
        <f>IFERROR(IF(ISNUMBER(INDEX(SPPR!$E:$X,MATCH($A146,SPPR!$A:$A,0),5)),$C146*INDEX(SPPR!$E:$X,MATCH($A146,SPPR!$A:$A,0),5),""),"")</f>
        <v/>
      </c>
      <c r="I146">
        <f>IFERROR(IF(ISNUMBER(INDEX(SPPR!$E:$X,MATCH($A146,SPPR!$A:$A,0),6)),$C146*INDEX(SPPR!$E:$X,MATCH($A146,SPPR!$A:$A,0),6),""),"")</f>
        <v/>
      </c>
      <c r="J146">
        <f>IFERROR(IF(ISNUMBER(INDEX(SPPR!$E:$X,MATCH($A146,SPPR!$A:$A,0),7)),$C146*INDEX(SPPR!$E:$X,MATCH($A146,SPPR!$A:$A,0),7),""),"")</f>
        <v/>
      </c>
      <c r="K146">
        <f>IFERROR(IF(ISNUMBER(INDEX(SPPR!$E:$X,MATCH($A146,SPPR!$A:$A,0),8)),$C146*INDEX(SPPR!$E:$X,MATCH($A146,SPPR!$A:$A,0),8),""),"")</f>
        <v/>
      </c>
      <c r="L146">
        <f>IFERROR(IF(ISNUMBER(INDEX(SPPR!$E:$X,MATCH($A146,SPPR!$A:$A,0),9)),$C146*INDEX(SPPR!$E:$X,MATCH($A146,SPPR!$A:$A,0),9),""),"")</f>
        <v/>
      </c>
      <c r="M146">
        <f>IFERROR(IF(ISNUMBER(INDEX(SPPR!$E:$X,MATCH($A146,SPPR!$A:$A,0),10)),$C146*INDEX(SPPR!$E:$X,MATCH($A146,SPPR!$A:$A,0),10),""),"")</f>
        <v/>
      </c>
      <c r="N146">
        <f>IFERROR(IF(ISNUMBER(INDEX(SPPR!$E:$X,MATCH($A146,SPPR!$A:$A,0),11)),$C146*INDEX(SPPR!$E:$X,MATCH($A146,SPPR!$A:$A,0),11),""),"")</f>
        <v/>
      </c>
      <c r="O146">
        <f>IFERROR(IF(ISNUMBER(INDEX(SPPR!$E:$X,MATCH($A146,SPPR!$A:$A,0),12)),$C146*INDEX(SPPR!$E:$X,MATCH($A146,SPPR!$A:$A,0),12),""),"")</f>
        <v/>
      </c>
      <c r="P146">
        <f>IFERROR(IF(ISNUMBER(INDEX(SPPR!$E:$X,MATCH($A146,SPPR!$A:$A,0),13)),$C146*INDEX(SPPR!$E:$X,MATCH($A146,SPPR!$A:$A,0),13),""),"")</f>
        <v/>
      </c>
      <c r="Q146">
        <f>IFERROR(IF(ISNUMBER(INDEX(SPPR!$E:$X,MATCH($A146,SPPR!$A:$A,0),14)),$C146*INDEX(SPPR!$E:$X,MATCH($A146,SPPR!$A:$A,0),14),""),"")</f>
        <v/>
      </c>
      <c r="R146">
        <f>IFERROR(IF(ISNUMBER(INDEX(SPPR!$E:$X,MATCH($A146,SPPR!$A:$A,0),15)),$C146*INDEX(SPPR!$E:$X,MATCH($A146,SPPR!$A:$A,0),15),""),"")</f>
        <v/>
      </c>
      <c r="S146">
        <f>IFERROR(IF(ISNUMBER(INDEX(SPPR!$E:$X,MATCH($A146,SPPR!$A:$A,0),16)),$C146*INDEX(SPPR!$E:$X,MATCH($A146,SPPR!$A:$A,0),16),""),"")</f>
        <v/>
      </c>
      <c r="T146">
        <f>IFERROR(IF(ISNUMBER(INDEX(SPPR!$E:$X,MATCH($A146,SPPR!$A:$A,0),17)),$C146*INDEX(SPPR!$E:$X,MATCH($A146,SPPR!$A:$A,0),17),""),"")</f>
        <v/>
      </c>
      <c r="U146">
        <f>IFERROR(IF(ISNUMBER(INDEX(SPPR!$E:$X,MATCH($A146,SPPR!$A:$A,0),18)),$C146*INDEX(SPPR!$E:$X,MATCH($A146,SPPR!$A:$A,0),18),""),"")</f>
        <v/>
      </c>
      <c r="V146">
        <f>IFERROR(IF(ISNUMBER(INDEX(SPPR!$E:$X,MATCH($A146,SPPR!$A:$A,0),19)),$C146*INDEX(SPPR!$E:$X,MATCH($A146,SPPR!$A:$A,0),19),""),"")</f>
        <v/>
      </c>
      <c r="W146">
        <f>IFERROR(IF(ISNUMBER(INDEX(SPPR!$E:$X,MATCH($A146,SPPR!$A:$A,0),20)),$C146*INDEX(SPPR!$E:$X,MATCH($A146,SPPR!$A:$A,0),20),""),"")</f>
        <v/>
      </c>
    </row>
    <row r="147">
      <c r="A147" t="inlineStr">
        <is>
          <t>Saurida</t>
        </is>
      </c>
      <c r="B147">
        <f>IFERROR(INDEX(SPPR!$D:$D,MATCH($A147,SPPR!$A:$A,0)),"")</f>
        <v/>
      </c>
      <c r="C147">
        <f>IFERROR(INDEX(Catch!$E:$BV,MATCH($A147,Catch!$A:$A,0),MATCH($B$4,Catch!$E$1:$BV$1,0)),0)</f>
        <v/>
      </c>
      <c r="D147">
        <f>IFERROR(IF(ISNUMBER(INDEX(SPPR!$E:$X,MATCH($A147,SPPR!$A:$A,0),1)),$C147*INDEX(SPPR!$E:$X,MATCH($A147,SPPR!$A:$A,0),1),""),"")</f>
        <v/>
      </c>
      <c r="E147">
        <f>IFERROR(IF(ISNUMBER(INDEX(SPPR!$E:$X,MATCH($A147,SPPR!$A:$A,0),2)),$C147*INDEX(SPPR!$E:$X,MATCH($A147,SPPR!$A:$A,0),2),""),"")</f>
        <v/>
      </c>
      <c r="F147">
        <f>IFERROR(IF(ISNUMBER(INDEX(SPPR!$E:$X,MATCH($A147,SPPR!$A:$A,0),3)),$C147*INDEX(SPPR!$E:$X,MATCH($A147,SPPR!$A:$A,0),3),""),"")</f>
        <v/>
      </c>
      <c r="G147">
        <f>IFERROR(IF(ISNUMBER(INDEX(SPPR!$E:$X,MATCH($A147,SPPR!$A:$A,0),4)),$C147*INDEX(SPPR!$E:$X,MATCH($A147,SPPR!$A:$A,0),4),""),"")</f>
        <v/>
      </c>
      <c r="H147">
        <f>IFERROR(IF(ISNUMBER(INDEX(SPPR!$E:$X,MATCH($A147,SPPR!$A:$A,0),5)),$C147*INDEX(SPPR!$E:$X,MATCH($A147,SPPR!$A:$A,0),5),""),"")</f>
        <v/>
      </c>
      <c r="I147">
        <f>IFERROR(IF(ISNUMBER(INDEX(SPPR!$E:$X,MATCH($A147,SPPR!$A:$A,0),6)),$C147*INDEX(SPPR!$E:$X,MATCH($A147,SPPR!$A:$A,0),6),""),"")</f>
        <v/>
      </c>
      <c r="J147">
        <f>IFERROR(IF(ISNUMBER(INDEX(SPPR!$E:$X,MATCH($A147,SPPR!$A:$A,0),7)),$C147*INDEX(SPPR!$E:$X,MATCH($A147,SPPR!$A:$A,0),7),""),"")</f>
        <v/>
      </c>
      <c r="K147">
        <f>IFERROR(IF(ISNUMBER(INDEX(SPPR!$E:$X,MATCH($A147,SPPR!$A:$A,0),8)),$C147*INDEX(SPPR!$E:$X,MATCH($A147,SPPR!$A:$A,0),8),""),"")</f>
        <v/>
      </c>
      <c r="L147">
        <f>IFERROR(IF(ISNUMBER(INDEX(SPPR!$E:$X,MATCH($A147,SPPR!$A:$A,0),9)),$C147*INDEX(SPPR!$E:$X,MATCH($A147,SPPR!$A:$A,0),9),""),"")</f>
        <v/>
      </c>
      <c r="M147">
        <f>IFERROR(IF(ISNUMBER(INDEX(SPPR!$E:$X,MATCH($A147,SPPR!$A:$A,0),10)),$C147*INDEX(SPPR!$E:$X,MATCH($A147,SPPR!$A:$A,0),10),""),"")</f>
        <v/>
      </c>
      <c r="N147">
        <f>IFERROR(IF(ISNUMBER(INDEX(SPPR!$E:$X,MATCH($A147,SPPR!$A:$A,0),11)),$C147*INDEX(SPPR!$E:$X,MATCH($A147,SPPR!$A:$A,0),11),""),"")</f>
        <v/>
      </c>
      <c r="O147">
        <f>IFERROR(IF(ISNUMBER(INDEX(SPPR!$E:$X,MATCH($A147,SPPR!$A:$A,0),12)),$C147*INDEX(SPPR!$E:$X,MATCH($A147,SPPR!$A:$A,0),12),""),"")</f>
        <v/>
      </c>
      <c r="P147">
        <f>IFERROR(IF(ISNUMBER(INDEX(SPPR!$E:$X,MATCH($A147,SPPR!$A:$A,0),13)),$C147*INDEX(SPPR!$E:$X,MATCH($A147,SPPR!$A:$A,0),13),""),"")</f>
        <v/>
      </c>
      <c r="Q147">
        <f>IFERROR(IF(ISNUMBER(INDEX(SPPR!$E:$X,MATCH($A147,SPPR!$A:$A,0),14)),$C147*INDEX(SPPR!$E:$X,MATCH($A147,SPPR!$A:$A,0),14),""),"")</f>
        <v/>
      </c>
      <c r="R147">
        <f>IFERROR(IF(ISNUMBER(INDEX(SPPR!$E:$X,MATCH($A147,SPPR!$A:$A,0),15)),$C147*INDEX(SPPR!$E:$X,MATCH($A147,SPPR!$A:$A,0),15),""),"")</f>
        <v/>
      </c>
      <c r="S147">
        <f>IFERROR(IF(ISNUMBER(INDEX(SPPR!$E:$X,MATCH($A147,SPPR!$A:$A,0),16)),$C147*INDEX(SPPR!$E:$X,MATCH($A147,SPPR!$A:$A,0),16),""),"")</f>
        <v/>
      </c>
      <c r="T147">
        <f>IFERROR(IF(ISNUMBER(INDEX(SPPR!$E:$X,MATCH($A147,SPPR!$A:$A,0),17)),$C147*INDEX(SPPR!$E:$X,MATCH($A147,SPPR!$A:$A,0),17),""),"")</f>
        <v/>
      </c>
      <c r="U147">
        <f>IFERROR(IF(ISNUMBER(INDEX(SPPR!$E:$X,MATCH($A147,SPPR!$A:$A,0),18)),$C147*INDEX(SPPR!$E:$X,MATCH($A147,SPPR!$A:$A,0),18),""),"")</f>
        <v/>
      </c>
      <c r="V147">
        <f>IFERROR(IF(ISNUMBER(INDEX(SPPR!$E:$X,MATCH($A147,SPPR!$A:$A,0),19)),$C147*INDEX(SPPR!$E:$X,MATCH($A147,SPPR!$A:$A,0),19),""),"")</f>
        <v/>
      </c>
      <c r="W147">
        <f>IFERROR(IF(ISNUMBER(INDEX(SPPR!$E:$X,MATCH($A147,SPPR!$A:$A,0),20)),$C147*INDEX(SPPR!$E:$X,MATCH($A147,SPPR!$A:$A,0),20),""),"")</f>
        <v/>
      </c>
    </row>
    <row r="148">
      <c r="A148" t="inlineStr">
        <is>
          <t>Prionace glauca</t>
        </is>
      </c>
      <c r="B148">
        <f>IFERROR(INDEX(SPPR!$D:$D,MATCH($A148,SPPR!$A:$A,0)),"")</f>
        <v/>
      </c>
      <c r="C148">
        <f>IFERROR(INDEX(Catch!$E:$BV,MATCH($A148,Catch!$A:$A,0),MATCH($B$4,Catch!$E$1:$BV$1,0)),0)</f>
        <v/>
      </c>
      <c r="D148">
        <f>IFERROR(IF(ISNUMBER(INDEX(SPPR!$E:$X,MATCH($A148,SPPR!$A:$A,0),1)),$C148*INDEX(SPPR!$E:$X,MATCH($A148,SPPR!$A:$A,0),1),""),"")</f>
        <v/>
      </c>
      <c r="E148">
        <f>IFERROR(IF(ISNUMBER(INDEX(SPPR!$E:$X,MATCH($A148,SPPR!$A:$A,0),2)),$C148*INDEX(SPPR!$E:$X,MATCH($A148,SPPR!$A:$A,0),2),""),"")</f>
        <v/>
      </c>
      <c r="F148">
        <f>IFERROR(IF(ISNUMBER(INDEX(SPPR!$E:$X,MATCH($A148,SPPR!$A:$A,0),3)),$C148*INDEX(SPPR!$E:$X,MATCH($A148,SPPR!$A:$A,0),3),""),"")</f>
        <v/>
      </c>
      <c r="G148">
        <f>IFERROR(IF(ISNUMBER(INDEX(SPPR!$E:$X,MATCH($A148,SPPR!$A:$A,0),4)),$C148*INDEX(SPPR!$E:$X,MATCH($A148,SPPR!$A:$A,0),4),""),"")</f>
        <v/>
      </c>
      <c r="H148">
        <f>IFERROR(IF(ISNUMBER(INDEX(SPPR!$E:$X,MATCH($A148,SPPR!$A:$A,0),5)),$C148*INDEX(SPPR!$E:$X,MATCH($A148,SPPR!$A:$A,0),5),""),"")</f>
        <v/>
      </c>
      <c r="I148">
        <f>IFERROR(IF(ISNUMBER(INDEX(SPPR!$E:$X,MATCH($A148,SPPR!$A:$A,0),6)),$C148*INDEX(SPPR!$E:$X,MATCH($A148,SPPR!$A:$A,0),6),""),"")</f>
        <v/>
      </c>
      <c r="J148">
        <f>IFERROR(IF(ISNUMBER(INDEX(SPPR!$E:$X,MATCH($A148,SPPR!$A:$A,0),7)),$C148*INDEX(SPPR!$E:$X,MATCH($A148,SPPR!$A:$A,0),7),""),"")</f>
        <v/>
      </c>
      <c r="K148">
        <f>IFERROR(IF(ISNUMBER(INDEX(SPPR!$E:$X,MATCH($A148,SPPR!$A:$A,0),8)),$C148*INDEX(SPPR!$E:$X,MATCH($A148,SPPR!$A:$A,0),8),""),"")</f>
        <v/>
      </c>
      <c r="L148">
        <f>IFERROR(IF(ISNUMBER(INDEX(SPPR!$E:$X,MATCH($A148,SPPR!$A:$A,0),9)),$C148*INDEX(SPPR!$E:$X,MATCH($A148,SPPR!$A:$A,0),9),""),"")</f>
        <v/>
      </c>
      <c r="M148">
        <f>IFERROR(IF(ISNUMBER(INDEX(SPPR!$E:$X,MATCH($A148,SPPR!$A:$A,0),10)),$C148*INDEX(SPPR!$E:$X,MATCH($A148,SPPR!$A:$A,0),10),""),"")</f>
        <v/>
      </c>
      <c r="N148">
        <f>IFERROR(IF(ISNUMBER(INDEX(SPPR!$E:$X,MATCH($A148,SPPR!$A:$A,0),11)),$C148*INDEX(SPPR!$E:$X,MATCH($A148,SPPR!$A:$A,0),11),""),"")</f>
        <v/>
      </c>
      <c r="O148">
        <f>IFERROR(IF(ISNUMBER(INDEX(SPPR!$E:$X,MATCH($A148,SPPR!$A:$A,0),12)),$C148*INDEX(SPPR!$E:$X,MATCH($A148,SPPR!$A:$A,0),12),""),"")</f>
        <v/>
      </c>
      <c r="P148">
        <f>IFERROR(IF(ISNUMBER(INDEX(SPPR!$E:$X,MATCH($A148,SPPR!$A:$A,0),13)),$C148*INDEX(SPPR!$E:$X,MATCH($A148,SPPR!$A:$A,0),13),""),"")</f>
        <v/>
      </c>
      <c r="Q148">
        <f>IFERROR(IF(ISNUMBER(INDEX(SPPR!$E:$X,MATCH($A148,SPPR!$A:$A,0),14)),$C148*INDEX(SPPR!$E:$X,MATCH($A148,SPPR!$A:$A,0),14),""),"")</f>
        <v/>
      </c>
      <c r="R148">
        <f>IFERROR(IF(ISNUMBER(INDEX(SPPR!$E:$X,MATCH($A148,SPPR!$A:$A,0),15)),$C148*INDEX(SPPR!$E:$X,MATCH($A148,SPPR!$A:$A,0),15),""),"")</f>
        <v/>
      </c>
      <c r="S148">
        <f>IFERROR(IF(ISNUMBER(INDEX(SPPR!$E:$X,MATCH($A148,SPPR!$A:$A,0),16)),$C148*INDEX(SPPR!$E:$X,MATCH($A148,SPPR!$A:$A,0),16),""),"")</f>
        <v/>
      </c>
      <c r="T148">
        <f>IFERROR(IF(ISNUMBER(INDEX(SPPR!$E:$X,MATCH($A148,SPPR!$A:$A,0),17)),$C148*INDEX(SPPR!$E:$X,MATCH($A148,SPPR!$A:$A,0),17),""),"")</f>
        <v/>
      </c>
      <c r="U148">
        <f>IFERROR(IF(ISNUMBER(INDEX(SPPR!$E:$X,MATCH($A148,SPPR!$A:$A,0),18)),$C148*INDEX(SPPR!$E:$X,MATCH($A148,SPPR!$A:$A,0),18),""),"")</f>
        <v/>
      </c>
      <c r="V148">
        <f>IFERROR(IF(ISNUMBER(INDEX(SPPR!$E:$X,MATCH($A148,SPPR!$A:$A,0),19)),$C148*INDEX(SPPR!$E:$X,MATCH($A148,SPPR!$A:$A,0),19),""),"")</f>
        <v/>
      </c>
      <c r="W148">
        <f>IFERROR(IF(ISNUMBER(INDEX(SPPR!$E:$X,MATCH($A148,SPPR!$A:$A,0),20)),$C148*INDEX(SPPR!$E:$X,MATCH($A148,SPPR!$A:$A,0),20),""),"")</f>
        <v/>
      </c>
    </row>
    <row r="149">
      <c r="A149" t="inlineStr">
        <is>
          <t>Echinozoa</t>
        </is>
      </c>
      <c r="B149">
        <f>IFERROR(INDEX(SPPR!$D:$D,MATCH($A149,SPPR!$A:$A,0)),"")</f>
        <v/>
      </c>
      <c r="C149">
        <f>IFERROR(INDEX(Catch!$E:$BV,MATCH($A149,Catch!$A:$A,0),MATCH($B$4,Catch!$E$1:$BV$1,0)),0)</f>
        <v/>
      </c>
      <c r="D149">
        <f>IFERROR(IF(ISNUMBER(INDEX(SPPR!$E:$X,MATCH($A149,SPPR!$A:$A,0),1)),$C149*INDEX(SPPR!$E:$X,MATCH($A149,SPPR!$A:$A,0),1),""),"")</f>
        <v/>
      </c>
      <c r="E149">
        <f>IFERROR(IF(ISNUMBER(INDEX(SPPR!$E:$X,MATCH($A149,SPPR!$A:$A,0),2)),$C149*INDEX(SPPR!$E:$X,MATCH($A149,SPPR!$A:$A,0),2),""),"")</f>
        <v/>
      </c>
      <c r="F149">
        <f>IFERROR(IF(ISNUMBER(INDEX(SPPR!$E:$X,MATCH($A149,SPPR!$A:$A,0),3)),$C149*INDEX(SPPR!$E:$X,MATCH($A149,SPPR!$A:$A,0),3),""),"")</f>
        <v/>
      </c>
      <c r="G149">
        <f>IFERROR(IF(ISNUMBER(INDEX(SPPR!$E:$X,MATCH($A149,SPPR!$A:$A,0),4)),$C149*INDEX(SPPR!$E:$X,MATCH($A149,SPPR!$A:$A,0),4),""),"")</f>
        <v/>
      </c>
      <c r="H149">
        <f>IFERROR(IF(ISNUMBER(INDEX(SPPR!$E:$X,MATCH($A149,SPPR!$A:$A,0),5)),$C149*INDEX(SPPR!$E:$X,MATCH($A149,SPPR!$A:$A,0),5),""),"")</f>
        <v/>
      </c>
      <c r="I149">
        <f>IFERROR(IF(ISNUMBER(INDEX(SPPR!$E:$X,MATCH($A149,SPPR!$A:$A,0),6)),$C149*INDEX(SPPR!$E:$X,MATCH($A149,SPPR!$A:$A,0),6),""),"")</f>
        <v/>
      </c>
      <c r="J149">
        <f>IFERROR(IF(ISNUMBER(INDEX(SPPR!$E:$X,MATCH($A149,SPPR!$A:$A,0),7)),$C149*INDEX(SPPR!$E:$X,MATCH($A149,SPPR!$A:$A,0),7),""),"")</f>
        <v/>
      </c>
      <c r="K149">
        <f>IFERROR(IF(ISNUMBER(INDEX(SPPR!$E:$X,MATCH($A149,SPPR!$A:$A,0),8)),$C149*INDEX(SPPR!$E:$X,MATCH($A149,SPPR!$A:$A,0),8),""),"")</f>
        <v/>
      </c>
      <c r="L149">
        <f>IFERROR(IF(ISNUMBER(INDEX(SPPR!$E:$X,MATCH($A149,SPPR!$A:$A,0),9)),$C149*INDEX(SPPR!$E:$X,MATCH($A149,SPPR!$A:$A,0),9),""),"")</f>
        <v/>
      </c>
      <c r="M149">
        <f>IFERROR(IF(ISNUMBER(INDEX(SPPR!$E:$X,MATCH($A149,SPPR!$A:$A,0),10)),$C149*INDEX(SPPR!$E:$X,MATCH($A149,SPPR!$A:$A,0),10),""),"")</f>
        <v/>
      </c>
      <c r="N149">
        <f>IFERROR(IF(ISNUMBER(INDEX(SPPR!$E:$X,MATCH($A149,SPPR!$A:$A,0),11)),$C149*INDEX(SPPR!$E:$X,MATCH($A149,SPPR!$A:$A,0),11),""),"")</f>
        <v/>
      </c>
      <c r="O149">
        <f>IFERROR(IF(ISNUMBER(INDEX(SPPR!$E:$X,MATCH($A149,SPPR!$A:$A,0),12)),$C149*INDEX(SPPR!$E:$X,MATCH($A149,SPPR!$A:$A,0),12),""),"")</f>
        <v/>
      </c>
      <c r="P149">
        <f>IFERROR(IF(ISNUMBER(INDEX(SPPR!$E:$X,MATCH($A149,SPPR!$A:$A,0),13)),$C149*INDEX(SPPR!$E:$X,MATCH($A149,SPPR!$A:$A,0),13),""),"")</f>
        <v/>
      </c>
      <c r="Q149">
        <f>IFERROR(IF(ISNUMBER(INDEX(SPPR!$E:$X,MATCH($A149,SPPR!$A:$A,0),14)),$C149*INDEX(SPPR!$E:$X,MATCH($A149,SPPR!$A:$A,0),14),""),"")</f>
        <v/>
      </c>
      <c r="R149">
        <f>IFERROR(IF(ISNUMBER(INDEX(SPPR!$E:$X,MATCH($A149,SPPR!$A:$A,0),15)),$C149*INDEX(SPPR!$E:$X,MATCH($A149,SPPR!$A:$A,0),15),""),"")</f>
        <v/>
      </c>
      <c r="S149">
        <f>IFERROR(IF(ISNUMBER(INDEX(SPPR!$E:$X,MATCH($A149,SPPR!$A:$A,0),16)),$C149*INDEX(SPPR!$E:$X,MATCH($A149,SPPR!$A:$A,0),16),""),"")</f>
        <v/>
      </c>
      <c r="T149">
        <f>IFERROR(IF(ISNUMBER(INDEX(SPPR!$E:$X,MATCH($A149,SPPR!$A:$A,0),17)),$C149*INDEX(SPPR!$E:$X,MATCH($A149,SPPR!$A:$A,0),17),""),"")</f>
        <v/>
      </c>
      <c r="U149">
        <f>IFERROR(IF(ISNUMBER(INDEX(SPPR!$E:$X,MATCH($A149,SPPR!$A:$A,0),18)),$C149*INDEX(SPPR!$E:$X,MATCH($A149,SPPR!$A:$A,0),18),""),"")</f>
        <v/>
      </c>
      <c r="V149">
        <f>IFERROR(IF(ISNUMBER(INDEX(SPPR!$E:$X,MATCH($A149,SPPR!$A:$A,0),19)),$C149*INDEX(SPPR!$E:$X,MATCH($A149,SPPR!$A:$A,0),19),""),"")</f>
        <v/>
      </c>
      <c r="W149">
        <f>IFERROR(IF(ISNUMBER(INDEX(SPPR!$E:$X,MATCH($A149,SPPR!$A:$A,0),20)),$C149*INDEX(SPPR!$E:$X,MATCH($A149,SPPR!$A:$A,0),20),""),"")</f>
        <v/>
      </c>
    </row>
    <row r="150">
      <c r="A150" t="inlineStr">
        <is>
          <t>Lates calcarifer</t>
        </is>
      </c>
      <c r="B150">
        <f>IFERROR(INDEX(SPPR!$D:$D,MATCH($A150,SPPR!$A:$A,0)),"")</f>
        <v/>
      </c>
      <c r="C150">
        <f>IFERROR(INDEX(Catch!$E:$BV,MATCH($A150,Catch!$A:$A,0),MATCH($B$4,Catch!$E$1:$BV$1,0)),0)</f>
        <v/>
      </c>
      <c r="D150">
        <f>IFERROR(IF(ISNUMBER(INDEX(SPPR!$E:$X,MATCH($A150,SPPR!$A:$A,0),1)),$C150*INDEX(SPPR!$E:$X,MATCH($A150,SPPR!$A:$A,0),1),""),"")</f>
        <v/>
      </c>
      <c r="E150">
        <f>IFERROR(IF(ISNUMBER(INDEX(SPPR!$E:$X,MATCH($A150,SPPR!$A:$A,0),2)),$C150*INDEX(SPPR!$E:$X,MATCH($A150,SPPR!$A:$A,0),2),""),"")</f>
        <v/>
      </c>
      <c r="F150">
        <f>IFERROR(IF(ISNUMBER(INDEX(SPPR!$E:$X,MATCH($A150,SPPR!$A:$A,0),3)),$C150*INDEX(SPPR!$E:$X,MATCH($A150,SPPR!$A:$A,0),3),""),"")</f>
        <v/>
      </c>
      <c r="G150">
        <f>IFERROR(IF(ISNUMBER(INDEX(SPPR!$E:$X,MATCH($A150,SPPR!$A:$A,0),4)),$C150*INDEX(SPPR!$E:$X,MATCH($A150,SPPR!$A:$A,0),4),""),"")</f>
        <v/>
      </c>
      <c r="H150">
        <f>IFERROR(IF(ISNUMBER(INDEX(SPPR!$E:$X,MATCH($A150,SPPR!$A:$A,0),5)),$C150*INDEX(SPPR!$E:$X,MATCH($A150,SPPR!$A:$A,0),5),""),"")</f>
        <v/>
      </c>
      <c r="I150">
        <f>IFERROR(IF(ISNUMBER(INDEX(SPPR!$E:$X,MATCH($A150,SPPR!$A:$A,0),6)),$C150*INDEX(SPPR!$E:$X,MATCH($A150,SPPR!$A:$A,0),6),""),"")</f>
        <v/>
      </c>
      <c r="J150">
        <f>IFERROR(IF(ISNUMBER(INDEX(SPPR!$E:$X,MATCH($A150,SPPR!$A:$A,0),7)),$C150*INDEX(SPPR!$E:$X,MATCH($A150,SPPR!$A:$A,0),7),""),"")</f>
        <v/>
      </c>
      <c r="K150">
        <f>IFERROR(IF(ISNUMBER(INDEX(SPPR!$E:$X,MATCH($A150,SPPR!$A:$A,0),8)),$C150*INDEX(SPPR!$E:$X,MATCH($A150,SPPR!$A:$A,0),8),""),"")</f>
        <v/>
      </c>
      <c r="L150">
        <f>IFERROR(IF(ISNUMBER(INDEX(SPPR!$E:$X,MATCH($A150,SPPR!$A:$A,0),9)),$C150*INDEX(SPPR!$E:$X,MATCH($A150,SPPR!$A:$A,0),9),""),"")</f>
        <v/>
      </c>
      <c r="M150">
        <f>IFERROR(IF(ISNUMBER(INDEX(SPPR!$E:$X,MATCH($A150,SPPR!$A:$A,0),10)),$C150*INDEX(SPPR!$E:$X,MATCH($A150,SPPR!$A:$A,0),10),""),"")</f>
        <v/>
      </c>
      <c r="N150">
        <f>IFERROR(IF(ISNUMBER(INDEX(SPPR!$E:$X,MATCH($A150,SPPR!$A:$A,0),11)),$C150*INDEX(SPPR!$E:$X,MATCH($A150,SPPR!$A:$A,0),11),""),"")</f>
        <v/>
      </c>
      <c r="O150">
        <f>IFERROR(IF(ISNUMBER(INDEX(SPPR!$E:$X,MATCH($A150,SPPR!$A:$A,0),12)),$C150*INDEX(SPPR!$E:$X,MATCH($A150,SPPR!$A:$A,0),12),""),"")</f>
        <v/>
      </c>
      <c r="P150">
        <f>IFERROR(IF(ISNUMBER(INDEX(SPPR!$E:$X,MATCH($A150,SPPR!$A:$A,0),13)),$C150*INDEX(SPPR!$E:$X,MATCH($A150,SPPR!$A:$A,0),13),""),"")</f>
        <v/>
      </c>
      <c r="Q150">
        <f>IFERROR(IF(ISNUMBER(INDEX(SPPR!$E:$X,MATCH($A150,SPPR!$A:$A,0),14)),$C150*INDEX(SPPR!$E:$X,MATCH($A150,SPPR!$A:$A,0),14),""),"")</f>
        <v/>
      </c>
      <c r="R150">
        <f>IFERROR(IF(ISNUMBER(INDEX(SPPR!$E:$X,MATCH($A150,SPPR!$A:$A,0),15)),$C150*INDEX(SPPR!$E:$X,MATCH($A150,SPPR!$A:$A,0),15),""),"")</f>
        <v/>
      </c>
      <c r="S150">
        <f>IFERROR(IF(ISNUMBER(INDEX(SPPR!$E:$X,MATCH($A150,SPPR!$A:$A,0),16)),$C150*INDEX(SPPR!$E:$X,MATCH($A150,SPPR!$A:$A,0),16),""),"")</f>
        <v/>
      </c>
      <c r="T150">
        <f>IFERROR(IF(ISNUMBER(INDEX(SPPR!$E:$X,MATCH($A150,SPPR!$A:$A,0),17)),$C150*INDEX(SPPR!$E:$X,MATCH($A150,SPPR!$A:$A,0),17),""),"")</f>
        <v/>
      </c>
      <c r="U150">
        <f>IFERROR(IF(ISNUMBER(INDEX(SPPR!$E:$X,MATCH($A150,SPPR!$A:$A,0),18)),$C150*INDEX(SPPR!$E:$X,MATCH($A150,SPPR!$A:$A,0),18),""),"")</f>
        <v/>
      </c>
      <c r="V150">
        <f>IFERROR(IF(ISNUMBER(INDEX(SPPR!$E:$X,MATCH($A150,SPPR!$A:$A,0),19)),$C150*INDEX(SPPR!$E:$X,MATCH($A150,SPPR!$A:$A,0),19),""),"")</f>
        <v/>
      </c>
      <c r="W150">
        <f>IFERROR(IF(ISNUMBER(INDEX(SPPR!$E:$X,MATCH($A150,SPPR!$A:$A,0),20)),$C150*INDEX(SPPR!$E:$X,MATCH($A150,SPPR!$A:$A,0),20),""),"")</f>
        <v/>
      </c>
    </row>
    <row r="151">
      <c r="A151" t="inlineStr">
        <is>
          <t>Rhopilema hispidum</t>
        </is>
      </c>
      <c r="B151">
        <f>IFERROR(INDEX(SPPR!$D:$D,MATCH($A151,SPPR!$A:$A,0)),"")</f>
        <v/>
      </c>
      <c r="C151">
        <f>IFERROR(INDEX(Catch!$E:$BV,MATCH($A151,Catch!$A:$A,0),MATCH($B$4,Catch!$E$1:$BV$1,0)),0)</f>
        <v/>
      </c>
      <c r="D151">
        <f>IFERROR(IF(ISNUMBER(INDEX(SPPR!$E:$X,MATCH($A151,SPPR!$A:$A,0),1)),$C151*INDEX(SPPR!$E:$X,MATCH($A151,SPPR!$A:$A,0),1),""),"")</f>
        <v/>
      </c>
      <c r="E151">
        <f>IFERROR(IF(ISNUMBER(INDEX(SPPR!$E:$X,MATCH($A151,SPPR!$A:$A,0),2)),$C151*INDEX(SPPR!$E:$X,MATCH($A151,SPPR!$A:$A,0),2),""),"")</f>
        <v/>
      </c>
      <c r="F151">
        <f>IFERROR(IF(ISNUMBER(INDEX(SPPR!$E:$X,MATCH($A151,SPPR!$A:$A,0),3)),$C151*INDEX(SPPR!$E:$X,MATCH($A151,SPPR!$A:$A,0),3),""),"")</f>
        <v/>
      </c>
      <c r="G151">
        <f>IFERROR(IF(ISNUMBER(INDEX(SPPR!$E:$X,MATCH($A151,SPPR!$A:$A,0),4)),$C151*INDEX(SPPR!$E:$X,MATCH($A151,SPPR!$A:$A,0),4),""),"")</f>
        <v/>
      </c>
      <c r="H151">
        <f>IFERROR(IF(ISNUMBER(INDEX(SPPR!$E:$X,MATCH($A151,SPPR!$A:$A,0),5)),$C151*INDEX(SPPR!$E:$X,MATCH($A151,SPPR!$A:$A,0),5),""),"")</f>
        <v/>
      </c>
      <c r="I151">
        <f>IFERROR(IF(ISNUMBER(INDEX(SPPR!$E:$X,MATCH($A151,SPPR!$A:$A,0),6)),$C151*INDEX(SPPR!$E:$X,MATCH($A151,SPPR!$A:$A,0),6),""),"")</f>
        <v/>
      </c>
      <c r="J151">
        <f>IFERROR(IF(ISNUMBER(INDEX(SPPR!$E:$X,MATCH($A151,SPPR!$A:$A,0),7)),$C151*INDEX(SPPR!$E:$X,MATCH($A151,SPPR!$A:$A,0),7),""),"")</f>
        <v/>
      </c>
      <c r="K151">
        <f>IFERROR(IF(ISNUMBER(INDEX(SPPR!$E:$X,MATCH($A151,SPPR!$A:$A,0),8)),$C151*INDEX(SPPR!$E:$X,MATCH($A151,SPPR!$A:$A,0),8),""),"")</f>
        <v/>
      </c>
      <c r="L151">
        <f>IFERROR(IF(ISNUMBER(INDEX(SPPR!$E:$X,MATCH($A151,SPPR!$A:$A,0),9)),$C151*INDEX(SPPR!$E:$X,MATCH($A151,SPPR!$A:$A,0),9),""),"")</f>
        <v/>
      </c>
      <c r="M151">
        <f>IFERROR(IF(ISNUMBER(INDEX(SPPR!$E:$X,MATCH($A151,SPPR!$A:$A,0),10)),$C151*INDEX(SPPR!$E:$X,MATCH($A151,SPPR!$A:$A,0),10),""),"")</f>
        <v/>
      </c>
      <c r="N151">
        <f>IFERROR(IF(ISNUMBER(INDEX(SPPR!$E:$X,MATCH($A151,SPPR!$A:$A,0),11)),$C151*INDEX(SPPR!$E:$X,MATCH($A151,SPPR!$A:$A,0),11),""),"")</f>
        <v/>
      </c>
      <c r="O151">
        <f>IFERROR(IF(ISNUMBER(INDEX(SPPR!$E:$X,MATCH($A151,SPPR!$A:$A,0),12)),$C151*INDEX(SPPR!$E:$X,MATCH($A151,SPPR!$A:$A,0),12),""),"")</f>
        <v/>
      </c>
      <c r="P151">
        <f>IFERROR(IF(ISNUMBER(INDEX(SPPR!$E:$X,MATCH($A151,SPPR!$A:$A,0),13)),$C151*INDEX(SPPR!$E:$X,MATCH($A151,SPPR!$A:$A,0),13),""),"")</f>
        <v/>
      </c>
      <c r="Q151">
        <f>IFERROR(IF(ISNUMBER(INDEX(SPPR!$E:$X,MATCH($A151,SPPR!$A:$A,0),14)),$C151*INDEX(SPPR!$E:$X,MATCH($A151,SPPR!$A:$A,0),14),""),"")</f>
        <v/>
      </c>
      <c r="R151">
        <f>IFERROR(IF(ISNUMBER(INDEX(SPPR!$E:$X,MATCH($A151,SPPR!$A:$A,0),15)),$C151*INDEX(SPPR!$E:$X,MATCH($A151,SPPR!$A:$A,0),15),""),"")</f>
        <v/>
      </c>
      <c r="S151">
        <f>IFERROR(IF(ISNUMBER(INDEX(SPPR!$E:$X,MATCH($A151,SPPR!$A:$A,0),16)),$C151*INDEX(SPPR!$E:$X,MATCH($A151,SPPR!$A:$A,0),16),""),"")</f>
        <v/>
      </c>
      <c r="T151">
        <f>IFERROR(IF(ISNUMBER(INDEX(SPPR!$E:$X,MATCH($A151,SPPR!$A:$A,0),17)),$C151*INDEX(SPPR!$E:$X,MATCH($A151,SPPR!$A:$A,0),17),""),"")</f>
        <v/>
      </c>
      <c r="U151">
        <f>IFERROR(IF(ISNUMBER(INDEX(SPPR!$E:$X,MATCH($A151,SPPR!$A:$A,0),18)),$C151*INDEX(SPPR!$E:$X,MATCH($A151,SPPR!$A:$A,0),18),""),"")</f>
        <v/>
      </c>
      <c r="V151">
        <f>IFERROR(IF(ISNUMBER(INDEX(SPPR!$E:$X,MATCH($A151,SPPR!$A:$A,0),19)),$C151*INDEX(SPPR!$E:$X,MATCH($A151,SPPR!$A:$A,0),19),""),"")</f>
        <v/>
      </c>
      <c r="W151">
        <f>IFERROR(IF(ISNUMBER(INDEX(SPPR!$E:$X,MATCH($A151,SPPR!$A:$A,0),20)),$C151*INDEX(SPPR!$E:$X,MATCH($A151,SPPR!$A:$A,0),20),""),"")</f>
        <v/>
      </c>
    </row>
    <row r="152">
      <c r="A152" t="inlineStr">
        <is>
          <t>Scaridae</t>
        </is>
      </c>
      <c r="B152">
        <f>IFERROR(INDEX(SPPR!$D:$D,MATCH($A152,SPPR!$A:$A,0)),"")</f>
        <v/>
      </c>
      <c r="C152">
        <f>IFERROR(INDEX(Catch!$E:$BV,MATCH($A152,Catch!$A:$A,0),MATCH($B$4,Catch!$E$1:$BV$1,0)),0)</f>
        <v/>
      </c>
      <c r="D152">
        <f>IFERROR(IF(ISNUMBER(INDEX(SPPR!$E:$X,MATCH($A152,SPPR!$A:$A,0),1)),$C152*INDEX(SPPR!$E:$X,MATCH($A152,SPPR!$A:$A,0),1),""),"")</f>
        <v/>
      </c>
      <c r="E152">
        <f>IFERROR(IF(ISNUMBER(INDEX(SPPR!$E:$X,MATCH($A152,SPPR!$A:$A,0),2)),$C152*INDEX(SPPR!$E:$X,MATCH($A152,SPPR!$A:$A,0),2),""),"")</f>
        <v/>
      </c>
      <c r="F152">
        <f>IFERROR(IF(ISNUMBER(INDEX(SPPR!$E:$X,MATCH($A152,SPPR!$A:$A,0),3)),$C152*INDEX(SPPR!$E:$X,MATCH($A152,SPPR!$A:$A,0),3),""),"")</f>
        <v/>
      </c>
      <c r="G152">
        <f>IFERROR(IF(ISNUMBER(INDEX(SPPR!$E:$X,MATCH($A152,SPPR!$A:$A,0),4)),$C152*INDEX(SPPR!$E:$X,MATCH($A152,SPPR!$A:$A,0),4),""),"")</f>
        <v/>
      </c>
      <c r="H152">
        <f>IFERROR(IF(ISNUMBER(INDEX(SPPR!$E:$X,MATCH($A152,SPPR!$A:$A,0),5)),$C152*INDEX(SPPR!$E:$X,MATCH($A152,SPPR!$A:$A,0),5),""),"")</f>
        <v/>
      </c>
      <c r="I152">
        <f>IFERROR(IF(ISNUMBER(INDEX(SPPR!$E:$X,MATCH($A152,SPPR!$A:$A,0),6)),$C152*INDEX(SPPR!$E:$X,MATCH($A152,SPPR!$A:$A,0),6),""),"")</f>
        <v/>
      </c>
      <c r="J152">
        <f>IFERROR(IF(ISNUMBER(INDEX(SPPR!$E:$X,MATCH($A152,SPPR!$A:$A,0),7)),$C152*INDEX(SPPR!$E:$X,MATCH($A152,SPPR!$A:$A,0),7),""),"")</f>
        <v/>
      </c>
      <c r="K152">
        <f>IFERROR(IF(ISNUMBER(INDEX(SPPR!$E:$X,MATCH($A152,SPPR!$A:$A,0),8)),$C152*INDEX(SPPR!$E:$X,MATCH($A152,SPPR!$A:$A,0),8),""),"")</f>
        <v/>
      </c>
      <c r="L152">
        <f>IFERROR(IF(ISNUMBER(INDEX(SPPR!$E:$X,MATCH($A152,SPPR!$A:$A,0),9)),$C152*INDEX(SPPR!$E:$X,MATCH($A152,SPPR!$A:$A,0),9),""),"")</f>
        <v/>
      </c>
      <c r="M152">
        <f>IFERROR(IF(ISNUMBER(INDEX(SPPR!$E:$X,MATCH($A152,SPPR!$A:$A,0),10)),$C152*INDEX(SPPR!$E:$X,MATCH($A152,SPPR!$A:$A,0),10),""),"")</f>
        <v/>
      </c>
      <c r="N152">
        <f>IFERROR(IF(ISNUMBER(INDEX(SPPR!$E:$X,MATCH($A152,SPPR!$A:$A,0),11)),$C152*INDEX(SPPR!$E:$X,MATCH($A152,SPPR!$A:$A,0),11),""),"")</f>
        <v/>
      </c>
      <c r="O152">
        <f>IFERROR(IF(ISNUMBER(INDEX(SPPR!$E:$X,MATCH($A152,SPPR!$A:$A,0),12)),$C152*INDEX(SPPR!$E:$X,MATCH($A152,SPPR!$A:$A,0),12),""),"")</f>
        <v/>
      </c>
      <c r="P152">
        <f>IFERROR(IF(ISNUMBER(INDEX(SPPR!$E:$X,MATCH($A152,SPPR!$A:$A,0),13)),$C152*INDEX(SPPR!$E:$X,MATCH($A152,SPPR!$A:$A,0),13),""),"")</f>
        <v/>
      </c>
      <c r="Q152">
        <f>IFERROR(IF(ISNUMBER(INDEX(SPPR!$E:$X,MATCH($A152,SPPR!$A:$A,0),14)),$C152*INDEX(SPPR!$E:$X,MATCH($A152,SPPR!$A:$A,0),14),""),"")</f>
        <v/>
      </c>
      <c r="R152">
        <f>IFERROR(IF(ISNUMBER(INDEX(SPPR!$E:$X,MATCH($A152,SPPR!$A:$A,0),15)),$C152*INDEX(SPPR!$E:$X,MATCH($A152,SPPR!$A:$A,0),15),""),"")</f>
        <v/>
      </c>
      <c r="S152">
        <f>IFERROR(IF(ISNUMBER(INDEX(SPPR!$E:$X,MATCH($A152,SPPR!$A:$A,0),16)),$C152*INDEX(SPPR!$E:$X,MATCH($A152,SPPR!$A:$A,0),16),""),"")</f>
        <v/>
      </c>
      <c r="T152">
        <f>IFERROR(IF(ISNUMBER(INDEX(SPPR!$E:$X,MATCH($A152,SPPR!$A:$A,0),17)),$C152*INDEX(SPPR!$E:$X,MATCH($A152,SPPR!$A:$A,0),17),""),"")</f>
        <v/>
      </c>
      <c r="U152">
        <f>IFERROR(IF(ISNUMBER(INDEX(SPPR!$E:$X,MATCH($A152,SPPR!$A:$A,0),18)),$C152*INDEX(SPPR!$E:$X,MATCH($A152,SPPR!$A:$A,0),18),""),"")</f>
        <v/>
      </c>
      <c r="V152">
        <f>IFERROR(IF(ISNUMBER(INDEX(SPPR!$E:$X,MATCH($A152,SPPR!$A:$A,0),19)),$C152*INDEX(SPPR!$E:$X,MATCH($A152,SPPR!$A:$A,0),19),""),"")</f>
        <v/>
      </c>
      <c r="W152">
        <f>IFERROR(IF(ISNUMBER(INDEX(SPPR!$E:$X,MATCH($A152,SPPR!$A:$A,0),20)),$C152*INDEX(SPPR!$E:$X,MATCH($A152,SPPR!$A:$A,0),20),""),"")</f>
        <v/>
      </c>
    </row>
    <row r="153">
      <c r="A153" t="inlineStr">
        <is>
          <t>Rachycentridae</t>
        </is>
      </c>
      <c r="B153">
        <f>IFERROR(INDEX(SPPR!$D:$D,MATCH($A153,SPPR!$A:$A,0)),"")</f>
        <v/>
      </c>
      <c r="C153">
        <f>IFERROR(INDEX(Catch!$E:$BV,MATCH($A153,Catch!$A:$A,0),MATCH($B$4,Catch!$E$1:$BV$1,0)),0)</f>
        <v/>
      </c>
      <c r="D153">
        <f>IFERROR(IF(ISNUMBER(INDEX(SPPR!$E:$X,MATCH($A153,SPPR!$A:$A,0),1)),$C153*INDEX(SPPR!$E:$X,MATCH($A153,SPPR!$A:$A,0),1),""),"")</f>
        <v/>
      </c>
      <c r="E153">
        <f>IFERROR(IF(ISNUMBER(INDEX(SPPR!$E:$X,MATCH($A153,SPPR!$A:$A,0),2)),$C153*INDEX(SPPR!$E:$X,MATCH($A153,SPPR!$A:$A,0),2),""),"")</f>
        <v/>
      </c>
      <c r="F153">
        <f>IFERROR(IF(ISNUMBER(INDEX(SPPR!$E:$X,MATCH($A153,SPPR!$A:$A,0),3)),$C153*INDEX(SPPR!$E:$X,MATCH($A153,SPPR!$A:$A,0),3),""),"")</f>
        <v/>
      </c>
      <c r="G153">
        <f>IFERROR(IF(ISNUMBER(INDEX(SPPR!$E:$X,MATCH($A153,SPPR!$A:$A,0),4)),$C153*INDEX(SPPR!$E:$X,MATCH($A153,SPPR!$A:$A,0),4),""),"")</f>
        <v/>
      </c>
      <c r="H153">
        <f>IFERROR(IF(ISNUMBER(INDEX(SPPR!$E:$X,MATCH($A153,SPPR!$A:$A,0),5)),$C153*INDEX(SPPR!$E:$X,MATCH($A153,SPPR!$A:$A,0),5),""),"")</f>
        <v/>
      </c>
      <c r="I153">
        <f>IFERROR(IF(ISNUMBER(INDEX(SPPR!$E:$X,MATCH($A153,SPPR!$A:$A,0),6)),$C153*INDEX(SPPR!$E:$X,MATCH($A153,SPPR!$A:$A,0),6),""),"")</f>
        <v/>
      </c>
      <c r="J153">
        <f>IFERROR(IF(ISNUMBER(INDEX(SPPR!$E:$X,MATCH($A153,SPPR!$A:$A,0),7)),$C153*INDEX(SPPR!$E:$X,MATCH($A153,SPPR!$A:$A,0),7),""),"")</f>
        <v/>
      </c>
      <c r="K153">
        <f>IFERROR(IF(ISNUMBER(INDEX(SPPR!$E:$X,MATCH($A153,SPPR!$A:$A,0),8)),$C153*INDEX(SPPR!$E:$X,MATCH($A153,SPPR!$A:$A,0),8),""),"")</f>
        <v/>
      </c>
      <c r="L153">
        <f>IFERROR(IF(ISNUMBER(INDEX(SPPR!$E:$X,MATCH($A153,SPPR!$A:$A,0),9)),$C153*INDEX(SPPR!$E:$X,MATCH($A153,SPPR!$A:$A,0),9),""),"")</f>
        <v/>
      </c>
      <c r="M153">
        <f>IFERROR(IF(ISNUMBER(INDEX(SPPR!$E:$X,MATCH($A153,SPPR!$A:$A,0),10)),$C153*INDEX(SPPR!$E:$X,MATCH($A153,SPPR!$A:$A,0),10),""),"")</f>
        <v/>
      </c>
      <c r="N153">
        <f>IFERROR(IF(ISNUMBER(INDEX(SPPR!$E:$X,MATCH($A153,SPPR!$A:$A,0),11)),$C153*INDEX(SPPR!$E:$X,MATCH($A153,SPPR!$A:$A,0),11),""),"")</f>
        <v/>
      </c>
      <c r="O153">
        <f>IFERROR(IF(ISNUMBER(INDEX(SPPR!$E:$X,MATCH($A153,SPPR!$A:$A,0),12)),$C153*INDEX(SPPR!$E:$X,MATCH($A153,SPPR!$A:$A,0),12),""),"")</f>
        <v/>
      </c>
      <c r="P153">
        <f>IFERROR(IF(ISNUMBER(INDEX(SPPR!$E:$X,MATCH($A153,SPPR!$A:$A,0),13)),$C153*INDEX(SPPR!$E:$X,MATCH($A153,SPPR!$A:$A,0),13),""),"")</f>
        <v/>
      </c>
      <c r="Q153">
        <f>IFERROR(IF(ISNUMBER(INDEX(SPPR!$E:$X,MATCH($A153,SPPR!$A:$A,0),14)),$C153*INDEX(SPPR!$E:$X,MATCH($A153,SPPR!$A:$A,0),14),""),"")</f>
        <v/>
      </c>
      <c r="R153">
        <f>IFERROR(IF(ISNUMBER(INDEX(SPPR!$E:$X,MATCH($A153,SPPR!$A:$A,0),15)),$C153*INDEX(SPPR!$E:$X,MATCH($A153,SPPR!$A:$A,0),15),""),"")</f>
        <v/>
      </c>
      <c r="S153">
        <f>IFERROR(IF(ISNUMBER(INDEX(SPPR!$E:$X,MATCH($A153,SPPR!$A:$A,0),16)),$C153*INDEX(SPPR!$E:$X,MATCH($A153,SPPR!$A:$A,0),16),""),"")</f>
        <v/>
      </c>
      <c r="T153">
        <f>IFERROR(IF(ISNUMBER(INDEX(SPPR!$E:$X,MATCH($A153,SPPR!$A:$A,0),17)),$C153*INDEX(SPPR!$E:$X,MATCH($A153,SPPR!$A:$A,0),17),""),"")</f>
        <v/>
      </c>
      <c r="U153">
        <f>IFERROR(IF(ISNUMBER(INDEX(SPPR!$E:$X,MATCH($A153,SPPR!$A:$A,0),18)),$C153*INDEX(SPPR!$E:$X,MATCH($A153,SPPR!$A:$A,0),18),""),"")</f>
        <v/>
      </c>
      <c r="V153">
        <f>IFERROR(IF(ISNUMBER(INDEX(SPPR!$E:$X,MATCH($A153,SPPR!$A:$A,0),19)),$C153*INDEX(SPPR!$E:$X,MATCH($A153,SPPR!$A:$A,0),19),""),"")</f>
        <v/>
      </c>
      <c r="W153">
        <f>IFERROR(IF(ISNUMBER(INDEX(SPPR!$E:$X,MATCH($A153,SPPR!$A:$A,0),20)),$C153*INDEX(SPPR!$E:$X,MATCH($A153,SPPR!$A:$A,0),20),""),"")</f>
        <v/>
      </c>
    </row>
    <row r="154">
      <c r="A154" t="inlineStr">
        <is>
          <t>Chanos chanos</t>
        </is>
      </c>
      <c r="B154">
        <f>IFERROR(INDEX(SPPR!$D:$D,MATCH($A154,SPPR!$A:$A,0)),"")</f>
        <v/>
      </c>
      <c r="C154">
        <f>IFERROR(INDEX(Catch!$E:$BV,MATCH($A154,Catch!$A:$A,0),MATCH($B$4,Catch!$E$1:$BV$1,0)),0)</f>
        <v/>
      </c>
      <c r="D154">
        <f>IFERROR(IF(ISNUMBER(INDEX(SPPR!$E:$X,MATCH($A154,SPPR!$A:$A,0),1)),$C154*INDEX(SPPR!$E:$X,MATCH($A154,SPPR!$A:$A,0),1),""),"")</f>
        <v/>
      </c>
      <c r="E154">
        <f>IFERROR(IF(ISNUMBER(INDEX(SPPR!$E:$X,MATCH($A154,SPPR!$A:$A,0),2)),$C154*INDEX(SPPR!$E:$X,MATCH($A154,SPPR!$A:$A,0),2),""),"")</f>
        <v/>
      </c>
      <c r="F154">
        <f>IFERROR(IF(ISNUMBER(INDEX(SPPR!$E:$X,MATCH($A154,SPPR!$A:$A,0),3)),$C154*INDEX(SPPR!$E:$X,MATCH($A154,SPPR!$A:$A,0),3),""),"")</f>
        <v/>
      </c>
      <c r="G154">
        <f>IFERROR(IF(ISNUMBER(INDEX(SPPR!$E:$X,MATCH($A154,SPPR!$A:$A,0),4)),$C154*INDEX(SPPR!$E:$X,MATCH($A154,SPPR!$A:$A,0),4),""),"")</f>
        <v/>
      </c>
      <c r="H154">
        <f>IFERROR(IF(ISNUMBER(INDEX(SPPR!$E:$X,MATCH($A154,SPPR!$A:$A,0),5)),$C154*INDEX(SPPR!$E:$X,MATCH($A154,SPPR!$A:$A,0),5),""),"")</f>
        <v/>
      </c>
      <c r="I154">
        <f>IFERROR(IF(ISNUMBER(INDEX(SPPR!$E:$X,MATCH($A154,SPPR!$A:$A,0),6)),$C154*INDEX(SPPR!$E:$X,MATCH($A154,SPPR!$A:$A,0),6),""),"")</f>
        <v/>
      </c>
      <c r="J154">
        <f>IFERROR(IF(ISNUMBER(INDEX(SPPR!$E:$X,MATCH($A154,SPPR!$A:$A,0),7)),$C154*INDEX(SPPR!$E:$X,MATCH($A154,SPPR!$A:$A,0),7),""),"")</f>
        <v/>
      </c>
      <c r="K154">
        <f>IFERROR(IF(ISNUMBER(INDEX(SPPR!$E:$X,MATCH($A154,SPPR!$A:$A,0),8)),$C154*INDEX(SPPR!$E:$X,MATCH($A154,SPPR!$A:$A,0),8),""),"")</f>
        <v/>
      </c>
      <c r="L154">
        <f>IFERROR(IF(ISNUMBER(INDEX(SPPR!$E:$X,MATCH($A154,SPPR!$A:$A,0),9)),$C154*INDEX(SPPR!$E:$X,MATCH($A154,SPPR!$A:$A,0),9),""),"")</f>
        <v/>
      </c>
      <c r="M154">
        <f>IFERROR(IF(ISNUMBER(INDEX(SPPR!$E:$X,MATCH($A154,SPPR!$A:$A,0),10)),$C154*INDEX(SPPR!$E:$X,MATCH($A154,SPPR!$A:$A,0),10),""),"")</f>
        <v/>
      </c>
      <c r="N154">
        <f>IFERROR(IF(ISNUMBER(INDEX(SPPR!$E:$X,MATCH($A154,SPPR!$A:$A,0),11)),$C154*INDEX(SPPR!$E:$X,MATCH($A154,SPPR!$A:$A,0),11),""),"")</f>
        <v/>
      </c>
      <c r="O154">
        <f>IFERROR(IF(ISNUMBER(INDEX(SPPR!$E:$X,MATCH($A154,SPPR!$A:$A,0),12)),$C154*INDEX(SPPR!$E:$X,MATCH($A154,SPPR!$A:$A,0),12),""),"")</f>
        <v/>
      </c>
      <c r="P154">
        <f>IFERROR(IF(ISNUMBER(INDEX(SPPR!$E:$X,MATCH($A154,SPPR!$A:$A,0),13)),$C154*INDEX(SPPR!$E:$X,MATCH($A154,SPPR!$A:$A,0),13),""),"")</f>
        <v/>
      </c>
      <c r="Q154">
        <f>IFERROR(IF(ISNUMBER(INDEX(SPPR!$E:$X,MATCH($A154,SPPR!$A:$A,0),14)),$C154*INDEX(SPPR!$E:$X,MATCH($A154,SPPR!$A:$A,0),14),""),"")</f>
        <v/>
      </c>
      <c r="R154">
        <f>IFERROR(IF(ISNUMBER(INDEX(SPPR!$E:$X,MATCH($A154,SPPR!$A:$A,0),15)),$C154*INDEX(SPPR!$E:$X,MATCH($A154,SPPR!$A:$A,0),15),""),"")</f>
        <v/>
      </c>
      <c r="S154">
        <f>IFERROR(IF(ISNUMBER(INDEX(SPPR!$E:$X,MATCH($A154,SPPR!$A:$A,0),16)),$C154*INDEX(SPPR!$E:$X,MATCH($A154,SPPR!$A:$A,0),16),""),"")</f>
        <v/>
      </c>
      <c r="T154">
        <f>IFERROR(IF(ISNUMBER(INDEX(SPPR!$E:$X,MATCH($A154,SPPR!$A:$A,0),17)),$C154*INDEX(SPPR!$E:$X,MATCH($A154,SPPR!$A:$A,0),17),""),"")</f>
        <v/>
      </c>
      <c r="U154">
        <f>IFERROR(IF(ISNUMBER(INDEX(SPPR!$E:$X,MATCH($A154,SPPR!$A:$A,0),18)),$C154*INDEX(SPPR!$E:$X,MATCH($A154,SPPR!$A:$A,0),18),""),"")</f>
        <v/>
      </c>
      <c r="V154">
        <f>IFERROR(IF(ISNUMBER(INDEX(SPPR!$E:$X,MATCH($A154,SPPR!$A:$A,0),19)),$C154*INDEX(SPPR!$E:$X,MATCH($A154,SPPR!$A:$A,0),19),""),"")</f>
        <v/>
      </c>
      <c r="W154">
        <f>IFERROR(IF(ISNUMBER(INDEX(SPPR!$E:$X,MATCH($A154,SPPR!$A:$A,0),20)),$C154*INDEX(SPPR!$E:$X,MATCH($A154,SPPR!$A:$A,0),20),""),"")</f>
        <v/>
      </c>
    </row>
    <row r="155">
      <c r="A155" t="inlineStr">
        <is>
          <t>Pinctada</t>
        </is>
      </c>
      <c r="B155">
        <f>IFERROR(INDEX(SPPR!$D:$D,MATCH($A155,SPPR!$A:$A,0)),"")</f>
        <v/>
      </c>
      <c r="C155">
        <f>IFERROR(INDEX(Catch!$E:$BV,MATCH($A155,Catch!$A:$A,0),MATCH($B$4,Catch!$E$1:$BV$1,0)),0)</f>
        <v/>
      </c>
      <c r="D155">
        <f>IFERROR(IF(ISNUMBER(INDEX(SPPR!$E:$X,MATCH($A155,SPPR!$A:$A,0),1)),$C155*INDEX(SPPR!$E:$X,MATCH($A155,SPPR!$A:$A,0),1),""),"")</f>
        <v/>
      </c>
      <c r="E155">
        <f>IFERROR(IF(ISNUMBER(INDEX(SPPR!$E:$X,MATCH($A155,SPPR!$A:$A,0),2)),$C155*INDEX(SPPR!$E:$X,MATCH($A155,SPPR!$A:$A,0),2),""),"")</f>
        <v/>
      </c>
      <c r="F155">
        <f>IFERROR(IF(ISNUMBER(INDEX(SPPR!$E:$X,MATCH($A155,SPPR!$A:$A,0),3)),$C155*INDEX(SPPR!$E:$X,MATCH($A155,SPPR!$A:$A,0),3),""),"")</f>
        <v/>
      </c>
      <c r="G155">
        <f>IFERROR(IF(ISNUMBER(INDEX(SPPR!$E:$X,MATCH($A155,SPPR!$A:$A,0),4)),$C155*INDEX(SPPR!$E:$X,MATCH($A155,SPPR!$A:$A,0),4),""),"")</f>
        <v/>
      </c>
      <c r="H155">
        <f>IFERROR(IF(ISNUMBER(INDEX(SPPR!$E:$X,MATCH($A155,SPPR!$A:$A,0),5)),$C155*INDEX(SPPR!$E:$X,MATCH($A155,SPPR!$A:$A,0),5),""),"")</f>
        <v/>
      </c>
      <c r="I155">
        <f>IFERROR(IF(ISNUMBER(INDEX(SPPR!$E:$X,MATCH($A155,SPPR!$A:$A,0),6)),$C155*INDEX(SPPR!$E:$X,MATCH($A155,SPPR!$A:$A,0),6),""),"")</f>
        <v/>
      </c>
      <c r="J155">
        <f>IFERROR(IF(ISNUMBER(INDEX(SPPR!$E:$X,MATCH($A155,SPPR!$A:$A,0),7)),$C155*INDEX(SPPR!$E:$X,MATCH($A155,SPPR!$A:$A,0),7),""),"")</f>
        <v/>
      </c>
      <c r="K155">
        <f>IFERROR(IF(ISNUMBER(INDEX(SPPR!$E:$X,MATCH($A155,SPPR!$A:$A,0),8)),$C155*INDEX(SPPR!$E:$X,MATCH($A155,SPPR!$A:$A,0),8),""),"")</f>
        <v/>
      </c>
      <c r="L155">
        <f>IFERROR(IF(ISNUMBER(INDEX(SPPR!$E:$X,MATCH($A155,SPPR!$A:$A,0),9)),$C155*INDEX(SPPR!$E:$X,MATCH($A155,SPPR!$A:$A,0),9),""),"")</f>
        <v/>
      </c>
      <c r="M155">
        <f>IFERROR(IF(ISNUMBER(INDEX(SPPR!$E:$X,MATCH($A155,SPPR!$A:$A,0),10)),$C155*INDEX(SPPR!$E:$X,MATCH($A155,SPPR!$A:$A,0),10),""),"")</f>
        <v/>
      </c>
      <c r="N155">
        <f>IFERROR(IF(ISNUMBER(INDEX(SPPR!$E:$X,MATCH($A155,SPPR!$A:$A,0),11)),$C155*INDEX(SPPR!$E:$X,MATCH($A155,SPPR!$A:$A,0),11),""),"")</f>
        <v/>
      </c>
      <c r="O155">
        <f>IFERROR(IF(ISNUMBER(INDEX(SPPR!$E:$X,MATCH($A155,SPPR!$A:$A,0),12)),$C155*INDEX(SPPR!$E:$X,MATCH($A155,SPPR!$A:$A,0),12),""),"")</f>
        <v/>
      </c>
      <c r="P155">
        <f>IFERROR(IF(ISNUMBER(INDEX(SPPR!$E:$X,MATCH($A155,SPPR!$A:$A,0),13)),$C155*INDEX(SPPR!$E:$X,MATCH($A155,SPPR!$A:$A,0),13),""),"")</f>
        <v/>
      </c>
      <c r="Q155">
        <f>IFERROR(IF(ISNUMBER(INDEX(SPPR!$E:$X,MATCH($A155,SPPR!$A:$A,0),14)),$C155*INDEX(SPPR!$E:$X,MATCH($A155,SPPR!$A:$A,0),14),""),"")</f>
        <v/>
      </c>
      <c r="R155">
        <f>IFERROR(IF(ISNUMBER(INDEX(SPPR!$E:$X,MATCH($A155,SPPR!$A:$A,0),15)),$C155*INDEX(SPPR!$E:$X,MATCH($A155,SPPR!$A:$A,0),15),""),"")</f>
        <v/>
      </c>
      <c r="S155">
        <f>IFERROR(IF(ISNUMBER(INDEX(SPPR!$E:$X,MATCH($A155,SPPR!$A:$A,0),16)),$C155*INDEX(SPPR!$E:$X,MATCH($A155,SPPR!$A:$A,0),16),""),"")</f>
        <v/>
      </c>
      <c r="T155">
        <f>IFERROR(IF(ISNUMBER(INDEX(SPPR!$E:$X,MATCH($A155,SPPR!$A:$A,0),17)),$C155*INDEX(SPPR!$E:$X,MATCH($A155,SPPR!$A:$A,0),17),""),"")</f>
        <v/>
      </c>
      <c r="U155">
        <f>IFERROR(IF(ISNUMBER(INDEX(SPPR!$E:$X,MATCH($A155,SPPR!$A:$A,0),18)),$C155*INDEX(SPPR!$E:$X,MATCH($A155,SPPR!$A:$A,0),18),""),"")</f>
        <v/>
      </c>
      <c r="V155">
        <f>IFERROR(IF(ISNUMBER(INDEX(SPPR!$E:$X,MATCH($A155,SPPR!$A:$A,0),19)),$C155*INDEX(SPPR!$E:$X,MATCH($A155,SPPR!$A:$A,0),19),""),"")</f>
        <v/>
      </c>
      <c r="W155">
        <f>IFERROR(IF(ISNUMBER(INDEX(SPPR!$E:$X,MATCH($A155,SPPR!$A:$A,0),20)),$C155*INDEX(SPPR!$E:$X,MATCH($A155,SPPR!$A:$A,0),20),""),"")</f>
        <v/>
      </c>
    </row>
    <row r="156">
      <c r="A156" t="inlineStr">
        <is>
          <t>Scombroidei</t>
        </is>
      </c>
      <c r="B156">
        <f>IFERROR(INDEX(SPPR!$D:$D,MATCH($A156,SPPR!$A:$A,0)),"")</f>
        <v/>
      </c>
      <c r="C156">
        <f>IFERROR(INDEX(Catch!$E:$BV,MATCH($A156,Catch!$A:$A,0),MATCH($B$4,Catch!$E$1:$BV$1,0)),0)</f>
        <v/>
      </c>
      <c r="D156">
        <f>IFERROR(IF(ISNUMBER(INDEX(SPPR!$E:$X,MATCH($A156,SPPR!$A:$A,0),1)),$C156*INDEX(SPPR!$E:$X,MATCH($A156,SPPR!$A:$A,0),1),""),"")</f>
        <v/>
      </c>
      <c r="E156">
        <f>IFERROR(IF(ISNUMBER(INDEX(SPPR!$E:$X,MATCH($A156,SPPR!$A:$A,0),2)),$C156*INDEX(SPPR!$E:$X,MATCH($A156,SPPR!$A:$A,0),2),""),"")</f>
        <v/>
      </c>
      <c r="F156">
        <f>IFERROR(IF(ISNUMBER(INDEX(SPPR!$E:$X,MATCH($A156,SPPR!$A:$A,0),3)),$C156*INDEX(SPPR!$E:$X,MATCH($A156,SPPR!$A:$A,0),3),""),"")</f>
        <v/>
      </c>
      <c r="G156">
        <f>IFERROR(IF(ISNUMBER(INDEX(SPPR!$E:$X,MATCH($A156,SPPR!$A:$A,0),4)),$C156*INDEX(SPPR!$E:$X,MATCH($A156,SPPR!$A:$A,0),4),""),"")</f>
        <v/>
      </c>
      <c r="H156">
        <f>IFERROR(IF(ISNUMBER(INDEX(SPPR!$E:$X,MATCH($A156,SPPR!$A:$A,0),5)),$C156*INDEX(SPPR!$E:$X,MATCH($A156,SPPR!$A:$A,0),5),""),"")</f>
        <v/>
      </c>
      <c r="I156">
        <f>IFERROR(IF(ISNUMBER(INDEX(SPPR!$E:$X,MATCH($A156,SPPR!$A:$A,0),6)),$C156*INDEX(SPPR!$E:$X,MATCH($A156,SPPR!$A:$A,0),6),""),"")</f>
        <v/>
      </c>
      <c r="J156">
        <f>IFERROR(IF(ISNUMBER(INDEX(SPPR!$E:$X,MATCH($A156,SPPR!$A:$A,0),7)),$C156*INDEX(SPPR!$E:$X,MATCH($A156,SPPR!$A:$A,0),7),""),"")</f>
        <v/>
      </c>
      <c r="K156">
        <f>IFERROR(IF(ISNUMBER(INDEX(SPPR!$E:$X,MATCH($A156,SPPR!$A:$A,0),8)),$C156*INDEX(SPPR!$E:$X,MATCH($A156,SPPR!$A:$A,0),8),""),"")</f>
        <v/>
      </c>
      <c r="L156">
        <f>IFERROR(IF(ISNUMBER(INDEX(SPPR!$E:$X,MATCH($A156,SPPR!$A:$A,0),9)),$C156*INDEX(SPPR!$E:$X,MATCH($A156,SPPR!$A:$A,0),9),""),"")</f>
        <v/>
      </c>
      <c r="M156">
        <f>IFERROR(IF(ISNUMBER(INDEX(SPPR!$E:$X,MATCH($A156,SPPR!$A:$A,0),10)),$C156*INDEX(SPPR!$E:$X,MATCH($A156,SPPR!$A:$A,0),10),""),"")</f>
        <v/>
      </c>
      <c r="N156">
        <f>IFERROR(IF(ISNUMBER(INDEX(SPPR!$E:$X,MATCH($A156,SPPR!$A:$A,0),11)),$C156*INDEX(SPPR!$E:$X,MATCH($A156,SPPR!$A:$A,0),11),""),"")</f>
        <v/>
      </c>
      <c r="O156">
        <f>IFERROR(IF(ISNUMBER(INDEX(SPPR!$E:$X,MATCH($A156,SPPR!$A:$A,0),12)),$C156*INDEX(SPPR!$E:$X,MATCH($A156,SPPR!$A:$A,0),12),""),"")</f>
        <v/>
      </c>
      <c r="P156">
        <f>IFERROR(IF(ISNUMBER(INDEX(SPPR!$E:$X,MATCH($A156,SPPR!$A:$A,0),13)),$C156*INDEX(SPPR!$E:$X,MATCH($A156,SPPR!$A:$A,0),13),""),"")</f>
        <v/>
      </c>
      <c r="Q156">
        <f>IFERROR(IF(ISNUMBER(INDEX(SPPR!$E:$X,MATCH($A156,SPPR!$A:$A,0),14)),$C156*INDEX(SPPR!$E:$X,MATCH($A156,SPPR!$A:$A,0),14),""),"")</f>
        <v/>
      </c>
      <c r="R156">
        <f>IFERROR(IF(ISNUMBER(INDEX(SPPR!$E:$X,MATCH($A156,SPPR!$A:$A,0),15)),$C156*INDEX(SPPR!$E:$X,MATCH($A156,SPPR!$A:$A,0),15),""),"")</f>
        <v/>
      </c>
      <c r="S156">
        <f>IFERROR(IF(ISNUMBER(INDEX(SPPR!$E:$X,MATCH($A156,SPPR!$A:$A,0),16)),$C156*INDEX(SPPR!$E:$X,MATCH($A156,SPPR!$A:$A,0),16),""),"")</f>
        <v/>
      </c>
      <c r="T156">
        <f>IFERROR(IF(ISNUMBER(INDEX(SPPR!$E:$X,MATCH($A156,SPPR!$A:$A,0),17)),$C156*INDEX(SPPR!$E:$X,MATCH($A156,SPPR!$A:$A,0),17),""),"")</f>
        <v/>
      </c>
      <c r="U156">
        <f>IFERROR(IF(ISNUMBER(INDEX(SPPR!$E:$X,MATCH($A156,SPPR!$A:$A,0),18)),$C156*INDEX(SPPR!$E:$X,MATCH($A156,SPPR!$A:$A,0),18),""),"")</f>
        <v/>
      </c>
      <c r="V156">
        <f>IFERROR(IF(ISNUMBER(INDEX(SPPR!$E:$X,MATCH($A156,SPPR!$A:$A,0),19)),$C156*INDEX(SPPR!$E:$X,MATCH($A156,SPPR!$A:$A,0),19),""),"")</f>
        <v/>
      </c>
      <c r="W156">
        <f>IFERROR(IF(ISNUMBER(INDEX(SPPR!$E:$X,MATCH($A156,SPPR!$A:$A,0),20)),$C156*INDEX(SPPR!$E:$X,MATCH($A156,SPPR!$A:$A,0),20),""),"")</f>
        <v/>
      </c>
    </row>
    <row r="157">
      <c r="A157" t="inlineStr">
        <is>
          <t>Sphyraena barracuda</t>
        </is>
      </c>
      <c r="B157">
        <f>IFERROR(INDEX(SPPR!$D:$D,MATCH($A157,SPPR!$A:$A,0)),"")</f>
        <v/>
      </c>
      <c r="C157">
        <f>IFERROR(INDEX(Catch!$E:$BV,MATCH($A157,Catch!$A:$A,0),MATCH($B$4,Catch!$E$1:$BV$1,0)),0)</f>
        <v/>
      </c>
      <c r="D157">
        <f>IFERROR(IF(ISNUMBER(INDEX(SPPR!$E:$X,MATCH($A157,SPPR!$A:$A,0),1)),$C157*INDEX(SPPR!$E:$X,MATCH($A157,SPPR!$A:$A,0),1),""),"")</f>
        <v/>
      </c>
      <c r="E157">
        <f>IFERROR(IF(ISNUMBER(INDEX(SPPR!$E:$X,MATCH($A157,SPPR!$A:$A,0),2)),$C157*INDEX(SPPR!$E:$X,MATCH($A157,SPPR!$A:$A,0),2),""),"")</f>
        <v/>
      </c>
      <c r="F157">
        <f>IFERROR(IF(ISNUMBER(INDEX(SPPR!$E:$X,MATCH($A157,SPPR!$A:$A,0),3)),$C157*INDEX(SPPR!$E:$X,MATCH($A157,SPPR!$A:$A,0),3),""),"")</f>
        <v/>
      </c>
      <c r="G157">
        <f>IFERROR(IF(ISNUMBER(INDEX(SPPR!$E:$X,MATCH($A157,SPPR!$A:$A,0),4)),$C157*INDEX(SPPR!$E:$X,MATCH($A157,SPPR!$A:$A,0),4),""),"")</f>
        <v/>
      </c>
      <c r="H157">
        <f>IFERROR(IF(ISNUMBER(INDEX(SPPR!$E:$X,MATCH($A157,SPPR!$A:$A,0),5)),$C157*INDEX(SPPR!$E:$X,MATCH($A157,SPPR!$A:$A,0),5),""),"")</f>
        <v/>
      </c>
      <c r="I157">
        <f>IFERROR(IF(ISNUMBER(INDEX(SPPR!$E:$X,MATCH($A157,SPPR!$A:$A,0),6)),$C157*INDEX(SPPR!$E:$X,MATCH($A157,SPPR!$A:$A,0),6),""),"")</f>
        <v/>
      </c>
      <c r="J157">
        <f>IFERROR(IF(ISNUMBER(INDEX(SPPR!$E:$X,MATCH($A157,SPPR!$A:$A,0),7)),$C157*INDEX(SPPR!$E:$X,MATCH($A157,SPPR!$A:$A,0),7),""),"")</f>
        <v/>
      </c>
      <c r="K157">
        <f>IFERROR(IF(ISNUMBER(INDEX(SPPR!$E:$X,MATCH($A157,SPPR!$A:$A,0),8)),$C157*INDEX(SPPR!$E:$X,MATCH($A157,SPPR!$A:$A,0),8),""),"")</f>
        <v/>
      </c>
      <c r="L157">
        <f>IFERROR(IF(ISNUMBER(INDEX(SPPR!$E:$X,MATCH($A157,SPPR!$A:$A,0),9)),$C157*INDEX(SPPR!$E:$X,MATCH($A157,SPPR!$A:$A,0),9),""),"")</f>
        <v/>
      </c>
      <c r="M157">
        <f>IFERROR(IF(ISNUMBER(INDEX(SPPR!$E:$X,MATCH($A157,SPPR!$A:$A,0),10)),$C157*INDEX(SPPR!$E:$X,MATCH($A157,SPPR!$A:$A,0),10),""),"")</f>
        <v/>
      </c>
      <c r="N157">
        <f>IFERROR(IF(ISNUMBER(INDEX(SPPR!$E:$X,MATCH($A157,SPPR!$A:$A,0),11)),$C157*INDEX(SPPR!$E:$X,MATCH($A157,SPPR!$A:$A,0),11),""),"")</f>
        <v/>
      </c>
      <c r="O157">
        <f>IFERROR(IF(ISNUMBER(INDEX(SPPR!$E:$X,MATCH($A157,SPPR!$A:$A,0),12)),$C157*INDEX(SPPR!$E:$X,MATCH($A157,SPPR!$A:$A,0),12),""),"")</f>
        <v/>
      </c>
      <c r="P157">
        <f>IFERROR(IF(ISNUMBER(INDEX(SPPR!$E:$X,MATCH($A157,SPPR!$A:$A,0),13)),$C157*INDEX(SPPR!$E:$X,MATCH($A157,SPPR!$A:$A,0),13),""),"")</f>
        <v/>
      </c>
      <c r="Q157">
        <f>IFERROR(IF(ISNUMBER(INDEX(SPPR!$E:$X,MATCH($A157,SPPR!$A:$A,0),14)),$C157*INDEX(SPPR!$E:$X,MATCH($A157,SPPR!$A:$A,0),14),""),"")</f>
        <v/>
      </c>
      <c r="R157">
        <f>IFERROR(IF(ISNUMBER(INDEX(SPPR!$E:$X,MATCH($A157,SPPR!$A:$A,0),15)),$C157*INDEX(SPPR!$E:$X,MATCH($A157,SPPR!$A:$A,0),15),""),"")</f>
        <v/>
      </c>
      <c r="S157">
        <f>IFERROR(IF(ISNUMBER(INDEX(SPPR!$E:$X,MATCH($A157,SPPR!$A:$A,0),16)),$C157*INDEX(SPPR!$E:$X,MATCH($A157,SPPR!$A:$A,0),16),""),"")</f>
        <v/>
      </c>
      <c r="T157">
        <f>IFERROR(IF(ISNUMBER(INDEX(SPPR!$E:$X,MATCH($A157,SPPR!$A:$A,0),17)),$C157*INDEX(SPPR!$E:$X,MATCH($A157,SPPR!$A:$A,0),17),""),"")</f>
        <v/>
      </c>
      <c r="U157">
        <f>IFERROR(IF(ISNUMBER(INDEX(SPPR!$E:$X,MATCH($A157,SPPR!$A:$A,0),18)),$C157*INDEX(SPPR!$E:$X,MATCH($A157,SPPR!$A:$A,0),18),""),"")</f>
        <v/>
      </c>
      <c r="V157">
        <f>IFERROR(IF(ISNUMBER(INDEX(SPPR!$E:$X,MATCH($A157,SPPR!$A:$A,0),19)),$C157*INDEX(SPPR!$E:$X,MATCH($A157,SPPR!$A:$A,0),19),""),"")</f>
        <v/>
      </c>
      <c r="W157">
        <f>IFERROR(IF(ISNUMBER(INDEX(SPPR!$E:$X,MATCH($A157,SPPR!$A:$A,0),20)),$C157*INDEX(SPPR!$E:$X,MATCH($A157,SPPR!$A:$A,0),20),""),"")</f>
        <v/>
      </c>
    </row>
    <row r="158">
      <c r="A158" t="inlineStr">
        <is>
          <t>Isurus oxyrinchus</t>
        </is>
      </c>
      <c r="B158">
        <f>IFERROR(INDEX(SPPR!$D:$D,MATCH($A158,SPPR!$A:$A,0)),"")</f>
        <v/>
      </c>
      <c r="C158">
        <f>IFERROR(INDEX(Catch!$E:$BV,MATCH($A158,Catch!$A:$A,0),MATCH($B$4,Catch!$E$1:$BV$1,0)),0)</f>
        <v/>
      </c>
      <c r="D158">
        <f>IFERROR(IF(ISNUMBER(INDEX(SPPR!$E:$X,MATCH($A158,SPPR!$A:$A,0),1)),$C158*INDEX(SPPR!$E:$X,MATCH($A158,SPPR!$A:$A,0),1),""),"")</f>
        <v/>
      </c>
      <c r="E158">
        <f>IFERROR(IF(ISNUMBER(INDEX(SPPR!$E:$X,MATCH($A158,SPPR!$A:$A,0),2)),$C158*INDEX(SPPR!$E:$X,MATCH($A158,SPPR!$A:$A,0),2),""),"")</f>
        <v/>
      </c>
      <c r="F158">
        <f>IFERROR(IF(ISNUMBER(INDEX(SPPR!$E:$X,MATCH($A158,SPPR!$A:$A,0),3)),$C158*INDEX(SPPR!$E:$X,MATCH($A158,SPPR!$A:$A,0),3),""),"")</f>
        <v/>
      </c>
      <c r="G158">
        <f>IFERROR(IF(ISNUMBER(INDEX(SPPR!$E:$X,MATCH($A158,SPPR!$A:$A,0),4)),$C158*INDEX(SPPR!$E:$X,MATCH($A158,SPPR!$A:$A,0),4),""),"")</f>
        <v/>
      </c>
      <c r="H158">
        <f>IFERROR(IF(ISNUMBER(INDEX(SPPR!$E:$X,MATCH($A158,SPPR!$A:$A,0),5)),$C158*INDEX(SPPR!$E:$X,MATCH($A158,SPPR!$A:$A,0),5),""),"")</f>
        <v/>
      </c>
      <c r="I158">
        <f>IFERROR(IF(ISNUMBER(INDEX(SPPR!$E:$X,MATCH($A158,SPPR!$A:$A,0),6)),$C158*INDEX(SPPR!$E:$X,MATCH($A158,SPPR!$A:$A,0),6),""),"")</f>
        <v/>
      </c>
      <c r="J158">
        <f>IFERROR(IF(ISNUMBER(INDEX(SPPR!$E:$X,MATCH($A158,SPPR!$A:$A,0),7)),$C158*INDEX(SPPR!$E:$X,MATCH($A158,SPPR!$A:$A,0),7),""),"")</f>
        <v/>
      </c>
      <c r="K158">
        <f>IFERROR(IF(ISNUMBER(INDEX(SPPR!$E:$X,MATCH($A158,SPPR!$A:$A,0),8)),$C158*INDEX(SPPR!$E:$X,MATCH($A158,SPPR!$A:$A,0),8),""),"")</f>
        <v/>
      </c>
      <c r="L158">
        <f>IFERROR(IF(ISNUMBER(INDEX(SPPR!$E:$X,MATCH($A158,SPPR!$A:$A,0),9)),$C158*INDEX(SPPR!$E:$X,MATCH($A158,SPPR!$A:$A,0),9),""),"")</f>
        <v/>
      </c>
      <c r="M158">
        <f>IFERROR(IF(ISNUMBER(INDEX(SPPR!$E:$X,MATCH($A158,SPPR!$A:$A,0),10)),$C158*INDEX(SPPR!$E:$X,MATCH($A158,SPPR!$A:$A,0),10),""),"")</f>
        <v/>
      </c>
      <c r="N158">
        <f>IFERROR(IF(ISNUMBER(INDEX(SPPR!$E:$X,MATCH($A158,SPPR!$A:$A,0),11)),$C158*INDEX(SPPR!$E:$X,MATCH($A158,SPPR!$A:$A,0),11),""),"")</f>
        <v/>
      </c>
      <c r="O158">
        <f>IFERROR(IF(ISNUMBER(INDEX(SPPR!$E:$X,MATCH($A158,SPPR!$A:$A,0),12)),$C158*INDEX(SPPR!$E:$X,MATCH($A158,SPPR!$A:$A,0),12),""),"")</f>
        <v/>
      </c>
      <c r="P158">
        <f>IFERROR(IF(ISNUMBER(INDEX(SPPR!$E:$X,MATCH($A158,SPPR!$A:$A,0),13)),$C158*INDEX(SPPR!$E:$X,MATCH($A158,SPPR!$A:$A,0),13),""),"")</f>
        <v/>
      </c>
      <c r="Q158">
        <f>IFERROR(IF(ISNUMBER(INDEX(SPPR!$E:$X,MATCH($A158,SPPR!$A:$A,0),14)),$C158*INDEX(SPPR!$E:$X,MATCH($A158,SPPR!$A:$A,0),14),""),"")</f>
        <v/>
      </c>
      <c r="R158">
        <f>IFERROR(IF(ISNUMBER(INDEX(SPPR!$E:$X,MATCH($A158,SPPR!$A:$A,0),15)),$C158*INDEX(SPPR!$E:$X,MATCH($A158,SPPR!$A:$A,0),15),""),"")</f>
        <v/>
      </c>
      <c r="S158">
        <f>IFERROR(IF(ISNUMBER(INDEX(SPPR!$E:$X,MATCH($A158,SPPR!$A:$A,0),16)),$C158*INDEX(SPPR!$E:$X,MATCH($A158,SPPR!$A:$A,0),16),""),"")</f>
        <v/>
      </c>
      <c r="T158">
        <f>IFERROR(IF(ISNUMBER(INDEX(SPPR!$E:$X,MATCH($A158,SPPR!$A:$A,0),17)),$C158*INDEX(SPPR!$E:$X,MATCH($A158,SPPR!$A:$A,0),17),""),"")</f>
        <v/>
      </c>
      <c r="U158">
        <f>IFERROR(IF(ISNUMBER(INDEX(SPPR!$E:$X,MATCH($A158,SPPR!$A:$A,0),18)),$C158*INDEX(SPPR!$E:$X,MATCH($A158,SPPR!$A:$A,0),18),""),"")</f>
        <v/>
      </c>
      <c r="V158">
        <f>IFERROR(IF(ISNUMBER(INDEX(SPPR!$E:$X,MATCH($A158,SPPR!$A:$A,0),19)),$C158*INDEX(SPPR!$E:$X,MATCH($A158,SPPR!$A:$A,0),19),""),"")</f>
        <v/>
      </c>
      <c r="W158">
        <f>IFERROR(IF(ISNUMBER(INDEX(SPPR!$E:$X,MATCH($A158,SPPR!$A:$A,0),20)),$C158*INDEX(SPPR!$E:$X,MATCH($A158,SPPR!$A:$A,0),20),""),"")</f>
        <v/>
      </c>
    </row>
  </sheetData>
  <dataValidations count="1">
    <dataValidation sqref="B4" showDropDown="0" showInputMessage="0" showErrorMessage="0" allowBlank="0" type="list">
      <formula1>=Catch!$E$1:$BV$1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3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</cols>
  <sheetData>
    <row r="1">
      <c r="A1" s="1" t="inlineStr">
        <is>
          <t>The model's own compartments, and their SPPR under each method.</t>
        </is>
      </c>
    </row>
    <row r="2">
      <c r="A2" t="inlineStr">
        <is>
          <t>Group names here are authoritative. Everything in the other sheets joins on them character for character.</t>
        </is>
      </c>
    </row>
    <row r="4">
      <c r="A4" s="4" t="inlineStr">
        <is>
          <t>seq</t>
        </is>
      </c>
      <c r="B4" s="4" t="inlineStr">
        <is>
          <t>group_name</t>
        </is>
      </c>
      <c r="C4" s="4" t="inlineStr">
        <is>
          <t>type</t>
        </is>
      </c>
      <c r="D4" s="4" t="inlineStr">
        <is>
          <t>TL</t>
        </is>
      </c>
      <c r="E4" s="4" t="inlineStr">
        <is>
          <t>GE</t>
        </is>
      </c>
      <c r="F4" s="4" t="inlineStr">
        <is>
          <t>EE</t>
        </is>
      </c>
      <c r="G4" s="4" t="inlineStr">
        <is>
          <t>biomass</t>
        </is>
      </c>
      <c r="H4" s="4" t="inlineStr">
        <is>
          <t>model catch</t>
        </is>
      </c>
      <c r="I4" s="4" t="inlineStr">
        <is>
          <t>SPPR_1986</t>
        </is>
      </c>
      <c r="J4" s="4" t="inlineStr">
        <is>
          <t>SPPR_1995_TE0.1</t>
        </is>
      </c>
      <c r="K4" s="4" t="inlineStr">
        <is>
          <t>SPPR_1995_TEmean</t>
        </is>
      </c>
      <c r="L4" s="4" t="inlineStr">
        <is>
          <t>Ulanowicz_globalTEmean</t>
        </is>
      </c>
      <c r="M4" s="4" t="inlineStr">
        <is>
          <t>Ulanowicz_TE</t>
        </is>
      </c>
      <c r="N4" s="4" t="inlineStr">
        <is>
          <t>EwE_TE_noEE</t>
        </is>
      </c>
      <c r="O4" s="4" t="inlineStr">
        <is>
          <t>EwE_TE_EE</t>
        </is>
      </c>
      <c r="P4" s="4" t="inlineStr">
        <is>
          <t>SPPR_2015</t>
        </is>
      </c>
      <c r="Q4" s="4" t="inlineStr">
        <is>
          <t>new_TE_noEEfix</t>
        </is>
      </c>
      <c r="R4" s="4" t="inlineStr">
        <is>
          <t>new_TE_EEfix</t>
        </is>
      </c>
      <c r="S4" s="4" t="inlineStr">
        <is>
          <t>new_GE</t>
        </is>
      </c>
      <c r="T4" s="4" t="inlineStr">
        <is>
          <t>new_WithEgestion</t>
        </is>
      </c>
      <c r="U4" s="4" t="inlineStr">
        <is>
          <t>sym_TE_asPP</t>
        </is>
      </c>
      <c r="V4" s="4" t="inlineStr">
        <is>
          <t>sym_TE_asDC</t>
        </is>
      </c>
      <c r="W4" s="4" t="inlineStr">
        <is>
          <t>sym_GE_asPP</t>
        </is>
      </c>
      <c r="X4" s="4" t="inlineStr">
        <is>
          <t>sym_GE_asDC</t>
        </is>
      </c>
      <c r="Y4" s="4" t="inlineStr">
        <is>
          <t>sym_WithEgestion_asPP</t>
        </is>
      </c>
      <c r="Z4" s="4" t="inlineStr">
        <is>
          <t>sym_WithEgestion_asDC</t>
        </is>
      </c>
      <c r="AA4" s="4" t="inlineStr">
        <is>
          <t>MC_new_GE</t>
        </is>
      </c>
      <c r="AB4" s="4" t="inlineStr">
        <is>
          <t>MC_new_TE_EEfix</t>
        </is>
      </c>
    </row>
    <row r="5">
      <c r="A5" t="n">
        <v>1</v>
      </c>
      <c r="B5" t="inlineStr">
        <is>
          <t>Baleen whales</t>
        </is>
      </c>
      <c r="C5" t="inlineStr">
        <is>
          <t>Regular</t>
        </is>
      </c>
      <c r="D5" t="n">
        <v>3.920339884921915</v>
      </c>
      <c r="E5" t="n">
        <v>0.002406738868832732</v>
      </c>
      <c r="F5" t="n">
        <v>0.365</v>
      </c>
      <c r="G5" t="n">
        <v>0.958</v>
      </c>
      <c r="H5" t="n">
        <v>0</v>
      </c>
      <c r="I5" t="n">
        <v>0</v>
      </c>
      <c r="J5" t="n">
        <v>652.895615</v>
      </c>
      <c r="K5" t="n">
        <v>108.170137</v>
      </c>
      <c r="L5" t="n">
        <v>269.929092</v>
      </c>
      <c r="M5" t="n">
        <v>158437.369802</v>
      </c>
      <c r="N5" t="n">
        <v>159659.142169</v>
      </c>
      <c r="O5" t="n">
        <v>58275.586892</v>
      </c>
      <c r="P5" t="n">
        <v>439751.616182</v>
      </c>
      <c r="Q5" t="n">
        <v>439751.616182</v>
      </c>
      <c r="R5" t="n">
        <v>446762.784399</v>
      </c>
      <c r="S5" t="n">
        <v>93238.611135</v>
      </c>
      <c r="T5" t="n">
        <v>24175.56557</v>
      </c>
      <c r="U5" t="n">
        <v>446762.784399</v>
      </c>
      <c r="V5" t="n">
        <v>439751.616182</v>
      </c>
      <c r="W5" t="n">
        <v>93238.611135</v>
      </c>
      <c r="X5" t="n">
        <v>93238.611135</v>
      </c>
      <c r="Y5" t="n">
        <v>24175.56557</v>
      </c>
      <c r="Z5" t="n">
        <v>24175.56557</v>
      </c>
      <c r="AA5" t="n">
        <v>128841.023971</v>
      </c>
      <c r="AB5" t="n">
        <v>484185.117513</v>
      </c>
    </row>
    <row r="6">
      <c r="A6" t="n">
        <v>2</v>
      </c>
      <c r="B6" t="inlineStr">
        <is>
          <t>Toothed whales</t>
        </is>
      </c>
      <c r="C6" t="inlineStr">
        <is>
          <t>Regular</t>
        </is>
      </c>
      <c r="D6" t="n">
        <v>4.555881045383044</v>
      </c>
      <c r="E6" t="n">
        <v>0.001525553012967201</v>
      </c>
      <c r="F6" t="n">
        <v>0.657</v>
      </c>
      <c r="G6" t="n">
        <v>0.01</v>
      </c>
      <c r="H6" t="n">
        <v>0</v>
      </c>
      <c r="I6" t="n">
        <v>0</v>
      </c>
      <c r="J6" t="n">
        <v>2832.954811</v>
      </c>
      <c r="K6" t="n">
        <v>312.401125</v>
      </c>
      <c r="L6" t="n">
        <v>519.693879</v>
      </c>
      <c r="M6" t="n">
        <v>841359.986109</v>
      </c>
      <c r="N6" t="n">
        <v>885081.863064</v>
      </c>
      <c r="O6" t="n">
        <v>581498.784033</v>
      </c>
      <c r="P6" t="n">
        <v>-26855961521.13135</v>
      </c>
      <c r="Q6" t="n">
        <v>-26855961521.14209</v>
      </c>
      <c r="R6" t="n">
        <v>-27302802326.55463</v>
      </c>
      <c r="S6" t="n">
        <v>2083179.016702</v>
      </c>
      <c r="T6" t="n">
        <v>271730.346254</v>
      </c>
      <c r="U6" t="n">
        <v>-27302802326.55429</v>
      </c>
      <c r="V6" t="n">
        <v>-26855961521.14176</v>
      </c>
      <c r="W6" t="n">
        <v>2083179.016702</v>
      </c>
      <c r="X6" t="n">
        <v>2083179.016702</v>
      </c>
      <c r="Y6" t="n">
        <v>271730.346254</v>
      </c>
      <c r="Z6" t="n">
        <v>271730.346254</v>
      </c>
      <c r="AA6" t="n">
        <v>3850028.862905</v>
      </c>
      <c r="AB6" t="n">
        <v>1414639309.654173</v>
      </c>
    </row>
    <row r="7">
      <c r="A7" t="n">
        <v>3</v>
      </c>
      <c r="B7" t="inlineStr">
        <is>
          <t>Sperm whales</t>
        </is>
      </c>
      <c r="C7" t="inlineStr">
        <is>
          <t>Regular</t>
        </is>
      </c>
      <c r="D7" t="n">
        <v>5.095145064278068</v>
      </c>
      <c r="E7" t="n">
        <v>0.004395604395604396</v>
      </c>
      <c r="F7" t="n">
        <v>0</v>
      </c>
      <c r="G7" t="n">
        <v>0.011</v>
      </c>
      <c r="H7" t="n">
        <v>0</v>
      </c>
      <c r="I7" t="n">
        <v>0</v>
      </c>
      <c r="J7" t="n">
        <v>8002.573842</v>
      </c>
      <c r="K7" t="n">
        <v>661.628527</v>
      </c>
      <c r="L7" t="n">
        <v>636.040725</v>
      </c>
      <c r="M7" t="n">
        <v>0</v>
      </c>
      <c r="N7" t="n">
        <v>118.162794</v>
      </c>
      <c r="O7" t="n">
        <v>0</v>
      </c>
      <c r="P7" t="n">
        <v>0</v>
      </c>
      <c r="Q7" t="n">
        <v>0</v>
      </c>
      <c r="R7" t="n">
        <v>0</v>
      </c>
      <c r="S7" t="n">
        <v>58254.218718</v>
      </c>
      <c r="T7" t="n">
        <v>12359.604791</v>
      </c>
      <c r="U7" t="n">
        <v>0</v>
      </c>
      <c r="V7" t="n">
        <v>0</v>
      </c>
      <c r="W7" t="n">
        <v>58254.218718</v>
      </c>
      <c r="X7" t="n">
        <v>58254.218718</v>
      </c>
      <c r="Y7" t="n">
        <v>12359.604791</v>
      </c>
      <c r="Z7" t="n">
        <v>12359.604791</v>
      </c>
      <c r="AA7" t="n">
        <v>80536.993632</v>
      </c>
      <c r="AB7" t="n">
        <v>0</v>
      </c>
    </row>
    <row r="8">
      <c r="A8" t="n">
        <v>4</v>
      </c>
      <c r="B8" t="inlineStr">
        <is>
          <t>Pinnipeds</t>
        </is>
      </c>
      <c r="C8" t="inlineStr">
        <is>
          <t>Regular</t>
        </is>
      </c>
      <c r="D8" t="n">
        <v>4.960093888150276</v>
      </c>
      <c r="E8" t="n">
        <v>0.002923976608187134</v>
      </c>
      <c r="F8" t="n">
        <v>0.527</v>
      </c>
      <c r="G8" t="n">
        <v>0.053</v>
      </c>
      <c r="H8" t="n">
        <v>0</v>
      </c>
      <c r="I8" t="n">
        <v>0</v>
      </c>
      <c r="J8" t="n">
        <v>6316.900158</v>
      </c>
      <c r="K8" t="n">
        <v>557.674711</v>
      </c>
      <c r="L8" t="n">
        <v>600.466917</v>
      </c>
      <c r="M8" t="n">
        <v>196639.623555</v>
      </c>
      <c r="N8" t="n">
        <v>210326.349793</v>
      </c>
      <c r="O8" t="n">
        <v>110841.986341</v>
      </c>
      <c r="P8" t="n">
        <v>-2871632.599527</v>
      </c>
      <c r="Q8" t="n">
        <v>-2871632.599527</v>
      </c>
      <c r="R8" t="n">
        <v>-2919283.58696</v>
      </c>
      <c r="S8" t="n">
        <v>194778.561137</v>
      </c>
      <c r="T8" t="n">
        <v>38693.422141</v>
      </c>
      <c r="U8" t="n">
        <v>-2919283.58696</v>
      </c>
      <c r="V8" t="n">
        <v>-2871632.599527</v>
      </c>
      <c r="W8" t="n">
        <v>194778.561137</v>
      </c>
      <c r="X8" t="n">
        <v>194778.561137</v>
      </c>
      <c r="Y8" t="n">
        <v>38693.422141</v>
      </c>
      <c r="Z8" t="n">
        <v>38693.422141</v>
      </c>
      <c r="AA8" t="n">
        <v>444402.736057</v>
      </c>
      <c r="AB8" t="n">
        <v>12867258.244839</v>
      </c>
    </row>
    <row r="9">
      <c r="A9" t="n">
        <v>5</v>
      </c>
      <c r="B9" t="inlineStr">
        <is>
          <t>Seabirds</t>
        </is>
      </c>
      <c r="C9" t="inlineStr">
        <is>
          <t>Regular</t>
        </is>
      </c>
      <c r="D9" t="n">
        <v>4.688743980695794</v>
      </c>
      <c r="E9" t="n">
        <v>0.003601440576230493</v>
      </c>
      <c r="F9" t="n">
        <v>0</v>
      </c>
      <c r="G9" t="n">
        <v>0.005</v>
      </c>
      <c r="H9" t="n">
        <v>0</v>
      </c>
      <c r="I9" t="n">
        <v>0</v>
      </c>
      <c r="J9" t="n">
        <v>3690.679934</v>
      </c>
      <c r="K9" t="n">
        <v>378.198173</v>
      </c>
      <c r="L9" t="n">
        <v>592.010483</v>
      </c>
      <c r="M9" t="n">
        <v>0</v>
      </c>
      <c r="N9" t="n">
        <v>597.1070120000001</v>
      </c>
      <c r="O9" t="n">
        <v>0</v>
      </c>
      <c r="P9" t="n">
        <v>0</v>
      </c>
      <c r="Q9" t="n">
        <v>0</v>
      </c>
      <c r="R9" t="n">
        <v>0</v>
      </c>
      <c r="S9" t="n">
        <v>255379.687892</v>
      </c>
      <c r="T9" t="n">
        <v>64351.126257</v>
      </c>
      <c r="U9" t="n">
        <v>0</v>
      </c>
      <c r="V9" t="n">
        <v>0</v>
      </c>
      <c r="W9" t="n">
        <v>255379.687892</v>
      </c>
      <c r="X9" t="n">
        <v>255379.687892</v>
      </c>
      <c r="Y9" t="n">
        <v>64351.126257</v>
      </c>
      <c r="Z9" t="n">
        <v>64351.126257</v>
      </c>
      <c r="AA9" t="n">
        <v>337644.578023</v>
      </c>
      <c r="AB9" t="n">
        <v>0</v>
      </c>
    </row>
    <row r="10">
      <c r="A10" t="n">
        <v>6</v>
      </c>
      <c r="B10" t="inlineStr">
        <is>
          <t>Walleye pollock</t>
        </is>
      </c>
      <c r="C10" t="inlineStr">
        <is>
          <t>Regular</t>
        </is>
      </c>
      <c r="D10" t="n">
        <v>3.74445475879728</v>
      </c>
      <c r="E10" t="n">
        <v>0.055</v>
      </c>
      <c r="F10" t="n">
        <v>0.997</v>
      </c>
      <c r="G10" t="n">
        <v>2.475</v>
      </c>
      <c r="H10" t="n">
        <v>0</v>
      </c>
      <c r="I10" t="n">
        <v>0</v>
      </c>
      <c r="J10" t="n">
        <v>443.195755</v>
      </c>
      <c r="K10" t="n">
        <v>81.75704899999999</v>
      </c>
      <c r="L10" t="n">
        <v>137.489537</v>
      </c>
      <c r="M10" t="n">
        <v>811.720325</v>
      </c>
      <c r="N10" t="n">
        <v>815.797919</v>
      </c>
      <c r="O10" t="n">
        <v>813.3505249999999</v>
      </c>
      <c r="P10" t="n">
        <v>2253.718568</v>
      </c>
      <c r="Q10" t="n">
        <v>2253.718568</v>
      </c>
      <c r="R10" t="n">
        <v>2289.42298</v>
      </c>
      <c r="S10" t="n">
        <v>1171.939357</v>
      </c>
      <c r="T10" t="n">
        <v>356.671565</v>
      </c>
      <c r="U10" t="n">
        <v>2289.42298</v>
      </c>
      <c r="V10" t="n">
        <v>2253.718568</v>
      </c>
      <c r="W10" t="n">
        <v>1171.939357</v>
      </c>
      <c r="X10" t="n">
        <v>1171.939357</v>
      </c>
      <c r="Y10" t="n">
        <v>356.671565</v>
      </c>
      <c r="Z10" t="n">
        <v>356.671565</v>
      </c>
      <c r="AA10" t="n">
        <v>1571.516222</v>
      </c>
      <c r="AB10" t="n">
        <v>2351.35201</v>
      </c>
    </row>
    <row r="11">
      <c r="A11" t="n">
        <v>7</v>
      </c>
      <c r="B11" t="inlineStr">
        <is>
          <t>Juv. pollock</t>
        </is>
      </c>
      <c r="C11" t="inlineStr">
        <is>
          <t>Regular</t>
        </is>
      </c>
      <c r="D11" t="n">
        <v>3.753316151048269</v>
      </c>
      <c r="E11" t="n">
        <v>0.04471544715447155</v>
      </c>
      <c r="F11" t="n">
        <v>1</v>
      </c>
      <c r="G11" t="n">
        <v>2.119</v>
      </c>
      <c r="H11" t="n">
        <v>0</v>
      </c>
      <c r="I11" t="n">
        <v>0</v>
      </c>
      <c r="J11" t="n">
        <v>472.108876</v>
      </c>
      <c r="K11" t="n">
        <v>85.5774</v>
      </c>
      <c r="L11" t="n">
        <v>143.490509</v>
      </c>
      <c r="M11" t="n">
        <v>948.264646</v>
      </c>
      <c r="N11" t="n">
        <v>949.053915</v>
      </c>
      <c r="O11" t="n">
        <v>949.053915</v>
      </c>
      <c r="P11" t="n">
        <v>2485.821532</v>
      </c>
      <c r="Q11" t="n">
        <v>2485.821532</v>
      </c>
      <c r="R11" t="n">
        <v>2525.626763</v>
      </c>
      <c r="S11" t="n">
        <v>1406.970706</v>
      </c>
      <c r="T11" t="n">
        <v>438.897648</v>
      </c>
      <c r="U11" t="n">
        <v>2525.626763</v>
      </c>
      <c r="V11" t="n">
        <v>2485.821532</v>
      </c>
      <c r="W11" t="n">
        <v>1406.970706</v>
      </c>
      <c r="X11" t="n">
        <v>1406.970706</v>
      </c>
      <c r="Y11" t="n">
        <v>438.897648</v>
      </c>
      <c r="Z11" t="n">
        <v>438.897648</v>
      </c>
      <c r="AA11" t="n">
        <v>1890.215469</v>
      </c>
      <c r="AB11" t="n">
        <v>2766.021117</v>
      </c>
    </row>
    <row r="12">
      <c r="A12" t="n">
        <v>8</v>
      </c>
      <c r="B12" t="inlineStr">
        <is>
          <t>Pacific herring</t>
        </is>
      </c>
      <c r="C12" t="inlineStr">
        <is>
          <t>Regular</t>
        </is>
      </c>
      <c r="D12" t="n">
        <v>3.953399257747084</v>
      </c>
      <c r="E12" t="n">
        <v>0.08178053830227744</v>
      </c>
      <c r="F12" t="n">
        <v>0.8070000000000001</v>
      </c>
      <c r="G12" t="n">
        <v>0.8179999999999999</v>
      </c>
      <c r="H12" t="n">
        <v>0</v>
      </c>
      <c r="I12" t="n">
        <v>0</v>
      </c>
      <c r="J12" t="n">
        <v>614.061386</v>
      </c>
      <c r="K12" t="n">
        <v>103.481369</v>
      </c>
      <c r="L12" t="n">
        <v>102.762126</v>
      </c>
      <c r="M12" t="n">
        <v>206.633066</v>
      </c>
      <c r="N12" t="n">
        <v>206.633066</v>
      </c>
      <c r="O12" t="n">
        <v>166.752884</v>
      </c>
      <c r="P12" t="n">
        <v>674.695058</v>
      </c>
      <c r="Q12" t="n">
        <v>674.695058</v>
      </c>
      <c r="R12" t="n">
        <v>685.237148</v>
      </c>
      <c r="S12" t="n">
        <v>543.540581</v>
      </c>
      <c r="T12" t="n">
        <v>184.067328</v>
      </c>
      <c r="U12" t="n">
        <v>685.237148</v>
      </c>
      <c r="V12" t="n">
        <v>674.695058</v>
      </c>
      <c r="W12" t="n">
        <v>543.540581</v>
      </c>
      <c r="X12" t="n">
        <v>543.540581</v>
      </c>
      <c r="Y12" t="n">
        <v>184.067328</v>
      </c>
      <c r="Z12" t="n">
        <v>184.067328</v>
      </c>
      <c r="AA12" t="n">
        <v>701.579329</v>
      </c>
      <c r="AB12" t="n">
        <v>748.502657</v>
      </c>
    </row>
    <row r="13">
      <c r="A13" t="n">
        <v>9</v>
      </c>
      <c r="B13" t="inlineStr">
        <is>
          <t>Salmon</t>
        </is>
      </c>
      <c r="C13" t="inlineStr">
        <is>
          <t>Regular</t>
        </is>
      </c>
      <c r="D13" t="n">
        <v>3.877820521458073</v>
      </c>
      <c r="E13" t="n">
        <v>0.6392694063926941</v>
      </c>
      <c r="F13" t="n">
        <v>0.3029999999999999</v>
      </c>
      <c r="G13" t="n">
        <v>0.147</v>
      </c>
      <c r="H13" t="n">
        <v>0</v>
      </c>
      <c r="I13" t="n">
        <v>0</v>
      </c>
      <c r="J13" t="n">
        <v>537.793674</v>
      </c>
      <c r="K13" t="n">
        <v>94.02452599999999</v>
      </c>
      <c r="L13" t="n">
        <v>104.598466</v>
      </c>
      <c r="M13" t="n">
        <v>157.17606</v>
      </c>
      <c r="N13" t="n">
        <v>157.620728</v>
      </c>
      <c r="O13" t="n">
        <v>47.759081</v>
      </c>
      <c r="P13" t="n">
        <v>685.4069909999999</v>
      </c>
      <c r="Q13" t="n">
        <v>685.4069909999999</v>
      </c>
      <c r="R13" t="n">
        <v>696.719298</v>
      </c>
      <c r="S13" t="n">
        <v>75.247908</v>
      </c>
      <c r="T13" t="n">
        <v>24.548027</v>
      </c>
      <c r="U13" t="n">
        <v>696.719298</v>
      </c>
      <c r="V13" t="n">
        <v>685.4069909999999</v>
      </c>
      <c r="W13" t="n">
        <v>75.247908</v>
      </c>
      <c r="X13" t="n">
        <v>75.247908</v>
      </c>
      <c r="Y13" t="n">
        <v>24.548027</v>
      </c>
      <c r="Z13" t="n">
        <v>24.548027</v>
      </c>
      <c r="AA13" t="n">
        <v>98.758639</v>
      </c>
      <c r="AB13" t="n">
        <v>768.315028</v>
      </c>
    </row>
    <row r="14">
      <c r="A14" t="n">
        <v>10</v>
      </c>
      <c r="B14" t="inlineStr">
        <is>
          <t>Capelin</t>
        </is>
      </c>
      <c r="C14" t="inlineStr">
        <is>
          <t>Regular</t>
        </is>
      </c>
      <c r="D14" t="n">
        <v>3.502415458937198</v>
      </c>
      <c r="E14" t="n">
        <v>0.1111111111111111</v>
      </c>
      <c r="F14" t="n">
        <v>0.801</v>
      </c>
      <c r="G14" t="n">
        <v>2.58</v>
      </c>
      <c r="H14" t="n">
        <v>0</v>
      </c>
      <c r="I14" t="n">
        <v>0</v>
      </c>
      <c r="J14" t="n">
        <v>260.615355</v>
      </c>
      <c r="K14" t="n">
        <v>55.704276</v>
      </c>
      <c r="L14" t="n">
        <v>66.983902</v>
      </c>
      <c r="M14" t="n">
        <v>104.246048</v>
      </c>
      <c r="N14" t="n">
        <v>104.246048</v>
      </c>
      <c r="O14" t="n">
        <v>83.501085</v>
      </c>
      <c r="P14" t="n">
        <v>284.82933</v>
      </c>
      <c r="Q14" t="n">
        <v>284.82933</v>
      </c>
      <c r="R14" t="n">
        <v>289.283341</v>
      </c>
      <c r="S14" t="n">
        <v>227.729646</v>
      </c>
      <c r="T14" t="n">
        <v>82.51450199999999</v>
      </c>
      <c r="U14" t="n">
        <v>289.283341</v>
      </c>
      <c r="V14" t="n">
        <v>284.82933</v>
      </c>
      <c r="W14" t="n">
        <v>227.729646</v>
      </c>
      <c r="X14" t="n">
        <v>227.729646</v>
      </c>
      <c r="Y14" t="n">
        <v>82.51450199999999</v>
      </c>
      <c r="Z14" t="n">
        <v>82.51450199999999</v>
      </c>
      <c r="AA14" t="n">
        <v>299.605637</v>
      </c>
      <c r="AB14" t="n">
        <v>310.178266</v>
      </c>
    </row>
    <row r="15">
      <c r="A15" t="n">
        <v>11</v>
      </c>
      <c r="B15" t="inlineStr">
        <is>
          <t>Pacific Sardine</t>
        </is>
      </c>
      <c r="C15" t="inlineStr">
        <is>
          <t>Regular</t>
        </is>
      </c>
      <c r="D15" t="n">
        <v>2.157531400966184</v>
      </c>
      <c r="E15" t="n">
        <v>0.1288936627282492</v>
      </c>
      <c r="F15" t="n">
        <v>0.8120000000000001</v>
      </c>
      <c r="G15" t="n">
        <v>0.667</v>
      </c>
      <c r="H15" t="n">
        <v>0</v>
      </c>
      <c r="I15" t="n">
        <v>0</v>
      </c>
      <c r="J15" t="n">
        <v>14.256076</v>
      </c>
      <c r="K15" t="n">
        <v>6.82216</v>
      </c>
      <c r="L15" t="n">
        <v>9.974088999999999</v>
      </c>
      <c r="M15" t="n">
        <v>16.077349</v>
      </c>
      <c r="N15" t="n">
        <v>16.077349</v>
      </c>
      <c r="O15" t="n">
        <v>13.054808</v>
      </c>
      <c r="P15" t="n">
        <v>22.182506</v>
      </c>
      <c r="Q15" t="n">
        <v>22.182506</v>
      </c>
      <c r="R15" t="n">
        <v>22.399947</v>
      </c>
      <c r="S15" t="n">
        <v>18.034849</v>
      </c>
      <c r="T15" t="n">
        <v>10.353095</v>
      </c>
      <c r="U15" t="n">
        <v>22.399947</v>
      </c>
      <c r="V15" t="n">
        <v>22.182506</v>
      </c>
      <c r="W15" t="n">
        <v>18.034849</v>
      </c>
      <c r="X15" t="n">
        <v>18.034849</v>
      </c>
      <c r="Y15" t="n">
        <v>10.353095</v>
      </c>
      <c r="Z15" t="n">
        <v>10.353095</v>
      </c>
      <c r="AA15" t="n">
        <v>20.670316</v>
      </c>
      <c r="AB15" t="n">
        <v>23.720116</v>
      </c>
    </row>
    <row r="16">
      <c r="A16" t="n">
        <v>12</v>
      </c>
      <c r="B16" t="inlineStr">
        <is>
          <t>Other Gadidae</t>
        </is>
      </c>
      <c r="C16" t="inlineStr">
        <is>
          <t>Regular</t>
        </is>
      </c>
      <c r="D16" t="n">
        <v>3.916894441410394</v>
      </c>
      <c r="E16" t="n">
        <v>0.05193578847969783</v>
      </c>
      <c r="F16" t="n">
        <v>0.35</v>
      </c>
      <c r="G16" t="n">
        <v>0.306</v>
      </c>
      <c r="H16" t="n">
        <v>0</v>
      </c>
      <c r="I16" t="n">
        <v>0</v>
      </c>
      <c r="J16" t="n">
        <v>707.656366</v>
      </c>
      <c r="K16" t="n">
        <v>114.652683</v>
      </c>
      <c r="L16" t="n">
        <v>277.542915</v>
      </c>
      <c r="M16" t="n">
        <v>7317.526805</v>
      </c>
      <c r="N16" t="n">
        <v>9118.647223</v>
      </c>
      <c r="O16" t="n">
        <v>3191.526528</v>
      </c>
      <c r="P16" t="n">
        <v>-469569.202248</v>
      </c>
      <c r="Q16" t="n">
        <v>-469569.202248</v>
      </c>
      <c r="R16" t="n">
        <v>-477319.412817</v>
      </c>
      <c r="S16" t="n">
        <v>17690.132028</v>
      </c>
      <c r="T16" t="n">
        <v>1835.974421</v>
      </c>
      <c r="U16" t="n">
        <v>-477319.412817</v>
      </c>
      <c r="V16" t="n">
        <v>-469569.202248</v>
      </c>
      <c r="W16" t="n">
        <v>17690.132028</v>
      </c>
      <c r="X16" t="n">
        <v>17690.132028</v>
      </c>
      <c r="Y16" t="n">
        <v>1835.974421</v>
      </c>
      <c r="Z16" t="n">
        <v>1835.974421</v>
      </c>
      <c r="AA16" t="n">
        <v>68000.609192</v>
      </c>
      <c r="AB16" t="n">
        <v>1645094.341484</v>
      </c>
    </row>
    <row r="17">
      <c r="A17" t="n">
        <v>13</v>
      </c>
      <c r="B17" t="inlineStr">
        <is>
          <t>Pleuronectidae</t>
        </is>
      </c>
      <c r="C17" t="inlineStr">
        <is>
          <t>Regular</t>
        </is>
      </c>
      <c r="D17" t="n">
        <v>3.394774023413718</v>
      </c>
      <c r="E17" t="n">
        <v>0.132013201320132</v>
      </c>
      <c r="F17" t="n">
        <v>1</v>
      </c>
      <c r="G17" t="n">
        <v>1.186</v>
      </c>
      <c r="H17" t="n">
        <v>0</v>
      </c>
      <c r="I17" t="n">
        <v>0</v>
      </c>
      <c r="J17" t="n">
        <v>233.24334</v>
      </c>
      <c r="K17" t="n">
        <v>51.41196</v>
      </c>
      <c r="L17" t="n">
        <v>126.519418</v>
      </c>
      <c r="M17" t="n">
        <v>324.117476</v>
      </c>
      <c r="N17" t="n">
        <v>325.251045</v>
      </c>
      <c r="O17" t="n">
        <v>325.251045</v>
      </c>
      <c r="P17" t="n">
        <v>2211.992883</v>
      </c>
      <c r="Q17" t="n">
        <v>2211.992883</v>
      </c>
      <c r="R17" t="n">
        <v>2248.486658</v>
      </c>
      <c r="S17" t="n">
        <v>1061.044702</v>
      </c>
      <c r="T17" t="n">
        <v>181.154642</v>
      </c>
      <c r="U17" t="n">
        <v>2248.486658</v>
      </c>
      <c r="V17" t="n">
        <v>2211.992883</v>
      </c>
      <c r="W17" t="n">
        <v>1061.044702</v>
      </c>
      <c r="X17" t="n">
        <v>1061.044702</v>
      </c>
      <c r="Y17" t="n">
        <v>181.154642</v>
      </c>
      <c r="Z17" t="n">
        <v>181.154642</v>
      </c>
      <c r="AA17" t="n">
        <v>1563.239343</v>
      </c>
      <c r="AB17" t="n">
        <v>2786.139764</v>
      </c>
    </row>
    <row r="18">
      <c r="A18" t="n">
        <v>14</v>
      </c>
      <c r="B18" t="inlineStr">
        <is>
          <t>Cottidae</t>
        </is>
      </c>
      <c r="C18" t="inlineStr">
        <is>
          <t>Regular</t>
        </is>
      </c>
      <c r="D18" t="n">
        <v>4.267368892965685</v>
      </c>
      <c r="E18" t="n">
        <v>0.1495327102803738</v>
      </c>
      <c r="F18" t="n">
        <v>1</v>
      </c>
      <c r="G18" t="n">
        <v>0.212</v>
      </c>
      <c r="H18" t="n">
        <v>0</v>
      </c>
      <c r="I18" t="n">
        <v>0</v>
      </c>
      <c r="J18" t="n">
        <v>1149.569644</v>
      </c>
      <c r="K18" t="n">
        <v>162.799447</v>
      </c>
      <c r="L18" t="n">
        <v>419.131933</v>
      </c>
      <c r="M18" t="n">
        <v>2742.002622</v>
      </c>
      <c r="N18" t="n">
        <v>2757.825175</v>
      </c>
      <c r="O18" t="n">
        <v>2757.825175</v>
      </c>
      <c r="P18" t="n">
        <v>-359527.304873</v>
      </c>
      <c r="Q18" t="n">
        <v>-359527.304873</v>
      </c>
      <c r="R18" t="n">
        <v>-365461.599844</v>
      </c>
      <c r="S18" t="n">
        <v>27122.648392</v>
      </c>
      <c r="T18" t="n">
        <v>2098.815049</v>
      </c>
      <c r="U18" t="n">
        <v>-365461.599844</v>
      </c>
      <c r="V18" t="n">
        <v>-359527.304873</v>
      </c>
      <c r="W18" t="n">
        <v>27122.648392</v>
      </c>
      <c r="X18" t="n">
        <v>27122.648392</v>
      </c>
      <c r="Y18" t="n">
        <v>2098.815049</v>
      </c>
      <c r="Z18" t="n">
        <v>2098.815049</v>
      </c>
      <c r="AA18" t="n">
        <v>125580.958039</v>
      </c>
      <c r="AB18" t="n">
        <v>1095224.597367</v>
      </c>
    </row>
    <row r="19">
      <c r="A19" t="n">
        <v>15</v>
      </c>
      <c r="B19" t="inlineStr">
        <is>
          <t>Other bottom fishes</t>
        </is>
      </c>
      <c r="C19" t="inlineStr">
        <is>
          <t>Regular</t>
        </is>
      </c>
      <c r="D19" t="n">
        <v>3.856616903690124</v>
      </c>
      <c r="E19" t="n">
        <v>0.1557632398753894</v>
      </c>
      <c r="F19" t="n">
        <v>1</v>
      </c>
      <c r="G19" t="n">
        <v>0.515</v>
      </c>
      <c r="H19" t="n">
        <v>0</v>
      </c>
      <c r="I19" t="n">
        <v>0</v>
      </c>
      <c r="J19" t="n">
        <v>458.549467</v>
      </c>
      <c r="K19" t="n">
        <v>83.79409699999999</v>
      </c>
      <c r="L19" t="n">
        <v>218.423557</v>
      </c>
      <c r="M19" t="n">
        <v>526.492157</v>
      </c>
      <c r="N19" t="n">
        <v>541.5331169999999</v>
      </c>
      <c r="O19" t="n">
        <v>541.5331169999999</v>
      </c>
      <c r="P19" t="n">
        <v>4898.328707</v>
      </c>
      <c r="Q19" t="n">
        <v>4898.328707</v>
      </c>
      <c r="R19" t="n">
        <v>4977.981343</v>
      </c>
      <c r="S19" t="n">
        <v>2326.130383</v>
      </c>
      <c r="T19" t="n">
        <v>441.451478</v>
      </c>
      <c r="U19" t="n">
        <v>4977.981343</v>
      </c>
      <c r="V19" t="n">
        <v>4898.328707</v>
      </c>
      <c r="W19" t="n">
        <v>2326.130383</v>
      </c>
      <c r="X19" t="n">
        <v>2326.130383</v>
      </c>
      <c r="Y19" t="n">
        <v>441.451478</v>
      </c>
      <c r="Z19" t="n">
        <v>441.451478</v>
      </c>
      <c r="AA19" t="n">
        <v>3363.787374</v>
      </c>
      <c r="AB19" t="n">
        <v>6233.03529</v>
      </c>
    </row>
    <row r="20">
      <c r="A20" t="n">
        <v>16</v>
      </c>
      <c r="B20" t="inlineStr">
        <is>
          <t>Ammodytidae</t>
        </is>
      </c>
      <c r="C20" t="inlineStr">
        <is>
          <t>Regular</t>
        </is>
      </c>
      <c r="D20" t="n">
        <v>3.003038647342995</v>
      </c>
      <c r="E20" t="n">
        <v>0.1111111111111111</v>
      </c>
      <c r="F20" t="n">
        <v>0.508</v>
      </c>
      <c r="G20" t="n">
        <v>0.314</v>
      </c>
      <c r="H20" t="n">
        <v>0</v>
      </c>
      <c r="I20" t="n">
        <v>0</v>
      </c>
      <c r="J20" t="n">
        <v>100.461579</v>
      </c>
      <c r="K20" t="n">
        <v>27.971595</v>
      </c>
      <c r="L20" t="n">
        <v>31.859625</v>
      </c>
      <c r="M20" t="n">
        <v>94.463189</v>
      </c>
      <c r="N20" t="n">
        <v>94.463189</v>
      </c>
      <c r="O20" t="n">
        <v>47.9873</v>
      </c>
      <c r="P20" t="n">
        <v>92.596847</v>
      </c>
      <c r="Q20" t="n">
        <v>92.596847</v>
      </c>
      <c r="R20" t="n">
        <v>94.628894</v>
      </c>
      <c r="S20" t="n">
        <v>29.973178</v>
      </c>
      <c r="T20" t="n">
        <v>17.402106</v>
      </c>
      <c r="U20" t="n">
        <v>94.628894</v>
      </c>
      <c r="V20" t="n">
        <v>92.596847</v>
      </c>
      <c r="W20" t="n">
        <v>29.973178</v>
      </c>
      <c r="X20" t="n">
        <v>29.973178</v>
      </c>
      <c r="Y20" t="n">
        <v>17.402106</v>
      </c>
      <c r="Z20" t="n">
        <v>17.402106</v>
      </c>
      <c r="AA20" t="n">
        <v>36.807626</v>
      </c>
      <c r="AB20" t="n">
        <v>94.424628</v>
      </c>
    </row>
    <row r="21">
      <c r="A21" t="n">
        <v>17</v>
      </c>
      <c r="B21" t="inlineStr">
        <is>
          <t>Myctophidae</t>
        </is>
      </c>
      <c r="C21" t="inlineStr">
        <is>
          <t>Regular</t>
        </is>
      </c>
      <c r="D21" t="n">
        <v>3.204574879227053</v>
      </c>
      <c r="E21" t="n">
        <v>0.2191780821917808</v>
      </c>
      <c r="F21" t="n">
        <v>0.503</v>
      </c>
      <c r="G21" t="n">
        <v>1.491</v>
      </c>
      <c r="H21" t="n">
        <v>0</v>
      </c>
      <c r="I21" t="n">
        <v>0</v>
      </c>
      <c r="J21" t="n">
        <v>148.936108</v>
      </c>
      <c r="K21" t="n">
        <v>37.178168</v>
      </c>
      <c r="L21" t="n">
        <v>44.672866</v>
      </c>
      <c r="M21" t="n">
        <v>62.995269</v>
      </c>
      <c r="N21" t="n">
        <v>62.995269</v>
      </c>
      <c r="O21" t="n">
        <v>31.68662</v>
      </c>
      <c r="P21" t="n">
        <v>114.849364</v>
      </c>
      <c r="Q21" t="n">
        <v>114.849364</v>
      </c>
      <c r="R21" t="n">
        <v>116.683229</v>
      </c>
      <c r="S21" t="n">
        <v>56.325565</v>
      </c>
      <c r="T21" t="n">
        <v>23.981422</v>
      </c>
      <c r="U21" t="n">
        <v>116.683229</v>
      </c>
      <c r="V21" t="n">
        <v>114.849364</v>
      </c>
      <c r="W21" t="n">
        <v>56.325565</v>
      </c>
      <c r="X21" t="n">
        <v>56.325565</v>
      </c>
      <c r="Y21" t="n">
        <v>23.981422</v>
      </c>
      <c r="Z21" t="n">
        <v>23.981422</v>
      </c>
      <c r="AA21" t="n">
        <v>68.98159</v>
      </c>
      <c r="AB21" t="n">
        <v>121.84639</v>
      </c>
    </row>
    <row r="22">
      <c r="A22" t="n">
        <v>18</v>
      </c>
      <c r="B22" t="inlineStr">
        <is>
          <t>Bathylagidae</t>
        </is>
      </c>
      <c r="C22" t="inlineStr">
        <is>
          <t>Regular</t>
        </is>
      </c>
      <c r="D22" t="n">
        <v>3.756119284678897</v>
      </c>
      <c r="E22" t="n">
        <v>0.1587301587301587</v>
      </c>
      <c r="F22" t="n">
        <v>0.1380000000000001</v>
      </c>
      <c r="G22" t="n">
        <v>14.698</v>
      </c>
      <c r="H22" t="n">
        <v>0</v>
      </c>
      <c r="I22" t="n">
        <v>0</v>
      </c>
      <c r="J22" t="n">
        <v>433.072664</v>
      </c>
      <c r="K22" t="n">
        <v>80.403265</v>
      </c>
      <c r="L22" t="n">
        <v>90.834756</v>
      </c>
      <c r="M22" t="n">
        <v>595.980811</v>
      </c>
      <c r="N22" t="n">
        <v>596.660103</v>
      </c>
      <c r="O22" t="n">
        <v>82.339094</v>
      </c>
      <c r="P22" t="n">
        <v>1635.350237</v>
      </c>
      <c r="Q22" t="n">
        <v>1635.350237</v>
      </c>
      <c r="R22" t="n">
        <v>1661.441813</v>
      </c>
      <c r="S22" t="n">
        <v>216.520696</v>
      </c>
      <c r="T22" t="n">
        <v>75.94539899999999</v>
      </c>
      <c r="U22" t="n">
        <v>1661.441813</v>
      </c>
      <c r="V22" t="n">
        <v>1635.350237</v>
      </c>
      <c r="W22" t="n">
        <v>216.520696</v>
      </c>
      <c r="X22" t="n">
        <v>216.520696</v>
      </c>
      <c r="Y22" t="n">
        <v>75.94539899999999</v>
      </c>
      <c r="Z22" t="n">
        <v>75.94539899999999</v>
      </c>
      <c r="AA22" t="n">
        <v>288.590309</v>
      </c>
      <c r="AB22" t="n">
        <v>1722.343841</v>
      </c>
    </row>
    <row r="23">
      <c r="A23" t="n">
        <v>19</v>
      </c>
      <c r="B23" t="inlineStr">
        <is>
          <t>Other mesopelagic fishes</t>
        </is>
      </c>
      <c r="C23" t="inlineStr">
        <is>
          <t>Regular</t>
        </is>
      </c>
      <c r="D23" t="n">
        <v>4.092995169082125</v>
      </c>
      <c r="E23" t="n">
        <v>0.117820324005891</v>
      </c>
      <c r="F23" t="n">
        <v>1</v>
      </c>
      <c r="G23" t="n">
        <v>1.578</v>
      </c>
      <c r="H23" t="n">
        <v>0</v>
      </c>
      <c r="I23" t="n">
        <v>0</v>
      </c>
      <c r="J23" t="n">
        <v>803.526122</v>
      </c>
      <c r="K23" t="n">
        <v>125.677499</v>
      </c>
      <c r="L23" t="n">
        <v>112.951356</v>
      </c>
      <c r="M23" t="n">
        <v>125.827898</v>
      </c>
      <c r="N23" t="n">
        <v>125.827898</v>
      </c>
      <c r="O23" t="n">
        <v>125.827898</v>
      </c>
      <c r="P23" t="n">
        <v>424.475085</v>
      </c>
      <c r="Q23" t="n">
        <v>424.475085</v>
      </c>
      <c r="R23" t="n">
        <v>431.098814</v>
      </c>
      <c r="S23" t="n">
        <v>424.184759</v>
      </c>
      <c r="T23" t="n">
        <v>142.184392</v>
      </c>
      <c r="U23" t="n">
        <v>431.098814</v>
      </c>
      <c r="V23" t="n">
        <v>424.475085</v>
      </c>
      <c r="W23" t="n">
        <v>424.184759</v>
      </c>
      <c r="X23" t="n">
        <v>424.184759</v>
      </c>
      <c r="Y23" t="n">
        <v>142.184392</v>
      </c>
      <c r="Z23" t="n">
        <v>142.184392</v>
      </c>
      <c r="AA23" t="n">
        <v>550.623003</v>
      </c>
      <c r="AB23" t="n">
        <v>471.809703</v>
      </c>
    </row>
    <row r="24">
      <c r="A24" t="n">
        <v>20</v>
      </c>
      <c r="B24" t="inlineStr">
        <is>
          <t>Crabs and shrimps</t>
        </is>
      </c>
      <c r="C24" t="inlineStr">
        <is>
          <t>Regular</t>
        </is>
      </c>
      <c r="D24" t="n">
        <v>3.035190378918355</v>
      </c>
      <c r="E24" t="n">
        <v>0.1120448179271709</v>
      </c>
      <c r="F24" t="n">
        <v>1</v>
      </c>
      <c r="G24" t="n">
        <v>2.599</v>
      </c>
      <c r="H24" t="n">
        <v>0</v>
      </c>
      <c r="I24" t="n">
        <v>0</v>
      </c>
      <c r="J24" t="n">
        <v>95.896642</v>
      </c>
      <c r="K24" t="n">
        <v>27.047208</v>
      </c>
      <c r="L24" t="n">
        <v>56.071592</v>
      </c>
      <c r="M24" t="n">
        <v>87.690287</v>
      </c>
      <c r="N24" t="n">
        <v>88.352076</v>
      </c>
      <c r="O24" t="n">
        <v>88.352076</v>
      </c>
      <c r="P24" t="n">
        <v>181.735308</v>
      </c>
      <c r="Q24" t="n">
        <v>181.735308</v>
      </c>
      <c r="R24" t="n">
        <v>185.151605</v>
      </c>
      <c r="S24" t="n">
        <v>112.940911</v>
      </c>
      <c r="T24" t="n">
        <v>44.389715</v>
      </c>
      <c r="U24" t="n">
        <v>185.151605</v>
      </c>
      <c r="V24" t="n">
        <v>181.735308</v>
      </c>
      <c r="W24" t="n">
        <v>112.940911</v>
      </c>
      <c r="X24" t="n">
        <v>112.940911</v>
      </c>
      <c r="Y24" t="n">
        <v>44.389715</v>
      </c>
      <c r="Z24" t="n">
        <v>44.389715</v>
      </c>
      <c r="AA24" t="n">
        <v>155.52695</v>
      </c>
      <c r="AB24" t="n">
        <v>203.433007</v>
      </c>
    </row>
    <row r="25">
      <c r="A25" t="n">
        <v>21</v>
      </c>
      <c r="B25" t="inlineStr">
        <is>
          <t>Squids</t>
        </is>
      </c>
      <c r="C25" t="inlineStr">
        <is>
          <t>Regular</t>
        </is>
      </c>
      <c r="D25" t="n">
        <v>4.187409706042596</v>
      </c>
      <c r="E25" t="n">
        <v>0.5004566210045663</v>
      </c>
      <c r="F25" t="n">
        <v>0.473</v>
      </c>
      <c r="G25" t="n">
        <v>1.541</v>
      </c>
      <c r="H25" t="n">
        <v>0</v>
      </c>
      <c r="I25" t="n">
        <v>0</v>
      </c>
      <c r="J25" t="n">
        <v>957.310082</v>
      </c>
      <c r="K25" t="n">
        <v>142.631647</v>
      </c>
      <c r="L25" t="n">
        <v>119.679026</v>
      </c>
      <c r="M25" t="n">
        <v>66.859093</v>
      </c>
      <c r="N25" t="n">
        <v>71.95407</v>
      </c>
      <c r="O25" t="n">
        <v>34.034275</v>
      </c>
      <c r="P25" t="n">
        <v>245.671067</v>
      </c>
      <c r="Q25" t="n">
        <v>245.671067</v>
      </c>
      <c r="R25" t="n">
        <v>249.518872</v>
      </c>
      <c r="S25" t="n">
        <v>112.246832</v>
      </c>
      <c r="T25" t="n">
        <v>37.014939</v>
      </c>
      <c r="U25" t="n">
        <v>249.518872</v>
      </c>
      <c r="V25" t="n">
        <v>245.671067</v>
      </c>
      <c r="W25" t="n">
        <v>112.246832</v>
      </c>
      <c r="X25" t="n">
        <v>112.246832</v>
      </c>
      <c r="Y25" t="n">
        <v>37.014939</v>
      </c>
      <c r="Z25" t="n">
        <v>37.014939</v>
      </c>
      <c r="AA25" t="n">
        <v>147.581283</v>
      </c>
      <c r="AB25" t="n">
        <v>273.218985</v>
      </c>
    </row>
    <row r="26">
      <c r="A26" t="n">
        <v>22</v>
      </c>
      <c r="B26" t="inlineStr">
        <is>
          <t>Jellyfish</t>
        </is>
      </c>
      <c r="C26" t="inlineStr">
        <is>
          <t>Regular</t>
        </is>
      </c>
      <c r="D26" t="n">
        <v>3.328540248132356</v>
      </c>
      <c r="E26" t="n">
        <v>0.5</v>
      </c>
      <c r="F26" t="n">
        <v>0.02500000000000002</v>
      </c>
      <c r="G26" t="n">
        <v>0.98</v>
      </c>
      <c r="H26" t="n">
        <v>0</v>
      </c>
      <c r="I26" t="n">
        <v>0</v>
      </c>
      <c r="J26" t="n">
        <v>192.167837</v>
      </c>
      <c r="K26" t="n">
        <v>44.696122</v>
      </c>
      <c r="L26" t="n">
        <v>82.346732</v>
      </c>
      <c r="M26" t="n">
        <v>2095.248026</v>
      </c>
      <c r="N26" t="n">
        <v>2102.656168</v>
      </c>
      <c r="O26" t="n">
        <v>52.566404</v>
      </c>
      <c r="P26" t="n">
        <v>13084.005263</v>
      </c>
      <c r="Q26" t="n">
        <v>13084.005263</v>
      </c>
      <c r="R26" t="n">
        <v>13306.933792</v>
      </c>
      <c r="S26" t="n">
        <v>79.878041</v>
      </c>
      <c r="T26" t="n">
        <v>25.489001</v>
      </c>
      <c r="U26" t="n">
        <v>13306.933792</v>
      </c>
      <c r="V26" t="n">
        <v>13084.005263</v>
      </c>
      <c r="W26" t="n">
        <v>79.878041</v>
      </c>
      <c r="X26" t="n">
        <v>79.878041</v>
      </c>
      <c r="Y26" t="n">
        <v>25.489001</v>
      </c>
      <c r="Z26" t="n">
        <v>25.489001</v>
      </c>
      <c r="AA26" t="n">
        <v>106.21969</v>
      </c>
      <c r="AB26" t="n">
        <v>14877.937413</v>
      </c>
    </row>
    <row r="27">
      <c r="A27" t="n">
        <v>23</v>
      </c>
      <c r="B27" t="inlineStr">
        <is>
          <t>Carnivorous invertebrates</t>
        </is>
      </c>
      <c r="C27" t="inlineStr">
        <is>
          <t>Regular</t>
        </is>
      </c>
      <c r="D27" t="n">
        <v>3</v>
      </c>
      <c r="E27" t="n">
        <v>0.1484593837535014</v>
      </c>
      <c r="F27" t="n">
        <v>0.8110000000000001</v>
      </c>
      <c r="G27" t="n">
        <v>12.948</v>
      </c>
      <c r="H27" t="n">
        <v>0</v>
      </c>
      <c r="I27" t="n">
        <v>0</v>
      </c>
      <c r="J27" t="n">
        <v>100</v>
      </c>
      <c r="K27" t="n">
        <v>27.878664</v>
      </c>
      <c r="L27" t="n">
        <v>27.878664</v>
      </c>
      <c r="M27" t="n">
        <v>35.33173</v>
      </c>
      <c r="N27" t="n">
        <v>35.33173</v>
      </c>
      <c r="O27" t="n">
        <v>28.654033</v>
      </c>
      <c r="P27" t="n">
        <v>33.321302</v>
      </c>
      <c r="Q27" t="n">
        <v>33.321302</v>
      </c>
      <c r="R27" t="n">
        <v>34.061672</v>
      </c>
      <c r="S27" t="n">
        <v>17.349743</v>
      </c>
      <c r="T27" t="n">
        <v>10.872137</v>
      </c>
      <c r="U27" t="n">
        <v>34.061672</v>
      </c>
      <c r="V27" t="n">
        <v>33.321302</v>
      </c>
      <c r="W27" t="n">
        <v>17.349743</v>
      </c>
      <c r="X27" t="n">
        <v>17.349743</v>
      </c>
      <c r="Y27" t="n">
        <v>10.872137</v>
      </c>
      <c r="Z27" t="n">
        <v>10.872137</v>
      </c>
      <c r="AA27" t="n">
        <v>21.371774</v>
      </c>
      <c r="AB27" t="n">
        <v>35.712118</v>
      </c>
    </row>
    <row r="28">
      <c r="A28" t="n">
        <v>24</v>
      </c>
      <c r="B28" t="inlineStr">
        <is>
          <t>2nd level benthos</t>
        </is>
      </c>
      <c r="C28" t="inlineStr">
        <is>
          <t>Regular</t>
        </is>
      </c>
      <c r="D28" t="n">
        <v>2</v>
      </c>
      <c r="E28" t="n">
        <v>0.4564564564564564</v>
      </c>
      <c r="F28" t="n">
        <v>0.515</v>
      </c>
      <c r="G28" t="n">
        <v>143.052</v>
      </c>
      <c r="H28" t="n">
        <v>0</v>
      </c>
      <c r="I28" t="n">
        <v>0</v>
      </c>
      <c r="J28" t="n">
        <v>10</v>
      </c>
      <c r="K28" t="n">
        <v>5.280025</v>
      </c>
      <c r="L28" t="n">
        <v>5.280025</v>
      </c>
      <c r="M28" t="n">
        <v>4.25396</v>
      </c>
      <c r="N28" t="n">
        <v>4.25396</v>
      </c>
      <c r="O28" t="n">
        <v>2.190789</v>
      </c>
      <c r="P28" t="n">
        <v>4.011903</v>
      </c>
      <c r="Q28" t="n">
        <v>4.011903</v>
      </c>
      <c r="R28" t="n">
        <v>4.101044</v>
      </c>
      <c r="S28" t="n">
        <v>2.575732</v>
      </c>
      <c r="T28" t="n">
        <v>2.017588</v>
      </c>
      <c r="U28" t="n">
        <v>4.101044</v>
      </c>
      <c r="V28" t="n">
        <v>4.011903</v>
      </c>
      <c r="W28" t="n">
        <v>2.575732</v>
      </c>
      <c r="X28" t="n">
        <v>2.575732</v>
      </c>
      <c r="Y28" t="n">
        <v>2.017588</v>
      </c>
      <c r="Z28" t="n">
        <v>2.017588</v>
      </c>
      <c r="AA28" t="n">
        <v>3.13337</v>
      </c>
      <c r="AB28" t="n">
        <v>4.076903</v>
      </c>
    </row>
    <row r="29">
      <c r="A29" t="n">
        <v>25</v>
      </c>
      <c r="B29" t="inlineStr">
        <is>
          <t>Predatory zooplankton</t>
        </is>
      </c>
      <c r="C29" t="inlineStr">
        <is>
          <t>Regular</t>
        </is>
      </c>
      <c r="D29" t="n">
        <v>3.207729468599033</v>
      </c>
      <c r="E29" t="n">
        <v>0.2388316151202749</v>
      </c>
      <c r="F29" t="n">
        <v>0.998</v>
      </c>
      <c r="G29" t="n">
        <v>86.792</v>
      </c>
      <c r="H29" t="n">
        <v>0</v>
      </c>
      <c r="I29" t="n">
        <v>0</v>
      </c>
      <c r="J29" t="n">
        <v>100</v>
      </c>
      <c r="K29" t="n">
        <v>27.878664</v>
      </c>
      <c r="L29" t="n">
        <v>23.083534</v>
      </c>
      <c r="M29" t="n">
        <v>15.902552</v>
      </c>
      <c r="N29" t="n">
        <v>15.902552</v>
      </c>
      <c r="O29" t="n">
        <v>15.870747</v>
      </c>
      <c r="P29" t="n">
        <v>54.802734</v>
      </c>
      <c r="Q29" t="n">
        <v>54.802734</v>
      </c>
      <c r="R29" t="n">
        <v>55.657759</v>
      </c>
      <c r="S29" t="n">
        <v>54.76999</v>
      </c>
      <c r="T29" t="n">
        <v>22.781037</v>
      </c>
      <c r="U29" t="n">
        <v>55.657759</v>
      </c>
      <c r="V29" t="n">
        <v>54.802734</v>
      </c>
      <c r="W29" t="n">
        <v>54.76999</v>
      </c>
      <c r="X29" t="n">
        <v>54.76999</v>
      </c>
      <c r="Y29" t="n">
        <v>22.781037</v>
      </c>
      <c r="Z29" t="n">
        <v>22.781037</v>
      </c>
      <c r="AA29" t="n">
        <v>69.83072300000001</v>
      </c>
      <c r="AB29" t="n">
        <v>59.779156</v>
      </c>
    </row>
    <row r="30">
      <c r="A30" t="n">
        <v>26</v>
      </c>
      <c r="B30" t="inlineStr">
        <is>
          <t>Herbivorous zooplankton</t>
        </is>
      </c>
      <c r="C30" t="inlineStr">
        <is>
          <t>Regular</t>
        </is>
      </c>
      <c r="D30" t="n">
        <v>2</v>
      </c>
      <c r="E30" t="n">
        <v>0.2545973367152822</v>
      </c>
      <c r="F30" t="n">
        <v>0.858</v>
      </c>
      <c r="G30" t="n">
        <v>197.48</v>
      </c>
      <c r="H30" t="n">
        <v>0</v>
      </c>
      <c r="I30" t="n">
        <v>0</v>
      </c>
      <c r="J30" t="n">
        <v>10</v>
      </c>
      <c r="K30" t="n">
        <v>5.280025</v>
      </c>
      <c r="L30" t="n">
        <v>5.280025</v>
      </c>
      <c r="M30" t="n">
        <v>4.577822</v>
      </c>
      <c r="N30" t="n">
        <v>4.577822</v>
      </c>
      <c r="O30" t="n">
        <v>3.927771</v>
      </c>
      <c r="P30" t="n">
        <v>4.391761</v>
      </c>
      <c r="Q30" t="n">
        <v>4.391761</v>
      </c>
      <c r="R30" t="n">
        <v>4.46028</v>
      </c>
      <c r="S30" t="n">
        <v>4.420733</v>
      </c>
      <c r="T30" t="n">
        <v>3.481524</v>
      </c>
      <c r="U30" t="n">
        <v>4.46028</v>
      </c>
      <c r="V30" t="n">
        <v>4.391761</v>
      </c>
      <c r="W30" t="n">
        <v>4.420733</v>
      </c>
      <c r="X30" t="n">
        <v>4.420733</v>
      </c>
      <c r="Y30" t="n">
        <v>3.481524</v>
      </c>
      <c r="Z30" t="n">
        <v>3.481524</v>
      </c>
      <c r="AA30" t="n">
        <v>5.128466</v>
      </c>
      <c r="AB30" t="n">
        <v>4.505329</v>
      </c>
    </row>
    <row r="31">
      <c r="A31" t="n">
        <v>27</v>
      </c>
      <c r="B31" t="inlineStr">
        <is>
          <t>Phytobenthos</t>
        </is>
      </c>
      <c r="C31" t="inlineStr">
        <is>
          <t>PP</t>
        </is>
      </c>
      <c r="D31" t="n">
        <v>1</v>
      </c>
      <c r="E31" t="n">
        <v>1</v>
      </c>
      <c r="F31" t="n">
        <v>0.02000000000000002</v>
      </c>
      <c r="G31" t="n">
        <v>12.579</v>
      </c>
      <c r="H31" t="n">
        <v>0</v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  <c r="O31" t="n">
        <v>0.02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</row>
    <row r="32">
      <c r="A32" t="n">
        <v>28</v>
      </c>
      <c r="B32" t="inlineStr">
        <is>
          <t>Phytoplankton</t>
        </is>
      </c>
      <c r="C32" t="inlineStr">
        <is>
          <t>PP</t>
        </is>
      </c>
      <c r="D32" t="n">
        <v>1</v>
      </c>
      <c r="E32" t="n">
        <v>1</v>
      </c>
      <c r="F32" t="n">
        <v>0.123</v>
      </c>
      <c r="G32" t="n">
        <v>160.943</v>
      </c>
      <c r="H32" t="n">
        <v>0</v>
      </c>
      <c r="I32" t="n">
        <v>0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  <c r="O32" t="n">
        <v>0.123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29</v>
      </c>
      <c r="B33" t="inlineStr">
        <is>
          <t>Detritus</t>
        </is>
      </c>
      <c r="C33" t="inlineStr">
        <is>
          <t>DET</t>
        </is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0</v>
      </c>
      <c r="O33" t="n">
        <v>1</v>
      </c>
      <c r="P33" t="n">
        <v>0.918712</v>
      </c>
      <c r="Q33" t="n">
        <v>0.918712</v>
      </c>
      <c r="R33" t="n">
        <v>0.948648</v>
      </c>
      <c r="S33" t="n">
        <v>1.251014</v>
      </c>
      <c r="T33" t="n">
        <v>1.215967</v>
      </c>
      <c r="U33" t="n">
        <v>0.948648</v>
      </c>
      <c r="V33" t="n">
        <v>0.918712</v>
      </c>
      <c r="W33" t="n">
        <v>1.251014</v>
      </c>
      <c r="X33" t="n">
        <v>1.251014</v>
      </c>
      <c r="Y33" t="n">
        <v>1.215967</v>
      </c>
      <c r="Z33" t="n">
        <v>1.215967</v>
      </c>
      <c r="AA33" t="n">
        <v>1.557447</v>
      </c>
      <c r="AB33" t="n">
        <v>0.951559</v>
      </c>
    </row>
    <row r="34">
      <c r="A34" t="n">
        <v>30</v>
      </c>
      <c r="B34" t="inlineStr">
        <is>
          <t>diet_import</t>
        </is>
      </c>
      <c r="C34" t="inlineStr">
        <is>
          <t>Import</t>
        </is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W34" t="n">
        <v>1</v>
      </c>
      <c r="Y34" t="n">
        <v>1</v>
      </c>
      <c r="AA34" t="n">
        <v>1</v>
      </c>
      <c r="AB3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1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19" t="inlineStr">
        <is>
          <t>year</t>
        </is>
      </c>
      <c r="B3" s="19" t="inlineStr">
        <is>
          <t>npp_antoinemorel_tC_yr</t>
        </is>
      </c>
      <c r="C3" s="19" t="inlineStr">
        <is>
          <t>npp_vgpm_tC_yr</t>
        </is>
      </c>
      <c r="D3" s="19" t="inlineStr">
        <is>
          <t>npp_eppley_tC_yr</t>
        </is>
      </c>
      <c r="E3" s="19" t="inlineStr">
        <is>
          <t>npp_cbpm_tC_yr</t>
        </is>
      </c>
      <c r="F3" s="19" t="inlineStr">
        <is>
          <t>npp_cafe_tC_yr</t>
        </is>
      </c>
      <c r="G3" s="19" t="inlineStr">
        <is>
          <t>ens_median_tC_yr</t>
        </is>
      </c>
      <c r="H3" s="19" t="inlineStr">
        <is>
          <t>ens_min_tC_yr</t>
        </is>
      </c>
      <c r="I3" s="19" t="inlineStr">
        <is>
          <t>ens_max_tC_yr</t>
        </is>
      </c>
      <c r="J3" s="19" t="inlineStr">
        <is>
          <t>status</t>
        </is>
      </c>
      <c r="K3" s="19" t="inlineStr">
        <is>
          <t>reason</t>
        </is>
      </c>
      <c r="L3" s="19" t="inlineStr">
        <is>
          <t>provenance</t>
        </is>
      </c>
      <c r="M3" s="19" t="inlineStr">
        <is>
          <t>n_models</t>
        </is>
      </c>
      <c r="N3" s="19" t="inlineStr">
        <is>
          <t>available_models</t>
        </is>
      </c>
      <c r="O3" s="19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331148371.4906769</v>
      </c>
      <c r="G52" t="n">
        <v>331148371.4906769</v>
      </c>
      <c r="H52" t="n">
        <v>331148371.4906769</v>
      </c>
      <c r="I52" t="n">
        <v>331148371.4906769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315563856.3996802</v>
      </c>
      <c r="G53" t="n">
        <v>315563856.3996802</v>
      </c>
      <c r="H53" t="n">
        <v>315563856.3996802</v>
      </c>
      <c r="I53" t="n">
        <v>315563856.3996802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297449409.8808476</v>
      </c>
      <c r="G54" t="n">
        <v>297449409.8808476</v>
      </c>
      <c r="H54" t="n">
        <v>297449409.8808476</v>
      </c>
      <c r="I54" t="n">
        <v>297449409.8808476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J55" t="inlineStr">
        <is>
          <t>pending</t>
        </is>
      </c>
      <c r="K55" t="inlineStr">
        <is>
          <t>complete source year available; not yet extracted</t>
        </is>
      </c>
      <c r="L55" t="inlineStr"/>
      <c r="M55" t="n">
        <v>0</v>
      </c>
      <c r="N55" t="inlineStr"/>
      <c r="O55" t="inlineStr"/>
    </row>
    <row r="56">
      <c r="A56" t="n">
        <v>2002</v>
      </c>
      <c r="J56" t="inlineStr">
        <is>
          <t>pending</t>
        </is>
      </c>
      <c r="K56" t="inlineStr">
        <is>
          <t>complete source year available; not yet extracted</t>
        </is>
      </c>
      <c r="L56" t="inlineStr"/>
      <c r="M56" t="n">
        <v>0</v>
      </c>
      <c r="N56" t="inlineStr"/>
      <c r="O56" t="inlineStr"/>
    </row>
    <row r="57">
      <c r="A57" t="n">
        <v>2003</v>
      </c>
      <c r="J57" t="inlineStr">
        <is>
          <t>pending</t>
        </is>
      </c>
      <c r="K57" t="inlineStr">
        <is>
          <t>complete source year available; not yet extracted</t>
        </is>
      </c>
      <c r="L57" t="inlineStr"/>
      <c r="M57" t="n">
        <v>0</v>
      </c>
      <c r="N57" t="inlineStr"/>
      <c r="O57" t="inlineStr"/>
    </row>
    <row r="58">
      <c r="A58" t="n">
        <v>2004</v>
      </c>
      <c r="J58" t="inlineStr">
        <is>
          <t>pending</t>
        </is>
      </c>
      <c r="K58" t="inlineStr">
        <is>
          <t>complete source year available; not yet extracted</t>
        </is>
      </c>
      <c r="L58" t="inlineStr"/>
      <c r="M58" t="n">
        <v>0</v>
      </c>
      <c r="N58" t="inlineStr"/>
      <c r="O58" t="inlineStr"/>
    </row>
    <row r="59">
      <c r="A59" t="n">
        <v>2005</v>
      </c>
      <c r="J59" t="inlineStr">
        <is>
          <t>pending</t>
        </is>
      </c>
      <c r="K59" t="inlineStr">
        <is>
          <t>complete source year available; not yet extracted</t>
        </is>
      </c>
      <c r="L59" t="inlineStr"/>
      <c r="M59" t="n">
        <v>0</v>
      </c>
      <c r="N59" t="inlineStr"/>
      <c r="O59" t="inlineStr"/>
    </row>
    <row r="60">
      <c r="A60" t="n">
        <v>2006</v>
      </c>
      <c r="J60" t="inlineStr">
        <is>
          <t>pending</t>
        </is>
      </c>
      <c r="K60" t="inlineStr">
        <is>
          <t>complete source year available; not yet extracted</t>
        </is>
      </c>
      <c r="L60" t="inlineStr"/>
      <c r="M60" t="n">
        <v>0</v>
      </c>
      <c r="N60" t="inlineStr"/>
      <c r="O60" t="inlineStr"/>
    </row>
    <row r="61">
      <c r="A61" t="n">
        <v>2007</v>
      </c>
      <c r="J61" t="inlineStr">
        <is>
          <t>pending</t>
        </is>
      </c>
      <c r="K61" t="inlineStr">
        <is>
          <t>complete source year available; not yet extracted</t>
        </is>
      </c>
      <c r="L61" t="inlineStr"/>
      <c r="M61" t="n">
        <v>0</v>
      </c>
      <c r="N61" t="inlineStr"/>
      <c r="O61" t="inlineStr"/>
    </row>
    <row r="62">
      <c r="A62" t="n">
        <v>2008</v>
      </c>
      <c r="J62" t="inlineStr">
        <is>
          <t>pending</t>
        </is>
      </c>
      <c r="K62" t="inlineStr">
        <is>
          <t>complete source year available; not yet extracted</t>
        </is>
      </c>
      <c r="L62" t="inlineStr"/>
      <c r="M62" t="n">
        <v>0</v>
      </c>
      <c r="N62" t="inlineStr"/>
      <c r="O62" t="inlineStr"/>
    </row>
    <row r="63">
      <c r="A63" t="n">
        <v>2009</v>
      </c>
      <c r="J63" t="inlineStr">
        <is>
          <t>pending</t>
        </is>
      </c>
      <c r="K63" t="inlineStr">
        <is>
          <t>complete source year available; not yet extracted</t>
        </is>
      </c>
      <c r="L63" t="inlineStr"/>
      <c r="M63" t="n">
        <v>0</v>
      </c>
      <c r="N63" t="inlineStr"/>
      <c r="O63" t="inlineStr"/>
    </row>
    <row r="64">
      <c r="A64" t="n">
        <v>2010</v>
      </c>
      <c r="J64" t="inlineStr">
        <is>
          <t>pending</t>
        </is>
      </c>
      <c r="K64" t="inlineStr">
        <is>
          <t>complete source year available; not yet extracted</t>
        </is>
      </c>
      <c r="L64" t="inlineStr"/>
      <c r="M64" t="n">
        <v>0</v>
      </c>
      <c r="N64" t="inlineStr"/>
      <c r="O64" t="inlineStr"/>
    </row>
    <row r="65">
      <c r="A65" t="n">
        <v>2011</v>
      </c>
      <c r="J65" t="inlineStr">
        <is>
          <t>pending</t>
        </is>
      </c>
      <c r="K65" t="inlineStr">
        <is>
          <t>complete source year available; not yet extracted</t>
        </is>
      </c>
      <c r="L65" t="inlineStr"/>
      <c r="M65" t="n">
        <v>0</v>
      </c>
      <c r="N65" t="inlineStr"/>
      <c r="O65" t="inlineStr"/>
    </row>
    <row r="66">
      <c r="A66" t="n">
        <v>2012</v>
      </c>
      <c r="J66" t="inlineStr">
        <is>
          <t>pending</t>
        </is>
      </c>
      <c r="K66" t="inlineStr">
        <is>
          <t>complete source year available; not yet extracted</t>
        </is>
      </c>
      <c r="L66" t="inlineStr"/>
      <c r="M66" t="n">
        <v>0</v>
      </c>
      <c r="N66" t="inlineStr"/>
      <c r="O66" t="inlineStr"/>
    </row>
    <row r="67">
      <c r="A67" t="n">
        <v>2013</v>
      </c>
      <c r="J67" t="inlineStr">
        <is>
          <t>pending</t>
        </is>
      </c>
      <c r="K67" t="inlineStr">
        <is>
          <t>complete source year available; not yet extracted</t>
        </is>
      </c>
      <c r="L67" t="inlineStr"/>
      <c r="M67" t="n">
        <v>0</v>
      </c>
      <c r="N67" t="inlineStr"/>
      <c r="O67" t="inlineStr"/>
    </row>
    <row r="68">
      <c r="A68" t="n">
        <v>2014</v>
      </c>
      <c r="J68" t="inlineStr">
        <is>
          <t>pending</t>
        </is>
      </c>
      <c r="K68" t="inlineStr">
        <is>
          <t>complete source year available; not yet extracted</t>
        </is>
      </c>
      <c r="L68" t="inlineStr"/>
      <c r="M68" t="n">
        <v>0</v>
      </c>
      <c r="N68" t="inlineStr"/>
      <c r="O68" t="inlineStr"/>
    </row>
    <row r="69">
      <c r="A69" t="n">
        <v>2015</v>
      </c>
      <c r="J69" t="inlineStr">
        <is>
          <t>pending</t>
        </is>
      </c>
      <c r="K69" t="inlineStr">
        <is>
          <t>complete source year available; not yet extracted</t>
        </is>
      </c>
      <c r="L69" t="inlineStr"/>
      <c r="M69" t="n">
        <v>0</v>
      </c>
      <c r="N69" t="inlineStr"/>
      <c r="O69" t="inlineStr"/>
    </row>
    <row r="70">
      <c r="A70" t="n">
        <v>2016</v>
      </c>
      <c r="J70" t="inlineStr">
        <is>
          <t>pending</t>
        </is>
      </c>
      <c r="K70" t="inlineStr">
        <is>
          <t>complete source year available; not yet extracted</t>
        </is>
      </c>
      <c r="L70" t="inlineStr"/>
      <c r="M70" t="n">
        <v>0</v>
      </c>
      <c r="N70" t="inlineStr"/>
      <c r="O70" t="inlineStr"/>
    </row>
    <row r="71">
      <c r="A71" t="n">
        <v>2017</v>
      </c>
      <c r="J71" t="inlineStr">
        <is>
          <t>pending</t>
        </is>
      </c>
      <c r="K71" t="inlineStr">
        <is>
          <t>complete source year available; not yet extracted</t>
        </is>
      </c>
      <c r="L71" t="inlineStr"/>
      <c r="M71" t="n">
        <v>0</v>
      </c>
      <c r="N71" t="inlineStr"/>
      <c r="O71" t="inlineStr"/>
    </row>
    <row r="72">
      <c r="A72" t="n">
        <v>2018</v>
      </c>
      <c r="J72" t="inlineStr">
        <is>
          <t>pending</t>
        </is>
      </c>
      <c r="K72" t="inlineStr">
        <is>
          <t>complete source year available; not yet extracted</t>
        </is>
      </c>
      <c r="L72" t="inlineStr"/>
      <c r="M72" t="n">
        <v>0</v>
      </c>
      <c r="N72" t="inlineStr"/>
      <c r="O72" t="inlineStr"/>
    </row>
    <row r="73">
      <c r="A73" t="n">
        <v>2019</v>
      </c>
      <c r="B73" t="n">
        <v>295938134.0506517</v>
      </c>
      <c r="C73" t="n">
        <v>356273494.9263198</v>
      </c>
      <c r="D73" t="n">
        <v>259912066.6977823</v>
      </c>
      <c r="E73" t="n">
        <v>390914890.7764957</v>
      </c>
      <c r="F73" t="n">
        <v>267300336.8202667</v>
      </c>
      <c r="G73" t="n">
        <v>295938134.0506517</v>
      </c>
      <c r="H73" t="n">
        <v>259912066.6977823</v>
      </c>
      <c r="I73" t="n">
        <v>390914890.7764957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2026-09-10T16:16:03Z</dcterms:created>
  <dcterms:modified xsi:type="dcterms:W3CDTF">2026-09-10T16:16:06Z</dcterms:modified>
</cp:coreProperties>
</file>