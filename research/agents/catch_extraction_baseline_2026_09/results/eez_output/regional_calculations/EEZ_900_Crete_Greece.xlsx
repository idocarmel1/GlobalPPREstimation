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ffdefa32b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0da269a4ca04fd9"/>
    <x:sheet xmlns:r="http://schemas.openxmlformats.org/officeDocument/2006/relationships" name="Commercial" sheetId="2" r:id="R0a4feba02ba946aa"/>
    <x:sheet xmlns:r="http://schemas.openxmlformats.org/officeDocument/2006/relationships" name="Functional" sheetId="3" r:id="R08a0cc9c907c4fcf"/>
    <x:sheet xmlns:r="http://schemas.openxmlformats.org/officeDocument/2006/relationships" name="Missing TL" sheetId="4" r:id="Ra2429c4dcef24f6d"/>
    <x:sheet xmlns:r="http://schemas.openxmlformats.org/officeDocument/2006/relationships" name="Validation" sheetId="5" r:id="Rf3a30ffd3c67446f"/>
    <x:sheet xmlns:r="http://schemas.openxmlformats.org/officeDocument/2006/relationships" name="Metadata" sheetId="6" r:id="Rb7083ef9a18c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75ca82acd47be" /><Relationship Type="http://schemas.openxmlformats.org/officeDocument/2006/relationships/theme" Target="/xl/theme/theme1.xml" Id="R72c212df2ad245fa" /><Relationship Type="http://schemas.microsoft.com/office/2022/11/relationships/FeaturePropertyBag" Target="/xl/featurePropertyBag/featurePropertyBag.xml" Id="R4262bdcebd934ade" /><Relationship Type="http://schemas.openxmlformats.org/officeDocument/2006/relationships/sharedStrings" Target="/xl/sharedStrings.xml" Id="Rf0831f700bc64f94" /><Relationship Type="http://schemas.openxmlformats.org/officeDocument/2006/relationships/worksheet" Target="/xl/worksheets/sheet1.xml" Id="R50da269a4ca04fd9" /><Relationship Type="http://schemas.openxmlformats.org/officeDocument/2006/relationships/worksheet" Target="/xl/worksheets/sheet2.xml" Id="R0a4feba02ba946aa" /><Relationship Type="http://schemas.openxmlformats.org/officeDocument/2006/relationships/worksheet" Target="/xl/worksheets/sheet3.xml" Id="R08a0cc9c907c4fcf" /><Relationship Type="http://schemas.openxmlformats.org/officeDocument/2006/relationships/worksheet" Target="/xl/worksheets/sheet4.xml" Id="Ra2429c4dcef24f6d" /><Relationship Type="http://schemas.openxmlformats.org/officeDocument/2006/relationships/worksheet" Target="/xl/worksheets/sheet5.xml" Id="Rf3a30ffd3c67446f" /><Relationship Type="http://schemas.openxmlformats.org/officeDocument/2006/relationships/worksheet" Target="/xl/worksheets/sheet6.xml" Id="Rb7083ef9a18c4c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0SpeciesTable" displayName="EEZ900SpeciesTable" ref="A1:U74" headerRowCount="1" totalsRowCount="0" totalsRowShown="0">
  <x:autoFilter ref="A1:U7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0CommercialTable" displayName="EEZ900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0FunctionalTable" displayName="EEZ900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0ValidationTable" displayName="EEZ90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0140363eac4a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c9975da94a4e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3b5c62146a46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83cb4054cc41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EEZ_900</x:v>
      </x:c>
      <x:c r="B2" s="24" t="str">
        <x:v>Crete (Greece)</x:v>
      </x:c>
      <x:c r="C2" s="24" t="str">
        <x:v>EEZ</x:v>
      </x:c>
      <x:c r="D2" s="30" t="n">
        <x:v>2019</x:v>
      </x:c>
      <x:c r="E2" s="24" t="str">
        <x:v>Spicara smaris</x:v>
      </x:c>
      <x:c r="F2" s="24" t="str">
        <x:v>Picarel</x:v>
      </x:c>
      <x:c r="G2" s="24" t="str">
        <x:v>Small demersals (&lt;30 cm)</x:v>
      </x:c>
      <x:c r="H2" s="24" t="str">
        <x:v>Perch-likes</x:v>
      </x:c>
      <x:c r="I2" s="31" t="n">
        <x:v>335.9074972552</x:v>
      </x:c>
      <x:c r="J2" s="31" t="n">
        <x:v>219.1747348833</x:v>
      </x:c>
      <x:c r="K2" s="31" t="n">
        <x:v>116.73276237190001</x:v>
      </x:c>
      <x:c r="L2" s="31" t="n">
        <x:v>210.1049854188</x:v>
      </x:c>
      <x:c r="M2" s="31" t="n">
        <x:v>125.8025118364</x:v>
      </x:c>
      <x:c r="N2" s="24" t="str">
        <x:v>spicara smaris</x:v>
      </x:c>
      <x:c r="O2" s="32" t="n">
        <x:v>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Spicara smaris</x:v>
      </x:c>
      <x:c r="T2" s="32" t="n">
        <x:f>IF(O2="","",(1/'Metadata'!$B$5)^(O2-1))</x:f>
        <x:v>100</x:v>
      </x:c>
      <x:c r="U2" s="31" t="n">
        <x:f>IF(T2="","",I2*T2)</x:f>
        <x:v>33590.74972552</x:v>
      </x:c>
    </x:row>
    <x:row r="3" ht="18" customHeight="1">
      <x:c r="A3" s="24" t="str">
        <x:v>EEZ_900</x:v>
      </x:c>
      <x:c r="B3" s="24" t="str">
        <x:v>Crete (Greece)</x:v>
      </x:c>
      <x:c r="C3" s="24" t="str">
        <x:v>EEZ</x:v>
      </x:c>
      <x:c r="D3" s="30" t="n">
        <x:v>2019</x:v>
      </x:c>
      <x:c r="E3" s="24" t="str">
        <x:v>Boops boops</x:v>
      </x:c>
      <x:c r="F3" s="24" t="str">
        <x:v>Bogue</x:v>
      </x:c>
      <x:c r="G3" s="24" t="str">
        <x:v>Medium demersals (30 - 89 cm)</x:v>
      </x:c>
      <x:c r="H3" s="24" t="str">
        <x:v>Perch-likes</x:v>
      </x:c>
      <x:c r="I3" s="31" t="n">
        <x:v>319.3337286085</x:v>
      </x:c>
      <x:c r="J3" s="31" t="n">
        <x:v>224.1710340905</x:v>
      </x:c>
      <x:c r="K3" s="31" t="n">
        <x:v>95.162694518</x:v>
      </x:c>
      <x:c r="L3" s="31" t="n">
        <x:v>166.6450458036</x:v>
      </x:c>
      <x:c r="M3" s="31" t="n">
        <x:v>152.6886828049</x:v>
      </x:c>
      <x:c r="N3" s="24" t="str">
        <x:v>boops boops</x:v>
      </x:c>
      <x:c r="O3" s="32" t="n">
        <x:v>2.79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Boops boops</x:v>
      </x:c>
      <x:c r="T3" s="32" t="n">
        <x:f>IF(O3="","",(1/'Metadata'!$B$5)^(O3-1))</x:f>
        <x:v>61.65950018614822</x:v>
      </x:c>
      <x:c r="U3" s="31" t="n">
        <x:f>IF(T3="","",I3*T3)</x:f>
        <x:v>19689.958098579213</x:v>
      </x:c>
    </x:row>
    <x:row r="4" ht="18" customHeight="1">
      <x:c r="A4" s="24" t="str">
        <x:v>EEZ_900</x:v>
      </x:c>
      <x:c r="B4" s="24" t="str">
        <x:v>Crete (Greece)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290.6702347402</x:v>
      </x:c>
      <x:c r="J4" s="31" t="n">
        <x:v>264.8059620799</x:v>
      </x:c>
      <x:c r="K4" s="31" t="n">
        <x:v>25.864272660300003</x:v>
      </x:c>
      <x:c r="L4" s="31" t="n">
        <x:v>252.7437877858</x:v>
      </x:c>
      <x:c r="M4" s="31" t="n">
        <x:v>37.9264469544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55386.07141786069</x:v>
      </x:c>
    </x:row>
    <x:row r="5" ht="18" customHeight="1">
      <x:c r="A5" s="24" t="str">
        <x:v>EEZ_900</x:v>
      </x:c>
      <x:c r="B5" s="24" t="str">
        <x:v>Crete (Greece)</x:v>
      </x:c>
      <x:c r="C5" s="24" t="str">
        <x:v>EEZ</x:v>
      </x:c>
      <x:c r="D5" s="30" t="n">
        <x:v>2019</x:v>
      </x:c>
      <x:c r="E5" s="24" t="str">
        <x:v>Osteichthyes</x:v>
      </x:c>
      <x:c r="F5" s="24" t="str">
        <x:v>Bony fishes</x:v>
      </x:c>
      <x:c r="G5" s="24" t="str">
        <x:v>Medium demersals (30 - 89 cm)</x:v>
      </x:c>
      <x:c r="H5" s="24" t="str">
        <x:v>Other fishes &amp; inverts</x:v>
      </x:c>
      <x:c r="I5" s="31" t="n">
        <x:v>290.1447736308</x:v>
      </x:c>
      <x:c r="J5" s="31" t="n">
        <x:v>246.9279038676</x:v>
      </x:c>
      <x:c r="K5" s="31" t="n">
        <x:v>43.2168697632</x:v>
      </x:c>
      <x:c r="L5" s="31" t="n">
        <x:v>232.7981632857</x:v>
      </x:c>
      <x:c r="M5" s="31" t="n">
        <x:v>57.346610345100004</x:v>
      </x:c>
      <x:c r="N5" s="24" t="str">
        <x:v>osteichthyes</x:v>
      </x:c>
      <x:c r="O5" s="32" t="n">
        <x:v>3.79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Osteichthyes</x:v>
      </x:c>
      <x:c r="T5" s="32" t="n">
        <x:f>IF(O5="","",(1/'Metadata'!$B$5)^(O5-1))</x:f>
        <x:v>616.5950018614822</x:v>
      </x:c>
      <x:c r="U5" s="31" t="n">
        <x:f>IF(T5="","",I5*T5)</x:f>
        <x:v>178901.81723698243</x:v>
      </x:c>
    </x:row>
    <x:row r="6" ht="18" customHeight="1">
      <x:c r="A6" s="24" t="str">
        <x:v>EEZ_900</x:v>
      </x:c>
      <x:c r="B6" s="24" t="str">
        <x:v>Crete (Greece)</x:v>
      </x:c>
      <x:c r="C6" s="24" t="str">
        <x:v>EEZ</x:v>
      </x:c>
      <x:c r="D6" s="30" t="n">
        <x:v>2019</x:v>
      </x:c>
      <x:c r="E6" s="24" t="str">
        <x:v>Mullus barbatus</x:v>
      </x:c>
      <x:c r="F6" s="24" t="str">
        <x:v>Red mullet</x:v>
      </x:c>
      <x:c r="G6" s="24" t="str">
        <x:v>Medium demersals (30 - 89 cm)</x:v>
      </x:c>
      <x:c r="H6" s="24" t="str">
        <x:v>Perch-likes</x:v>
      </x:c>
      <x:c r="I6" s="31" t="n">
        <x:v>184.5582873773</x:v>
      </x:c>
      <x:c r="J6" s="31" t="n">
        <x:v>181.9529311643</x:v>
      </x:c>
      <x:c r="K6" s="31" t="n">
        <x:v>2.6053562130000003</x:v>
      </x:c>
      <x:c r="L6" s="31" t="n">
        <x:v>175.4036862216</x:v>
      </x:c>
      <x:c r="M6" s="31" t="n">
        <x:v>9.1546011557</x:v>
      </x:c>
      <x:c r="N6" s="24" t="str">
        <x:v>mullus barbatus</x:v>
      </x:c>
      <x:c r="O6" s="32" t="n">
        <x:v>3.14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Mullus barbatus</x:v>
      </x:c>
      <x:c r="T6" s="32" t="n">
        <x:f>IF(O6="","",(1/'Metadata'!$B$5)^(O6-1))</x:f>
        <x:v>138.03842646028852</x:v>
      </x:c>
      <x:c r="U6" s="31" t="n">
        <x:f>IF(T6="","",I6*T6)</x:f>
        <x:v>25476.13557976822</x:v>
      </x:c>
    </x:row>
    <x:row r="7" ht="18" customHeight="1">
      <x:c r="A7" s="24" t="str">
        <x:v>EEZ_900</x:v>
      </x:c>
      <x:c r="B7" s="24" t="str">
        <x:v>Crete (Greece)</x:v>
      </x:c>
      <x:c r="C7" s="24" t="str">
        <x:v>EEZ</x:v>
      </x:c>
      <x:c r="D7" s="30" t="n">
        <x:v>2019</x:v>
      </x:c>
      <x:c r="E7" s="24" t="str">
        <x:v>Seriola dumerili</x:v>
      </x:c>
      <x:c r="F7" s="24" t="str">
        <x:v>Greater amberjack</x:v>
      </x:c>
      <x:c r="G7" s="24" t="str">
        <x:v>Large reef assoc. fish (&gt;=90 cm)</x:v>
      </x:c>
      <x:c r="H7" s="24" t="str">
        <x:v>Perch-likes</x:v>
      </x:c>
      <x:c r="I7" s="31" t="n">
        <x:v>141.5065715669</x:v>
      </x:c>
      <x:c r="J7" s="31" t="n">
        <x:v>138.7341594239</x:v>
      </x:c>
      <x:c r="K7" s="31" t="n">
        <x:v>2.772412143</x:v>
      </x:c>
      <x:c r="L7" s="31" t="n">
        <x:v>120.10500736750001</x:v>
      </x:c>
      <x:c r="M7" s="31" t="n">
        <x:v>21.4015641994</x:v>
      </x:c>
      <x:c r="N7" s="24" t="str">
        <x:v>seriola dumerili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Seriola dumerili</x:v>
      </x:c>
      <x:c r="T7" s="32" t="n">
        <x:f>IF(O7="","",(1/'Metadata'!$B$5)^(O7-1))</x:f>
        <x:v>3162.2776601683795</x:v>
      </x:c>
      <x:c r="U7" s="31" t="n">
        <x:f>IF(T7="","",I7*T7)</x:f>
        <x:v>447483.07003302587</x:v>
      </x:c>
    </x:row>
    <x:row r="8" ht="18" customHeight="1">
      <x:c r="A8" s="24" t="str">
        <x:v>EEZ_900</x:v>
      </x:c>
      <x:c r="B8" s="24" t="str">
        <x:v>Crete (Greece)</x:v>
      </x:c>
      <x:c r="C8" s="24" t="str">
        <x:v>EEZ</x:v>
      </x:c>
      <x:c r="D8" s="30" t="n">
        <x:v>2019</x:v>
      </x:c>
      <x:c r="E8" s="24" t="str">
        <x:v>Pagellus erythrinus</x:v>
      </x:c>
      <x:c r="F8" s="24" t="str">
        <x:v>Common pandora</x:v>
      </x:c>
      <x:c r="G8" s="24" t="str">
        <x:v>Medium benthopelagics (30 - 89 cm)</x:v>
      </x:c>
      <x:c r="H8" s="24" t="str">
        <x:v>Perch-likes</x:v>
      </x:c>
      <x:c r="I8" s="31" t="n">
        <x:v>137.5798440138</x:v>
      </x:c>
      <x:c r="J8" s="31" t="n">
        <x:v>111.8913059482</x:v>
      </x:c>
      <x:c r="K8" s="31" t="n">
        <x:v>25.6885380656</x:v>
      </x:c>
      <x:c r="L8" s="31" t="n">
        <x:v>55.4481210547</x:v>
      </x:c>
      <x:c r="M8" s="31" t="n">
        <x:v>82.1317229591</x:v>
      </x:c>
      <x:c r="N8" s="24" t="str">
        <x:v>pagellus erythrinus</x:v>
      </x:c>
      <x:c r="O8" s="32" t="n">
        <x:v>3.48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Pagellus erythrinus</x:v>
      </x:c>
      <x:c r="T8" s="32" t="n">
        <x:f>IF(O8="","",(1/'Metadata'!$B$5)^(O8-1))</x:f>
        <x:v>301.9951720402016</x:v>
      </x:c>
      <x:c r="U8" s="31" t="n">
        <x:f>IF(T8="","",I8*T8)</x:f>
        <x:v>41548.44866221163</x:v>
      </x:c>
    </x:row>
    <x:row r="9" ht="18" customHeight="1">
      <x:c r="A9" s="24" t="str">
        <x:v>EEZ_900</x:v>
      </x:c>
      <x:c r="B9" s="24" t="str">
        <x:v>Crete (Greece)</x:v>
      </x:c>
      <x:c r="C9" s="24" t="str">
        <x:v>EEZ</x:v>
      </x:c>
      <x:c r="D9" s="30" t="n">
        <x:v>2019</x:v>
      </x:c>
      <x:c r="E9" s="24" t="str">
        <x:v>Diplodus sargus</x:v>
      </x:c>
      <x:c r="F9" s="24" t="str">
        <x:v>White seabream</x:v>
      </x:c>
      <x:c r="G9" s="24" t="str">
        <x:v>Medium demersals (30 - 89 cm)</x:v>
      </x:c>
      <x:c r="H9" s="24" t="str">
        <x:v>Perch-likes</x:v>
      </x:c>
      <x:c r="I9" s="31" t="n">
        <x:v>129.2339428088</x:v>
      </x:c>
      <x:c r="J9" s="31" t="n">
        <x:v>127.2313240743</x:v>
      </x:c>
      <x:c r="K9" s="31" t="n">
        <x:v>2.0026187345</x:v>
      </x:c>
      <x:c r="L9" s="31" t="n">
        <x:v>20.503832882299996</x:v>
      </x:c>
      <x:c r="M9" s="31" t="n">
        <x:v>108.7301099265</x:v>
      </x:c>
      <x:c r="N9" s="24" t="str">
        <x:v>diplodus sargus</x:v>
      </x:c>
      <x:c r="O9" s="32" t="n">
        <x:v>3.38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Diplodus sargus</x:v>
      </x:c>
      <x:c r="T9" s="32" t="n">
        <x:f>IF(O9="","",(1/'Metadata'!$B$5)^(O9-1))</x:f>
        <x:v>239.88329190194898</x:v>
      </x:c>
      <x:c r="U9" s="31" t="n">
        <x:f>IF(T9="","",I9*T9)</x:f>
        <x:v>31001.063626443152</x:v>
      </x:c>
    </x:row>
    <x:row r="10" ht="18" customHeight="1">
      <x:c r="A10" s="24" t="str">
        <x:v>EEZ_900</x:v>
      </x:c>
      <x:c r="B10" s="24" t="str">
        <x:v>Crete (Greece)</x:v>
      </x:c>
      <x:c r="C10" s="24" t="str">
        <x:v>EEZ</x:v>
      </x:c>
      <x:c r="D10" s="30" t="n">
        <x:v>2019</x:v>
      </x:c>
      <x:c r="E10" s="24" t="str">
        <x:v>Penaeus kerathurus</x:v>
      </x:c>
      <x:c r="F10" s="24" t="str">
        <x:v>Caramote prawn</x:v>
      </x:c>
      <x:c r="G10" s="24" t="str">
        <x:v>Shrimps</x:v>
      </x:c>
      <x:c r="H10" s="24" t="str">
        <x:v>Crustaceans</x:v>
      </x:c>
      <x:c r="I10" s="31" t="n">
        <x:v>122.0398015224</x:v>
      </x:c>
      <x:c r="J10" s="31" t="n">
        <x:v>59.5839633183</x:v>
      </x:c>
      <x:c r="K10" s="31" t="n">
        <x:v>62.4558382041</x:v>
      </x:c>
      <x:c r="L10" s="31" t="n">
        <x:v>56.676404172</x:v>
      </x:c>
      <x:c r="M10" s="31" t="n">
        <x:v>65.3633973504</x:v>
      </x:c>
      <x:c r="N10" s="24" t="str">
        <x:v>penaeus kerathurus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Penaeus kerathurus</x:v>
      </x:c>
      <x:c r="T10" s="32" t="n">
        <x:f>IF(O10="","",(1/'Metadata'!$B$5)^(O10-1))</x:f>
        <x:v>50.11872336272725</x:v>
      </x:c>
      <x:c r="U10" s="31" t="n">
        <x:f>IF(T10="","",I10*T10)</x:f>
        <x:v>6116.479051743306</x:v>
      </x:c>
    </x:row>
    <x:row r="11" ht="18" customHeight="1">
      <x:c r="A11" s="24" t="str">
        <x:v>EEZ_900</x:v>
      </x:c>
      <x:c r="B11" s="24" t="str">
        <x:v>Crete (Greece)</x:v>
      </x:c>
      <x:c r="C11" s="24" t="str">
        <x:v>EEZ</x:v>
      </x:c>
      <x:c r="D11" s="30" t="n">
        <x:v>2019</x:v>
      </x:c>
      <x:c r="E11" s="24" t="str">
        <x:v>Sparus aurata</x:v>
      </x:c>
      <x:c r="F11" s="24" t="str">
        <x:v>Gilthead seabream</x:v>
      </x:c>
      <x:c r="G11" s="24" t="str">
        <x:v>Medium demersals (30 - 89 cm)</x:v>
      </x:c>
      <x:c r="H11" s="24" t="str">
        <x:v>Perch-likes</x:v>
      </x:c>
      <x:c r="I11" s="31" t="n">
        <x:v>118.0508187596</x:v>
      </x:c>
      <x:c r="J11" s="31" t="n">
        <x:v>117.5631892181</x:v>
      </x:c>
      <x:c r="K11" s="31" t="n">
        <x:v>0.4876295415</x:v>
      </x:c>
      <x:c r="L11" s="31" t="n">
        <x:v>0</x:v>
      </x:c>
      <x:c r="M11" s="31" t="n">
        <x:v>118.0508187596</x:v>
      </x:c>
      <x:c r="N11" s="24" t="str">
        <x:v>sparus aurata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Sparus aurata</x:v>
      </x:c>
      <x:c r="T11" s="32" t="n">
        <x:f>IF(O11="","",(1/'Metadata'!$B$5)^(O11-1))</x:f>
        <x:v>501.18723362727246</x:v>
      </x:c>
      <x:c r="U11" s="31" t="n">
        <x:f>IF(T11="","",I11*T11)</x:f>
        <x:v>59165.56328155845</x:v>
      </x:c>
    </x:row>
    <x:row r="12" ht="18" customHeight="1">
      <x:c r="A12" s="24" t="str">
        <x:v>EEZ_900</x:v>
      </x:c>
      <x:c r="B12" s="24" t="str">
        <x:v>Crete (Greece)</x:v>
      </x:c>
      <x:c r="C12" s="24" t="str">
        <x:v>EEZ</x:v>
      </x:c>
      <x:c r="D12" s="30" t="n">
        <x:v>2019</x:v>
      </x:c>
      <x:c r="E12" s="24" t="str">
        <x:v>Xiphias gladius</x:v>
      </x:c>
      <x:c r="F12" s="24" t="str">
        <x:v>Swordfish</x:v>
      </x:c>
      <x:c r="G12" s="24" t="str">
        <x:v>Large pelagics (&gt;=90 cm)</x:v>
      </x:c>
      <x:c r="H12" s="24" t="str">
        <x:v>Tuna &amp; billfishes</x:v>
      </x:c>
      <x:c r="I12" s="31" t="n">
        <x:v>104.8450272692</x:v>
      </x:c>
      <x:c r="J12" s="31" t="n">
        <x:v>104.5915146727</x:v>
      </x:c>
      <x:c r="K12" s="31" t="n">
        <x:v>0.25351259649999996</x:v>
      </x:c>
      <x:c r="L12" s="31" t="n">
        <x:v>98.46440330029999</x:v>
      </x:c>
      <x:c r="M12" s="31" t="n">
        <x:v>6.3806239689</x:v>
      </x:c>
      <x:c r="N12" s="24" t="str">
        <x:v>xiphias gladius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Xiphias gladius</x:v>
      </x:c>
      <x:c r="T12" s="32" t="n">
        <x:f>IF(O12="","",(1/'Metadata'!$B$5)^(O12-1))</x:f>
        <x:v>3388.4415613920273</x:v>
      </x:c>
      <x:c r="U12" s="31" t="n">
        <x:f>IF(T12="","",I12*T12)</x:f>
        <x:v>355261.24790423777</x:v>
      </x:c>
    </x:row>
    <x:row r="13" ht="18" customHeight="1">
      <x:c r="A13" s="24" t="str">
        <x:v>EEZ_900</x:v>
      </x:c>
      <x:c r="B13" s="24" t="str">
        <x:v>Crete (Greece)</x:v>
      </x:c>
      <x:c r="C13" s="24" t="str">
        <x:v>EEZ</x:v>
      </x:c>
      <x:c r="D13" s="30" t="n">
        <x:v>2019</x:v>
      </x:c>
      <x:c r="E13" s="24" t="str">
        <x:v>Decapoda</x:v>
      </x:c>
      <x:c r="F13" s="24" t="str">
        <x:v>Crabs, lobsters, shrimps</x:v>
      </x:c>
      <x:c r="G13" s="24" t="str">
        <x:v>Lobsters, crabs</x:v>
      </x:c>
      <x:c r="H13" s="24" t="str">
        <x:v>Crustaceans</x:v>
      </x:c>
      <x:c r="I13" s="31" t="n">
        <x:v>90.3286203455</x:v>
      </x:c>
      <x:c r="J13" s="31" t="n">
        <x:v>47.6526851138</x:v>
      </x:c>
      <x:c r="K13" s="31" t="n">
        <x:v>42.6759352317</x:v>
      </x:c>
      <x:c r="L13" s="31" t="n">
        <x:v>45.5788417681</x:v>
      </x:c>
      <x:c r="M13" s="31" t="n">
        <x:v>44.7497785774</x:v>
      </x:c>
      <x:c r="N13" s="24" t="str">
        <x:v>decapoda</x:v>
      </x:c>
      <x:c r="O13" s="32" t="n">
        <x:v>3.43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Decapoda</x:v>
      </x:c>
      <x:c r="T13" s="32" t="n">
        <x:f>IF(O13="","",(1/'Metadata'!$B$5)^(O13-1))</x:f>
        <x:v>269.1534803926917</x:v>
      </x:c>
      <x:c r="U13" s="31" t="n">
        <x:f>IF(T13="","",I13*T13)</x:f>
        <x:v>24312.262545061425</x:v>
      </x:c>
    </x:row>
    <x:row r="14" ht="18" customHeight="1">
      <x:c r="A14" s="24" t="str">
        <x:v>EEZ_900</x:v>
      </x:c>
      <x:c r="B14" s="24" t="str">
        <x:v>Crete (Greece)</x:v>
      </x:c>
      <x:c r="C14" s="24" t="str">
        <x:v>EEZ</x:v>
      </x:c>
      <x:c r="D14" s="30" t="n">
        <x:v>2019</x:v>
      </x:c>
      <x:c r="E14" s="24" t="str">
        <x:v>Diplodus annularis</x:v>
      </x:c>
      <x:c r="F14" s="24" t="str">
        <x:v>Annular seabream</x:v>
      </x:c>
      <x:c r="G14" s="24" t="str">
        <x:v>Small benthopelagics (&lt;30 cm)</x:v>
      </x:c>
      <x:c r="H14" s="24" t="str">
        <x:v>Perch-likes</x:v>
      </x:c>
      <x:c r="I14" s="31" t="n">
        <x:v>76.7232821549</x:v>
      </x:c>
      <x:c r="J14" s="31" t="n">
        <x:v>76.706782655</x:v>
      </x:c>
      <x:c r="K14" s="31" t="n">
        <x:v>0.0164994999</x:v>
      </x:c>
      <x:c r="L14" s="31" t="n">
        <x:v>2.2001161053</x:v>
      </x:c>
      <x:c r="M14" s="31" t="n">
        <x:v>74.52316604960001</x:v>
      </x:c>
      <x:c r="N14" s="24" t="str">
        <x:v>diplodus annularis</x:v>
      </x:c>
      <x:c r="O14" s="32" t="n">
        <x:v>3.64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Diplodus annularis</x:v>
      </x:c>
      <x:c r="T14" s="32" t="n">
        <x:f>IF(O14="","",(1/'Metadata'!$B$5)^(O14-1))</x:f>
        <x:v>436.5158322401661</x:v>
      </x:c>
      <x:c r="U14" s="31" t="n">
        <x:f>IF(T14="","",I14*T14)</x:f>
        <x:v>33490.92736204326</x:v>
      </x:c>
    </x:row>
    <x:row r="15" ht="18" customHeight="1">
      <x:c r="A15" s="24" t="str">
        <x:v>EEZ_900</x:v>
      </x:c>
      <x:c r="B15" s="24" t="str">
        <x:v>Crete (Greece)</x:v>
      </x:c>
      <x:c r="C15" s="24" t="str">
        <x:v>EEZ</x:v>
      </x:c>
      <x:c r="D15" s="30" t="n">
        <x:v>2019</x:v>
      </x:c>
      <x:c r="E15" s="24" t="str">
        <x:v>Mugilidae</x:v>
      </x:c>
      <x:c r="F15" s="24" t="str">
        <x:v>Mullets, grey mullets</x:v>
      </x:c>
      <x:c r="G15" s="24" t="str">
        <x:v>Medium reef assoc. fish (30 - 89 cm)</x:v>
      </x:c>
      <x:c r="H15" s="24" t="str">
        <x:v>Perch-likes</x:v>
      </x:c>
      <x:c r="I15" s="31" t="n">
        <x:v>69.2784812697</x:v>
      </x:c>
      <x:c r="J15" s="31" t="n">
        <x:v>68.7264218669</x:v>
      </x:c>
      <x:c r="K15" s="31" t="n">
        <x:v>0.5520594028</x:v>
      </x:c>
      <x:c r="L15" s="31" t="n">
        <x:v>0.882650844</x:v>
      </x:c>
      <x:c r="M15" s="31" t="n">
        <x:v>68.3958304257</x:v>
      </x:c>
      <x:c r="N15" s="24" t="str">
        <x:v>mugilidae</x:v>
      </x:c>
      <x:c r="O15" s="32" t="n">
        <x:v>2.53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Mugilidae</x:v>
      </x:c>
      <x:c r="T15" s="32" t="n">
        <x:f>IF(O15="","",(1/'Metadata'!$B$5)^(O15-1))</x:f>
        <x:v>33.88441561392024</x:v>
      </x:c>
      <x:c r="U15" s="31" t="n">
        <x:f>IF(T15="","",I15*T15)</x:f>
        <x:v>2347.4608524437035</x:v>
      </x:c>
    </x:row>
    <x:row r="16" ht="18" customHeight="1">
      <x:c r="A16" s="24" t="str">
        <x:v>EEZ_900</x:v>
      </x:c>
      <x:c r="B16" s="24" t="str">
        <x:v>Crete (Greece)</x:v>
      </x:c>
      <x:c r="C16" s="24" t="str">
        <x:v>EEZ</x:v>
      </x:c>
      <x:c r="D16" s="30" t="n">
        <x:v>2019</x:v>
      </x:c>
      <x:c r="E16" s="24" t="str">
        <x:v>Serranus</x:v>
      </x:c>
      <x:c r="F16" s="24" t="str">
        <x:v>Groupers</x:v>
      </x:c>
      <x:c r="G16" s="24" t="str">
        <x:v>Small reef assoc. fish (&lt;30 cm)</x:v>
      </x:c>
      <x:c r="H16" s="24" t="str">
        <x:v>Perch-likes</x:v>
      </x:c>
      <x:c r="I16" s="31" t="n">
        <x:v>68.6995718819</x:v>
      </x:c>
      <x:c r="J16" s="31" t="n">
        <x:v>61.8605936653</x:v>
      </x:c>
      <x:c r="K16" s="31" t="n">
        <x:v>6.8389782166</x:v>
      </x:c>
      <x:c r="L16" s="31" t="n">
        <x:v>17.0458727707</x:v>
      </x:c>
      <x:c r="M16" s="31" t="n">
        <x:v>51.653699111200005</x:v>
      </x:c>
      <x:c r="N16" s="24" t="str">
        <x:v>serranus</x:v>
      </x:c>
      <x:c r="O16" s="32" t="n">
        <x:v>3.73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Serranus</x:v>
      </x:c>
      <x:c r="T16" s="32" t="n">
        <x:f>IF(O16="","",(1/'Metadata'!$B$5)^(O16-1))</x:f>
        <x:v>537.0317963702527</x:v>
      </x:c>
      <x:c r="U16" s="31" t="n">
        <x:f>IF(T16="","",I16*T16)</x:f>
        <x:v>36893.85449760406</x:v>
      </x:c>
    </x:row>
    <x:row r="17" ht="18" customHeight="1">
      <x:c r="A17" s="24" t="str">
        <x:v>EEZ_900</x:v>
      </x:c>
      <x:c r="B17" s="24" t="str">
        <x:v>Crete (Greece)</x:v>
      </x:c>
      <x:c r="C17" s="24" t="str">
        <x:v>EEZ</x:v>
      </x:c>
      <x:c r="D17" s="30" t="n">
        <x:v>2019</x:v>
      </x:c>
      <x:c r="E17" s="24" t="str">
        <x:v>Euthynnus alletteratus</x:v>
      </x:c>
      <x:c r="F17" s="24" t="str">
        <x:v>Little tunny </x:v>
      </x:c>
      <x:c r="G17" s="24" t="str">
        <x:v>Large pelagics (&gt;=90 cm)</x:v>
      </x:c>
      <x:c r="H17" s="24" t="str">
        <x:v>Tuna &amp; billfishes</x:v>
      </x:c>
      <x:c r="I17" s="31" t="n">
        <x:v>68.66188309600001</x:v>
      </x:c>
      <x:c r="J17" s="31" t="n">
        <x:v>68.66188309600001</x:v>
      </x:c>
      <x:c r="K17" s="31" t="n">
        <x:v>0</x:v>
      </x:c>
      <x:c r="L17" s="31" t="n">
        <x:v>65.5983274098</x:v>
      </x:c>
      <x:c r="M17" s="31" t="n">
        <x:v>3.0635556862</x:v>
      </x:c>
      <x:c r="N17" s="24" t="str">
        <x:v>euthynnus alletteratus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Euthynnus alletteratus</x:v>
      </x:c>
      <x:c r="T17" s="32" t="n">
        <x:f>IF(O17="","",(1/'Metadata'!$B$5)^(O17-1))</x:f>
        <x:v>3090.295432513592</x:v>
      </x:c>
      <x:c r="U17" s="31" t="n">
        <x:f>IF(T17="","",I17*T17)</x:f>
        <x:v>212185.50371935105</x:v>
      </x:c>
    </x:row>
    <x:row r="18" ht="18" customHeight="1">
      <x:c r="A18" s="24" t="str">
        <x:v>EEZ_900</x:v>
      </x:c>
      <x:c r="B18" s="24" t="str">
        <x:v>Crete (Greece)</x:v>
      </x:c>
      <x:c r="C18" s="24" t="str">
        <x:v>EEZ</x:v>
      </x:c>
      <x:c r="D18" s="30" t="n">
        <x:v>2019</x:v>
      </x:c>
      <x:c r="E18" s="24" t="str">
        <x:v>Mullus surmuletus</x:v>
      </x:c>
      <x:c r="F18" s="24" t="str">
        <x:v>Surmullet</x:v>
      </x:c>
      <x:c r="G18" s="24" t="str">
        <x:v>Medium demersals (30 - 89 cm)</x:v>
      </x:c>
      <x:c r="H18" s="24" t="str">
        <x:v>Perch-likes</x:v>
      </x:c>
      <x:c r="I18" s="31" t="n">
        <x:v>67.0093727256</x:v>
      </x:c>
      <x:c r="J18" s="31" t="n">
        <x:v>44.093084946000005</x:v>
      </x:c>
      <x:c r="K18" s="31" t="n">
        <x:v>22.9162877796</x:v>
      </x:c>
      <x:c r="L18" s="31" t="n">
        <x:v>38.9901103578</x:v>
      </x:c>
      <x:c r="M18" s="31" t="n">
        <x:v>28.0192623678</x:v>
      </x:c>
      <x:c r="N18" s="24" t="str">
        <x:v>mullus surmuletus</x:v>
      </x:c>
      <x:c r="O18" s="32" t="n">
        <x:v>3.45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Mullus surmuletus</x:v>
      </x:c>
      <x:c r="T18" s="32" t="n">
        <x:f>IF(O18="","",(1/'Metadata'!$B$5)^(O18-1))</x:f>
        <x:v>281.8382931264455</x:v>
      </x:c>
      <x:c r="U18" s="31" t="n">
        <x:f>IF(T18="","",I18*T18)</x:f>
        <x:v>18885.807232456893</x:v>
      </x:c>
    </x:row>
    <x:row r="19" ht="18" customHeight="1">
      <x:c r="A19" s="24" t="str">
        <x:v>EEZ_900</x:v>
      </x:c>
      <x:c r="B19" s="24" t="str">
        <x:v>Crete (Greece)</x:v>
      </x:c>
      <x:c r="C19" s="24" t="str">
        <x:v>EEZ</x:v>
      </x:c>
      <x:c r="D19" s="30" t="n">
        <x:v>2019</x:v>
      </x:c>
      <x:c r="E19" s="24" t="str">
        <x:v>Thunnus</x:v>
      </x:c>
      <x:c r="F19" s="24" t="str">
        <x:v>Tunas</x:v>
      </x:c>
      <x:c r="G19" s="24" t="str">
        <x:v>Large pelagics (&gt;=90 cm)</x:v>
      </x:c>
      <x:c r="H19" s="24" t="str">
        <x:v>Tuna &amp; billfishes</x:v>
      </x:c>
      <x:c r="I19" s="31" t="n">
        <x:v>65.0587775657</x:v>
      </x:c>
      <x:c r="J19" s="31" t="n">
        <x:v>64.0558212281</x:v>
      </x:c>
      <x:c r="K19" s="31" t="n">
        <x:v>1.0029563376</x:v>
      </x:c>
      <x:c r="L19" s="31" t="n">
        <x:v>21.7787527586</x:v>
      </x:c>
      <x:c r="M19" s="31" t="n">
        <x:v>43.2800248071</x:v>
      </x:c>
      <x:c r="N19" s="24" t="str">
        <x:v>thunnus</x:v>
      </x:c>
      <x:c r="O19" s="32" t="n">
        <x:v>4.34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Thunnus</x:v>
      </x:c>
      <x:c r="T19" s="32" t="n">
        <x:f>IF(O19="","",(1/'Metadata'!$B$5)^(O19-1))</x:f>
        <x:v>2187.761623949552</x:v>
      </x:c>
      <x:c r="U19" s="31" t="n">
        <x:f>IF(T19="","",I19*T19)</x:f>
        <x:v>142333.0968593085</x:v>
      </x:c>
    </x:row>
    <x:row r="20" ht="18" customHeight="1">
      <x:c r="A20" s="24" t="str">
        <x:v>EEZ_900</x:v>
      </x:c>
      <x:c r="B20" s="24" t="str">
        <x:v>Crete (Greece)</x:v>
      </x:c>
      <x:c r="C20" s="24" t="str">
        <x:v>EEZ</x:v>
      </x:c>
      <x:c r="D20" s="30" t="n">
        <x:v>2019</x:v>
      </x:c>
      <x:c r="E20" s="24" t="str">
        <x:v>Loligo</x:v>
      </x:c>
      <x:c r="F20" s="24" t="str">
        <x:v>Common squids</x:v>
      </x:c>
      <x:c r="G20" s="24" t="str">
        <x:v>Cephalopods</x:v>
      </x:c>
      <x:c r="H20" s="24" t="str">
        <x:v>Other fishes &amp; inverts</x:v>
      </x:c>
      <x:c r="I20" s="31" t="n">
        <x:v>64.6955465692</x:v>
      </x:c>
      <x:c r="J20" s="31" t="n">
        <x:v>58.4652754202</x:v>
      </x:c>
      <x:c r="K20" s="31" t="n">
        <x:v>6.230271149</x:v>
      </x:c>
      <x:c r="L20" s="31" t="n">
        <x:v>35.186043439100004</x:v>
      </x:c>
      <x:c r="M20" s="31" t="n">
        <x:v>29.5095031301</x:v>
      </x:c>
      <x:c r="N20" s="24" t="str">
        <x:v>loligo</x:v>
      </x:c>
      <x:c r="O20" s="32" t="n">
        <x:v>3.99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Loligo</x:v>
      </x:c>
      <x:c r="T20" s="32" t="n">
        <x:f>IF(O20="","",(1/'Metadata'!$B$5)^(O20-1))</x:f>
        <x:v>977.2372209558112</x:v>
      </x:c>
      <x:c r="U20" s="31" t="n">
        <x:f>IF(T20="","",I20*T20)</x:f>
        <x:v>63222.89613750228</x:v>
      </x:c>
    </x:row>
    <x:row r="21" ht="18" customHeight="1">
      <x:c r="A21" s="24" t="str">
        <x:v>EEZ_900</x:v>
      </x:c>
      <x:c r="B21" s="24" t="str">
        <x:v>Crete (Greece)</x:v>
      </x:c>
      <x:c r="C21" s="24" t="str">
        <x:v>EEZ</x:v>
      </x:c>
      <x:c r="D21" s="30" t="n">
        <x:v>2019</x:v>
      </x:c>
      <x:c r="E21" s="24" t="str">
        <x:v>Sarda sarda</x:v>
      </x:c>
      <x:c r="F21" s="24" t="str">
        <x:v>Atlantic bonito</x:v>
      </x:c>
      <x:c r="G21" s="24" t="str">
        <x:v>Medium pelagics (30 - 89 cm)</x:v>
      </x:c>
      <x:c r="H21" s="24" t="str">
        <x:v>Tuna &amp; billfishes</x:v>
      </x:c>
      <x:c r="I21" s="31" t="n">
        <x:v>60.990415876</x:v>
      </x:c>
      <x:c r="J21" s="31" t="n">
        <x:v>60.9730481973</x:v>
      </x:c>
      <x:c r="K21" s="31" t="n">
        <x:v>0.0173676787</x:v>
      </x:c>
      <x:c r="L21" s="31" t="n">
        <x:v>54.84593682490001</x:v>
      </x:c>
      <x:c r="M21" s="31" t="n">
        <x:v>6.1444790511</x:v>
      </x:c>
      <x:c r="N21" s="24" t="str">
        <x:v>sarda sarda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Sarda sarda</x:v>
      </x:c>
      <x:c r="T21" s="32" t="n">
        <x:f>IF(O21="","",(1/'Metadata'!$B$5)^(O21-1))</x:f>
        <x:v>3162.2776601683795</x:v>
      </x:c>
      <x:c r="U21" s="31" t="n">
        <x:f>IF(T21="","",I21*T21)</x:f>
        <x:v>192868.62960905366</x:v>
      </x:c>
    </x:row>
    <x:row r="22" ht="18" customHeight="1">
      <x:c r="A22" s="24" t="str">
        <x:v>EEZ_900</x:v>
      </x:c>
      <x:c r="B22" s="24" t="str">
        <x:v>Crete (Greece)</x:v>
      </x:c>
      <x:c r="C22" s="24" t="str">
        <x:v>EEZ</x:v>
      </x:c>
      <x:c r="D22" s="30" t="n">
        <x:v>2019</x:v>
      </x:c>
      <x:c r="E22" s="24" t="str">
        <x:v>Teuthida</x:v>
      </x:c>
      <x:c r="F22" s="24" t="str">
        <x:v>Squids</x:v>
      </x:c>
      <x:c r="G22" s="24" t="str">
        <x:v>Cephalopods</x:v>
      </x:c>
      <x:c r="H22" s="24" t="str">
        <x:v>Other fishes &amp; inverts</x:v>
      </x:c>
      <x:c r="I22" s="31" t="n">
        <x:v>59.162295414999996</x:v>
      </x:c>
      <x:c r="J22" s="31" t="n">
        <x:v>52.9449074557</x:v>
      </x:c>
      <x:c r="K22" s="31" t="n">
        <x:v>6.2173879593</x:v>
      </x:c>
      <x:c r="L22" s="31" t="n">
        <x:v>45.392946285099995</x:v>
      </x:c>
      <x:c r="M22" s="31" t="n">
        <x:v>13.7693491299</x:v>
      </x:c>
      <x:c r="N22" s="24" t="str">
        <x:v>teuthida</x:v>
      </x:c>
      <x:c r="O22" s="32" t="n">
        <x:v>4.13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Teuthida</x:v>
      </x:c>
      <x:c r="T22" s="32" t="n">
        <x:f>IF(O22="","",(1/'Metadata'!$B$5)^(O22-1))</x:f>
        <x:v>1348.9628825916532</x:v>
      </x:c>
      <x:c r="U22" s="31" t="n">
        <x:f>IF(T22="","",I22*T22)</x:f>
        <x:v>79807.74056375734</x:v>
      </x:c>
    </x:row>
    <x:row r="23" ht="18" customHeight="1">
      <x:c r="A23" s="24" t="str">
        <x:v>EEZ_900</x:v>
      </x:c>
      <x:c r="B23" s="24" t="str">
        <x:v>Crete (Greece)</x:v>
      </x:c>
      <x:c r="C23" s="24" t="str">
        <x:v>EEZ</x:v>
      </x:c>
      <x:c r="D23" s="30" t="n">
        <x:v>2019</x:v>
      </x:c>
      <x:c r="E23" s="24" t="str">
        <x:v>Trachurus mediterraneus</x:v>
      </x:c>
      <x:c r="F23" s="24" t="str">
        <x:v>Mediterranean horse mackerel</x:v>
      </x:c>
      <x:c r="G23" s="24" t="str">
        <x:v>Medium pelagics (30 - 89 cm)</x:v>
      </x:c>
      <x:c r="H23" s="24" t="str">
        <x:v>Perch-likes</x:v>
      </x:c>
      <x:c r="I23" s="31" t="n">
        <x:v>53.7961203118</x:v>
      </x:c>
      <x:c r="J23" s="31" t="n">
        <x:v>50.8295033699</x:v>
      </x:c>
      <x:c r="K23" s="31" t="n">
        <x:v>2.9666169419</x:v>
      </x:c>
      <x:c r="L23" s="31" t="n">
        <x:v>12.7835649771</x:v>
      </x:c>
      <x:c r="M23" s="31" t="n">
        <x:v>41.012555334700004</x:v>
      </x:c>
      <x:c r="N23" s="24" t="str">
        <x:v>trachurus mediterraneus</x:v>
      </x:c>
      <x:c r="O23" s="32" t="n">
        <x:v>3.77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mediterraneus</x:v>
      </x:c>
      <x:c r="T23" s="32" t="n">
        <x:f>IF(O23="","",(1/'Metadata'!$B$5)^(O23-1))</x:f>
        <x:v>588.843655355589</x:v>
      </x:c>
      <x:c r="U23" s="31" t="n">
        <x:f>IF(T23="","",I23*T23)</x:f>
        <x:v>31677.504128349363</x:v>
      </x:c>
    </x:row>
    <x:row r="24" ht="18" customHeight="1">
      <x:c r="A24" s="24" t="str">
        <x:v>EEZ_900</x:v>
      </x:c>
      <x:c r="B24" s="24" t="str">
        <x:v>Crete (Greece)</x:v>
      </x:c>
      <x:c r="C24" s="24" t="str">
        <x:v>EEZ</x:v>
      </x:c>
      <x:c r="D24" s="30" t="n">
        <x:v>2019</x:v>
      </x:c>
      <x:c r="E24" s="24" t="str">
        <x:v>Sepia officinalis</x:v>
      </x:c>
      <x:c r="F24" s="24" t="str">
        <x:v>Common cuttlefish</x:v>
      </x:c>
      <x:c r="G24" s="24" t="str">
        <x:v>Cephalopods</x:v>
      </x:c>
      <x:c r="H24" s="24" t="str">
        <x:v>Other fishes &amp; inverts</x:v>
      </x:c>
      <x:c r="I24" s="31" t="n">
        <x:v>52.0543204031</x:v>
      </x:c>
      <x:c r="J24" s="31" t="n">
        <x:v>42.1193427551</x:v>
      </x:c>
      <x:c r="K24" s="31" t="n">
        <x:v>9.934977648</x:v>
      </x:c>
      <x:c r="L24" s="31" t="n">
        <x:v>36.1079316539</x:v>
      </x:c>
      <x:c r="M24" s="31" t="n">
        <x:v>15.9463887492</x:v>
      </x:c>
      <x:c r="N24" s="24" t="str">
        <x:v>sepia officinalis</x:v>
      </x:c>
      <x:c r="O24" s="32" t="n">
        <x:v>4.27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Sepia officinalis</x:v>
      </x:c>
      <x:c r="T24" s="32" t="n">
        <x:f>IF(O24="","",(1/'Metadata'!$B$5)^(O24-1))</x:f>
        <x:v>1862.0871366628655</x:v>
      </x:c>
      <x:c r="U24" s="31" t="n">
        <x:f>IF(T24="","",I24*T24)</x:f>
        <x:v>96929.68043033985</x:v>
      </x:c>
    </x:row>
    <x:row r="25" ht="18" customHeight="1">
      <x:c r="A25" s="24" t="str">
        <x:v>EEZ_900</x:v>
      </x:c>
      <x:c r="B25" s="24" t="str">
        <x:v>Crete (Greece)</x:v>
      </x:c>
      <x:c r="C25" s="24" t="str">
        <x:v>EEZ</x:v>
      </x:c>
      <x:c r="D25" s="30" t="n">
        <x:v>2019</x:v>
      </x:c>
      <x:c r="E25" s="24" t="str">
        <x:v>Auxis rochei</x:v>
      </x:c>
      <x:c r="F25" s="24" t="str">
        <x:v>Bullet tuna</x:v>
      </x:c>
      <x:c r="G25" s="24" t="str">
        <x:v>Medium pelagics (30 - 89 cm)</x:v>
      </x:c>
      <x:c r="H25" s="24" t="str">
        <x:v>Tuna &amp; billfishes</x:v>
      </x:c>
      <x:c r="I25" s="31" t="n">
        <x:v>49.9600942993</x:v>
      </x:c>
      <x:c r="J25" s="31" t="n">
        <x:v>49.9600942993</x:v>
      </x:c>
      <x:c r="K25" s="31" t="n">
        <x:v>0</x:v>
      </x:c>
      <x:c r="L25" s="31" t="n">
        <x:v>49.9600942993</x:v>
      </x:c>
      <x:c r="M25" s="31" t="n">
        <x:v>0</x:v>
      </x:c>
      <x:c r="N25" s="24" t="str">
        <x:v>auxis rochei</x:v>
      </x:c>
      <x:c r="O25" s="32" t="n">
        <x:v>4.13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Auxis rochei</x:v>
      </x:c>
      <x:c r="T25" s="32" t="n">
        <x:f>IF(O25="","",(1/'Metadata'!$B$5)^(O25-1))</x:f>
        <x:v>1348.9628825916532</x:v>
      </x:c>
      <x:c r="U25" s="31" t="n">
        <x:f>IF(T25="","",I25*T25)</x:f>
        <x:v>67394.31282053456</x:v>
      </x:c>
    </x:row>
    <x:row r="26" ht="18" customHeight="1">
      <x:c r="A26" s="24" t="str">
        <x:v>EEZ_900</x:v>
      </x:c>
      <x:c r="B26" s="24" t="str">
        <x:v>Crete (Greece)</x:v>
      </x:c>
      <x:c r="C26" s="24" t="str">
        <x:v>EEZ</x:v>
      </x:c>
      <x:c r="D26" s="30" t="n">
        <x:v>2019</x:v>
      </x:c>
      <x:c r="E26" s="24" t="str">
        <x:v>Thunnus alalunga</x:v>
      </x:c>
      <x:c r="F26" s="24" t="str">
        <x:v>Albacore</x:v>
      </x:c>
      <x:c r="G26" s="24" t="str">
        <x:v>Large pelagics (&gt;=90 cm)</x:v>
      </x:c>
      <x:c r="H26" s="24" t="str">
        <x:v>Tuna &amp; billfishes</x:v>
      </x:c>
      <x:c r="I26" s="31" t="n">
        <x:v>39.9283154036</x:v>
      </x:c>
      <x:c r="J26" s="31" t="n">
        <x:v>39.694887251800004</x:v>
      </x:c>
      <x:c r="K26" s="31" t="n">
        <x:v>0.2334281518</x:v>
      </x:c>
      <x:c r="L26" s="31" t="n">
        <x:v>39.694887251800004</x:v>
      </x:c>
      <x:c r="M26" s="31" t="n">
        <x:v>0.2334281518</x:v>
      </x:c>
      <x:c r="N26" s="24" t="str">
        <x:v>thunnus alalunga</x:v>
      </x:c>
      <x:c r="O26" s="32" t="n">
        <x:v>4.3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Thunnus alalunga</x:v>
      </x:c>
      <x:c r="T26" s="32" t="n">
        <x:f>IF(O26="","",(1/'Metadata'!$B$5)^(O26-1))</x:f>
        <x:v>1995.2623149688789</x:v>
      </x:c>
      <x:c r="U26" s="31" t="n">
        <x:f>IF(T26="","",I26*T26)</x:f>
        <x:v>79667.46302499449</x:v>
      </x:c>
    </x:row>
    <x:row r="27" ht="18" customHeight="1">
      <x:c r="A27" s="24" t="str">
        <x:v>EEZ_900</x:v>
      </x:c>
      <x:c r="B27" s="24" t="str">
        <x:v>Crete (Greece)</x:v>
      </x:c>
      <x:c r="C27" s="24" t="str">
        <x:v>EEZ</x:v>
      </x:c>
      <x:c r="D27" s="30" t="n">
        <x:v>2019</x:v>
      </x:c>
      <x:c r="E27" s="24" t="str">
        <x:v>Thunnus thynnus</x:v>
      </x:c>
      <x:c r="F27" s="24" t="str">
        <x:v>Atlantic bluefin tuna</x:v>
      </x:c>
      <x:c r="G27" s="24" t="str">
        <x:v>Large pelagics (&gt;=90 cm)</x:v>
      </x:c>
      <x:c r="H27" s="24" t="str">
        <x:v>Tuna &amp; billfishes</x:v>
      </x:c>
      <x:c r="I27" s="31" t="n">
        <x:v>39.2814088365</x:v>
      </x:c>
      <x:c r="J27" s="31" t="n">
        <x:v>39.2217516329</x:v>
      </x:c>
      <x:c r="K27" s="31" t="n">
        <x:v>0.0596572036</x:v>
      </x:c>
      <x:c r="L27" s="31" t="n">
        <x:v>39.2217516329</x:v>
      </x:c>
      <x:c r="M27" s="31" t="n">
        <x:v>0.0596572036</x:v>
      </x:c>
      <x:c r="N27" s="24" t="str">
        <x:v>thunnus thynnus</x:v>
      </x:c>
      <x:c r="O27" s="32" t="n">
        <x:v>4.45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thynnus</x:v>
      </x:c>
      <x:c r="T27" s="32" t="n">
        <x:f>IF(O27="","",(1/'Metadata'!$B$5)^(O27-1))</x:f>
        <x:v>2818.382931264455</x:v>
      </x:c>
      <x:c r="U27" s="31" t="n">
        <x:f>IF(T27="","",I27*T27)</x:f>
        <x:v>110710.05218081233</x:v>
      </x:c>
    </x:row>
    <x:row r="28" ht="18" customHeight="1">
      <x:c r="A28" s="24" t="str">
        <x:v>EEZ_900</x:v>
      </x:c>
      <x:c r="B28" s="24" t="str">
        <x:v>Crete (Greece)</x:v>
      </x:c>
      <x:c r="C28" s="24" t="str">
        <x:v>EEZ</x:v>
      </x:c>
      <x:c r="D28" s="30" t="n">
        <x:v>2019</x:v>
      </x:c>
      <x:c r="E28" s="24" t="str">
        <x:v>Octopodidae</x:v>
      </x:c>
      <x:c r="F28" s="24" t="str">
        <x:v>Octopuses</x:v>
      </x:c>
      <x:c r="G28" s="24" t="str">
        <x:v>Cephalopods</x:v>
      </x:c>
      <x:c r="H28" s="24" t="str">
        <x:v>Other fishes &amp; inverts</x:v>
      </x:c>
      <x:c r="I28" s="31" t="n">
        <x:v>36.7435224348</x:v>
      </x:c>
      <x:c r="J28" s="31" t="n">
        <x:v>32.98395472</x:v>
      </x:c>
      <x:c r="K28" s="31" t="n">
        <x:v>3.7595677148</x:v>
      </x:c>
      <x:c r="L28" s="31" t="n">
        <x:v>31.856492559899998</x:v>
      </x:c>
      <x:c r="M28" s="31" t="n">
        <x:v>4.8870298749000005</x:v>
      </x:c>
      <x:c r="N28" s="24" t="str">
        <x:v>octopodidae</x:v>
      </x:c>
      <x:c r="O28" s="32" t="n">
        <x:v>3.59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Octopodidae</x:v>
      </x:c>
      <x:c r="T28" s="32" t="n">
        <x:f>IF(O28="","",(1/'Metadata'!$B$5)^(O28-1))</x:f>
        <x:v>389.04514499428046</x:v>
      </x:c>
      <x:c r="U28" s="31" t="n">
        <x:f>IF(T28="","",I28*T28)</x:f>
        <x:v>14294.889013247363</x:v>
      </x:c>
    </x:row>
    <x:row r="29" ht="18" customHeight="1">
      <x:c r="A29" s="24" t="str">
        <x:v>EEZ_900</x:v>
      </x:c>
      <x:c r="B29" s="24" t="str">
        <x:v>Crete (Greece)</x:v>
      </x:c>
      <x:c r="C29" s="24" t="str">
        <x:v>EEZ</x:v>
      </x:c>
      <x:c r="D29" s="30" t="n">
        <x:v>2019</x:v>
      </x:c>
      <x:c r="E29" s="24" t="str">
        <x:v>Oblada melanurus</x:v>
      </x:c>
      <x:c r="F29" s="24" t="str">
        <x:v>Saddled seabream</x:v>
      </x:c>
      <x:c r="G29" s="24" t="str">
        <x:v>Small benthopelagics (&lt;30 cm)</x:v>
      </x:c>
      <x:c r="H29" s="24" t="str">
        <x:v>Perch-likes</x:v>
      </x:c>
      <x:c r="I29" s="31" t="n">
        <x:v>34.5880492774</x:v>
      </x:c>
      <x:c r="J29" s="31" t="n">
        <x:v>30.9522632352</x:v>
      </x:c>
      <x:c r="K29" s="31" t="n">
        <x:v>3.6357860422000003</x:v>
      </x:c>
      <x:c r="L29" s="31" t="n">
        <x:v>2.2743813007</x:v>
      </x:c>
      <x:c r="M29" s="31" t="n">
        <x:v>32.3136679767</x:v>
      </x:c>
      <x:c r="N29" s="24" t="str">
        <x:v>oblada melanurus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Oblada melanurus</x:v>
      </x:c>
      <x:c r="T29" s="32" t="n">
        <x:f>IF(O29="","",(1/'Metadata'!$B$5)^(O29-1))</x:f>
        <x:v>239.88329190194898</x:v>
      </x:c>
      <x:c r="U29" s="31" t="n">
        <x:f>IF(T29="","",I29*T29)</x:f>
        <x:v>8297.09512112954</x:v>
      </x:c>
    </x:row>
    <x:row r="30" ht="18" customHeight="1">
      <x:c r="A30" s="24" t="str">
        <x:v>EEZ_900</x:v>
      </x:c>
      <x:c r="B30" s="24" t="str">
        <x:v>Crete (Greece)</x:v>
      </x:c>
      <x:c r="C30" s="24" t="str">
        <x:v>EEZ</x:v>
      </x:c>
      <x:c r="D30" s="30" t="n">
        <x:v>2019</x:v>
      </x:c>
      <x:c r="E30" s="24" t="str">
        <x:v>Engraulis encrasicolus</x:v>
      </x:c>
      <x:c r="F30" s="24" t="str">
        <x:v>European anchovy</x:v>
      </x:c>
      <x:c r="G30" s="24" t="str">
        <x:v>Small pelagics (&lt;30 cm)</x:v>
      </x:c>
      <x:c r="H30" s="24" t="str">
        <x:v>Anchovies</x:v>
      </x:c>
      <x:c r="I30" s="31" t="n">
        <x:v>29.559868827400003</x:v>
      </x:c>
      <x:c r="J30" s="31" t="n">
        <x:v>28.579006105700003</x:v>
      </x:c>
      <x:c r="K30" s="31" t="n">
        <x:v>0.9808627217</x:v>
      </x:c>
      <x:c r="L30" s="31" t="n">
        <x:v>27.335171633900003</x:v>
      </x:c>
      <x:c r="M30" s="31" t="n">
        <x:v>2.2246971935</x:v>
      </x:c>
      <x:c r="N30" s="24" t="str">
        <x:v>engraulis encrasicolus</x:v>
      </x:c>
      <x:c r="O30" s="32" t="n">
        <x:v>3.11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Engraulis encrasicolus</x:v>
      </x:c>
      <x:c r="T30" s="32" t="n">
        <x:f>IF(O30="","",(1/'Metadata'!$B$5)^(O30-1))</x:f>
        <x:v>128.82495516931337</x:v>
      </x:c>
      <x:c r="U30" s="31" t="n">
        <x:f>IF(T30="","",I30*T30)</x:f>
        <x:v>3808.048776500589</x:v>
      </x:c>
    </x:row>
    <x:row r="31" ht="18" customHeight="1">
      <x:c r="A31" s="24" t="str">
        <x:v>EEZ_900</x:v>
      </x:c>
      <x:c r="B31" s="24" t="str">
        <x:v>Crete (Greece)</x:v>
      </x:c>
      <x:c r="C31" s="24" t="str">
        <x:v>EEZ</x:v>
      </x:c>
      <x:c r="D31" s="30" t="n">
        <x:v>2019</x:v>
      </x:c>
      <x:c r="E31" s="24" t="str">
        <x:v>Spicara</x:v>
      </x:c>
      <x:c r="F31" s="24" t="str">
        <x:v>Picarels</x:v>
      </x:c>
      <x:c r="G31" s="24" t="str">
        <x:v>Small demersals (&lt;30 cm)</x:v>
      </x:c>
      <x:c r="H31" s="24" t="str">
        <x:v>Perch-likes</x:v>
      </x:c>
      <x:c r="I31" s="31" t="n">
        <x:v>27.5689233059</x:v>
      </x:c>
      <x:c r="J31" s="31" t="n">
        <x:v>27.554464979</x:v>
      </x:c>
      <x:c r="K31" s="31" t="n">
        <x:v>0.0144583269</x:v>
      </x:c>
      <x:c r="L31" s="31" t="n">
        <x:v>21.4285924079</x:v>
      </x:c>
      <x:c r="M31" s="31" t="n">
        <x:v>6.140330898</x:v>
      </x:c>
      <x:c r="N31" s="24" t="str">
        <x:v>spicara</x:v>
      </x:c>
      <x:c r="O31" s="32" t="n">
        <x:v>3.58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Spicara</x:v>
      </x:c>
      <x:c r="T31" s="32" t="n">
        <x:f>IF(O31="","",(1/'Metadata'!$B$5)^(O31-1))</x:f>
        <x:v>380.1893963205613</x:v>
      </x:c>
      <x:c r="U31" s="31" t="n">
        <x:f>IF(T31="","",I31*T31)</x:f>
        <x:v>10481.412308877974</x:v>
      </x:c>
    </x:row>
    <x:row r="32" ht="18" customHeight="1">
      <x:c r="A32" s="24" t="str">
        <x:v>EEZ_900</x:v>
      </x:c>
      <x:c r="B32" s="24" t="str">
        <x:v>Crete (Greece)</x:v>
      </x:c>
      <x:c r="C32" s="24" t="str">
        <x:v>EEZ</x:v>
      </x:c>
      <x:c r="D32" s="30" t="n">
        <x:v>2019</x:v>
      </x:c>
      <x:c r="E32" s="24" t="str">
        <x:v>Lithognathus mormyrus</x:v>
      </x:c>
      <x:c r="F32" s="24" t="str">
        <x:v>Sand steenbras</x:v>
      </x:c>
      <x:c r="G32" s="24" t="str">
        <x:v>Medium benthopelagics (30 - 89 cm)</x:v>
      </x:c>
      <x:c r="H32" s="24" t="str">
        <x:v>Perch-likes</x:v>
      </x:c>
      <x:c r="I32" s="31" t="n">
        <x:v>25.5887530114</x:v>
      </x:c>
      <x:c r="J32" s="31" t="n">
        <x:v>25.4445974574</x:v>
      </x:c>
      <x:c r="K32" s="31" t="n">
        <x:v>0.14415555400000002</x:v>
      </x:c>
      <x:c r="L32" s="31" t="n">
        <x:v>0.7212795085</x:v>
      </x:c>
      <x:c r="M32" s="31" t="n">
        <x:v>24.8674735029</x:v>
      </x:c>
      <x:c r="N32" s="24" t="str">
        <x:v>lithognathus mormyrus</x:v>
      </x:c>
      <x:c r="O32" s="32" t="n">
        <x:v>3.42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Lithognathus mormyrus</x:v>
      </x:c>
      <x:c r="T32" s="32" t="n">
        <x:f>IF(O32="","",(1/'Metadata'!$B$5)^(O32-1))</x:f>
        <x:v>263.02679918953817</x:v>
      </x:c>
      <x:c r="U32" s="31" t="n">
        <x:f>IF(T32="","",I32*T32)</x:f>
        <x:v>6730.527799840198</x:v>
      </x:c>
    </x:row>
    <x:row r="33" ht="18" customHeight="1">
      <x:c r="A33" s="24" t="str">
        <x:v>EEZ_900</x:v>
      </x:c>
      <x:c r="B33" s="24" t="str">
        <x:v>Crete (Greece)</x:v>
      </x:c>
      <x:c r="C33" s="24" t="str">
        <x:v>EEZ</x:v>
      </x:c>
      <x:c r="D33" s="30" t="n">
        <x:v>2019</x:v>
      </x:c>
      <x:c r="E33" s="24" t="str">
        <x:v>Dicentrarchus labrax</x:v>
      </x:c>
      <x:c r="F33" s="24" t="str">
        <x:v>European seabass</x:v>
      </x:c>
      <x:c r="G33" s="24" t="str">
        <x:v>Large demersals (&gt;=90 cm)</x:v>
      </x:c>
      <x:c r="H33" s="24" t="str">
        <x:v>Perch-likes</x:v>
      </x:c>
      <x:c r="I33" s="31" t="n">
        <x:v>24.768986156700002</x:v>
      </x:c>
      <x:c r="J33" s="31" t="n">
        <x:v>24.645626029200002</x:v>
      </x:c>
      <x:c r="K33" s="31" t="n">
        <x:v>0.1233601275</x:v>
      </x:c>
      <x:c r="L33" s="31" t="n">
        <x:v>0</x:v>
      </x:c>
      <x:c r="M33" s="31" t="n">
        <x:v>24.768986156700002</x:v>
      </x:c>
      <x:c r="N33" s="24" t="str">
        <x:v>dicentrarchus labrax</x:v>
      </x:c>
      <x:c r="O33" s="32" t="n">
        <x:v>3.79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Dicentrarchus labrax</x:v>
      </x:c>
      <x:c r="T33" s="32" t="n">
        <x:f>IF(O33="","",(1/'Metadata'!$B$5)^(O33-1))</x:f>
        <x:v>616.5950018614822</x:v>
      </x:c>
      <x:c r="U33" s="31" t="n">
        <x:f>IF(T33="","",I33*T33)</x:f>
        <x:v>15272.433065397463</x:v>
      </x:c>
    </x:row>
    <x:row r="34" ht="18" customHeight="1">
      <x:c r="A34" s="24" t="str">
        <x:v>EEZ_900</x:v>
      </x:c>
      <x:c r="B34" s="24" t="str">
        <x:v>Crete (Greece)</x:v>
      </x:c>
      <x:c r="C34" s="24" t="str">
        <x:v>EEZ</x:v>
      </x:c>
      <x:c r="D34" s="30" t="n">
        <x:v>2019</x:v>
      </x:c>
      <x:c r="E34" s="24" t="str">
        <x:v>Dentex dentex</x:v>
      </x:c>
      <x:c r="F34" s="24" t="str">
        <x:v>Common dentex</x:v>
      </x:c>
      <x:c r="G34" s="24" t="str">
        <x:v>Large benthopelagics (&gt;=90 cm)</x:v>
      </x:c>
      <x:c r="H34" s="24" t="str">
        <x:v>Perch-likes</x:v>
      </x:c>
      <x:c r="I34" s="31" t="n">
        <x:v>22.662495476000004</x:v>
      </x:c>
      <x:c r="J34" s="31" t="n">
        <x:v>21.9738447505</x:v>
      </x:c>
      <x:c r="K34" s="31" t="n">
        <x:v>0.6886507255000001</x:v>
      </x:c>
      <x:c r="L34" s="31" t="n">
        <x:v>12.193667110500002</x:v>
      </x:c>
      <x:c r="M34" s="31" t="n">
        <x:v>10.4688283655</x:v>
      </x:c>
      <x:c r="N34" s="24" t="str">
        <x:v>dentex dentex</x:v>
      </x:c>
      <x:c r="O34" s="32" t="n">
        <x:v>4.53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Dentex dentex</x:v>
      </x:c>
      <x:c r="T34" s="32" t="n">
        <x:f>IF(O34="","",(1/'Metadata'!$B$5)^(O34-1))</x:f>
        <x:v>3388.4415613920273</x:v>
      </x:c>
      <x:c r="U34" s="31" t="n">
        <x:f>IF(T34="","",I34*T34)</x:f>
        <x:v>76790.5415557372</x:v>
      </x:c>
    </x:row>
    <x:row r="35" ht="18" customHeight="1">
      <x:c r="A35" s="24" t="str">
        <x:v>EEZ_900</x:v>
      </x:c>
      <x:c r="B35" s="24" t="str">
        <x:v>Crete (Greece)</x:v>
      </x:c>
      <x:c r="C35" s="24" t="str">
        <x:v>EEZ</x:v>
      </x:c>
      <x:c r="D35" s="30" t="n">
        <x:v>2019</x:v>
      </x:c>
      <x:c r="E35" s="24" t="str">
        <x:v>Dentex macrophthalmus</x:v>
      </x:c>
      <x:c r="F35" s="24" t="str">
        <x:v>Large-eye dentex</x:v>
      </x:c>
      <x:c r="G35" s="24" t="str">
        <x:v>Medium benthopelagics (30 - 89 cm)</x:v>
      </x:c>
      <x:c r="H35" s="24" t="str">
        <x:v>Perch-likes</x:v>
      </x:c>
      <x:c r="I35" s="31" t="n">
        <x:v>22.607040740099997</x:v>
      </x:c>
      <x:c r="J35" s="31" t="n">
        <x:v>17.545584186499998</x:v>
      </x:c>
      <x:c r="K35" s="31" t="n">
        <x:v>5.0614565536</x:v>
      </x:c>
      <x:c r="L35" s="31" t="n">
        <x:v>0</x:v>
      </x:c>
      <x:c r="M35" s="31" t="n">
        <x:v>22.607040740099997</x:v>
      </x:c>
      <x:c r="N35" s="24" t="str">
        <x:v>dentex macrophthalmus</x:v>
      </x:c>
      <x:c r="O35" s="32" t="n">
        <x:v>3.52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Dentex macrophthalmus</x:v>
      </x:c>
      <x:c r="T35" s="32" t="n">
        <x:f>IF(O35="","",(1/'Metadata'!$B$5)^(O35-1))</x:f>
        <x:v>331.1311214825911</x:v>
      </x:c>
      <x:c r="U35" s="31" t="n">
        <x:f>IF(T35="","",I35*T35)</x:f>
        <x:v>7485.894753671938</x:v>
      </x:c>
    </x:row>
    <x:row r="36" ht="18" customHeight="1">
      <x:c r="A36" s="24" t="str">
        <x:v>EEZ_900</x:v>
      </x:c>
      <x:c r="B36" s="24" t="str">
        <x:v>Crete (Greece)</x:v>
      </x:c>
      <x:c r="C36" s="24" t="str">
        <x:v>EEZ</x:v>
      </x:c>
      <x:c r="D36" s="30" t="n">
        <x:v>2019</x:v>
      </x:c>
      <x:c r="E36" s="24" t="str">
        <x:v>Octopus vulgaris</x:v>
      </x:c>
      <x:c r="F36" s="24" t="str">
        <x:v>Common octopus</x:v>
      </x:c>
      <x:c r="G36" s="24" t="str">
        <x:v>Cephalopods</x:v>
      </x:c>
      <x:c r="H36" s="24" t="str">
        <x:v>Other fishes &amp; inverts</x:v>
      </x:c>
      <x:c r="I36" s="31" t="n">
        <x:v>21.7223376353</x:v>
      </x:c>
      <x:c r="J36" s="31" t="n">
        <x:v>19.7146486329</x:v>
      </x:c>
      <x:c r="K36" s="31" t="n">
        <x:v>2.0076890024000003</x:v>
      </x:c>
      <x:c r="L36" s="31" t="n">
        <x:v>18.5350194457</x:v>
      </x:c>
      <x:c r="M36" s="31" t="n">
        <x:v>3.1873181896</x:v>
      </x:c>
      <x:c r="N36" s="24" t="str">
        <x:v>octopus vulgaris</x:v>
      </x:c>
      <x:c r="O36" s="32" t="n">
        <x:v>3.6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Octopus vulgaris</x:v>
      </x:c>
      <x:c r="T36" s="32" t="n">
        <x:f>IF(O36="","",(1/'Metadata'!$B$5)^(O36-1))</x:f>
        <x:v>398.1071705534973</x:v>
      </x:c>
      <x:c r="U36" s="31" t="n">
        <x:f>IF(T36="","",I36*T36)</x:f>
        <x:v>8647.81837379703</x:v>
      </x:c>
    </x:row>
    <x:row r="37" ht="18" customHeight="1">
      <x:c r="A37" s="24" t="str">
        <x:v>EEZ_900</x:v>
      </x:c>
      <x:c r="B37" s="24" t="str">
        <x:v>Crete (Greece)</x:v>
      </x:c>
      <x:c r="C37" s="24" t="str">
        <x:v>EEZ</x:v>
      </x:c>
      <x:c r="D37" s="30" t="n">
        <x:v>2019</x:v>
      </x:c>
      <x:c r="E37" s="24" t="str">
        <x:v>Triglidae</x:v>
      </x:c>
      <x:c r="F37" s="24" t="str">
        <x:v>Searobins, gurnards</x:v>
      </x:c>
      <x:c r="G37" s="24" t="str">
        <x:v>Medium demersals (30 - 89 cm)</x:v>
      </x:c>
      <x:c r="H37" s="24" t="str">
        <x:v>Scorpionfishes</x:v>
      </x:c>
      <x:c r="I37" s="31" t="n">
        <x:v>20.210223072999998</x:v>
      </x:c>
      <x:c r="J37" s="31" t="n">
        <x:v>19.779637586299998</x:v>
      </x:c>
      <x:c r="K37" s="31" t="n">
        <x:v>0.4305854867</x:v>
      </x:c>
      <x:c r="L37" s="31" t="n">
        <x:v>13.6440046462</x:v>
      </x:c>
      <x:c r="M37" s="31" t="n">
        <x:v>6.5662184268</x:v>
      </x:c>
      <x:c r="N37" s="24" t="str">
        <x:v>triglidae</x:v>
      </x:c>
      <x:c r="O37" s="32" t="n">
        <x:v>3.74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Triglidae</x:v>
      </x:c>
      <x:c r="T37" s="32" t="n">
        <x:f>IF(O37="","",(1/'Metadata'!$B$5)^(O37-1))</x:f>
        <x:v>549.5408738576248</x:v>
      </x:c>
      <x:c r="U37" s="31" t="n">
        <x:f>IF(T37="","",I37*T37)</x:f>
        <x:v>11106.34364839395</x:v>
      </x:c>
    </x:row>
    <x:row r="38" ht="18" customHeight="1">
      <x:c r="A38" s="24" t="str">
        <x:v>EEZ_900</x:v>
      </x:c>
      <x:c r="B38" s="24" t="str">
        <x:v>Crete (Greece)</x:v>
      </x:c>
      <x:c r="C38" s="24" t="str">
        <x:v>EEZ</x:v>
      </x:c>
      <x:c r="D38" s="30" t="n">
        <x:v>2019</x:v>
      </x:c>
      <x:c r="E38" s="24" t="str">
        <x:v>Epinephelus marginatus</x:v>
      </x:c>
      <x:c r="F38" s="24" t="str">
        <x:v>Dusky grouper</x:v>
      </x:c>
      <x:c r="G38" s="24" t="str">
        <x:v>Large reef assoc. fish (&gt;=90 cm)</x:v>
      </x:c>
      <x:c r="H38" s="24" t="str">
        <x:v>Perch-likes</x:v>
      </x:c>
      <x:c r="I38" s="31" t="n">
        <x:v>19.9455980868</x:v>
      </x:c>
      <x:c r="J38" s="31" t="n">
        <x:v>19.1051169327</x:v>
      </x:c>
      <x:c r="K38" s="31" t="n">
        <x:v>0.8404811541</x:v>
      </x:c>
      <x:c r="L38" s="31" t="n">
        <x:v>18.517178518</x:v>
      </x:c>
      <x:c r="M38" s="31" t="n">
        <x:v>1.4284195688</x:v>
      </x:c>
      <x:c r="N38" s="24" t="str">
        <x:v>epinephelus marginatus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Epinephelus marginatus</x:v>
      </x:c>
      <x:c r="T38" s="32" t="n">
        <x:f>IF(O38="","",(1/'Metadata'!$B$5)^(O38-1))</x:f>
        <x:v>2691.534803926914</x:v>
      </x:c>
      <x:c r="U38" s="31" t="n">
        <x:f>IF(T38="","",I38*T38)</x:f>
        <x:v>53684.27143576027</x:v>
      </x:c>
    </x:row>
    <x:row r="39" ht="18" customHeight="1">
      <x:c r="A39" s="24" t="str">
        <x:v>EEZ_900</x:v>
      </x:c>
      <x:c r="B39" s="24" t="str">
        <x:v>Crete (Greece)</x:v>
      </x:c>
      <x:c r="C39" s="24" t="str">
        <x:v>EEZ</x:v>
      </x:c>
      <x:c r="D39" s="30" t="n">
        <x:v>2019</x:v>
      </x:c>
      <x:c r="E39" s="24" t="str">
        <x:v>Mustelus</x:v>
      </x:c>
      <x:c r="F39" s="24" t="str">
        <x:v>Smoothhounds</x:v>
      </x:c>
      <x:c r="G39" s="24" t="str">
        <x:v>Large sharks (&gt;=90 cm)</x:v>
      </x:c>
      <x:c r="H39" s="24" t="str">
        <x:v>Sharks &amp; rays</x:v>
      </x:c>
      <x:c r="I39" s="31" t="n">
        <x:v>19.7853730643</x:v>
      </x:c>
      <x:c r="J39" s="31" t="n">
        <x:v>16.7812003413</x:v>
      </x:c>
      <x:c r="K39" s="31" t="n">
        <x:v>3.004172723</x:v>
      </x:c>
      <x:c r="L39" s="31" t="n">
        <x:v>16.5317994916</x:v>
      </x:c>
      <x:c r="M39" s="31" t="n">
        <x:v>3.2535735727</x:v>
      </x:c>
      <x:c r="N39" s="24" t="str">
        <x:v>mustelus</x:v>
      </x:c>
      <x:c r="O39" s="32" t="n">
        <x:v>3.73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Mustelus</x:v>
      </x:c>
      <x:c r="T39" s="32" t="n">
        <x:f>IF(O39="","",(1/'Metadata'!$B$5)^(O39-1))</x:f>
        <x:v>537.0317963702527</x:v>
      </x:c>
      <x:c r="U39" s="31" t="n">
        <x:f>IF(T39="","",I39*T39)</x:f>
        <x:v>10625.37443857664</x:v>
      </x:c>
    </x:row>
    <x:row r="40" ht="18" customHeight="1">
      <x:c r="A40" s="24" t="str">
        <x:v>EEZ_900</x:v>
      </x:c>
      <x:c r="B40" s="24" t="str">
        <x:v>Crete (Greece)</x:v>
      </x:c>
      <x:c r="C40" s="24" t="str">
        <x:v>EEZ</x:v>
      </x:c>
      <x:c r="D40" s="30" t="n">
        <x:v>2019</x:v>
      </x:c>
      <x:c r="E40" s="24" t="str">
        <x:v>Scomber scombrus</x:v>
      </x:c>
      <x:c r="F40" s="24" t="str">
        <x:v>Atlantic mackerel</x:v>
      </x:c>
      <x:c r="G40" s="24" t="str">
        <x:v>Medium pelagics (30 - 89 cm)</x:v>
      </x:c>
      <x:c r="H40" s="24" t="str">
        <x:v>Perch-likes</x:v>
      </x:c>
      <x:c r="I40" s="31" t="n">
        <x:v>19.2427266986</x:v>
      </x:c>
      <x:c r="J40" s="31" t="n">
        <x:v>17.3865034441</x:v>
      </x:c>
      <x:c r="K40" s="31" t="n">
        <x:v>1.8562232545000001</x:v>
      </x:c>
      <x:c r="L40" s="31" t="n">
        <x:v>0.519539338</x:v>
      </x:c>
      <x:c r="M40" s="31" t="n">
        <x:v>18.7231873606</x:v>
      </x:c>
      <x:c r="N40" s="24" t="str">
        <x:v>scomber scombrus</x:v>
      </x:c>
      <x:c r="O40" s="32" t="n">
        <x:v>3.63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Scomber scombrus</x:v>
      </x:c>
      <x:c r="T40" s="32" t="n">
        <x:f>IF(O40="","",(1/'Metadata'!$B$5)^(O40-1))</x:f>
        <x:v>426.57951880159254</x:v>
      </x:c>
      <x:c r="U40" s="31" t="n">
        <x:f>IF(T40="","",I40*T40)</x:f>
        <x:v>8208.553095519344</x:v>
      </x:c>
    </x:row>
    <x:row r="41" ht="18" customHeight="1">
      <x:c r="A41" s="24" t="str">
        <x:v>EEZ_900</x:v>
      </x:c>
      <x:c r="B41" s="24" t="str">
        <x:v>Crete (Greece)</x:v>
      </x:c>
      <x:c r="C41" s="24" t="str">
        <x:v>EEZ</x:v>
      </x:c>
      <x:c r="D41" s="30" t="n">
        <x:v>2019</x:v>
      </x:c>
      <x:c r="E41" s="24" t="str">
        <x:v>Spicara maena</x:v>
      </x:c>
      <x:c r="F41" s="24" t="str">
        <x:v>Blotched picarel</x:v>
      </x:c>
      <x:c r="G41" s="24" t="str">
        <x:v>Small demersals (&lt;30 cm)</x:v>
      </x:c>
      <x:c r="H41" s="24" t="str">
        <x:v>Perch-likes</x:v>
      </x:c>
      <x:c r="I41" s="31" t="n">
        <x:v>15.593529550600001</x:v>
      </x:c>
      <x:c r="J41" s="31" t="n">
        <x:v>13.4061623063</x:v>
      </x:c>
      <x:c r="K41" s="31" t="n">
        <x:v>2.1873672443</x:v>
      </x:c>
      <x:c r="L41" s="31" t="n">
        <x:v>13.000236822400002</x:v>
      </x:c>
      <x:c r="M41" s="31" t="n">
        <x:v>2.5932927282000002</x:v>
      </x:c>
      <x:c r="N41" s="24" t="str">
        <x:v>spicara maena</x:v>
      </x:c>
      <x:c r="O41" s="32" t="n">
        <x:v>4.15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Spicara maena</x:v>
      </x:c>
      <x:c r="T41" s="32" t="n">
        <x:f>IF(O41="","",(1/'Metadata'!$B$5)^(O41-1))</x:f>
        <x:v>1412.5375446227554</x:v>
      </x:c>
      <x:c r="U41" s="31" t="n">
        <x:f>IF(T41="","",I41*T41)</x:f>
        <x:v>22026.445943406903</x:v>
      </x:c>
    </x:row>
    <x:row r="42" ht="18" customHeight="1">
      <x:c r="A42" s="24" t="str">
        <x:v>EEZ_900</x:v>
      </x:c>
      <x:c r="B42" s="24" t="str">
        <x:v>Crete (Greece)</x:v>
      </x:c>
      <x:c r="C42" s="24" t="str">
        <x:v>EEZ</x:v>
      </x:c>
      <x:c r="D42" s="30" t="n">
        <x:v>2019</x:v>
      </x:c>
      <x:c r="E42" s="24" t="str">
        <x:v>Pagellus acarne</x:v>
      </x:c>
      <x:c r="F42" s="24" t="str">
        <x:v>Axillary seabream</x:v>
      </x:c>
      <x:c r="G42" s="24" t="str">
        <x:v>Medium benthopelagics (30 - 89 cm)</x:v>
      </x:c>
      <x:c r="H42" s="24" t="str">
        <x:v>Perch-likes</x:v>
      </x:c>
      <x:c r="I42" s="31" t="n">
        <x:v>14.7730706876</x:v>
      </x:c>
      <x:c r="J42" s="31" t="n">
        <x:v>10.0611087582</x:v>
      </x:c>
      <x:c r="K42" s="31" t="n">
        <x:v>4.7119619294</x:v>
      </x:c>
      <x:c r="L42" s="31" t="n">
        <x:v>9.7587889271</x:v>
      </x:c>
      <x:c r="M42" s="31" t="n">
        <x:v>5.0142817605</x:v>
      </x:c>
      <x:c r="N42" s="24" t="str">
        <x:v>pagellus acarne</x:v>
      </x:c>
      <x:c r="O42" s="32" t="n">
        <x:v>3.81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Pagellus acarne</x:v>
      </x:c>
      <x:c r="T42" s="32" t="n">
        <x:f>IF(O42="","",(1/'Metadata'!$B$5)^(O42-1))</x:f>
        <x:v>645.6542290346556</x:v>
      </x:c>
      <x:c r="U42" s="31" t="n">
        <x:f>IF(T42="","",I42*T42)</x:f>
        <x:v>9538.295565276849</x:v>
      </x:c>
    </x:row>
    <x:row r="43" ht="18" customHeight="1">
      <x:c r="A43" s="24" t="str">
        <x:v>EEZ_900</x:v>
      </x:c>
      <x:c r="B43" s="24" t="str">
        <x:v>Crete (Greece)</x:v>
      </x:c>
      <x:c r="C43" s="24" t="str">
        <x:v>EEZ</x:v>
      </x:c>
      <x:c r="D43" s="30" t="n">
        <x:v>2019</x:v>
      </x:c>
      <x:c r="E43" s="24" t="str">
        <x:v>Epinephelus</x:v>
      </x:c>
      <x:c r="F43" s="24" t="str">
        <x:v>Seabasses, hinds</x:v>
      </x:c>
      <x:c r="G43" s="24" t="str">
        <x:v>Medium reef assoc. fish (30 - 89 cm)</x:v>
      </x:c>
      <x:c r="H43" s="24" t="str">
        <x:v>Perch-likes</x:v>
      </x:c>
      <x:c r="I43" s="31" t="n">
        <x:v>14.151876603600002</x:v>
      </x:c>
      <x:c r="J43" s="31" t="n">
        <x:v>10.6101928195</x:v>
      </x:c>
      <x:c r="K43" s="31" t="n">
        <x:v>3.5416837841</x:v>
      </x:c>
      <x:c r="L43" s="31" t="n">
        <x:v>10.3546314633</x:v>
      </x:c>
      <x:c r="M43" s="31" t="n">
        <x:v>3.7972451403000003</x:v>
      </x:c>
      <x:c r="N43" s="24" t="str">
        <x:v>epinephelus</x:v>
      </x:c>
      <x:c r="O43" s="32" t="n">
        <x:v>3.84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Epinephelus</x:v>
      </x:c>
      <x:c r="T43" s="32" t="n">
        <x:f>IF(O43="","",(1/'Metadata'!$B$5)^(O43-1))</x:f>
        <x:v>691.8309709189363</x:v>
      </x:c>
      <x:c r="U43" s="31" t="n">
        <x:f>IF(T43="","",I43*T43)</x:f>
        <x:v>9790.706530993568</x:v>
      </x:c>
    </x:row>
    <x:row r="44" ht="18" customHeight="1">
      <x:c r="A44" s="24" t="str">
        <x:v>EEZ_900</x:v>
      </x:c>
      <x:c r="B44" s="24" t="str">
        <x:v>Crete (Greece)</x:v>
      </x:c>
      <x:c r="C44" s="24" t="str">
        <x:v>EEZ</x:v>
      </x:c>
      <x:c r="D44" s="30" t="n">
        <x:v>2019</x:v>
      </x:c>
      <x:c r="E44" s="24" t="str">
        <x:v>Trachurus trachurus</x:v>
      </x:c>
      <x:c r="F44" s="24" t="str">
        <x:v>Atlantic horse mackerel</x:v>
      </x:c>
      <x:c r="G44" s="24" t="str">
        <x:v>Medium pelagics (30 - 89 cm)</x:v>
      </x:c>
      <x:c r="H44" s="24" t="str">
        <x:v>Perch-likes</x:v>
      </x:c>
      <x:c r="I44" s="31" t="n">
        <x:v>12.1260050051</x:v>
      </x:c>
      <x:c r="J44" s="31" t="n">
        <x:v>12.1092829893</x:v>
      </x:c>
      <x:c r="K44" s="31" t="n">
        <x:v>0.0167220158</x:v>
      </x:c>
      <x:c r="L44" s="31" t="n">
        <x:v>0</x:v>
      </x:c>
      <x:c r="M44" s="31" t="n">
        <x:v>12.1260050051</x:v>
      </x:c>
      <x:c r="N44" s="24" t="str">
        <x:v>trachurus trachurus</x:v>
      </x:c>
      <x:c r="O44" s="32" t="n">
        <x:v>3.71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Trachurus trachurus</x:v>
      </x:c>
      <x:c r="T44" s="32" t="n">
        <x:f>IF(O44="","",(1/'Metadata'!$B$5)^(O44-1))</x:f>
        <x:v>512.8613839913648</x:v>
      </x:c>
      <x:c r="U44" s="31" t="n">
        <x:f>IF(T44="","",I44*T44)</x:f>
        <x:v>6218.959709201803</x:v>
      </x:c>
    </x:row>
    <x:row r="45" ht="18" customHeight="1">
      <x:c r="A45" s="24" t="str">
        <x:v>EEZ_900</x:v>
      </x:c>
      <x:c r="B45" s="24" t="str">
        <x:v>Crete (Greece)</x:v>
      </x:c>
      <x:c r="C45" s="24" t="str">
        <x:v>EEZ</x:v>
      </x:c>
      <x:c r="D45" s="30" t="n">
        <x:v>2019</x:v>
      </x:c>
      <x:c r="E45" s="24" t="str">
        <x:v>Zeus faber</x:v>
      </x:c>
      <x:c r="F45" s="24" t="str">
        <x:v>John dory</x:v>
      </x:c>
      <x:c r="G45" s="24" t="str">
        <x:v>Medium benthopelagics (30 - 89 cm)</x:v>
      </x:c>
      <x:c r="H45" s="24" t="str">
        <x:v>Other fishes &amp; inverts</x:v>
      </x:c>
      <x:c r="I45" s="31" t="n">
        <x:v>11.6185466274</x:v>
      </x:c>
      <x:c r="J45" s="31" t="n">
        <x:v>7.6369376535999995</x:v>
      </x:c>
      <x:c r="K45" s="31" t="n">
        <x:v>3.9816089738000002</x:v>
      </x:c>
      <x:c r="L45" s="31" t="n">
        <x:v>7.3363399887</x:v>
      </x:c>
      <x:c r="M45" s="31" t="n">
        <x:v>4.2822066387</x:v>
      </x:c>
      <x:c r="N45" s="24" t="str">
        <x:v>zeus faber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Zeus faber</x:v>
      </x:c>
      <x:c r="T45" s="32" t="n">
        <x:f>IF(O45="","",(1/'Metadata'!$B$5)^(O45-1))</x:f>
        <x:v>3162.2776601683795</x:v>
      </x:c>
      <x:c r="U45" s="31" t="n">
        <x:f>IF(T45="","",I45*T45)</x:f>
        <x:v>36741.07044345169</x:v>
      </x:c>
    </x:row>
    <x:row r="46" ht="18" customHeight="1">
      <x:c r="A46" s="24" t="str">
        <x:v>EEZ_900</x:v>
      </x:c>
      <x:c r="B46" s="24" t="str">
        <x:v>Crete (Greece)</x:v>
      </x:c>
      <x:c r="C46" s="24" t="str">
        <x:v>EEZ</x:v>
      </x:c>
      <x:c r="D46" s="30" t="n">
        <x:v>2019</x:v>
      </x:c>
      <x:c r="E46" s="24" t="str">
        <x:v>Spondyliosoma cantharus</x:v>
      </x:c>
      <x:c r="F46" s="24" t="str">
        <x:v>Black seabream</x:v>
      </x:c>
      <x:c r="G46" s="24" t="str">
        <x:v>Medium benthopelagics (30 - 89 cm)</x:v>
      </x:c>
      <x:c r="H46" s="24" t="str">
        <x:v>Perch-likes</x:v>
      </x:c>
      <x:c r="I46" s="31" t="n">
        <x:v>11.486392438300001</x:v>
      </x:c>
      <x:c r="J46" s="31" t="n">
        <x:v>11.2277783316</x:v>
      </x:c>
      <x:c r="K46" s="31" t="n">
        <x:v>0.2586141067</x:v>
      </x:c>
      <x:c r="L46" s="31" t="n">
        <x:v>4.2423886922</x:v>
      </x:c>
      <x:c r="M46" s="31" t="n">
        <x:v>7.244003746100001</x:v>
      </x:c>
      <x:c r="N46" s="24" t="str">
        <x:v>spondyliosoma cantharus</x:v>
      </x:c>
      <x:c r="O46" s="32" t="n">
        <x:v>3.34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Spondyliosoma cantharus</x:v>
      </x:c>
      <x:c r="T46" s="32" t="n">
        <x:f>IF(O46="","",(1/'Metadata'!$B$5)^(O46-1))</x:f>
        <x:v>218.77616239495518</x:v>
      </x:c>
      <x:c r="U46" s="31" t="n">
        <x:f>IF(T46="","",I46*T46)</x:f>
        <x:v>2512.9488574137063</x:v>
      </x:c>
    </x:row>
    <x:row r="47" ht="18" customHeight="1">
      <x:c r="A47" s="24" t="str">
        <x:v>EEZ_900</x:v>
      </x:c>
      <x:c r="B47" s="24" t="str">
        <x:v>Crete (Greece)</x:v>
      </x:c>
      <x:c r="C47" s="24" t="str">
        <x:v>EEZ</x:v>
      </x:c>
      <x:c r="D47" s="30" t="n">
        <x:v>2019</x:v>
      </x:c>
      <x:c r="E47" s="24" t="str">
        <x:v>Sardinella aurita</x:v>
      </x:c>
      <x:c r="F47" s="24" t="str">
        <x:v>Round sardinella</x:v>
      </x:c>
      <x:c r="G47" s="24" t="str">
        <x:v>Small pelagics (&lt;30 cm)</x:v>
      </x:c>
      <x:c r="H47" s="24" t="str">
        <x:v>Herring-likes</x:v>
      </x:c>
      <x:c r="I47" s="31" t="n">
        <x:v>11.265516769300001</x:v>
      </x:c>
      <x:c r="J47" s="31" t="n">
        <x:v>9.4539597013</x:v>
      </x:c>
      <x:c r="K47" s="31" t="n">
        <x:v>1.8115570680000002</x:v>
      </x:c>
      <x:c r="L47" s="31" t="n">
        <x:v>9.2921091939</x:v>
      </x:c>
      <x:c r="M47" s="31" t="n">
        <x:v>1.9734075754</x:v>
      </x:c>
      <x:c r="N47" s="24" t="str">
        <x:v>sardinella aurita</x:v>
      </x:c>
      <x:c r="O47" s="32" t="n">
        <x:v>3.4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Sardinella aurita</x:v>
      </x:c>
      <x:c r="T47" s="32" t="n">
        <x:f>IF(O47="","",(1/'Metadata'!$B$5)^(O47-1))</x:f>
        <x:v>251.18864315095797</x:v>
      </x:c>
      <x:c r="U47" s="31" t="n">
        <x:f>IF(T47="","",I47*T47)</x:f>
        <x:v>2829.769871674831</x:v>
      </x:c>
    </x:row>
    <x:row r="48" ht="18" customHeight="1">
      <x:c r="A48" s="24" t="str">
        <x:v>EEZ_900</x:v>
      </x:c>
      <x:c r="B48" s="24" t="str">
        <x:v>Crete (Greece)</x:v>
      </x:c>
      <x:c r="C48" s="24" t="str">
        <x:v>EEZ</x:v>
      </x:c>
      <x:c r="D48" s="30" t="n">
        <x:v>2019</x:v>
      </x:c>
      <x:c r="E48" s="24" t="str">
        <x:v>Pomatomus saltatrix</x:v>
      </x:c>
      <x:c r="F48" s="24" t="str">
        <x:v>Bluefish</x:v>
      </x:c>
      <x:c r="G48" s="24" t="str">
        <x:v>Large pelagics (&gt;=90 cm)</x:v>
      </x:c>
      <x:c r="H48" s="24" t="str">
        <x:v>Perch-likes</x:v>
      </x:c>
      <x:c r="I48" s="31" t="n">
        <x:v>9.7168288779</x:v>
      </x:c>
      <x:c r="J48" s="31" t="n">
        <x:v>9.049443403</x:v>
      </x:c>
      <x:c r="K48" s="31" t="n">
        <x:v>0.6673854749</x:v>
      </x:c>
      <x:c r="L48" s="31" t="n">
        <x:v>2.3939384193000004</x:v>
      </x:c>
      <x:c r="M48" s="31" t="n">
        <x:v>7.3228904586</x:v>
      </x:c>
      <x:c r="N48" s="24" t="str">
        <x:v>pomatomus saltatrix</x:v>
      </x:c>
      <x:c r="O48" s="32" t="n">
        <x:v>4.53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Pomatomus saltatrix</x:v>
      </x:c>
      <x:c r="T48" s="32" t="n">
        <x:f>IF(O48="","",(1/'Metadata'!$B$5)^(O48-1))</x:f>
        <x:v>3388.4415613920273</x:v>
      </x:c>
      <x:c r="U48" s="31" t="n">
        <x:f>IF(T48="","",I48*T48)</x:f>
        <x:v>32924.906814810616</x:v>
      </x:c>
    </x:row>
    <x:row r="49" ht="18" customHeight="1">
      <x:c r="A49" s="24" t="str">
        <x:v>EEZ_900</x:v>
      </x:c>
      <x:c r="B49" s="24" t="str">
        <x:v>Crete (Greece)</x:v>
      </x:c>
      <x:c r="C49" s="24" t="str">
        <x:v>EEZ</x:v>
      </x:c>
      <x:c r="D49" s="30" t="n">
        <x:v>2019</x:v>
      </x:c>
      <x:c r="E49" s="24" t="str">
        <x:v>Belone belone</x:v>
      </x:c>
      <x:c r="F49" s="24" t="str">
        <x:v>Garfish</x:v>
      </x:c>
      <x:c r="G49" s="24" t="str">
        <x:v>Medium pelagics (30 - 89 cm)</x:v>
      </x:c>
      <x:c r="H49" s="24" t="str">
        <x:v>Other fishes &amp; inverts</x:v>
      </x:c>
      <x:c r="I49" s="31" t="n">
        <x:v>8.793827031100001</x:v>
      </x:c>
      <x:c r="J49" s="31" t="n">
        <x:v>7.6009510862</x:v>
      </x:c>
      <x:c r="K49" s="31" t="n">
        <x:v>1.1928759449</x:v>
      </x:c>
      <x:c r="L49" s="31" t="n">
        <x:v>1.3263617312999998</x:v>
      </x:c>
      <x:c r="M49" s="31" t="n">
        <x:v>7.467465299800001</x:v>
      </x:c>
      <x:c r="N49" s="24" t="str">
        <x:v>belone belone</x:v>
      </x:c>
      <x:c r="O49" s="32" t="n">
        <x:v>4.16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Belone belone</x:v>
      </x:c>
      <x:c r="T49" s="32" t="n">
        <x:f>IF(O49="","",(1/'Metadata'!$B$5)^(O49-1))</x:f>
        <x:v>1445.439770745928</x:v>
      </x:c>
      <x:c r="U49" s="31" t="n">
        <x:f>IF(T49="","",I49*T49)</x:f>
        <x:v>12710.94732781253</x:v>
      </x:c>
    </x:row>
    <x:row r="50" ht="18" customHeight="1">
      <x:c r="A50" s="24" t="str">
        <x:v>EEZ_900</x:v>
      </x:c>
      <x:c r="B50" s="24" t="str">
        <x:v>Crete (Greece)</x:v>
      </x:c>
      <x:c r="C50" s="24" t="str">
        <x:v>EEZ</x:v>
      </x:c>
      <x:c r="D50" s="30" t="n">
        <x:v>2019</x:v>
      </x:c>
      <x:c r="E50" s="24" t="str">
        <x:v>Scomberomorus commerson</x:v>
      </x:c>
      <x:c r="F50" s="24" t="str">
        <x:v>Narrow-barred Spanish mackerel</x:v>
      </x:c>
      <x:c r="G50" s="24" t="str">
        <x:v>Large pelagics (&gt;=90 cm)</x:v>
      </x:c>
      <x:c r="H50" s="24" t="str">
        <x:v>Perch-likes</x:v>
      </x:c>
      <x:c r="I50" s="31" t="n">
        <x:v>8.2293198271</x:v>
      </x:c>
      <x:c r="J50" s="31" t="n">
        <x:v>8.2293198271</x:v>
      </x:c>
      <x:c r="K50" s="31" t="n">
        <x:v>0</x:v>
      </x:c>
      <x:c r="L50" s="31" t="n">
        <x:v>8.2293198271</x:v>
      </x:c>
      <x:c r="M50" s="31" t="n">
        <x:v>0</x:v>
      </x:c>
      <x:c r="N50" s="24" t="str">
        <x:v>scomberomorus commerson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Scomberomorus commerson</x:v>
      </x:c>
      <x:c r="T50" s="32" t="n">
        <x:f>IF(O50="","",(1/'Metadata'!$B$5)^(O50-1))</x:f>
        <x:v>3162.2776601683795</x:v>
      </x:c>
      <x:c r="U50" s="31" t="n">
        <x:f>IF(T50="","",I50*T50)</x:f>
        <x:v>26023.39424761904</x:v>
      </x:c>
    </x:row>
    <x:row r="51" ht="18" customHeight="1">
      <x:c r="A51" s="24" t="str">
        <x:v>EEZ_900</x:v>
      </x:c>
      <x:c r="B51" s="24" t="str">
        <x:v>Crete (Greece)</x:v>
      </x:c>
      <x:c r="C51" s="24" t="str">
        <x:v>EEZ</x:v>
      </x:c>
      <x:c r="D51" s="30" t="n">
        <x:v>2019</x:v>
      </x:c>
      <x:c r="E51" s="24" t="str">
        <x:v>Scorpaenidae</x:v>
      </x:c>
      <x:c r="F51" s="24" t="str">
        <x:v>Scorpionfishes, rockfishes</x:v>
      </x:c>
      <x:c r="G51" s="24" t="str">
        <x:v>Large reef assoc. fish (&gt;=90 cm)</x:v>
      </x:c>
      <x:c r="H51" s="24" t="str">
        <x:v>Scorpionfishes</x:v>
      </x:c>
      <x:c r="I51" s="31" t="n">
        <x:v>8.1424100098</x:v>
      </x:c>
      <x:c r="J51" s="31" t="n">
        <x:v>7.0896054448</x:v>
      </x:c>
      <x:c r="K51" s="31" t="n">
        <x:v>1.0528045650000002</x:v>
      </x:c>
      <x:c r="L51" s="31" t="n">
        <x:v>7.0261610218</x:v>
      </x:c>
      <x:c r="M51" s="31" t="n">
        <x:v>1.1162489880000002</x:v>
      </x:c>
      <x:c r="N51" s="24" t="str">
        <x:v>scorpaenidae</x:v>
      </x:c>
      <x:c r="O51" s="32" t="n">
        <x:v>3.92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Scorpaenidae</x:v>
      </x:c>
      <x:c r="T51" s="32" t="n">
        <x:f>IF(O51="","",(1/'Metadata'!$B$5)^(O51-1))</x:f>
        <x:v>831.7637711026708</x:v>
      </x:c>
      <x:c r="U51" s="31" t="n">
        <x:f>IF(T51="","",I51*T51)</x:f>
        <x:v>6772.561655615384</x:v>
      </x:c>
    </x:row>
    <x:row r="52" ht="18" customHeight="1">
      <x:c r="A52" s="24" t="str">
        <x:v>EEZ_900</x:v>
      </x:c>
      <x:c r="B52" s="24" t="str">
        <x:v>Crete (Greece)</x:v>
      </x:c>
      <x:c r="C52" s="24" t="str">
        <x:v>EEZ</x:v>
      </x:c>
      <x:c r="D52" s="30" t="n">
        <x:v>2019</x:v>
      </x:c>
      <x:c r="E52" s="24" t="str">
        <x:v>Nephrops norvegicus</x:v>
      </x:c>
      <x:c r="F52" s="24" t="str">
        <x:v>Norway lobster</x:v>
      </x:c>
      <x:c r="G52" s="24" t="str">
        <x:v>Lobsters, crabs</x:v>
      </x:c>
      <x:c r="H52" s="24" t="str">
        <x:v>Crustaceans</x:v>
      </x:c>
      <x:c r="I52" s="31" t="n">
        <x:v>8.0542901697</x:v>
      </x:c>
      <x:c r="J52" s="31" t="n">
        <x:v>7.802602397099999</x:v>
      </x:c>
      <x:c r="K52" s="31" t="n">
        <x:v>0.2516877726</x:v>
      </x:c>
      <x:c r="L52" s="31" t="n">
        <x:v>7.802602397099999</x:v>
      </x:c>
      <x:c r="M52" s="31" t="n">
        <x:v>0.2516877726</x:v>
      </x:c>
      <x:c r="N52" s="24" t="str">
        <x:v>nephrops norvegicus</x:v>
      </x:c>
      <x:c r="O52" s="32" t="n">
        <x:v>2.87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Nephrops norvegicus</x:v>
      </x:c>
      <x:c r="T52" s="32" t="n">
        <x:f>IF(O52="","",(1/'Metadata'!$B$5)^(O52-1))</x:f>
        <x:v>74.13102413009177</x:v>
      </x:c>
      <x:c r="U52" s="31" t="n">
        <x:f>IF(T52="","",I52*T52)</x:f>
        <x:v>597.0727789207916</x:v>
      </x:c>
    </x:row>
    <x:row r="53" ht="18" customHeight="1">
      <x:c r="A53" s="24" t="str">
        <x:v>EEZ_900</x:v>
      </x:c>
      <x:c r="B53" s="24" t="str">
        <x:v>Crete (Greece)</x:v>
      </x:c>
      <x:c r="C53" s="24" t="str">
        <x:v>EEZ</x:v>
      </x:c>
      <x:c r="D53" s="30" t="n">
        <x:v>2019</x:v>
      </x:c>
      <x:c r="E53" s="24" t="str">
        <x:v>Lophius</x:v>
      </x:c>
      <x:c r="F53" s="24" t="str">
        <x:v>Frogfishes</x:v>
      </x:c>
      <x:c r="G53" s="24" t="str">
        <x:v>Medium bathydemersals (30 - 89 cm)</x:v>
      </x:c>
      <x:c r="H53" s="24" t="str">
        <x:v>Other fishes &amp; inverts</x:v>
      </x:c>
      <x:c r="I53" s="31" t="n">
        <x:v>7.299561703399999</x:v>
      </x:c>
      <x:c r="J53" s="31" t="n">
        <x:v>7.2684229189</x:v>
      </x:c>
      <x:c r="K53" s="31" t="n">
        <x:v>0.0311387845</x:v>
      </x:c>
      <x:c r="L53" s="31" t="n">
        <x:v>7.1118191559</x:v>
      </x:c>
      <x:c r="M53" s="31" t="n">
        <x:v>0.1877425475</x:v>
      </x:c>
      <x:c r="N53" s="24" t="str">
        <x:v>lophius</x:v>
      </x:c>
      <x:c r="O53" s="32" t="n">
        <x:v>4.46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Lophius</x:v>
      </x:c>
      <x:c r="T53" s="32" t="n">
        <x:f>IF(O53="","",(1/'Metadata'!$B$5)^(O53-1))</x:f>
        <x:v>2884.031503126606</x:v>
      </x:c>
      <x:c r="U53" s="31" t="n">
        <x:f>IF(T53="","",I53*T53)</x:f>
        <x:v>21052.16591162211</x:v>
      </x:c>
    </x:row>
    <x:row r="54" ht="18" customHeight="1">
      <x:c r="A54" s="24" t="str">
        <x:v>EEZ_900</x:v>
      </x:c>
      <x:c r="B54" s="24" t="str">
        <x:v>Crete (Greece)</x:v>
      </x:c>
      <x:c r="C54" s="24" t="str">
        <x:v>EEZ</x:v>
      </x:c>
      <x:c r="D54" s="30" t="n">
        <x:v>2019</x:v>
      </x:c>
      <x:c r="E54" s="24" t="str">
        <x:v>Trachinus draco</x:v>
      </x:c>
      <x:c r="F54" s="24" t="str">
        <x:v>Greater weever</x:v>
      </x:c>
      <x:c r="G54" s="24" t="str">
        <x:v>Medium demersals (30 - 89 cm)</x:v>
      </x:c>
      <x:c r="H54" s="24" t="str">
        <x:v>Perch-likes</x:v>
      </x:c>
      <x:c r="I54" s="31" t="n">
        <x:v>6.596078552999999</x:v>
      </x:c>
      <x:c r="J54" s="31" t="n">
        <x:v>6.596078552999999</x:v>
      </x:c>
      <x:c r="K54" s="31" t="n">
        <x:v>0</x:v>
      </x:c>
      <x:c r="L54" s="31" t="n">
        <x:v>6.545698444499999</x:v>
      </x:c>
      <x:c r="M54" s="31" t="n">
        <x:v>0.0503801085</x:v>
      </x:c>
      <x:c r="N54" s="24" t="str">
        <x:v>trachinus draco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Trachinus draco</x:v>
      </x:c>
      <x:c r="T54" s="32" t="n">
        <x:f>IF(O54="","",(1/'Metadata'!$B$5)^(O54-1))</x:f>
        <x:v>1513.5612484362073</x:v>
      </x:c>
      <x:c r="U54" s="31" t="n">
        <x:f>IF(T54="","",I54*T54)</x:f>
        <x:v>9983.56888946197</x:v>
      </x:c>
    </x:row>
    <x:row r="55" ht="18" customHeight="1">
      <x:c r="A55" s="24" t="str">
        <x:v>EEZ_900</x:v>
      </x:c>
      <x:c r="B55" s="24" t="str">
        <x:v>Crete (Greece)</x:v>
      </x:c>
      <x:c r="C55" s="24" t="str">
        <x:v>EEZ</x:v>
      </x:c>
      <x:c r="D55" s="30" t="n">
        <x:v>2019</x:v>
      </x:c>
      <x:c r="E55" s="24" t="str">
        <x:v>Squalidae</x:v>
      </x:c>
      <x:c r="F55" s="24" t="str">
        <x:v>Dogfish sharks</x:v>
      </x:c>
      <x:c r="G55" s="24" t="str">
        <x:v>Large sharks (&gt;=90 cm)</x:v>
      </x:c>
      <x:c r="H55" s="24" t="str">
        <x:v>Sharks &amp; rays</x:v>
      </x:c>
      <x:c r="I55" s="31" t="n">
        <x:v>5.765031453000001</x:v>
      </x:c>
      <x:c r="J55" s="31" t="n">
        <x:v>5.3004195031000005</x:v>
      </x:c>
      <x:c r="K55" s="31" t="n">
        <x:v>0.4646119499</x:v>
      </x:c>
      <x:c r="L55" s="31" t="n">
        <x:v>5.2952444418</x:v>
      </x:c>
      <x:c r="M55" s="31" t="n">
        <x:v>0.4697870112</x:v>
      </x:c>
      <x:c r="N55" s="24" t="str">
        <x:v>squalidae</x:v>
      </x:c>
      <x:c r="O55" s="32" t="n">
        <x:v>4.23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Squalidae</x:v>
      </x:c>
      <x:c r="T55" s="32" t="n">
        <x:f>IF(O55="","",(1/'Metadata'!$B$5)^(O55-1))</x:f>
        <x:v>1698.243652461746</x:v>
      </x:c>
      <x:c r="U55" s="31" t="n">
        <x:f>IF(T55="","",I55*T55)</x:f>
        <x:v>9790.428071299568</x:v>
      </x:c>
    </x:row>
    <x:row r="56" ht="18" customHeight="1">
      <x:c r="A56" s="24" t="str">
        <x:v>EEZ_900</x:v>
      </x:c>
      <x:c r="B56" s="24" t="str">
        <x:v>Crete (Greece)</x:v>
      </x:c>
      <x:c r="C56" s="24" t="str">
        <x:v>EEZ</x:v>
      </x:c>
      <x:c r="D56" s="30" t="n">
        <x:v>2019</x:v>
      </x:c>
      <x:c r="E56" s="24" t="str">
        <x:v>Pagrus pagrus</x:v>
      </x:c>
      <x:c r="F56" s="24" t="str">
        <x:v>Red porgy</x:v>
      </x:c>
      <x:c r="G56" s="24" t="str">
        <x:v>Medium benthopelagics (30 - 89 cm)</x:v>
      </x:c>
      <x:c r="H56" s="24" t="str">
        <x:v>Perch-likes</x:v>
      </x:c>
      <x:c r="I56" s="31" t="n">
        <x:v>5.2869386524</x:v>
      </x:c>
      <x:c r="J56" s="31" t="n">
        <x:v>1.9790652609000001</x:v>
      </x:c>
      <x:c r="K56" s="31" t="n">
        <x:v>3.3078733915000003</x:v>
      </x:c>
      <x:c r="L56" s="31" t="n">
        <x:v>0</x:v>
      </x:c>
      <x:c r="M56" s="31" t="n">
        <x:v>5.2869386524</x:v>
      </x:c>
      <x:c r="N56" s="24" t="str">
        <x:v>pagrus pagrus</x:v>
      </x:c>
      <x:c r="O56" s="32" t="n">
        <x:v>3.86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Pagrus pagrus</x:v>
      </x:c>
      <x:c r="T56" s="32" t="n">
        <x:f>IF(O56="","",(1/'Metadata'!$B$5)^(O56-1))</x:f>
        <x:v>724.4359600749899</x:v>
      </x:c>
      <x:c r="U56" s="31" t="n">
        <x:f>IF(T56="","",I56*T56)</x:f>
        <x:v>3830.0484785089675</x:v>
      </x:c>
    </x:row>
    <x:row r="57" ht="18" customHeight="1">
      <x:c r="A57" s="24" t="str">
        <x:v>EEZ_900</x:v>
      </x:c>
      <x:c r="B57" s="24" t="str">
        <x:v>Crete (Greece)</x:v>
      </x:c>
      <x:c r="C57" s="24" t="str">
        <x:v>EEZ</x:v>
      </x:c>
      <x:c r="D57" s="30" t="n">
        <x:v>2019</x:v>
      </x:c>
      <x:c r="E57" s="24" t="str">
        <x:v>Polyprion americanus</x:v>
      </x:c>
      <x:c r="F57" s="24" t="str">
        <x:v>Wreckfish</x:v>
      </x:c>
      <x:c r="G57" s="24" t="str">
        <x:v>Large bathydemersals (&gt;=90 cm)</x:v>
      </x:c>
      <x:c r="H57" s="24" t="str">
        <x:v>Perch-likes</x:v>
      </x:c>
      <x:c r="I57" s="31" t="n">
        <x:v>4.7729817957</x:v>
      </x:c>
      <x:c r="J57" s="31" t="n">
        <x:v>2.3927298997</x:v>
      </x:c>
      <x:c r="K57" s="31" t="n">
        <x:v>2.3802518960000003</x:v>
      </x:c>
      <x:c r="L57" s="31" t="n">
        <x:v>0.8338128097999999</x:v>
      </x:c>
      <x:c r="M57" s="31" t="n">
        <x:v>3.9391689859000003</x:v>
      </x:c>
      <x:c r="N57" s="24" t="str">
        <x:v>polyprion americanus</x:v>
      </x:c>
      <x:c r="O57" s="32" t="n">
        <x:v>4.14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Polyprion americanus</x:v>
      </x:c>
      <x:c r="T57" s="32" t="n">
        <x:f>IF(O57="","",(1/'Metadata'!$B$5)^(O57-1))</x:f>
        <x:v>1380.3842646028838</x:v>
      </x:c>
      <x:c r="U57" s="31" t="n">
        <x:f>IF(T57="","",I57*T57)</x:f>
        <x:v>6588.548966020297</x:v>
      </x:c>
    </x:row>
    <x:row r="58" ht="18" customHeight="1">
      <x:c r="A58" s="24" t="str">
        <x:v>EEZ_900</x:v>
      </x:c>
      <x:c r="B58" s="24" t="str">
        <x:v>Crete (Greece)</x:v>
      </x:c>
      <x:c r="C58" s="24" t="str">
        <x:v>EEZ</x:v>
      </x:c>
      <x:c r="D58" s="30" t="n">
        <x:v>2019</x:v>
      </x:c>
      <x:c r="E58" s="24" t="str">
        <x:v>Helicolenus dactylopterus</x:v>
      </x:c>
      <x:c r="F58" s="24" t="str">
        <x:v>Blackbelly rosefish</x:v>
      </x:c>
      <x:c r="G58" s="24" t="str">
        <x:v>Medium bathydemersals (30 - 89 cm)</x:v>
      </x:c>
      <x:c r="H58" s="24" t="str">
        <x:v>Scorpionfishes</x:v>
      </x:c>
      <x:c r="I58" s="31" t="n">
        <x:v>4.4855485714</x:v>
      </x:c>
      <x:c r="J58" s="31" t="n">
        <x:v>4.4135316217</x:v>
      </x:c>
      <x:c r="K58" s="31" t="n">
        <x:v>0.0720169497</x:v>
      </x:c>
      <x:c r="L58" s="31" t="n">
        <x:v>4.4135316217</x:v>
      </x:c>
      <x:c r="M58" s="31" t="n">
        <x:v>0.0720169497</x:v>
      </x:c>
      <x:c r="N58" s="24" t="str">
        <x:v>helicolenus dactylopterus</x:v>
      </x:c>
      <x:c r="O58" s="32" t="n">
        <x:v>3.54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Helicolenus dactylopterus</x:v>
      </x:c>
      <x:c r="T58" s="32" t="n">
        <x:f>IF(O58="","",(1/'Metadata'!$B$5)^(O58-1))</x:f>
        <x:v>346.73685045253166</x:v>
      </x:c>
      <x:c r="U58" s="31" t="n">
        <x:f>IF(T58="","",I58*T58)</x:f>
        <x:v>1555.3049841990887</x:v>
      </x:c>
    </x:row>
    <x:row r="59" ht="18" customHeight="1">
      <x:c r="A59" s="24" t="str">
        <x:v>EEZ_900</x:v>
      </x:c>
      <x:c r="B59" s="24" t="str">
        <x:v>Crete (Greece)</x:v>
      </x:c>
      <x:c r="C59" s="24" t="str">
        <x:v>EEZ</x:v>
      </x:c>
      <x:c r="D59" s="30" t="n">
        <x:v>2019</x:v>
      </x:c>
      <x:c r="E59" s="24" t="str">
        <x:v>Raja clavata</x:v>
      </x:c>
      <x:c r="F59" s="24" t="str">
        <x:v>Thornback ray</x:v>
      </x:c>
      <x:c r="G59" s="24" t="str">
        <x:v>Large rays (&gt;=90 cm)</x:v>
      </x:c>
      <x:c r="H59" s="24" t="str">
        <x:v>Sharks &amp; rays</x:v>
      </x:c>
      <x:c r="I59" s="31" t="n">
        <x:v>4.0674840036</x:v>
      </x:c>
      <x:c r="J59" s="31" t="n">
        <x:v>0.2429678757</x:v>
      </x:c>
      <x:c r="K59" s="31" t="n">
        <x:v>3.8245161279</x:v>
      </x:c>
      <x:c r="L59" s="31" t="n">
        <x:v>0</x:v>
      </x:c>
      <x:c r="M59" s="31" t="n">
        <x:v>4.0674840036</x:v>
      </x:c>
      <x:c r="N59" s="24" t="str">
        <x:v>raja clavata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Raja clavata</x:v>
      </x:c>
      <x:c r="T59" s="32" t="n">
        <x:f>IF(O59="","",(1/'Metadata'!$B$5)^(O59-1))</x:f>
        <x:v>691.8309709189363</x:v>
      </x:c>
      <x:c r="U59" s="31" t="n">
        <x:f>IF(T59="","",I59*T59)</x:f>
        <x:v>2814.0114074078297</x:v>
      </x:c>
    </x:row>
    <x:row r="60" ht="18" customHeight="1">
      <x:c r="A60" s="24" t="str">
        <x:v>EEZ_900</x:v>
      </x:c>
      <x:c r="B60" s="24" t="str">
        <x:v>Crete (Greece)</x:v>
      </x:c>
      <x:c r="C60" s="24" t="str">
        <x:v>EEZ</x:v>
      </x:c>
      <x:c r="D60" s="30" t="n">
        <x:v>2019</x:v>
      </x:c>
      <x:c r="E60" s="24" t="str">
        <x:v>Sarpa salpa</x:v>
      </x:c>
      <x:c r="F60" s="24" t="str">
        <x:v>Salema</x:v>
      </x:c>
      <x:c r="G60" s="24" t="str">
        <x:v>Medium benthopelagics (30 - 89 cm)</x:v>
      </x:c>
      <x:c r="H60" s="24" t="str">
        <x:v>Perch-likes</x:v>
      </x:c>
      <x:c r="I60" s="31" t="n">
        <x:v>3.7368434922</x:v>
      </x:c>
      <x:c r="J60" s="31" t="n">
        <x:v>3.5738728067</x:v>
      </x:c>
      <x:c r="K60" s="31" t="n">
        <x:v>0.1629706855</x:v>
      </x:c>
      <x:c r="L60" s="31" t="n">
        <x:v>1.2936648561</x:v>
      </x:c>
      <x:c r="M60" s="31" t="n">
        <x:v>2.4431786361</x:v>
      </x:c>
      <x:c r="N60" s="24" t="str">
        <x:v>sarpa salpa</x:v>
      </x:c>
      <x:c r="O60" s="32" t="n">
        <x:v>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Sarpa salpa</x:v>
      </x:c>
      <x:c r="T60" s="32" t="n">
        <x:f>IF(O60="","",(1/'Metadata'!$B$5)^(O60-1))</x:f>
        <x:v>10</x:v>
      </x:c>
      <x:c r="U60" s="31" t="n">
        <x:f>IF(T60="","",I60*T60)</x:f>
        <x:v>37.368434922</x:v>
      </x:c>
    </x:row>
    <x:row r="61" ht="18" customHeight="1">
      <x:c r="A61" s="24" t="str">
        <x:v>EEZ_900</x:v>
      </x:c>
      <x:c r="B61" s="24" t="str">
        <x:v>Crete (Greece)</x:v>
      </x:c>
      <x:c r="C61" s="24" t="str">
        <x:v>EEZ</x:v>
      </x:c>
      <x:c r="D61" s="30" t="n">
        <x:v>2019</x:v>
      </x:c>
      <x:c r="E61" s="24" t="str">
        <x:v>Scophthalmus maximus</x:v>
      </x:c>
      <x:c r="F61" s="24" t="str">
        <x:v>Turbot</x:v>
      </x:c>
      <x:c r="G61" s="24" t="str">
        <x:v>Large flatfishes (&gt;=90 cm)</x:v>
      </x:c>
      <x:c r="H61" s="24" t="str">
        <x:v>Flatfishes</x:v>
      </x:c>
      <x:c r="I61" s="31" t="n">
        <x:v>3.6515848201</x:v>
      </x:c>
      <x:c r="J61" s="31" t="n">
        <x:v>3.4663276423</x:v>
      </x:c>
      <x:c r="K61" s="31" t="n">
        <x:v>0.1852571778</x:v>
      </x:c>
      <x:c r="L61" s="31" t="n">
        <x:v>0.3868108168</x:v>
      </x:c>
      <x:c r="M61" s="31" t="n">
        <x:v>3.2647740033</x:v>
      </x:c>
      <x:c r="N61" s="24" t="str">
        <x:v>scophthalmus maximus</x:v>
      </x:c>
      <x:c r="O61" s="32" t="n">
        <x:v>4.36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Scophthalmus maximus</x:v>
      </x:c>
      <x:c r="T61" s="32" t="n">
        <x:f>IF(O61="","",(1/'Metadata'!$B$5)^(O61-1))</x:f>
        <x:v>2290.867652767775</x:v>
      </x:c>
      <x:c r="U61" s="31" t="n">
        <x:f>IF(T61="","",I61*T61)</x:f>
        <x:v>8365.297545704925</x:v>
      </x:c>
    </x:row>
    <x:row r="62" ht="18" customHeight="1">
      <x:c r="A62" s="24" t="str">
        <x:v>EEZ_900</x:v>
      </x:c>
      <x:c r="B62" s="24" t="str">
        <x:v>Crete (Greece)</x:v>
      </x:c>
      <x:c r="C62" s="24" t="str">
        <x:v>EEZ</x:v>
      </x:c>
      <x:c r="D62" s="30" t="n">
        <x:v>2019</x:v>
      </x:c>
      <x:c r="E62" s="24" t="str">
        <x:v>Conger conger</x:v>
      </x:c>
      <x:c r="F62" s="24" t="str">
        <x:v>European conger</x:v>
      </x:c>
      <x:c r="G62" s="24" t="str">
        <x:v>Large demersals (&gt;=90 cm)</x:v>
      </x:c>
      <x:c r="H62" s="24" t="str">
        <x:v>Other fishes &amp; inverts</x:v>
      </x:c>
      <x:c r="I62" s="31" t="n">
        <x:v>3.3656283292</x:v>
      </x:c>
      <x:c r="J62" s="31" t="n">
        <x:v>3.2979301732</x:v>
      </x:c>
      <x:c r="K62" s="31" t="n">
        <x:v>0.067698156</x:v>
      </x:c>
      <x:c r="L62" s="31" t="n">
        <x:v>0</x:v>
      </x:c>
      <x:c r="M62" s="31" t="n">
        <x:v>3.3656283292</x:v>
      </x:c>
      <x:c r="N62" s="24" t="str">
        <x:v>conger conger</x:v>
      </x:c>
      <x:c r="O62" s="32" t="n">
        <x:v>4.31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Conger conger</x:v>
      </x:c>
      <x:c r="T62" s="32" t="n">
        <x:f>IF(O62="","",(1/'Metadata'!$B$5)^(O62-1))</x:f>
        <x:v>2041.7379446695275</x:v>
      </x:c>
      <x:c r="U62" s="31" t="n">
        <x:f>IF(T62="","",I62*T62)</x:f>
        <x:v>6871.731067382344</x:v>
      </x:c>
    </x:row>
    <x:row r="63" ht="18" customHeight="1">
      <x:c r="A63" s="24" t="str">
        <x:v>EEZ_900</x:v>
      </x:c>
      <x:c r="B63" s="24" t="str">
        <x:v>Crete (Greece)</x:v>
      </x:c>
      <x:c r="C63" s="24" t="str">
        <x:v>EEZ</x:v>
      </x:c>
      <x:c r="D63" s="30" t="n">
        <x:v>2019</x:v>
      </x:c>
      <x:c r="E63" s="24" t="str">
        <x:v>Gobiidae</x:v>
      </x:c>
      <x:c r="F63" s="24" t="str">
        <x:v>Gobies</x:v>
      </x:c>
      <x:c r="G63" s="24" t="str">
        <x:v>Small reef assoc. fish (&lt;30 cm)</x:v>
      </x:c>
      <x:c r="H63" s="24" t="str">
        <x:v>Perch-likes</x:v>
      </x:c>
      <x:c r="I63" s="31" t="n">
        <x:v>3.0635556862</x:v>
      </x:c>
      <x:c r="J63" s="31" t="n">
        <x:v>3.0635556862</x:v>
      </x:c>
      <x:c r="K63" s="31" t="n">
        <x:v>0</x:v>
      </x:c>
      <x:c r="L63" s="31" t="n">
        <x:v>0</x:v>
      </x:c>
      <x:c r="M63" s="31" t="n">
        <x:v>3.0635556862</x:v>
      </x:c>
      <x:c r="N63" s="24" t="str">
        <x:v>gobiidae</x:v>
      </x:c>
      <x:c r="O63" s="32" t="n">
        <x:v>3.11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Gobiidae</x:v>
      </x:c>
      <x:c r="T63" s="32" t="n">
        <x:f>IF(O63="","",(1/'Metadata'!$B$5)^(O63-1))</x:f>
        <x:v>128.82495516931337</x:v>
      </x:c>
      <x:c r="U63" s="31" t="n">
        <x:f>IF(T63="","",I63*T63)</x:f>
        <x:v>394.66242393341</x:v>
      </x:c>
    </x:row>
    <x:row r="64" ht="18" customHeight="1">
      <x:c r="A64" s="24" t="str">
        <x:v>EEZ_900</x:v>
      </x:c>
      <x:c r="B64" s="24" t="str">
        <x:v>Crete (Greece)</x:v>
      </x:c>
      <x:c r="C64" s="24" t="str">
        <x:v>EEZ</x:v>
      </x:c>
      <x:c r="D64" s="30" t="n">
        <x:v>2019</x:v>
      </x:c>
      <x:c r="E64" s="24" t="str">
        <x:v>Raja</x:v>
      </x:c>
      <x:c r="F64" s="24" t="str">
        <x:v>Stingrays, skates</x:v>
      </x:c>
      <x:c r="G64" s="24" t="str">
        <x:v>Small to medium rays (&lt;90 cm)</x:v>
      </x:c>
      <x:c r="H64" s="24" t="str">
        <x:v>Sharks &amp; rays</x:v>
      </x:c>
      <x:c r="I64" s="31" t="n">
        <x:v>1.9178796451</x:v>
      </x:c>
      <x:c r="J64" s="31" t="n">
        <x:v>1.8907418208</x:v>
      </x:c>
      <x:c r="K64" s="31" t="n">
        <x:v>0.0271378243</x:v>
      </x:c>
      <x:c r="L64" s="31" t="n">
        <x:v>1.8907418208</x:v>
      </x:c>
      <x:c r="M64" s="31" t="n">
        <x:v>0.0271378243</x:v>
      </x:c>
      <x:c r="N64" s="24" t="str">
        <x:v>raja</x:v>
      </x:c>
      <x:c r="O64" s="32" t="n">
        <x:v>3.8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Raja</x:v>
      </x:c>
      <x:c r="T64" s="32" t="n">
        <x:f>IF(O64="","",(1/'Metadata'!$B$5)^(O64-1))</x:f>
        <x:v>630.957344480193</x:v>
      </x:c>
      <x:c r="U64" s="31" t="n">
        <x:f>IF(T64="","",I64*T64)</x:f>
        <x:v>1210.100247904911</x:v>
      </x:c>
    </x:row>
    <x:row r="65" ht="18" customHeight="1">
      <x:c r="A65" s="24" t="str">
        <x:v>EEZ_900</x:v>
      </x:c>
      <x:c r="B65" s="24" t="str">
        <x:v>Crete (Greece)</x:v>
      </x:c>
      <x:c r="C65" s="24" t="str">
        <x:v>EEZ</x:v>
      </x:c>
      <x:c r="D65" s="30" t="n">
        <x:v>2019</x:v>
      </x:c>
      <x:c r="E65" s="24" t="str">
        <x:v>Solea solea</x:v>
      </x:c>
      <x:c r="F65" s="24" t="str">
        <x:v>Common sole</x:v>
      </x:c>
      <x:c r="G65" s="24" t="str">
        <x:v>Small to medium flatfishes (&lt;90 cm)</x:v>
      </x:c>
      <x:c r="H65" s="24" t="str">
        <x:v>Flatfishes</x:v>
      </x:c>
      <x:c r="I65" s="31" t="n">
        <x:v>1.4501210671</x:v>
      </x:c>
      <x:c r="J65" s="31" t="n">
        <x:v>0.1220416119</x:v>
      </x:c>
      <x:c r="K65" s="31" t="n">
        <x:v>1.3280794552</x:v>
      </x:c>
      <x:c r="L65" s="31" t="n">
        <x:v>0.0144772117</x:v>
      </x:c>
      <x:c r="M65" s="31" t="n">
        <x:v>1.4356438554</x:v>
      </x:c>
      <x:c r="N65" s="24" t="str">
        <x:v>solea solea</x:v>
      </x:c>
      <x:c r="O65" s="32" t="n">
        <x:v>3.21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Solea solea</x:v>
      </x:c>
      <x:c r="T65" s="32" t="n">
        <x:f>IF(O65="","",(1/'Metadata'!$B$5)^(O65-1))</x:f>
        <x:v>162.18100973589299</x:v>
      </x:c>
      <x:c r="U65" s="31" t="n">
        <x:f>IF(T65="","",I65*T65)</x:f>
        <x:v>235.18209890156862</x:v>
      </x:c>
    </x:row>
    <x:row r="66" ht="18" customHeight="1">
      <x:c r="A66" s="24" t="str">
        <x:v>EEZ_900</x:v>
      </x:c>
      <x:c r="B66" s="24" t="str">
        <x:v>Crete (Greece)</x:v>
      </x:c>
      <x:c r="C66" s="24" t="str">
        <x:v>EEZ</x:v>
      </x:c>
      <x:c r="D66" s="30" t="n">
        <x:v>2019</x:v>
      </x:c>
      <x:c r="E66" s="24" t="str">
        <x:v>Caranx rhonchus</x:v>
      </x:c>
      <x:c r="F66" s="24" t="str">
        <x:v>False scad</x:v>
      </x:c>
      <x:c r="G66" s="24" t="str">
        <x:v>Medium benthopelagics (30 - 89 cm)</x:v>
      </x:c>
      <x:c r="H66" s="24" t="str">
        <x:v>Perch-likes</x:v>
      </x:c>
      <x:c r="I66" s="31" t="n">
        <x:v>1.3105188861</x:v>
      </x:c>
      <x:c r="J66" s="31" t="n">
        <x:v>1.2987633937999998</x:v>
      </x:c>
      <x:c r="K66" s="31" t="n">
        <x:v>0.0117554923</x:v>
      </x:c>
      <x:c r="L66" s="31" t="n">
        <x:v>1.2987633937999998</x:v>
      </x:c>
      <x:c r="M66" s="31" t="n">
        <x:v>0.0117554923</x:v>
      </x:c>
      <x:c r="N66" s="24" t="str">
        <x:v>caranx rhonchus</x:v>
      </x:c>
      <x:c r="O66" s="32" t="n">
        <x:v>3.6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Caranx rhonchus</x:v>
      </x:c>
      <x:c r="T66" s="32" t="n">
        <x:f>IF(O66="","",(1/'Metadata'!$B$5)^(O66-1))</x:f>
        <x:v>398.1071705534973</x:v>
      </x:c>
      <x:c r="U66" s="31" t="n">
        <x:f>IF(T66="","",I66*T66)</x:f>
        <x:v>521.726965702192</x:v>
      </x:c>
    </x:row>
    <x:row r="67" ht="18" customHeight="1">
      <x:c r="A67" s="24" t="str">
        <x:v>EEZ_900</x:v>
      </x:c>
      <x:c r="B67" s="24" t="str">
        <x:v>Crete (Greece)</x:v>
      </x:c>
      <x:c r="C67" s="24" t="str">
        <x:v>EEZ</x:v>
      </x:c>
      <x:c r="D67" s="30" t="n">
        <x:v>2019</x:v>
      </x:c>
      <x:c r="E67" s="24" t="str">
        <x:v>Scombroidei</x:v>
      </x:c>
      <x:c r="F67" s="24" t="str">
        <x:v>Tunas, bonitos, billfishes</x:v>
      </x:c>
      <x:c r="G67" s="24" t="str">
        <x:v>Large pelagics (&gt;=90 cm)</x:v>
      </x:c>
      <x:c r="H67" s="24" t="str">
        <x:v>Tuna &amp; billfishes</x:v>
      </x:c>
      <x:c r="I67" s="31" t="n">
        <x:v>1.0742538534000001</x:v>
      </x:c>
      <x:c r="J67" s="31" t="n">
        <x:v>0.0522985449</x:v>
      </x:c>
      <x:c r="K67" s="31" t="n">
        <x:v>1.0219553085</x:v>
      </x:c>
      <x:c r="L67" s="31" t="n">
        <x:v>0</x:v>
      </x:c>
      <x:c r="M67" s="31" t="n">
        <x:v>1.0742538534000001</x:v>
      </x:c>
      <x:c r="N67" s="24" t="str">
        <x:v>scombroidei</x:v>
      </x:c>
      <x:c r="O67" s="32" t="n">
        <x:v>4.2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Scombroidei</x:v>
      </x:c>
      <x:c r="T67" s="32" t="n">
        <x:f>IF(O67="","",(1/'Metadata'!$B$5)^(O67-1))</x:f>
        <x:v>1584.893192461114</x:v>
      </x:c>
      <x:c r="U67" s="31" t="n">
        <x:f>IF(T67="","",I67*T67)</x:f>
        <x:v>1702.57761922878</x:v>
      </x:c>
    </x:row>
    <x:row r="68" ht="18" customHeight="1">
      <x:c r="A68" s="24" t="str">
        <x:v>EEZ_900</x:v>
      </x:c>
      <x:c r="B68" s="24" t="str">
        <x:v>Crete (Greece)</x:v>
      </x:c>
      <x:c r="C68" s="24" t="str">
        <x:v>EEZ</x:v>
      </x:c>
      <x:c r="D68" s="30" t="n">
        <x:v>2019</x:v>
      </x:c>
      <x:c r="E68" s="24" t="str">
        <x:v>Homarus gammarus</x:v>
      </x:c>
      <x:c r="F68" s="24" t="str">
        <x:v>European lobster</x:v>
      </x:c>
      <x:c r="G68" s="24" t="str">
        <x:v>Lobsters, crabs</x:v>
      </x:c>
      <x:c r="H68" s="24" t="str">
        <x:v>Crustaceans</x:v>
      </x:c>
      <x:c r="I68" s="31" t="n">
        <x:v>0.821071596</x:v>
      </x:c>
      <x:c r="J68" s="31" t="n">
        <x:v>0.0017166566</x:v>
      </x:c>
      <x:c r="K68" s="31" t="n">
        <x:v>0.8193549394</x:v>
      </x:c>
      <x:c r="L68" s="31" t="n">
        <x:v>0</x:v>
      </x:c>
      <x:c r="M68" s="31" t="n">
        <x:v>0.821071596</x:v>
      </x:c>
      <x:c r="N68" s="24" t="str">
        <x:v>homarus gammarus</x:v>
      </x:c>
      <x:c r="O68" s="32" t="n">
        <x:v>3.7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Homarus gammarus</x:v>
      </x:c>
      <x:c r="T68" s="32" t="n">
        <x:f>IF(O68="","",(1/'Metadata'!$B$5)^(O68-1))</x:f>
        <x:v>501.18723362727246</x:v>
      </x:c>
      <x:c r="U68" s="31" t="n">
        <x:f>IF(T68="","",I68*T68)</x:f>
        <x:v>411.5106018091695</x:v>
      </x:c>
    </x:row>
    <x:row r="69" ht="18" customHeight="1">
      <x:c r="A69" s="24" t="str">
        <x:v>EEZ_900</x:v>
      </x:c>
      <x:c r="B69" s="24" t="str">
        <x:v>Crete (Greece)</x:v>
      </x:c>
      <x:c r="C69" s="24" t="str">
        <x:v>EEZ</x:v>
      </x:c>
      <x:c r="D69" s="30" t="n">
        <x:v>2019</x:v>
      </x:c>
      <x:c r="E69" s="24" t="str">
        <x:v>Umbrina cirrosa</x:v>
      </x:c>
      <x:c r="F69" s="24" t="str">
        <x:v>Shi drum</x:v>
      </x:c>
      <x:c r="G69" s="24" t="str">
        <x:v>Medium demersals (30 - 89 cm)</x:v>
      </x:c>
      <x:c r="H69" s="24" t="str">
        <x:v>Perch-likes</x:v>
      </x:c>
      <x:c r="I69" s="31" t="n">
        <x:v>0.704332903</x:v>
      </x:c>
      <x:c r="J69" s="31" t="n">
        <x:v>0.6373894231</x:v>
      </x:c>
      <x:c r="K69" s="31" t="n">
        <x:v>0.06694347989999999</x:v>
      </x:c>
      <x:c r="L69" s="31" t="n">
        <x:v>0.6353398665</x:v>
      </x:c>
      <x:c r="M69" s="31" t="n">
        <x:v>0.0689930365</x:v>
      </x:c>
      <x:c r="N69" s="24" t="str">
        <x:v>umbrina cirrosa</x:v>
      </x:c>
      <x:c r="O69" s="32" t="n">
        <x:v>3.46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Umbrina cirrosa</x:v>
      </x:c>
      <x:c r="T69" s="32" t="n">
        <x:f>IF(O69="","",(1/'Metadata'!$B$5)^(O69-1))</x:f>
        <x:v>288.40315031266056</x:v>
      </x:c>
      <x:c r="U69" s="31" t="n">
        <x:f>IF(T69="","",I69*T69)</x:f>
        <x:v>203.13182809406155</x:v>
      </x:c>
    </x:row>
    <x:row r="70" ht="18" customHeight="1">
      <x:c r="A70" s="24" t="str">
        <x:v>EEZ_900</x:v>
      </x:c>
      <x:c r="B70" s="24" t="str">
        <x:v>Crete (Greece)</x:v>
      </x:c>
      <x:c r="C70" s="24" t="str">
        <x:v>EEZ</x:v>
      </x:c>
      <x:c r="D70" s="30" t="n">
        <x:v>2019</x:v>
      </x:c>
      <x:c r="E70" s="24" t="str">
        <x:v>Carcinus aestuarii</x:v>
      </x:c>
      <x:c r="F70" s="24" t="str">
        <x:v>Mediterranean shore crab</x:v>
      </x:c>
      <x:c r="G70" s="24" t="str">
        <x:v>Lobsters, crabs</x:v>
      </x:c>
      <x:c r="H70" s="24" t="str">
        <x:v>Crustaceans</x:v>
      </x:c>
      <x:c r="I70" s="31" t="n">
        <x:v>0.4483387097</x:v>
      </x:c>
      <x:c r="J70" s="31" t="n">
        <x:v>0.3064810316</x:v>
      </x:c>
      <x:c r="K70" s="31" t="n">
        <x:v>0.1418576781</x:v>
      </x:c>
      <x:c r="L70" s="31" t="n">
        <x:v>0.3046467654</x:v>
      </x:c>
      <x:c r="M70" s="31" t="n">
        <x:v>0.14369194429999999</x:v>
      </x:c>
      <x:c r="N70" s="24" t="str">
        <x:v>carcinus aestuarii</x:v>
      </x:c>
      <x:c r="O70" s="32" t="n">
        <x:v>3.43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Carcinus aestuarii</x:v>
      </x:c>
      <x:c r="T70" s="32" t="n">
        <x:f>IF(O70="","",(1/'Metadata'!$B$5)^(O70-1))</x:f>
        <x:v>269.1534803926917</x:v>
      </x:c>
      <x:c r="U70" s="31" t="n">
        <x:f>IF(T70="","",I70*T70)</x:f>
        <x:v>120.67192411052363</x:v>
      </x:c>
    </x:row>
    <x:row r="71" ht="18" customHeight="1">
      <x:c r="A71" s="24" t="str">
        <x:v>EEZ_900</x:v>
      </x:c>
      <x:c r="B71" s="24" t="str">
        <x:v>Crete (Greece)</x:v>
      </x:c>
      <x:c r="C71" s="24" t="str">
        <x:v>EEZ</x:v>
      </x:c>
      <x:c r="D71" s="30" t="n">
        <x:v>2019</x:v>
      </x:c>
      <x:c r="E71" s="24" t="str">
        <x:v>Solea</x:v>
      </x:c>
      <x:c r="F71" s="24" t="str">
        <x:v>Soles</x:v>
      </x:c>
      <x:c r="G71" s="24" t="str">
        <x:v>Small to medium flatfishes (&lt;90 cm)</x:v>
      </x:c>
      <x:c r="H71" s="24" t="str">
        <x:v>Flatfishes</x:v>
      </x:c>
      <x:c r="I71" s="31" t="n">
        <x:v>0.3294140198</x:v>
      </x:c>
      <x:c r="J71" s="31" t="n">
        <x:v>0.3241271693</x:v>
      </x:c>
      <x:c r="K71" s="31" t="n">
        <x:v>0.0052868505</x:v>
      </x:c>
      <x:c r="L71" s="31" t="n">
        <x:v>0.3241271693</x:v>
      </x:c>
      <x:c r="M71" s="31" t="n">
        <x:v>0.0052868505</x:v>
      </x:c>
      <x:c r="N71" s="24" t="str">
        <x:v>solea</x:v>
      </x:c>
      <x:c r="O71" s="32" t="n">
        <x:v>3.13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Solea</x:v>
      </x:c>
      <x:c r="T71" s="32" t="n">
        <x:f>IF(O71="","",(1/'Metadata'!$B$5)^(O71-1))</x:f>
        <x:v>134.89628825916532</x:v>
      </x:c>
      <x:c r="U71" s="31" t="n">
        <x:f>IF(T71="","",I71*T71)</x:f>
        <x:v>44.43672857155119</x:v>
      </x:c>
    </x:row>
    <x:row r="72" ht="18" customHeight="1">
      <x:c r="A72" s="24" t="str">
        <x:v>EEZ_900</x:v>
      </x:c>
      <x:c r="B72" s="24" t="str">
        <x:v>Crete (Greece)</x:v>
      </x:c>
      <x:c r="C72" s="24" t="str">
        <x:v>EEZ</x:v>
      </x:c>
      <x:c r="D72" s="30" t="n">
        <x:v>2019</x:v>
      </x:c>
      <x:c r="E72" s="24" t="str">
        <x:v>Sprattus sprattus</x:v>
      </x:c>
      <x:c r="F72" s="24" t="str">
        <x:v>European sprat</x:v>
      </x:c>
      <x:c r="G72" s="24" t="str">
        <x:v>Small pelagics (&lt;30 cm)</x:v>
      </x:c>
      <x:c r="H72" s="24" t="str">
        <x:v>Herring-likes</x:v>
      </x:c>
      <x:c r="I72" s="31" t="n">
        <x:v>0.2083701733</x:v>
      </x:c>
      <x:c r="J72" s="31" t="n">
        <x:v>0.0033297342</x:v>
      </x:c>
      <x:c r="K72" s="31" t="n">
        <x:v>0.20504043909999997</x:v>
      </x:c>
      <x:c r="L72" s="31" t="n">
        <x:v>0</x:v>
      </x:c>
      <x:c r="M72" s="31" t="n">
        <x:v>0.2083701733</x:v>
      </x:c>
      <x:c r="N72" s="24" t="str">
        <x:v>sprattus sprattus</x:v>
      </x:c>
      <x:c r="O72" s="32" t="n">
        <x:v>3.01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Sprattus sprattus</x:v>
      </x:c>
      <x:c r="T72" s="32" t="n">
        <x:f>IF(O72="","",(1/'Metadata'!$B$5)^(O72-1))</x:f>
        <x:v>102.32929922807536</x:v>
      </x:c>
      <x:c r="U72" s="31" t="n">
        <x:f>IF(T72="","",I72*T72)</x:f>
        <x:v>21.322373813821617</x:v>
      </x:c>
    </x:row>
    <x:row r="73" ht="18" customHeight="1">
      <x:c r="A73" s="24" t="str">
        <x:v>EEZ_900</x:v>
      </x:c>
      <x:c r="B73" s="24" t="str">
        <x:v>Crete (Greece)</x:v>
      </x:c>
      <x:c r="C73" s="24" t="str">
        <x:v>EEZ</x:v>
      </x:c>
      <x:c r="D73" s="30" t="n">
        <x:v>2019</x:v>
      </x:c>
      <x:c r="E73" s="24" t="str">
        <x:v>Auxis</x:v>
      </x:c>
      <x:c r="F73" s="24" t="str">
        <x:v>Bullet and frigate tunas</x:v>
      </x:c>
      <x:c r="G73" s="24" t="str">
        <x:v>Medium pelagics (30 - 89 cm)</x:v>
      </x:c>
      <x:c r="H73" s="24" t="str">
        <x:v>Tuna &amp; billfishes</x:v>
      </x:c>
      <x:c r="I73" s="31" t="n">
        <x:v>0.2082464789</x:v>
      </x:c>
      <x:c r="J73" s="31" t="n">
        <x:v>0.1276731039</x:v>
      </x:c>
      <x:c r="K73" s="31" t="n">
        <x:v>0.080573375</x:v>
      </x:c>
      <x:c r="L73" s="31" t="n">
        <x:v>0</x:v>
      </x:c>
      <x:c r="M73" s="31" t="n">
        <x:v>0.2082464789</x:v>
      </x:c>
      <x:c r="N73" s="24" t="str">
        <x:v>auxis</x:v>
      </x:c>
      <x:c r="O73" s="32" t="n">
        <x:v>4.24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Auxis</x:v>
      </x:c>
      <x:c r="T73" s="32" t="n">
        <x:f>IF(O73="","",(1/'Metadata'!$B$5)^(O73-1))</x:f>
        <x:v>1737.8008287493763</x:v>
      </x:c>
      <x:c r="U73" s="31" t="n">
        <x:f>IF(T73="","",I73*T73)</x:f>
        <x:v>361.8909036165595</x:v>
      </x:c>
    </x:row>
    <x:row r="74" ht="18" customHeight="1">
      <x:c r="A74" s="24" t="str">
        <x:v>EEZ_900</x:v>
      </x:c>
      <x:c r="B74" s="24" t="str">
        <x:v>Crete (Greece)</x:v>
      </x:c>
      <x:c r="C74" s="24" t="str">
        <x:v>EEZ</x:v>
      </x:c>
      <x:c r="D74" s="30" t="n">
        <x:v>2019</x:v>
      </x:c>
      <x:c r="E74" s="24" t="str">
        <x:v>Atherina boyeri</x:v>
      </x:c>
      <x:c r="F74" s="24" t="str">
        <x:v>Big-scale sand smelt</x:v>
      </x:c>
      <x:c r="G74" s="24" t="str">
        <x:v>Small demersals (&lt;30 cm)</x:v>
      </x:c>
      <x:c r="H74" s="24" t="str">
        <x:v>Other fishes &amp; inverts</x:v>
      </x:c>
      <x:c r="I74" s="31" t="n">
        <x:v>0.11177217449999999</x:v>
      </x:c>
      <x:c r="J74" s="31" t="n">
        <x:v>0.0842631126</x:v>
      </x:c>
      <x:c r="K74" s="31" t="n">
        <x:v>0.0275090619</x:v>
      </x:c>
      <x:c r="L74" s="31" t="n">
        <x:v>0.07903611399999999</x:v>
      </x:c>
      <x:c r="M74" s="31" t="n">
        <x:v>0.0327360605</x:v>
      </x:c>
      <x:c r="N74" s="24" t="str">
        <x:v>atherina boyeri</x:v>
      </x:c>
      <x:c r="O74" s="32" t="n">
        <x:v>3.22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Atherina boyeri</x:v>
      </x:c>
      <x:c r="T74" s="32" t="n">
        <x:f>IF(O74="","",(1/'Metadata'!$B$5)^(O74-1))</x:f>
        <x:v>165.95869074375614</x:v>
      </x:c>
      <x:c r="U74" s="31" t="n">
        <x:f>IF(T74="","",I74*T74)</x:f>
        <x:v>18.549563741602643</x:v>
      </x:c>
    </x:row>
  </x:sheetData>
  <x:conditionalFormatting sqref="R2:R7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30140363eac4a1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29.559868827400003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3808.048776500589</x:v>
      </x:c>
    </x:row>
    <x:row r="3" ht="18" customHeight="1">
      <x:c r="A3" s="24" t="str">
        <x:v>Crustaceans</x:v>
      </x:c>
      <x:c r="B3" s="31" t="n">
        <x:v>221.6921223433</x:v>
      </x:c>
      <x:c r="C3" s="32" t="n">
        <x:v>3.008795280191037</x:v>
      </x:c>
      <x:c r="D3" s="32" t="n">
        <x:f>IF(C3="","",(1/'Metadata'!$B$5)^(C3-1))</x:f>
        <x:v>102.04583417837925</x:v>
      </x:c>
      <x:c r="E3" s="31" t="n">
        <x:f>IF(B3=0,"",B3*D3)</x:f>
        <x:v>22622.757555297358</x:v>
      </x:c>
    </x:row>
    <x:row r="4" ht="18" customHeight="1">
      <x:c r="A4" s="24" t="str">
        <x:v>Flatfishes</x:v>
      </x:c>
      <x:c r="B4" s="31" t="n">
        <x:v>5.431119906999999</x:v>
      </x:c>
      <x:c r="C4" s="32" t="n">
        <x:v>3.9783441892256133</x:v>
      </x:c>
      <x:c r="D4" s="32" t="n">
        <x:f>IF(C4="","",(1/'Metadata'!$B$5)^(C4-1))</x:f>
        <x:v>951.3584703157662</x:v>
      </x:c>
      <x:c r="E4" s="31" t="n">
        <x:f>IF(B4=0,"",B4*D4)</x:f>
        <x:v>5166.941926825026</x:v>
      </x:c>
    </x:row>
    <x:row r="5" ht="18" customHeight="1">
      <x:c r="A5" s="24" t="str">
        <x:v>Herring-likes</x:v>
      </x:c>
      <x:c r="B5" s="31" t="n">
        <x:v>11.473886942600002</x:v>
      </x:c>
      <x:c r="C5" s="32" t="n">
        <x:v>3.3929174509045152</x:v>
      </x:c>
      <x:c r="D5" s="32" t="n">
        <x:f>IF(C5="","",(1/'Metadata'!$B$5)^(C5-1))</x:f>
        <x:v>247.12543734423784</x:v>
      </x:c>
      <x:c r="E5" s="31" t="n">
        <x:f>IF(B5=0,"",B5*D5)</x:f>
        <x:v>2835.4893287283653</x:v>
      </x:c>
    </x:row>
    <x:row r="6" ht="18" customHeight="1">
      <x:c r="A6" s="24" t="str">
        <x:v>Other fishes &amp; inverts</x:v>
      </x:c>
      <x:c r="B6" s="31" t="n">
        <x:v>846.382366694</x:v>
      </x:c>
      <x:c r="C6" s="32" t="n">
        <x:v>3.691229750221147</x:v>
      </x:c>
      <x:c r="D6" s="32" t="n">
        <x:f>IF(C6="","",(1/'Metadata'!$B$5)^(C6-1))</x:f>
        <x:v>491.1676446647884</x:v>
      </x:c>
      <x:c r="E6" s="31" t="n">
        <x:f>IF(B6=0,"",B6*D6)</x:f>
        <x:v>415715.6335349012</x:v>
      </x:c>
    </x:row>
    <x:row r="7" ht="18" customHeight="1">
      <x:c r="A7" s="24" t="str">
        <x:v>Perch-likes</x:v>
      </x:c>
      <x:c r="B7" s="31" t="n">
        <x:v>2010.1983644457</x:v>
      </x:c>
      <x:c r="C7" s="32" t="n">
        <x:v>3.3733994451956897</x:v>
      </x:c>
      <x:c r="D7" s="32" t="n">
        <x:f>IF(C7="","",(1/'Metadata'!$B$5)^(C7-1))</x:f>
        <x:v>236.26502972358603</x:v>
      </x:c>
      <x:c r="E7" s="31" t="n">
        <x:f>IF(B7=0,"",B7*D7)</x:f>
        <x:v>474939.5763260673</x:v>
      </x:c>
    </x:row>
    <x:row r="8" ht="18" customHeight="1">
      <x:c r="A8" s="24" t="str">
        <x:v>Scorpionfishes</x:v>
      </x:c>
      <x:c r="B8" s="31" t="n">
        <x:v>32.8381816542</x:v>
      </x:c>
      <x:c r="C8" s="32" t="n">
        <x:v>3.7573128979390757</x:v>
      </x:c>
      <x:c r="D8" s="32" t="n">
        <x:f>IF(C8="","",(1/'Metadata'!$B$5)^(C8-1))</x:f>
        <x:v>571.8905206035612</x:v>
      </x:c>
      <x:c r="E8" s="31" t="n">
        <x:f>IF(B8=0,"",B8*D8)</x:f>
        <x:v>18779.84480189475</x:v>
      </x:c>
    </x:row>
    <x:row r="9" ht="18" customHeight="1">
      <x:c r="A9" s="24" t="str">
        <x:v>Sharks &amp; rays</x:v>
      </x:c>
      <x:c r="B9" s="31" t="n">
        <x:v>31.535768166000004</x:v>
      </x:c>
      <x:c r="C9" s="32" t="n">
        <x:v>3.839849569029617</x:v>
      </x:c>
      <x:c r="D9" s="32" t="n">
        <x:f>IF(C9="","",(1/'Metadata'!$B$5)^(C9-1))</x:f>
        <x:v>691.5913759290423</x:v>
      </x:c>
      <x:c r="E9" s="31" t="n">
        <x:f>IF(B9=0,"",B9*D9)</x:f>
        <x:v>21809.865296903234</x:v>
      </x:c>
    </x:row>
    <x:row r="10" ht="18" customHeight="1">
      <x:c r="A10" s="24" t="str">
        <x:v>Tuna &amp; billfishes</x:v>
      </x:c>
      <x:c r="B10" s="31" t="n">
        <x:v>430.00842267859997</x:v>
      </x:c>
      <x:c r="C10" s="32" t="n">
        <x:v>4.414508509279381</x:v>
      </x:c>
      <x:c r="D10" s="32" t="n">
        <x:f>IF(C10="","",(1/'Metadata'!$B$5)^(C10-1))</x:f>
        <x:v>2597.2186290907557</x:v>
      </x:c>
      <x:c r="E10" s="31" t="n">
        <x:f>IF(B10=0,"",B10*D10)</x:f>
        <x:v>1116825.8860467917</x:v>
      </x:c>
    </x:row>
  </x:sheetData>
  <x:pageMargins left="0.7" right="0.7" top="0.75" bottom="0.75" header="0.3" footer="0.3"/>
  <x:tableParts count="1">
    <x:tablePart xmlns:r="http://schemas.openxmlformats.org/officeDocument/2006/relationships" r:id="R08c9975da94a4e9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234.3780224574</x:v>
      </x:c>
      <x:c r="C2" s="32" t="n">
        <x:v>3.988672274911034</x:v>
      </x:c>
      <x:c r="D2" s="32" t="n">
        <x:f>IF(C2="","",(1/'Metadata'!$B$5)^(C2-1))</x:f>
        <x:v>974.2541735360952</x:v>
      </x:c>
      <x:c r="E2" s="31" t="n">
        <x:f>IF(B2=0,"",B2*D2)</x:f>
        <x:v>228343.7665642586</x:v>
      </x:c>
    </x:row>
    <x:row r="3" ht="18" customHeight="1">
      <x:c r="A3" s="24" t="str">
        <x:v>Large bathydemersals (&gt;=90 cm)</x:v>
      </x:c>
      <x:c r="B3" s="31" t="n">
        <x:v>4.7729817957</x:v>
      </x:c>
      <x:c r="C3" s="32" t="n">
        <x:v>4.14</x:v>
      </x:c>
      <x:c r="D3" s="32" t="n">
        <x:f>IF(C3="","",(1/'Metadata'!$B$5)^(C3-1))</x:f>
        <x:v>1380.3842646028838</x:v>
      </x:c>
      <x:c r="E3" s="31" t="n">
        <x:f>IF(B3=0,"",B3*D3)</x:f>
        <x:v>6588.548966020297</x:v>
      </x:c>
    </x:row>
    <x:row r="4" ht="18" customHeight="1">
      <x:c r="A4" s="24" t="str">
        <x:v>Large benthopelagics (&gt;=90 cm)</x:v>
      </x:c>
      <x:c r="B4" s="31" t="n">
        <x:v>22.662495476000004</x:v>
      </x:c>
      <x:c r="C4" s="32" t="n">
        <x:v>4.53</x:v>
      </x:c>
      <x:c r="D4" s="32" t="n">
        <x:f>IF(C4="","",(1/'Metadata'!$B$5)^(C4-1))</x:f>
        <x:v>3388.4415613920273</x:v>
      </x:c>
      <x:c r="E4" s="31" t="n">
        <x:f>IF(B4=0,"",B4*D4)</x:f>
        <x:v>76790.5415557372</x:v>
      </x:c>
    </x:row>
    <x:row r="5" ht="18" customHeight="1">
      <x:c r="A5" s="24" t="str">
        <x:v>Large demersals (&gt;=90 cm)</x:v>
      </x:c>
      <x:c r="B5" s="31" t="n">
        <x:v>28.134614485900002</x:v>
      </x:c>
      <x:c r="C5" s="32" t="n">
        <x:v>3.8522054633825213</x:v>
      </x:c>
      <x:c r="D5" s="32" t="n">
        <x:f>IF(C5="","",(1/'Metadata'!$B$5)^(C5-1))</x:f>
        <x:v>711.5500661820506</x:v>
      </x:c>
      <x:c r="E5" s="31" t="n">
        <x:f>IF(B5=0,"",B5*D5)</x:f>
        <x:v>20019.186799448627</x:v>
      </x:c>
    </x:row>
    <x:row r="6" ht="18" customHeight="1">
      <x:c r="A6" s="24" t="str">
        <x:v>Large flatfishes (&gt;=90 cm)</x:v>
      </x:c>
      <x:c r="B6" s="31" t="n">
        <x:v>3.6515848201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8365.297545704925</x:v>
      </x:c>
    </x:row>
    <x:row r="7" ht="18" customHeight="1">
      <x:c r="A7" s="24" t="str">
        <x:v>Large pelagics (&gt;=90 cm)</x:v>
      </x:c>
      <x:c r="B7" s="31" t="n">
        <x:v>336.79581472940004</x:v>
      </x:c>
      <x:c r="C7" s="32" t="n">
        <x:v>4.4467595010049905</x:v>
      </x:c>
      <x:c r="D7" s="32" t="n">
        <x:f>IF(C7="","",(1/'Metadata'!$B$5)^(C7-1))</x:f>
        <x:v>2797.4317585155345</x:v>
      </x:c>
      <x:c r="E7" s="31" t="n">
        <x:f>IF(B7=0,"",B7*D7)</x:f>
        <x:v>942163.3082591377</x:v>
      </x:c>
    </x:row>
    <x:row r="8" ht="18" customHeight="1">
      <x:c r="A8" s="24" t="str">
        <x:v>Large rays (&gt;=90 cm)</x:v>
      </x:c>
      <x:c r="B8" s="31" t="n">
        <x:v>4.0674840036</x:v>
      </x:c>
      <x:c r="C8" s="32" t="n">
        <x:v>3.84</x:v>
      </x:c>
      <x:c r="D8" s="32" t="n">
        <x:f>IF(C8="","",(1/'Metadata'!$B$5)^(C8-1))</x:f>
        <x:v>691.8309709189363</x:v>
      </x:c>
      <x:c r="E8" s="31" t="n">
        <x:f>IF(B8=0,"",B8*D8)</x:f>
        <x:v>2814.0114074078297</x:v>
      </x:c>
    </x:row>
    <x:row r="9" ht="18" customHeight="1">
      <x:c r="A9" s="24" t="str">
        <x:v>Large reef assoc. fish (&gt;=90 cm)</x:v>
      </x:c>
      <x:c r="B9" s="31" t="n">
        <x:v>169.59457966349999</x:v>
      </x:c>
      <x:c r="C9" s="32" t="n">
        <x:v>4.463921077643516</x:v>
      </x:c>
      <x:c r="D9" s="32" t="n">
        <x:f>IF(C9="","",(1/'Metadata'!$B$5)^(C9-1))</x:f>
        <x:v>2910.1882147721603</x:v>
      </x:c>
      <x:c r="E9" s="31" t="n">
        <x:f>IF(B9=0,"",B9*D9)</x:f>
        <x:v>493552.14702595596</x:v>
      </x:c>
    </x:row>
    <x:row r="10" ht="18" customHeight="1">
      <x:c r="A10" s="24" t="str">
        <x:v>Large sharks (&gt;=90 cm)</x:v>
      </x:c>
      <x:c r="B10" s="31" t="n">
        <x:v>25.550404517300002</x:v>
      </x:c>
      <x:c r="C10" s="32" t="n">
        <x:v>3.84281683327355</x:v>
      </x:c>
      <x:c r="D10" s="32" t="n">
        <x:f>IF(C10="","",(1/'Metadata'!$B$5)^(C10-1))</x:f>
        <x:v>696.3327689691548</x:v>
      </x:c>
      <x:c r="E10" s="31" t="n">
        <x:f>IF(B10=0,"",B10*D10)</x:f>
        <x:v>17791.583925813513</x:v>
      </x:c>
    </x:row>
    <x:row r="11" ht="18" customHeight="1">
      <x:c r="A11" s="24" t="str">
        <x:v>Lobsters, crabs</x:v>
      </x:c>
      <x:c r="B11" s="31" t="n">
        <x:v>99.65232082089999</x:v>
      </x:c>
      <x:c r="C11" s="32" t="n">
        <x:v>3.3869632384997845</x:v>
      </x:c>
      <x:c r="D11" s="32" t="n">
        <x:f>IF(C11="","",(1/'Metadata'!$B$5)^(C11-1))</x:f>
        <x:v>243.76044749914834</x:v>
      </x:c>
      <x:c r="E11" s="31" t="n">
        <x:f>IF(B11=0,"",B11*D11)</x:f>
        <x:v>24291.29431763128</x:v>
      </x:c>
    </x:row>
    <x:row r="12" ht="18" customHeight="1">
      <x:c r="A12" s="24" t="str">
        <x:v>Medium bathydemersals (30 - 89 cm)</x:v>
      </x:c>
      <x:c r="B12" s="31" t="n">
        <x:v>11.7851102748</x:v>
      </x:c>
      <x:c r="C12" s="32" t="n">
        <x:v>4.109837414375995</x:v>
      </x:c>
      <x:c r="D12" s="32" t="n">
        <x:f>IF(C12="","",(1/'Metadata'!$B$5)^(C12-1))</x:f>
        <x:v>1287.767363534901</x:v>
      </x:c>
      <x:c r="E12" s="31" t="n">
        <x:f>IF(B12=0,"",B12*D12)</x:f>
        <x:v>15176.480387547268</x:v>
      </x:c>
    </x:row>
    <x:row r="13" ht="18" customHeight="1">
      <x:c r="A13" s="24" t="str">
        <x:v>Medium benthopelagics (30 - 89 cm)</x:v>
      </x:c>
      <x:c r="B13" s="31" t="n">
        <x:v>233.9879485493</x:v>
      </x:c>
      <x:c r="C13" s="32" t="n">
        <x:v>3.5275351959327876</x:v>
      </x:c>
      <x:c r="D13" s="32" t="n">
        <x:f>IF(C13="","",(1/'Metadata'!$B$5)^(C13-1))</x:f>
        <x:v>336.9265197095018</x:v>
      </x:c>
      <x:c r="E13" s="31" t="n">
        <x:f>IF(B13=0,"",B13*D13)</x:f>
        <x:v>78836.74515868162</x:v>
      </x:c>
    </x:row>
    <x:row r="14" ht="18" customHeight="1">
      <x:c r="A14" s="24" t="str">
        <x:v>Medium demersals (30 - 89 cm)</x:v>
      </x:c>
      <x:c r="B14" s="31" t="n">
        <x:v>1426.5117931798002</x:v>
      </x:c>
      <x:c r="C14" s="32" t="n">
        <x:v>3.3184984073180264</x:v>
      </x:c>
      <x:c r="D14" s="32" t="n">
        <x:f>IF(C14="","",(1/'Metadata'!$B$5)^(C14-1))</x:f>
        <x:v>208.20847696062668</x:v>
      </x:c>
      <x:c r="E14" s="31" t="n">
        <x:f>IF(B14=0,"",B14*D14)</x:f>
        <x:v>297011.8478243387</x:v>
      </x:c>
    </x:row>
    <x:row r="15" ht="18" customHeight="1">
      <x:c r="A15" s="24" t="str">
        <x:v>Medium pelagics (30 - 89 cm)</x:v>
      </x:c>
      <x:c r="B15" s="31" t="n">
        <x:v>205.11743570080003</x:v>
      </x:c>
      <x:c r="C15" s="32" t="n">
        <x:v>4.075262025494821</x:v>
      </x:c>
      <x:c r="D15" s="32" t="n">
        <x:f>IF(C15="","",(1/'Metadata'!$B$5)^(C15-1))</x:f>
        <x:v>1189.2195099743903</x:v>
      </x:c>
      <x:c r="E15" s="31" t="n">
        <x:f>IF(B15=0,"",B15*D15)</x:f>
        <x:v>243929.65637130893</x:v>
      </x:c>
    </x:row>
    <x:row r="16" ht="18" customHeight="1">
      <x:c r="A16" s="24" t="str">
        <x:v>Medium reef assoc. fish (30 - 89 cm)</x:v>
      </x:c>
      <x:c r="B16" s="31" t="n">
        <x:v>83.4303578733</x:v>
      </x:c>
      <x:c r="C16" s="32" t="n">
        <x:v>2.752208783748355</x:v>
      </x:c>
      <x:c r="D16" s="32" t="n">
        <x:f>IF(C16="","",(1/'Metadata'!$B$5)^(C16-1))</x:f>
        <x:v>56.520862923192695</x:v>
      </x:c>
      <x:c r="E16" s="31" t="n">
        <x:f>IF(B16=0,"",B16*D16)</x:f>
        <x:v>4715.5558209897</x:v>
      </x:c>
    </x:row>
    <x:row r="17" ht="18" customHeight="1">
      <x:c r="A17" s="24" t="str">
        <x:v>Shrimps</x:v>
      </x:c>
      <x:c r="B17" s="31" t="n">
        <x:v>122.0398015224</x:v>
      </x:c>
      <x:c r="C17" s="32" t="n">
        <x:v>2.7000000000000006</x:v>
      </x:c>
      <x:c r="D17" s="32" t="n">
        <x:f>IF(C17="","",(1/'Metadata'!$B$5)^(C17-1))</x:f>
        <x:v>50.1187233627273</x:v>
      </x:c>
      <x:c r="E17" s="31" t="n">
        <x:f>IF(B17=0,"",B17*D17)</x:f>
        <x:v>6116.479051743312</x:v>
      </x:c>
    </x:row>
    <x:row r="18" ht="18" customHeight="1">
      <x:c r="A18" s="24" t="str">
        <x:v>Small benthopelagics (&lt;30 cm)</x:v>
      </x:c>
      <x:c r="B18" s="31" t="n">
        <x:v>111.31133143230001</x:v>
      </x:c>
      <x:c r="C18" s="32" t="n">
        <x:v>3.559209547703654</x:v>
      </x:c>
      <x:c r="D18" s="32" t="n">
        <x:f>IF(C18="","",(1/'Metadata'!$B$5)^(C18-1))</x:f>
        <x:v>362.4178233505982</x:v>
      </x:c>
      <x:c r="E18" s="31" t="n">
        <x:f>IF(B18=0,"",B18*D18)</x:f>
        <x:v>40341.21045195119</x:v>
      </x:c>
    </x:row>
    <x:row r="19" ht="18" customHeight="1">
      <x:c r="A19" s="24" t="str">
        <x:v>Small demersals (&lt;30 cm)</x:v>
      </x:c>
      <x:c r="B19" s="31" t="n">
        <x:v>379.1817222862</x:v>
      </x:c>
      <x:c r="C19" s="32" t="n">
        <x:v>3.0895273226101843</x:v>
      </x:c>
      <x:c r="D19" s="32" t="n">
        <x:f>IF(C19="","",(1/'Metadata'!$B$5)^(C19-1))</x:f>
        <x:v>122.89304994023448</x:v>
      </x:c>
      <x:c r="E19" s="31" t="n">
        <x:f>IF(B19=0,"",B19*D19)</x:f>
        <x:v>46598.7983333421</x:v>
      </x:c>
    </x:row>
    <x:row r="20" ht="18" customHeight="1">
      <x:c r="A20" s="24" t="str">
        <x:v>Small pelagics (&lt;30 cm)</x:v>
      </x:c>
      <x:c r="B20" s="31" t="n">
        <x:v>41.03375577</x:v>
      </x:c>
      <x:c r="C20" s="32" t="n">
        <x:v>3.189109571738016</x:v>
      </x:c>
      <x:c r="D20" s="32" t="n">
        <x:f>IF(C20="","",(1/'Metadata'!$B$5)^(C20-1))</x:f>
        <x:v>154.5644353715457</x:v>
      </x:c>
      <x:c r="E20" s="31" t="n">
        <x:f>IF(B20=0,"",B20*D20)</x:f>
        <x:v>6342.359291763955</x:v>
      </x:c>
    </x:row>
    <x:row r="21" ht="18" customHeight="1">
      <x:c r="A21" s="24" t="str">
        <x:v>Small reef assoc. fish (&lt;30 cm)</x:v>
      </x:c>
      <x:c r="B21" s="31" t="n">
        <x:v>71.7631275681</x:v>
      </x:c>
      <x:c r="C21" s="32" t="n">
        <x:v>3.703532305658758</x:v>
      </x:c>
      <x:c r="D21" s="32" t="n">
        <x:f>IF(C21="","",(1/'Metadata'!$B$5)^(C21-1))</x:f>
        <x:v>505.28022958432814</x:v>
      </x:c>
      <x:c r="E21" s="31" t="n">
        <x:f>IF(B21=0,"",B21*D21)</x:f>
        <x:v>36260.489573299</x:v>
      </x:c>
    </x:row>
    <x:row r="22" ht="18" customHeight="1">
      <x:c r="A22" s="24" t="str">
        <x:v>Small to medium flatfishes (&lt;90 cm)</x:v>
      </x:c>
      <x:c r="B22" s="31" t="n">
        <x:v>1.7795350869</x:v>
      </x:c>
      <x:c r="C22" s="32" t="n">
        <x:v>3.1951910075963115</x:v>
      </x:c>
      <x:c r="D22" s="32" t="n">
        <x:f>IF(C22="","",(1/'Metadata'!$B$5)^(C22-1))</x:f>
        <x:v>156.74402963988254</x:v>
      </x:c>
      <x:c r="E22" s="31" t="n">
        <x:f>IF(B22=0,"",B22*D22)</x:f>
        <x:v>278.93150040626455</x:v>
      </x:c>
    </x:row>
    <x:row r="23" ht="18" customHeight="1">
      <x:c r="A23" s="24" t="str">
        <x:v>Small to medium rays (&lt;90 cm)</x:v>
      </x:c>
      <x:c r="B23" s="31" t="n">
        <x:v>1.9178796451</x:v>
      </x:c>
      <x:c r="C23" s="32" t="n">
        <x:v>3.8</x:v>
      </x:c>
      <x:c r="D23" s="32" t="n">
        <x:f>IF(C23="","",(1/'Metadata'!$B$5)^(C23-1))</x:f>
        <x:v>630.957344480193</x:v>
      </x:c>
      <x:c r="E23" s="31" t="n">
        <x:f>IF(B23=0,"",B23*D23)</x:f>
        <x:v>1210.100247904911</x:v>
      </x:c>
    </x:row>
  </x:sheetData>
  <x:pageMargins left="0.7" right="0.7" top="0.75" bottom="0.75" header="0.3" footer="0.3"/>
  <x:tableParts count="1">
    <x:tablePart xmlns:r="http://schemas.openxmlformats.org/officeDocument/2006/relationships" r:id="R913b5c62146a46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EEZ_900</x:v>
      </x:c>
      <x:c r="B2" s="24" t="str">
        <x:v>raw_filtered_tonnes</x:v>
      </x:c>
      <x:c r="C2" s="24" t="n">
        <x:v>3619.1201016588</x:v>
      </x:c>
      <x:c r="D2" s="24" t="str">
        <x:v>tonnes</x:v>
      </x:c>
    </x:row>
    <x:row r="3" ht="18" customHeight="1">
      <x:c r="A3" s="24" t="str">
        <x:v>EEZ_900</x:v>
      </x:c>
      <x:c r="B3" s="24" t="str">
        <x:v>species_catch_tonnes</x:v>
      </x:c>
      <x:c r="C3" s="24" t="n">
        <x:v>3619.1201016587997</x:v>
      </x:c>
      <x:c r="D3" s="24" t="str">
        <x:v>tonnes</x:v>
      </x:c>
    </x:row>
    <x:row r="4" ht="18" customHeight="1">
      <x:c r="A4" s="24" t="str">
        <x:v>EEZ_900</x:v>
      </x:c>
      <x:c r="B4" s="24" t="str">
        <x:v>catch_difference_tonnes</x:v>
      </x:c>
      <x:c r="C4" s="24" t="n">
        <x:v>-4.547473508864641e-13</x:v>
      </x:c>
      <x:c r="D4" s="24" t="str">
        <x:v>tonnes</x:v>
      </x:c>
    </x:row>
    <x:row r="5" ht="18" customHeight="1">
      <x:c r="A5" s="24" t="str">
        <x:v>EEZ_900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EEZ_900</x:v>
      </x:c>
      <x:c r="B6" s="24" t="str">
        <x:v>matched_catch_tonnes</x:v>
      </x:c>
      <x:c r="C6" s="24" t="n">
        <x:v>3619.1201016587997</x:v>
      </x:c>
      <x:c r="D6" s="24" t="str">
        <x:v>tonnes</x:v>
      </x:c>
    </x:row>
    <x:row r="7" ht="18" customHeight="1">
      <x:c r="A7" s="24" t="str">
        <x:v>EEZ_900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EEZ_900</x:v>
      </x:c>
      <x:c r="B8" s="24" t="str">
        <x:v>taxa_count</x:v>
      </x:c>
      <x:c r="C8" s="24" t="n">
        <x:v>73</x:v>
      </x:c>
      <x:c r="D8" s="24" t="str">
        <x:v>count</x:v>
      </x:c>
    </x:row>
    <x:row r="9" ht="18" customHeight="1">
      <x:c r="A9" s="24" t="str">
        <x:v>EEZ_900</x:v>
      </x:c>
      <x:c r="B9" s="24" t="str">
        <x:v>matched_taxa_count</x:v>
      </x:c>
      <x:c r="C9" s="24" t="n">
        <x:v>73</x:v>
      </x:c>
      <x:c r="D9" s="24" t="str">
        <x:v>count</x:v>
      </x:c>
    </x:row>
    <x:row r="10" ht="18" customHeight="1">
      <x:c r="A10" s="24" t="str">
        <x:v>EEZ_900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EEZ_900</x:v>
      </x:c>
      <x:c r="B11" s="24" t="str">
        <x:v>species_ppr</x:v>
      </x:c>
      <x:c r="C11" s="24" t="n">
        <x:v>2926602.3167501483</x:v>
      </x:c>
      <x:c r="D11" s="24" t="str">
        <x:v>tonnes_primary_production_equivalent</x:v>
      </x:c>
    </x:row>
    <x:row r="12" ht="18" customHeight="1">
      <x:c r="A12" s="24" t="str">
        <x:v>EEZ_900</x:v>
      </x:c>
      <x:c r="B12" s="24" t="str">
        <x:v>commercial_ppr</x:v>
      </x:c>
      <x:c r="C12" s="24" t="n">
        <x:v>2082504.0435939096</x:v>
      </x:c>
      <x:c r="D12" s="24" t="str">
        <x:v>tonnes_primary_production_equivalent</x:v>
      </x:c>
    </x:row>
    <x:row r="13" ht="18" customHeight="1">
      <x:c r="A13" s="24" t="str">
        <x:v>EEZ_900</x:v>
      </x:c>
      <x:c r="B13" s="24" t="str">
        <x:v>functional_ppr</x:v>
      </x:c>
      <x:c r="C13" s="24" t="n">
        <x:v>2597538.3403803934</x:v>
      </x:c>
      <x:c r="D13" s="24" t="str">
        <x:v>tonnes_primary_production_equivalent</x:v>
      </x:c>
    </x:row>
    <x:row r="14" ht="18" customHeight="1">
      <x:c r="A14" s="24" t="str">
        <x:v>EEZ_900</x:v>
      </x:c>
      <x:c r="B14" s="24" t="str">
        <x:v>commercial_ppr_difference</x:v>
      </x:c>
      <x:c r="C14" s="24" t="n">
        <x:v>-844098.2731562387</x:v>
      </x:c>
      <x:c r="D14" s="24" t="str">
        <x:v>tonnes_primary_production_equivalent</x:v>
      </x:c>
    </x:row>
    <x:row r="15" ht="18" customHeight="1">
      <x:c r="A15" s="24" t="str">
        <x:v>EEZ_900</x:v>
      </x:c>
      <x:c r="B15" s="24" t="str">
        <x:v>functional_ppr_difference</x:v>
      </x:c>
      <x:c r="C15" s="24" t="n">
        <x:v>-329063.9763697549</x:v>
      </x:c>
      <x:c r="D15" s="24" t="str">
        <x:v>tonnes_primary_production_equivalent</x:v>
      </x:c>
    </x:row>
    <x:row r="16" ht="18" customHeight="1">
      <x:c r="A16" s="24" t="str">
        <x:v>EEZ_900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e83cb4054cc41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EEZ_900 - Crete (Greece)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