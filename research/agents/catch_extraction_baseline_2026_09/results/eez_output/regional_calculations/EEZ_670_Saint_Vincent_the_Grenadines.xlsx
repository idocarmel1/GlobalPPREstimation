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3824319fe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78d14ebd43b4f62"/>
    <x:sheet xmlns:r="http://schemas.openxmlformats.org/officeDocument/2006/relationships" name="Commercial" sheetId="2" r:id="Rb54b4e04904b4e2a"/>
    <x:sheet xmlns:r="http://schemas.openxmlformats.org/officeDocument/2006/relationships" name="Functional" sheetId="3" r:id="R1c45b5cecd71489d"/>
    <x:sheet xmlns:r="http://schemas.openxmlformats.org/officeDocument/2006/relationships" name="Missing TL" sheetId="4" r:id="Refcb82b9ac3e4cd4"/>
    <x:sheet xmlns:r="http://schemas.openxmlformats.org/officeDocument/2006/relationships" name="Validation" sheetId="5" r:id="R8ada918c5bb4407f"/>
    <x:sheet xmlns:r="http://schemas.openxmlformats.org/officeDocument/2006/relationships" name="Metadata" sheetId="6" r:id="R380dd8022339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5ccdc42ba4c39" /><Relationship Type="http://schemas.openxmlformats.org/officeDocument/2006/relationships/theme" Target="/xl/theme/theme1.xml" Id="R960a538c613847fe" /><Relationship Type="http://schemas.microsoft.com/office/2022/11/relationships/FeaturePropertyBag" Target="/xl/featurePropertyBag/featurePropertyBag.xml" Id="R3623920bc40b4fae" /><Relationship Type="http://schemas.openxmlformats.org/officeDocument/2006/relationships/sharedStrings" Target="/xl/sharedStrings.xml" Id="R4407fdae640a40c4" /><Relationship Type="http://schemas.openxmlformats.org/officeDocument/2006/relationships/worksheet" Target="/xl/worksheets/sheet1.xml" Id="R078d14ebd43b4f62" /><Relationship Type="http://schemas.openxmlformats.org/officeDocument/2006/relationships/worksheet" Target="/xl/worksheets/sheet2.xml" Id="Rb54b4e04904b4e2a" /><Relationship Type="http://schemas.openxmlformats.org/officeDocument/2006/relationships/worksheet" Target="/xl/worksheets/sheet3.xml" Id="R1c45b5cecd71489d" /><Relationship Type="http://schemas.openxmlformats.org/officeDocument/2006/relationships/worksheet" Target="/xl/worksheets/sheet4.xml" Id="Refcb82b9ac3e4cd4" /><Relationship Type="http://schemas.openxmlformats.org/officeDocument/2006/relationships/worksheet" Target="/xl/worksheets/sheet5.xml" Id="R8ada918c5bb4407f" /><Relationship Type="http://schemas.openxmlformats.org/officeDocument/2006/relationships/worksheet" Target="/xl/worksheets/sheet6.xml" Id="R380dd802233945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70SpeciesTable" displayName="EEZ670SpeciesTable" ref="A1:U94" headerRowCount="1" totalsRowCount="0" totalsRowShown="0">
  <x:autoFilter ref="A1:U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70CommercialTable" displayName="EEZ670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70FunctionalTable" displayName="EEZ670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70ValidationTable" displayName="EEZ67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e0c7d1d83d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be213bcb4040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4565a2815745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4773bace0646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EEZ_670</x:v>
      </x:c>
      <x:c r="B2" s="24" t="str">
        <x:v>Saint Vincent &amp; the Grenadines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223.7358817047</x:v>
      </x:c>
      <x:c r="J2" s="31" t="n">
        <x:v>223.7358817047</x:v>
      </x:c>
      <x:c r="K2" s="31" t="n">
        <x:v>0</x:v>
      </x:c>
      <x:c r="L2" s="31" t="n">
        <x:v>204.1246775834</x:v>
      </x:c>
      <x:c r="M2" s="31" t="n">
        <x:v>19.6112041213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3465.258518312763</x:v>
      </x:c>
    </x:row>
    <x:row r="3" ht="18" customHeight="1">
      <x:c r="A3" s="24" t="str">
        <x:v>EEZ_670</x:v>
      </x:c>
      <x:c r="B3" s="24" t="str">
        <x:v>Saint Vincent &amp; the Grenadines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162.3350208247</x:v>
      </x:c>
      <x:c r="J3" s="31" t="n">
        <x:v>75.4597201251</x:v>
      </x:c>
      <x:c r="K3" s="31" t="n">
        <x:v>86.8753006996</x:v>
      </x:c>
      <x:c r="L3" s="31" t="n">
        <x:v>49.715743091499995</x:v>
      </x:c>
      <x:c r="M3" s="31" t="n">
        <x:v>112.61927773320001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30932.300533121143</x:v>
      </x:c>
    </x:row>
    <x:row r="4" ht="18" customHeight="1">
      <x:c r="A4" s="24" t="str">
        <x:v>EEZ_670</x:v>
      </x:c>
      <x:c r="B4" s="24" t="str">
        <x:v>Saint Vincent &amp; the Grenadines</x:v>
      </x:c>
      <x:c r="C4" s="24" t="str">
        <x:v>EEZ</x:v>
      </x:c>
      <x:c r="D4" s="30" t="n">
        <x:v>2019</x:v>
      </x:c>
      <x:c r="E4" s="24" t="str">
        <x:v>Selar crumenophthalmus</x:v>
      </x:c>
      <x:c r="F4" s="24" t="str">
        <x:v>Bigeye scad</x:v>
      </x:c>
      <x:c r="G4" s="24" t="str">
        <x:v>Medium pelagics (30 - 89 cm)</x:v>
      </x:c>
      <x:c r="H4" s="24" t="str">
        <x:v>Perch-likes</x:v>
      </x:c>
      <x:c r="I4" s="31" t="n">
        <x:v>126.70855841790001</x:v>
      </x:c>
      <x:c r="J4" s="31" t="n">
        <x:v>126.70855841790001</x:v>
      </x:c>
      <x:c r="K4" s="31" t="n">
        <x:v>0</x:v>
      </x:c>
      <x:c r="L4" s="31" t="n">
        <x:v>94.2366392353</x:v>
      </x:c>
      <x:c r="M4" s="31" t="n">
        <x:v>32.471919182600004</x:v>
      </x:c>
      <x:c r="N4" s="24" t="str">
        <x:v>selar crumenophthalmus</x:v>
      </x:c>
      <x:c r="O4" s="32" t="n">
        <x:v>3.81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Selar crumenophthalmus</x:v>
      </x:c>
      <x:c r="T4" s="32" t="n">
        <x:f>IF(O4="","",(1/'Metadata'!$B$5)^(O4-1))</x:f>
        <x:v>645.6542290346556</x:v>
      </x:c>
      <x:c r="U4" s="31" t="n">
        <x:f>IF(T4="","",I4*T4)</x:f>
        <x:v>81809.91659740185</x:v>
      </x:c>
    </x:row>
    <x:row r="5" ht="18" customHeight="1">
      <x:c r="A5" s="24" t="str">
        <x:v>EEZ_670</x:v>
      </x:c>
      <x:c r="B5" s="24" t="str">
        <x:v>Saint Vincent &amp; the Grenadines</x:v>
      </x:c>
      <x:c r="C5" s="24" t="str">
        <x:v>EEZ</x:v>
      </x:c>
      <x:c r="D5" s="30" t="n">
        <x:v>2019</x:v>
      </x:c>
      <x:c r="E5" s="24" t="str">
        <x:v>Decapterus macarellus</x:v>
      </x:c>
      <x:c r="F5" s="24" t="str">
        <x:v>Mackerel scad</x:v>
      </x:c>
      <x:c r="G5" s="24" t="str">
        <x:v>Medium pelagics (30 - 89 cm)</x:v>
      </x:c>
      <x:c r="H5" s="24" t="str">
        <x:v>Perch-likes</x:v>
      </x:c>
      <x:c r="I5" s="31" t="n">
        <x:v>115.837172577</x:v>
      </x:c>
      <x:c r="J5" s="31" t="n">
        <x:v>115.837172577</x:v>
      </x:c>
      <x:c r="K5" s="31" t="n">
        <x:v>0</x:v>
      </x:c>
      <x:c r="L5" s="31" t="n">
        <x:v>73.75566057500001</x:v>
      </x:c>
      <x:c r="M5" s="31" t="n">
        <x:v>42.081512002</x:v>
      </x:c>
      <x:c r="N5" s="24" t="str">
        <x:v>decapterus macarellus</x:v>
      </x:c>
      <x:c r="O5" s="32" t="n">
        <x:v>3.96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Decapterus macarellus</x:v>
      </x:c>
      <x:c r="T5" s="32" t="n">
        <x:f>IF(O5="","",(1/'Metadata'!$B$5)^(O5-1))</x:f>
        <x:v>912.0108393559096</x:v>
      </x:c>
      <x:c r="U5" s="31" t="n">
        <x:f>IF(T5="","",I5*T5)</x:f>
        <x:v>105644.75699056513</x:v>
      </x:c>
    </x:row>
    <x:row r="6" ht="18" customHeight="1">
      <x:c r="A6" s="24" t="str">
        <x:v>EEZ_670</x:v>
      </x:c>
      <x:c r="B6" s="24" t="str">
        <x:v>Saint Vincent &amp; the Grenadines</x:v>
      </x:c>
      <x:c r="C6" s="24" t="str">
        <x:v>EEZ</x:v>
      </x:c>
      <x:c r="D6" s="30" t="n">
        <x:v>2019</x:v>
      </x:c>
      <x:c r="E6" s="24" t="str">
        <x:v>Cephalopholis fulva</x:v>
      </x:c>
      <x:c r="F6" s="24" t="str">
        <x:v>Coney</x:v>
      </x:c>
      <x:c r="G6" s="24" t="str">
        <x:v>Medium reef assoc. fish (30 - 89 cm)</x:v>
      </x:c>
      <x:c r="H6" s="24" t="str">
        <x:v>Perch-likes</x:v>
      </x:c>
      <x:c r="I6" s="31" t="n">
        <x:v>114.1642051285</x:v>
      </x:c>
      <x:c r="J6" s="31" t="n">
        <x:v>114.1642051285</x:v>
      </x:c>
      <x:c r="K6" s="31" t="n">
        <x:v>0</x:v>
      </x:c>
      <x:c r="L6" s="31" t="n">
        <x:v>63.176402431599996</x:v>
      </x:c>
      <x:c r="M6" s="31" t="n">
        <x:v>50.9878026969</x:v>
      </x:c>
      <x:c r="N6" s="24" t="str">
        <x:v>cephalopholis fulva</x:v>
      </x:c>
      <x:c r="O6" s="32" t="n">
        <x:v>4.05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Cephalopholis fulva</x:v>
      </x:c>
      <x:c r="T6" s="32" t="n">
        <x:f>IF(O6="","",(1/'Metadata'!$B$5)^(O6-1))</x:f>
        <x:v>1122.018454301963</x:v>
      </x:c>
      <x:c r="U6" s="31" t="n">
        <x:f>IF(T6="","",I6*T6)</x:f>
        <x:v>128094.3449748918</x:v>
      </x:c>
    </x:row>
    <x:row r="7" ht="18" customHeight="1">
      <x:c r="A7" s="24" t="str">
        <x:v>EEZ_670</x:v>
      </x:c>
      <x:c r="B7" s="24" t="str">
        <x:v>Saint Vincent &amp; the Grenadines</x:v>
      </x:c>
      <x:c r="C7" s="24" t="str">
        <x:v>EEZ</x:v>
      </x:c>
      <x:c r="D7" s="30" t="n">
        <x:v>2019</x:v>
      </x:c>
      <x:c r="E7" s="24" t="str">
        <x:v>Istiophorus albicans</x:v>
      </x:c>
      <x:c r="F7" s="24" t="str">
        <x:v>Atlantic sailfish</x:v>
      </x:c>
      <x:c r="G7" s="24" t="str">
        <x:v>Large pelagics (&gt;=90 cm)</x:v>
      </x:c>
      <x:c r="H7" s="24" t="str">
        <x:v>Tuna &amp; billfishes</x:v>
      </x:c>
      <x:c r="I7" s="31" t="n">
        <x:v>106.18901244099999</x:v>
      </x:c>
      <x:c r="J7" s="31" t="n">
        <x:v>106.18901244099999</x:v>
      </x:c>
      <x:c r="K7" s="31" t="n">
        <x:v>0</x:v>
      </x:c>
      <x:c r="L7" s="31" t="n">
        <x:v>106.18901244099999</x:v>
      </x:c>
      <x:c r="M7" s="31" t="n">
        <x:v>0</x:v>
      </x:c>
      <x:c r="N7" s="24" t="str">
        <x:v>istiophorus albicans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Istiophorus albicans</x:v>
      </x:c>
      <x:c r="T7" s="32" t="n">
        <x:f>IF(O7="","",(1/'Metadata'!$B$5)^(O7-1))</x:f>
        <x:v>3162.2776601683795</x:v>
      </x:c>
      <x:c r="U7" s="31" t="n">
        <x:f>IF(T7="","",I7*T7)</x:f>
        <x:v>335799.1417975164</x:v>
      </x:c>
    </x:row>
    <x:row r="8" ht="18" customHeight="1">
      <x:c r="A8" s="24" t="str">
        <x:v>EEZ_670</x:v>
      </x:c>
      <x:c r="B8" s="24" t="str">
        <x:v>Saint Vincent &amp; the Grenadines</x:v>
      </x:c>
      <x:c r="C8" s="24" t="str">
        <x:v>EEZ</x:v>
      </x:c>
      <x:c r="D8" s="30" t="n">
        <x:v>2019</x:v>
      </x:c>
      <x:c r="E8" s="24" t="str">
        <x:v>Epinephelus guttatus</x:v>
      </x:c>
      <x:c r="F8" s="24" t="str">
        <x:v>Red hind</x:v>
      </x:c>
      <x:c r="G8" s="24" t="str">
        <x:v>Medium reef assoc. fish (30 - 89 cm)</x:v>
      </x:c>
      <x:c r="H8" s="24" t="str">
        <x:v>Perch-likes</x:v>
      </x:c>
      <x:c r="I8" s="31" t="n">
        <x:v>94.7752076125</x:v>
      </x:c>
      <x:c r="J8" s="31" t="n">
        <x:v>94.7752076125</x:v>
      </x:c>
      <x:c r="K8" s="31" t="n">
        <x:v>0</x:v>
      </x:c>
      <x:c r="L8" s="31" t="n">
        <x:v>67.6713677726</x:v>
      </x:c>
      <x:c r="M8" s="31" t="n">
        <x:v>27.103839839899997</x:v>
      </x:c>
      <x:c r="N8" s="24" t="str">
        <x:v>epinephelus guttatus</x:v>
      </x:c>
      <x:c r="O8" s="32" t="n">
        <x:v>3.84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Epinephelus guttatus</x:v>
      </x:c>
      <x:c r="T8" s="32" t="n">
        <x:f>IF(O8="","",(1/'Metadata'!$B$5)^(O8-1))</x:f>
        <x:v>691.8309709189363</x:v>
      </x:c>
      <x:c r="U8" s="31" t="n">
        <x:f>IF(T8="","",I8*T8)</x:f>
        <x:v>65568.42390159963</x:v>
      </x:c>
    </x:row>
    <x:row r="9" ht="18" customHeight="1">
      <x:c r="A9" s="24" t="str">
        <x:v>EEZ_670</x:v>
      </x:c>
      <x:c r="B9" s="24" t="str">
        <x:v>Saint Vincent &amp; the Grenadines</x:v>
      </x:c>
      <x:c r="C9" s="24" t="str">
        <x:v>EEZ</x:v>
      </x:c>
      <x:c r="D9" s="30" t="n">
        <x:v>2019</x:v>
      </x:c>
      <x:c r="E9" s="24" t="str">
        <x:v>Panulirus argus</x:v>
      </x:c>
      <x:c r="F9" s="24" t="str">
        <x:v>Caribbean spiny lobster</x:v>
      </x:c>
      <x:c r="G9" s="24" t="str">
        <x:v>Lobsters, crabs</x:v>
      </x:c>
      <x:c r="H9" s="24" t="str">
        <x:v>Crustaceans</x:v>
      </x:c>
      <x:c r="I9" s="31" t="n">
        <x:v>90.11015577</x:v>
      </x:c>
      <x:c r="J9" s="31" t="n">
        <x:v>90.11015577</x:v>
      </x:c>
      <x:c r="K9" s="31" t="n">
        <x:v>0</x:v>
      </x:c>
      <x:c r="L9" s="31" t="n">
        <x:v>67.8672844408</x:v>
      </x:c>
      <x:c r="M9" s="31" t="n">
        <x:v>22.2428713292</x:v>
      </x:c>
      <x:c r="N9" s="24" t="str">
        <x:v>panulirus argus</x:v>
      </x:c>
      <x:c r="O9" s="32" t="n">
        <x:v>3.2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Panulirus argus</x:v>
      </x:c>
      <x:c r="T9" s="32" t="n">
        <x:f>IF(O9="","",(1/'Metadata'!$B$5)^(O9-1))</x:f>
        <x:v>158.48931924611142</x:v>
      </x:c>
      <x:c r="U9" s="31" t="n">
        <x:f>IF(T9="","",I9*T9)</x:f>
        <x:v>14281.49724514836</x:v>
      </x:c>
    </x:row>
    <x:row r="10" ht="18" customHeight="1">
      <x:c r="A10" s="24" t="str">
        <x:v>EEZ_670</x:v>
      </x:c>
      <x:c r="B10" s="24" t="str">
        <x:v>Saint Vincent &amp; the Grenadines</x:v>
      </x:c>
      <x:c r="C10" s="24" t="str">
        <x:v>EEZ</x:v>
      </x:c>
      <x:c r="D10" s="30" t="n">
        <x:v>2019</x:v>
      </x:c>
      <x:c r="E10" s="24" t="str">
        <x:v>Makaira nigricans</x:v>
      </x:c>
      <x:c r="F10" s="24" t="str">
        <x:v>Blue marlin</x:v>
      </x:c>
      <x:c r="G10" s="24" t="str">
        <x:v>Large pelagics (&gt;=90 cm)</x:v>
      </x:c>
      <x:c r="H10" s="24" t="str">
        <x:v>Tuna &amp; billfishes</x:v>
      </x:c>
      <x:c r="I10" s="31" t="n">
        <x:v>69.46723613099999</x:v>
      </x:c>
      <x:c r="J10" s="31" t="n">
        <x:v>69.46723613099999</x:v>
      </x:c>
      <x:c r="K10" s="31" t="n">
        <x:v>0</x:v>
      </x:c>
      <x:c r="L10" s="31" t="n">
        <x:v>69.46723613099999</x:v>
      </x:c>
      <x:c r="M10" s="31" t="n">
        <x:v>0</x:v>
      </x:c>
      <x:c r="N10" s="24" t="str">
        <x:v>makaira nigricans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Makaira nigricans</x:v>
      </x:c>
      <x:c r="T10" s="32" t="n">
        <x:f>IF(O10="","",(1/'Metadata'!$B$5)^(O10-1))</x:f>
        <x:v>3090.295432513592</x:v>
      </x:c>
      <x:c r="U10" s="31" t="n">
        <x:f>IF(T10="","",I10*T10)</x:f>
        <x:v>214674.28252497246</x:v>
      </x:c>
    </x:row>
    <x:row r="11" ht="18" customHeight="1">
      <x:c r="A11" s="24" t="str">
        <x:v>EEZ_670</x:v>
      </x:c>
      <x:c r="B11" s="24" t="str">
        <x:v>Saint Vincent &amp; the Grenadines</x:v>
      </x:c>
      <x:c r="C11" s="24" t="str">
        <x:v>EEZ</x:v>
      </x:c>
      <x:c r="D11" s="30" t="n">
        <x:v>2019</x:v>
      </x:c>
      <x:c r="E11" s="24" t="str">
        <x:v>Decapterus</x:v>
      </x:c>
      <x:c r="F11" s="24" t="str">
        <x:v>Scads</x:v>
      </x:c>
      <x:c r="G11" s="24" t="str">
        <x:v>Medium pelagics (30 - 89 cm)</x:v>
      </x:c>
      <x:c r="H11" s="24" t="str">
        <x:v>Perch-likes</x:v>
      </x:c>
      <x:c r="I11" s="31" t="n">
        <x:v>68.02956419259999</x:v>
      </x:c>
      <x:c r="J11" s="31" t="n">
        <x:v>68.02956419259999</x:v>
      </x:c>
      <x:c r="K11" s="31" t="n">
        <x:v>0</x:v>
      </x:c>
      <x:c r="L11" s="31" t="n">
        <x:v>68.02956419259999</x:v>
      </x:c>
      <x:c r="M11" s="31" t="n">
        <x:v>0</x:v>
      </x:c>
      <x:c r="N11" s="24" t="str">
        <x:v>decapterus</x:v>
      </x:c>
      <x:c r="O11" s="32" t="n">
        <x:v>3.63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Decapterus</x:v>
      </x:c>
      <x:c r="T11" s="32" t="n">
        <x:f>IF(O11="","",(1/'Metadata'!$B$5)^(O11-1))</x:f>
        <x:v>426.57951880159254</x:v>
      </x:c>
      <x:c r="U11" s="31" t="n">
        <x:f>IF(T11="","",I11*T11)</x:f>
        <x:v>29020.018757561356</x:v>
      </x:c>
    </x:row>
    <x:row r="12" ht="18" customHeight="1">
      <x:c r="A12" s="24" t="str">
        <x:v>EEZ_670</x:v>
      </x:c>
      <x:c r="B12" s="24" t="str">
        <x:v>Saint Vincent &amp; the Grenadines</x:v>
      </x:c>
      <x:c r="C12" s="24" t="str">
        <x:v>EEZ</x:v>
      </x:c>
      <x:c r="D12" s="30" t="n">
        <x:v>2019</x:v>
      </x:c>
      <x:c r="E12" s="24" t="str">
        <x:v>Sparisoma aurofrenatum</x:v>
      </x:c>
      <x:c r="F12" s="24" t="str">
        <x:v>Redband parrotfish</x:v>
      </x:c>
      <x:c r="G12" s="24" t="str">
        <x:v>Small reef assoc. fish (&lt;30 cm)</x:v>
      </x:c>
      <x:c r="H12" s="24" t="str">
        <x:v>Perch-likes</x:v>
      </x:c>
      <x:c r="I12" s="31" t="n">
        <x:v>60.299824861400005</x:v>
      </x:c>
      <x:c r="J12" s="31" t="n">
        <x:v>60.299824861400005</x:v>
      </x:c>
      <x:c r="K12" s="31" t="n">
        <x:v>0</x:v>
      </x:c>
      <x:c r="L12" s="31" t="n">
        <x:v>36.5123696651</x:v>
      </x:c>
      <x:c r="M12" s="31" t="n">
        <x:v>23.7874551963</x:v>
      </x:c>
      <x:c r="N12" s="24" t="str">
        <x:v>sparisoma aurofrenatum</x:v>
      </x:c>
      <x:c r="O12" s="32" t="n">
        <x:v>2.02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Sparisoma aurofrenatum</x:v>
      </x:c>
      <x:c r="T12" s="32" t="n">
        <x:f>IF(O12="","",(1/'Metadata'!$B$5)^(O12-1))</x:f>
        <x:v>10.471285480508996</x:v>
      </x:c>
      <x:c r="U12" s="31" t="n">
        <x:f>IF(T12="","",I12*T12)</x:f>
        <x:v>631.4166805484133</x:v>
      </x:c>
    </x:row>
    <x:row r="13" ht="18" customHeight="1">
      <x:c r="A13" s="24" t="str">
        <x:v>EEZ_670</x:v>
      </x:c>
      <x:c r="B13" s="24" t="str">
        <x:v>Saint Vincent &amp; the Grenadines</x:v>
      </x:c>
      <x:c r="C13" s="24" t="str">
        <x:v>EEZ</x:v>
      </x:c>
      <x:c r="D13" s="30" t="n">
        <x:v>2019</x:v>
      </x:c>
      <x:c r="E13" s="24" t="str">
        <x:v>Acanthocybium solandri</x:v>
      </x:c>
      <x:c r="F13" s="24" t="str">
        <x:v>Wahoo</x:v>
      </x:c>
      <x:c r="G13" s="24" t="str">
        <x:v>Large pelagics (&gt;=90 cm)</x:v>
      </x:c>
      <x:c r="H13" s="24" t="str">
        <x:v>Perch-likes</x:v>
      </x:c>
      <x:c r="I13" s="31" t="n">
        <x:v>49.6202100044</x:v>
      </x:c>
      <x:c r="J13" s="31" t="n">
        <x:v>49.6202100044</x:v>
      </x:c>
      <x:c r="K13" s="31" t="n">
        <x:v>0</x:v>
      </x:c>
      <x:c r="L13" s="31" t="n">
        <x:v>49.5278819665</x:v>
      </x:c>
      <x:c r="M13" s="31" t="n">
        <x:v>0.09232803789999999</x:v>
      </x:c>
      <x:c r="N13" s="24" t="str">
        <x:v>acanthocybium solandri</x:v>
      </x:c>
      <x:c r="O13" s="32" t="n">
        <x:v>4.26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Acanthocybium solandri</x:v>
      </x:c>
      <x:c r="T13" s="32" t="n">
        <x:f>IF(O13="","",(1/'Metadata'!$B$5)^(O13-1))</x:f>
        <x:v>1819.7008586099826</x:v>
      </x:c>
      <x:c r="U13" s="31" t="n">
        <x:f>IF(T13="","",I13*T13)</x:f>
        <x:v>90293.93874941433</x:v>
      </x:c>
    </x:row>
    <x:row r="14" ht="18" customHeight="1">
      <x:c r="A14" s="24" t="str">
        <x:v>EEZ_670</x:v>
      </x:c>
      <x:c r="B14" s="24" t="str">
        <x:v>Saint Vincent &amp; the Grenadines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49.6179328284</x:v>
      </x:c>
      <x:c r="J14" s="31" t="n">
        <x:v>49.6179328284</x:v>
      </x:c>
      <x:c r="K14" s="31" t="n">
        <x:v>0</x:v>
      </x:c>
      <x:c r="L14" s="31" t="n">
        <x:v>48.950641751</x:v>
      </x:c>
      <x:c r="M14" s="31" t="n">
        <x:v>0.6672910773999999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116315.78789294364</x:v>
      </x:c>
    </x:row>
    <x:row r="15" ht="18" customHeight="1">
      <x:c r="A15" s="24" t="str">
        <x:v>EEZ_670</x:v>
      </x:c>
      <x:c r="B15" s="24" t="str">
        <x:v>Saint Vincent &amp; the Grenadines</x:v>
      </x:c>
      <x:c r="C15" s="24" t="str">
        <x:v>EEZ</x:v>
      </x:c>
      <x:c r="D15" s="30" t="n">
        <x:v>2019</x:v>
      </x:c>
      <x:c r="E15" s="24" t="str">
        <x:v>Lutjanidae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37.1899805364</x:v>
      </x:c>
      <x:c r="J15" s="31" t="n">
        <x:v>37.1899805364</x:v>
      </x:c>
      <x:c r="K15" s="31" t="n">
        <x:v>0</x:v>
      </x:c>
      <x:c r="L15" s="31" t="n">
        <x:v>24.777474301199998</x:v>
      </x:c>
      <x:c r="M15" s="31" t="n">
        <x:v>12.412506235199999</x:v>
      </x:c>
      <x:c r="N15" s="24" t="str">
        <x:v>lutjanidae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Lutjanidae</x:v>
      </x:c>
      <x:c r="T15" s="32" t="n">
        <x:f>IF(O15="","",(1/'Metadata'!$B$5)^(O15-1))</x:f>
        <x:v>1047.1285480508984</x:v>
      </x:c>
      <x:c r="U15" s="31" t="n">
        <x:f>IF(T15="","",I15*T15)</x:f>
        <x:v>38942.69032112171</x:v>
      </x:c>
    </x:row>
    <x:row r="16" ht="18" customHeight="1">
      <x:c r="A16" s="24" t="str">
        <x:v>EEZ_670</x:v>
      </x:c>
      <x:c r="B16" s="24" t="str">
        <x:v>Saint Vincent &amp; the Grenadines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22.7242392919</x:v>
      </x:c>
      <x:c r="J16" s="31" t="n">
        <x:v>22.7242392919</x:v>
      </x:c>
      <x:c r="K16" s="31" t="n">
        <x:v>0</x:v>
      </x:c>
      <x:c r="L16" s="31" t="n">
        <x:v>22.7242392919</x:v>
      </x:c>
      <x:c r="M16" s="31" t="n">
        <x:v>0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76999.75686769169</x:v>
      </x:c>
    </x:row>
    <x:row r="17" ht="18" customHeight="1">
      <x:c r="A17" s="24" t="str">
        <x:v>EEZ_670</x:v>
      </x:c>
      <x:c r="B17" s="24" t="str">
        <x:v>Saint Vincent &amp; the Grenadines</x:v>
      </x:c>
      <x:c r="C17" s="24" t="str">
        <x:v>EEZ</x:v>
      </x:c>
      <x:c r="D17" s="30" t="n">
        <x:v>2019</x:v>
      </x:c>
      <x:c r="E17" s="24" t="str">
        <x:v>Lutjanus</x:v>
      </x:c>
      <x:c r="F17" s="24" t="str">
        <x:v>Snappers</x:v>
      </x:c>
      <x:c r="G17" s="24" t="str">
        <x:v>Medium reef assoc. fish (30 - 89 cm)</x:v>
      </x:c>
      <x:c r="H17" s="24" t="str">
        <x:v>Perch-likes</x:v>
      </x:c>
      <x:c r="I17" s="31" t="n">
        <x:v>22.084061656000003</x:v>
      </x:c>
      <x:c r="J17" s="31" t="n">
        <x:v>22.084061656000003</x:v>
      </x:c>
      <x:c r="K17" s="31" t="n">
        <x:v>0</x:v>
      </x:c>
      <x:c r="L17" s="31" t="n">
        <x:v>15.911571251000002</x:v>
      </x:c>
      <x:c r="M17" s="31" t="n">
        <x:v>6.172490405</x:v>
      </x:c>
      <x:c r="N17" s="24" t="str">
        <x:v>lutjanus</x:v>
      </x:c>
      <x:c r="O17" s="32" t="n">
        <x:v>4.02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Lutjanus</x:v>
      </x:c>
      <x:c r="T17" s="32" t="n">
        <x:f>IF(O17="","",(1/'Metadata'!$B$5)^(O17-1))</x:f>
        <x:v>1047.1285480508984</x:v>
      </x:c>
      <x:c r="U17" s="31" t="n">
        <x:f>IF(T17="","",I17*T17)</x:f>
        <x:v>23124.851416913803</x:v>
      </x:c>
    </x:row>
    <x:row r="18" ht="18" customHeight="1">
      <x:c r="A18" s="24" t="str">
        <x:v>EEZ_670</x:v>
      </x:c>
      <x:c r="B18" s="24" t="str">
        <x:v>Saint Vincent &amp; the Grenadines</x:v>
      </x:c>
      <x:c r="C18" s="24" t="str">
        <x:v>EEZ</x:v>
      </x:c>
      <x:c r="D18" s="30" t="n">
        <x:v>2019</x:v>
      </x:c>
      <x:c r="E18" s="24" t="str">
        <x:v>Marine pelagic fishes not identified</x:v>
      </x:c>
      <x:c r="F18" s="24" t="str">
        <x:v>Pelagic fishes</x:v>
      </x:c>
      <x:c r="G18" s="24" t="str">
        <x:v>Medium pelagics (30 - 89 cm)</x:v>
      </x:c>
      <x:c r="H18" s="24" t="str">
        <x:v>Other fishes &amp; inverts</x:v>
      </x:c>
      <x:c r="I18" s="31" t="n">
        <x:v>21.622067945799998</x:v>
      </x:c>
      <x:c r="J18" s="31" t="n">
        <x:v>21.622067945799998</x:v>
      </x:c>
      <x:c r="K18" s="31" t="n">
        <x:v>0</x:v>
      </x:c>
      <x:c r="L18" s="31" t="n">
        <x:v>21.622067945799998</x:v>
      </x:c>
      <x:c r="M18" s="31" t="n">
        <x:v>0</x:v>
      </x:c>
      <x:c r="N18" s="24" t="str">
        <x:v>marine pelagic fishes not identified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pelagic fishes not identified</x:v>
      </x:c>
      <x:c r="T18" s="32" t="n">
        <x:f>IF(O18="","",(1/'Metadata'!$B$5)^(O18-1))</x:f>
        <x:v>223.872113856834</x:v>
      </x:c>
      <x:c r="U18" s="31" t="n">
        <x:f>IF(T18="","",I18*T18)</x:f>
        <x:v>4840.578056982338</x:v>
      </x:c>
    </x:row>
    <x:row r="19" ht="18" customHeight="1">
      <x:c r="A19" s="24" t="str">
        <x:v>EEZ_670</x:v>
      </x:c>
      <x:c r="B19" s="24" t="str">
        <x:v>Saint Vincent &amp; the Grenadines</x:v>
      </x:c>
      <x:c r="C19" s="24" t="str">
        <x:v>EEZ</x:v>
      </x:c>
      <x:c r="D19" s="30" t="n">
        <x:v>2019</x:v>
      </x:c>
      <x:c r="E19" s="24" t="str">
        <x:v>Hemiramphidae</x:v>
      </x:c>
      <x:c r="F19" s="24" t="str">
        <x:v>Halfbeaks, garfishes</x:v>
      </x:c>
      <x:c r="G19" s="24" t="str">
        <x:v>Medium pelagics (30 - 89 cm)</x:v>
      </x:c>
      <x:c r="H19" s="24" t="str">
        <x:v>Other fishes &amp; inverts</x:v>
      </x:c>
      <x:c r="I19" s="31" t="n">
        <x:v>21.175827184499997</x:v>
      </x:c>
      <x:c r="J19" s="31" t="n">
        <x:v>21.175827184499997</x:v>
      </x:c>
      <x:c r="K19" s="31" t="n">
        <x:v>0</x:v>
      </x:c>
      <x:c r="L19" s="31" t="n">
        <x:v>21.0045446285</x:v>
      </x:c>
      <x:c r="M19" s="31" t="n">
        <x:v>0.171282556</x:v>
      </x:c>
      <x:c r="N19" s="24" t="str">
        <x:v>hemiramphidae</x:v>
      </x:c>
      <x:c r="O19" s="32" t="n">
        <x:v>2.82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Hemiramphidae</x:v>
      </x:c>
      <x:c r="T19" s="32" t="n">
        <x:f>IF(O19="","",(1/'Metadata'!$B$5)^(O19-1))</x:f>
        <x:v>66.06934480075958</x:v>
      </x:c>
      <x:c r="U19" s="31" t="n">
        <x:f>IF(T19="","",I19*T19)</x:f>
        <x:v>1399.0730276940283</x:v>
      </x:c>
    </x:row>
    <x:row r="20" ht="18" customHeight="1">
      <x:c r="A20" s="24" t="str">
        <x:v>EEZ_670</x:v>
      </x:c>
      <x:c r="B20" s="24" t="str">
        <x:v>Saint Vincent &amp; the Grenadines</x:v>
      </x:c>
      <x:c r="C20" s="24" t="str">
        <x:v>EEZ</x:v>
      </x:c>
      <x:c r="D20" s="30" t="n">
        <x:v>2019</x:v>
      </x:c>
      <x:c r="E20" s="24" t="str">
        <x:v>Sphyraena barracuda</x:v>
      </x:c>
      <x:c r="F20" s="24" t="str">
        <x:v>Great barracuda</x:v>
      </x:c>
      <x:c r="G20" s="24" t="str">
        <x:v>Large pelagics (&gt;=90 cm)</x:v>
      </x:c>
      <x:c r="H20" s="24" t="str">
        <x:v>Perch-likes</x:v>
      </x:c>
      <x:c r="I20" s="31" t="n">
        <x:v>21.1353330129</x:v>
      </x:c>
      <x:c r="J20" s="31" t="n">
        <x:v>21.1353330129</x:v>
      </x:c>
      <x:c r="K20" s="31" t="n">
        <x:v>0</x:v>
      </x:c>
      <x:c r="L20" s="31" t="n">
        <x:v>13.4008631443</x:v>
      </x:c>
      <x:c r="M20" s="31" t="n">
        <x:v>7.7344698686</x:v>
      </x:c>
      <x:c r="N20" s="24" t="str">
        <x:v>sphyraena barracuda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Sphyraena barracuda</x:v>
      </x:c>
      <x:c r="T20" s="32" t="n">
        <x:f>IF(O20="","",(1/'Metadata'!$B$5)^(O20-1))</x:f>
        <x:v>3090.295432513592</x:v>
      </x:c>
      <x:c r="U20" s="31" t="n">
        <x:f>IF(T20="","",I20*T20)</x:f>
        <x:v>65314.4230744186</x:v>
      </x:c>
    </x:row>
    <x:row r="21" ht="18" customHeight="1">
      <x:c r="A21" s="24" t="str">
        <x:v>EEZ_670</x:v>
      </x:c>
      <x:c r="B21" s="24" t="str">
        <x:v>Saint Vincent &amp; the Grenadines</x:v>
      </x:c>
      <x:c r="C21" s="24" t="str">
        <x:v>EEZ</x:v>
      </x:c>
      <x:c r="D21" s="30" t="n">
        <x:v>2019</x:v>
      </x:c>
      <x:c r="E21" s="24" t="str">
        <x:v>Kajikia albida</x:v>
      </x:c>
      <x:c r="F21" s="24" t="str">
        <x:v>Atlantic white marlin</x:v>
      </x:c>
      <x:c r="G21" s="24" t="str">
        <x:v>Large pelagics (&gt;=90 cm)</x:v>
      </x:c>
      <x:c r="H21" s="24" t="str">
        <x:v>Tuna &amp; billfishes</x:v>
      </x:c>
      <x:c r="I21" s="31" t="n">
        <x:v>18.652948203900003</x:v>
      </x:c>
      <x:c r="J21" s="31" t="n">
        <x:v>18.652948203900003</x:v>
      </x:c>
      <x:c r="K21" s="31" t="n">
        <x:v>0</x:v>
      </x:c>
      <x:c r="L21" s="31" t="n">
        <x:v>18.652948203900003</x:v>
      </x:c>
      <x:c r="M21" s="31" t="n">
        <x:v>0</x:v>
      </x:c>
      <x:c r="N21" s="24" t="str">
        <x:v>kajikia albida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Kajikia albida</x:v>
      </x:c>
      <x:c r="T21" s="32" t="n">
        <x:f>IF(O21="","",(1/'Metadata'!$B$5)^(O21-1))</x:f>
        <x:v>3090.295432513592</x:v>
      </x:c>
      <x:c r="U21" s="31" t="n">
        <x:f>IF(T21="","",I21*T21)</x:f>
        <x:v>57643.12063742479</x:v>
      </x:c>
    </x:row>
    <x:row r="22" ht="18" customHeight="1">
      <x:c r="A22" s="24" t="str">
        <x:v>EEZ_670</x:v>
      </x:c>
      <x:c r="B22" s="24" t="str">
        <x:v>Saint Vincent &amp; the Grenadines</x:v>
      </x:c>
      <x:c r="C22" s="24" t="str">
        <x:v>EEZ</x:v>
      </x:c>
      <x:c r="D22" s="30" t="n">
        <x:v>2019</x:v>
      </x:c>
      <x:c r="E22" s="24" t="str">
        <x:v>Hemiramphus</x:v>
      </x:c>
      <x:c r="F22" s="24" t="str">
        <x:v>Halfbeaks</x:v>
      </x:c>
      <x:c r="G22" s="24" t="str">
        <x:v>Medium pelagics (30 - 89 cm)</x:v>
      </x:c>
      <x:c r="H22" s="24" t="str">
        <x:v>Other fishes &amp; inverts</x:v>
      </x:c>
      <x:c r="I22" s="31" t="n">
        <x:v>16.8921902361</x:v>
      </x:c>
      <x:c r="J22" s="31" t="n">
        <x:v>16.8921902361</x:v>
      </x:c>
      <x:c r="K22" s="31" t="n">
        <x:v>0</x:v>
      </x:c>
      <x:c r="L22" s="31" t="n">
        <x:v>16.8921902361</x:v>
      </x:c>
      <x:c r="M22" s="31" t="n">
        <x:v>0</x:v>
      </x:c>
      <x:c r="N22" s="24" t="str">
        <x:v>hemiramphus</x:v>
      </x:c>
      <x:c r="O22" s="32" t="n">
        <x:v>3.05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Hemiramphus</x:v>
      </x:c>
      <x:c r="T22" s="32" t="n">
        <x:f>IF(O22="","",(1/'Metadata'!$B$5)^(O22-1))</x:f>
        <x:v>112.2018454301963</x:v>
      </x:c>
      <x:c r="U22" s="31" t="n">
        <x:f>IF(T22="","",I22*T22)</x:f>
        <x:v>1895.3349178483634</x:v>
      </x:c>
    </x:row>
    <x:row r="23" ht="18" customHeight="1">
      <x:c r="A23" s="24" t="str">
        <x:v>EEZ_670</x:v>
      </x:c>
      <x:c r="B23" s="24" t="str">
        <x:v>Saint Vincent &amp; the Grenadines</x:v>
      </x:c>
      <x:c r="C23" s="24" t="str">
        <x:v>EEZ</x:v>
      </x:c>
      <x:c r="D23" s="30" t="n">
        <x:v>2019</x:v>
      </x:c>
      <x:c r="E23" s="24" t="str">
        <x:v>Carcharhinus falciformis</x:v>
      </x:c>
      <x:c r="F23" s="24" t="str">
        <x:v>Silky shark</x:v>
      </x:c>
      <x:c r="G23" s="24" t="str">
        <x:v>Large sharks (&gt;=90 cm)</x:v>
      </x:c>
      <x:c r="H23" s="24" t="str">
        <x:v>Sharks &amp; rays</x:v>
      </x:c>
      <x:c r="I23" s="31" t="n">
        <x:v>14.6113001417</x:v>
      </x:c>
      <x:c r="J23" s="31" t="n">
        <x:v>14.6113001417</x:v>
      </x:c>
      <x:c r="K23" s="31" t="n">
        <x:v>0</x:v>
      </x:c>
      <x:c r="L23" s="31" t="n">
        <x:v>14.6113001417</x:v>
      </x:c>
      <x:c r="M23" s="31" t="n">
        <x:v>0</x:v>
      </x:c>
      <x:c r="N23" s="24" t="str">
        <x:v>carcharhinus falciformis</x:v>
      </x:c>
      <x:c r="O23" s="32" t="n">
        <x:v>4.51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Carcharhinus falciformis</x:v>
      </x:c>
      <x:c r="T23" s="32" t="n">
        <x:f>IF(O23="","",(1/'Metadata'!$B$5)^(O23-1))</x:f>
        <x:v>3235.936569296281</x:v>
      </x:c>
      <x:c r="U23" s="31" t="n">
        <x:f>IF(T23="","",I23*T23)</x:f>
        <x:v>47281.24045349096</x:v>
      </x:c>
    </x:row>
    <x:row r="24" ht="18" customHeight="1">
      <x:c r="A24" s="24" t="str">
        <x:v>EEZ_670</x:v>
      </x:c>
      <x:c r="B24" s="24" t="str">
        <x:v>Saint Vincent &amp; the Grenadines</x:v>
      </x:c>
      <x:c r="C24" s="24" t="str">
        <x:v>EEZ</x:v>
      </x:c>
      <x:c r="D24" s="30" t="n">
        <x:v>2019</x:v>
      </x:c>
      <x:c r="E24" s="24" t="str">
        <x:v>Haemulidae</x:v>
      </x:c>
      <x:c r="F24" s="24" t="str">
        <x:v>Grunts, sweetlips, bonnetmouths</x:v>
      </x:c>
      <x:c r="G24" s="24" t="str">
        <x:v>Medium demersals (30 - 89 cm)</x:v>
      </x:c>
      <x:c r="H24" s="24" t="str">
        <x:v>Perch-likes</x:v>
      </x:c>
      <x:c r="I24" s="31" t="n">
        <x:v>12.0478023153</x:v>
      </x:c>
      <x:c r="J24" s="31" t="n">
        <x:v>12.0478023153</x:v>
      </x:c>
      <x:c r="K24" s="31" t="n">
        <x:v>0</x:v>
      </x:c>
      <x:c r="L24" s="31" t="n">
        <x:v>9.3833506194</x:v>
      </x:c>
      <x:c r="M24" s="31" t="n">
        <x:v>2.6644516959</x:v>
      </x:c>
      <x:c r="N24" s="24" t="str">
        <x:v>haemulidae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Haemulidae</x:v>
      </x:c>
      <x:c r="T24" s="32" t="n">
        <x:f>IF(O24="","",(1/'Metadata'!$B$5)^(O24-1))</x:f>
        <x:v>229.08676527677724</x:v>
      </x:c>
      <x:c r="U24" s="31" t="n">
        <x:f>IF(T24="","",I24*T24)</x:f>
        <x:v>2759.992061106145</x:v>
      </x:c>
    </x:row>
    <x:row r="25" ht="18" customHeight="1">
      <x:c r="A25" s="24" t="str">
        <x:v>EEZ_670</x:v>
      </x:c>
      <x:c r="B25" s="24" t="str">
        <x:v>Saint Vincent &amp; the Grenadines</x:v>
      </x:c>
      <x:c r="C25" s="24" t="str">
        <x:v>EEZ</x:v>
      </x:c>
      <x:c r="D25" s="30" t="n">
        <x:v>2019</x:v>
      </x:c>
      <x:c r="E25" s="24" t="str">
        <x:v>Elagatis bipinnulata</x:v>
      </x:c>
      <x:c r="F25" s="24" t="str">
        <x:v>Rainbow runner</x:v>
      </x:c>
      <x:c r="G25" s="24" t="str">
        <x:v>Large pelagics (&gt;=90 cm)</x:v>
      </x:c>
      <x:c r="H25" s="24" t="str">
        <x:v>Perch-likes</x:v>
      </x:c>
      <x:c r="I25" s="31" t="n">
        <x:v>11.6671178017</x:v>
      </x:c>
      <x:c r="J25" s="31" t="n">
        <x:v>11.6671178017</x:v>
      </x:c>
      <x:c r="K25" s="31" t="n">
        <x:v>0</x:v>
      </x:c>
      <x:c r="L25" s="31" t="n">
        <x:v>6.8088454995</x:v>
      </x:c>
      <x:c r="M25" s="31" t="n">
        <x:v>4.8582723022000005</x:v>
      </x:c>
      <x:c r="N25" s="24" t="str">
        <x:v>elagatis bipinnulata</x:v>
      </x:c>
      <x:c r="O25" s="32" t="n">
        <x:v>4.27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Elagatis bipinnulata</x:v>
      </x:c>
      <x:c r="T25" s="32" t="n">
        <x:f>IF(O25="","",(1/'Metadata'!$B$5)^(O25-1))</x:f>
        <x:v>1862.0871366628655</x:v>
      </x:c>
      <x:c r="U25" s="31" t="n">
        <x:f>IF(T25="","",I25*T25)</x:f>
        <x:v>21725.189980475898</x:v>
      </x:c>
    </x:row>
    <x:row r="26" ht="18" customHeight="1">
      <x:c r="A26" s="24" t="str">
        <x:v>EEZ_670</x:v>
      </x:c>
      <x:c r="B26" s="24" t="str">
        <x:v>Saint Vincent &amp; the Grenadines</x:v>
      </x:c>
      <x:c r="C26" s="24" t="str">
        <x:v>EEZ</x:v>
      </x:c>
      <x:c r="D26" s="30" t="n">
        <x:v>2019</x:v>
      </x:c>
      <x:c r="E26" s="24" t="str">
        <x:v>Decapterus punctatus</x:v>
      </x:c>
      <x:c r="F26" s="24" t="str">
        <x:v>Round scad</x:v>
      </x:c>
      <x:c r="G26" s="24" t="str">
        <x:v>Medium benthopelagics (30 - 89 cm)</x:v>
      </x:c>
      <x:c r="H26" s="24" t="str">
        <x:v>Perch-likes</x:v>
      </x:c>
      <x:c r="I26" s="31" t="n">
        <x:v>9.9662382999</x:v>
      </x:c>
      <x:c r="J26" s="31" t="n">
        <x:v>9.9662382999</x:v>
      </x:c>
      <x:c r="K26" s="31" t="n">
        <x:v>0</x:v>
      </x:c>
      <x:c r="L26" s="31" t="n">
        <x:v>6.5050519722</x:v>
      </x:c>
      <x:c r="M26" s="31" t="n">
        <x:v>3.4611863277</x:v>
      </x:c>
      <x:c r="N26" s="24" t="str">
        <x:v>decapterus punctatus</x:v>
      </x:c>
      <x:c r="O26" s="32" t="n">
        <x:v>4.43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Decapterus punctatus</x:v>
      </x:c>
      <x:c r="T26" s="32" t="n">
        <x:f>IF(O26="","",(1/'Metadata'!$B$5)^(O26-1))</x:f>
        <x:v>2691.534803926914</x:v>
      </x:c>
      <x:c r="U26" s="31" t="n">
        <x:f>IF(T26="","",I26*T26)</x:f>
        <x:v>26824.477248410247</x:v>
      </x:c>
    </x:row>
    <x:row r="27" ht="18" customHeight="1">
      <x:c r="A27" s="24" t="str">
        <x:v>EEZ_670</x:v>
      </x:c>
      <x:c r="B27" s="24" t="str">
        <x:v>Saint Vincent &amp; the Grenadines</x:v>
      </x:c>
      <x:c r="C27" s="24" t="str">
        <x:v>EEZ</x:v>
      </x:c>
      <x:c r="D27" s="30" t="n">
        <x:v>2019</x:v>
      </x:c>
      <x:c r="E27" s="24" t="str">
        <x:v>Lutjanus purpureus</x:v>
      </x:c>
      <x:c r="F27" s="24" t="str">
        <x:v>Southern red snapper</x:v>
      </x:c>
      <x:c r="G27" s="24" t="str">
        <x:v>Medium demersals (30 - 89 cm)</x:v>
      </x:c>
      <x:c r="H27" s="24" t="str">
        <x:v>Perch-likes</x:v>
      </x:c>
      <x:c r="I27" s="31" t="n">
        <x:v>9.5821302894</x:v>
      </x:c>
      <x:c r="J27" s="31" t="n">
        <x:v>9.5821302894</x:v>
      </x:c>
      <x:c r="K27" s="31" t="n">
        <x:v>0</x:v>
      </x:c>
      <x:c r="L27" s="31" t="n">
        <x:v>7.189558105400001</x:v>
      </x:c>
      <x:c r="M27" s="31" t="n">
        <x:v>2.392572184</x:v>
      </x:c>
      <x:c r="N27" s="24" t="str">
        <x:v>lutjanus purpureus</x:v>
      </x:c>
      <x:c r="O27" s="32" t="n">
        <x:v>3.58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purpureus</x:v>
      </x:c>
      <x:c r="T27" s="32" t="n">
        <x:f>IF(O27="","",(1/'Metadata'!$B$5)^(O27-1))</x:f>
        <x:v>380.1893963205613</x:v>
      </x:c>
      <x:c r="U27" s="31" t="n">
        <x:f>IF(T27="","",I27*T27)</x:f>
        <x:v>3643.0243301919513</x:v>
      </x:c>
    </x:row>
    <x:row r="28" ht="18" customHeight="1">
      <x:c r="A28" s="24" t="str">
        <x:v>EEZ_670</x:v>
      </x:c>
      <x:c r="B28" s="24" t="str">
        <x:v>Saint Vincent &amp; the Grenadines</x:v>
      </x:c>
      <x:c r="C28" s="24" t="str">
        <x:v>EEZ</x:v>
      </x:c>
      <x:c r="D28" s="30" t="n">
        <x:v>2019</x:v>
      </x:c>
      <x:c r="E28" s="24" t="str">
        <x:v>Caranx crysos</x:v>
      </x:c>
      <x:c r="F28" s="24" t="str">
        <x:v>Blue runner</x:v>
      </x:c>
      <x:c r="G28" s="24" t="str">
        <x:v>Medium reef assoc. fish (30 - 89 cm)</x:v>
      </x:c>
      <x:c r="H28" s="24" t="str">
        <x:v>Perch-likes</x:v>
      </x:c>
      <x:c r="I28" s="31" t="n">
        <x:v>8.456333170399999</x:v>
      </x:c>
      <x:c r="J28" s="31" t="n">
        <x:v>8.456333170399999</x:v>
      </x:c>
      <x:c r="K28" s="31" t="n">
        <x:v>0</x:v>
      </x:c>
      <x:c r="L28" s="31" t="n">
        <x:v>7.0847948043999995</x:v>
      </x:c>
      <x:c r="M28" s="31" t="n">
        <x:v>1.371538366</x:v>
      </x:c>
      <x:c r="N28" s="24" t="str">
        <x:v>caranx crysos</x:v>
      </x:c>
      <x:c r="O28" s="32" t="n">
        <x:v>4.13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Caranx crysos</x:v>
      </x:c>
      <x:c r="T28" s="32" t="n">
        <x:f>IF(O28="","",(1/'Metadata'!$B$5)^(O28-1))</x:f>
        <x:v>1348.9628825916532</x:v>
      </x:c>
      <x:c r="U28" s="31" t="n">
        <x:f>IF(T28="","",I28*T28)</x:f>
        <x:v>11407.279569698196</x:v>
      </x:c>
    </x:row>
    <x:row r="29" ht="18" customHeight="1">
      <x:c r="A29" s="24" t="str">
        <x:v>EEZ_670</x:v>
      </x:c>
      <x:c r="B29" s="24" t="str">
        <x:v>Saint Vincent &amp; the Grenadines</x:v>
      </x:c>
      <x:c r="C29" s="24" t="str">
        <x:v>EEZ</x:v>
      </x:c>
      <x:c r="D29" s="30" t="n">
        <x:v>2019</x:v>
      </x:c>
      <x:c r="E29" s="24" t="str">
        <x:v>Balistidae</x:v>
      </x:c>
      <x:c r="F29" s="24" t="str">
        <x:v>Triggerfishes</x:v>
      </x:c>
      <x:c r="G29" s="24" t="str">
        <x:v>Medium reef assoc. fish (30 - 89 cm)</x:v>
      </x:c>
      <x:c r="H29" s="24" t="str">
        <x:v>Other fishes &amp; inverts</x:v>
      </x:c>
      <x:c r="I29" s="31" t="n">
        <x:v>8.2942208586</x:v>
      </x:c>
      <x:c r="J29" s="31" t="n">
        <x:v>8.2942208586</x:v>
      </x:c>
      <x:c r="K29" s="31" t="n">
        <x:v>0</x:v>
      </x:c>
      <x:c r="L29" s="31" t="n">
        <x:v>5.0854611249</x:v>
      </x:c>
      <x:c r="M29" s="31" t="n">
        <x:v>3.2087597337</x:v>
      </x:c>
      <x:c r="N29" s="24" t="str">
        <x:v>balistidae</x:v>
      </x:c>
      <x:c r="O29" s="32" t="n">
        <x:v>3.25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Balistidae</x:v>
      </x:c>
      <x:c r="T29" s="32" t="n">
        <x:f>IF(O29="","",(1/'Metadata'!$B$5)^(O29-1))</x:f>
        <x:v>177.82794100389228</x:v>
      </x:c>
      <x:c r="U29" s="31" t="n">
        <x:f>IF(T29="","",I29*T29)</x:f>
        <x:v>1474.9442175163733</x:v>
      </x:c>
    </x:row>
    <x:row r="30" ht="18" customHeight="1">
      <x:c r="A30" s="24" t="str">
        <x:v>EEZ_670</x:v>
      </x:c>
      <x:c r="B30" s="24" t="str">
        <x:v>Saint Vincent &amp; the Grenadines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8.156837114299998</x:v>
      </x:c>
      <x:c r="J30" s="31" t="n">
        <x:v>8.156837114299998</x:v>
      </x:c>
      <x:c r="K30" s="31" t="n">
        <x:v>0</x:v>
      </x:c>
      <x:c r="L30" s="31" t="n">
        <x:v>4.6238603764</x:v>
      </x:c>
      <x:c r="M30" s="31" t="n">
        <x:v>3.5329767379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5643.152540413782</x:v>
      </x:c>
    </x:row>
    <x:row r="31" ht="18" customHeight="1">
      <x:c r="A31" s="24" t="str">
        <x:v>EEZ_670</x:v>
      </x:c>
      <x:c r="B31" s="24" t="str">
        <x:v>Saint Vincent &amp; the Grenadines</x:v>
      </x:c>
      <x:c r="C31" s="24" t="str">
        <x:v>EEZ</x:v>
      </x:c>
      <x:c r="D31" s="30" t="n">
        <x:v>2019</x:v>
      </x:c>
      <x:c r="E31" s="24" t="str">
        <x:v>Sphyraenidae</x:v>
      </x:c>
      <x:c r="F31" s="24" t="str">
        <x:v>Barracudas</x:v>
      </x:c>
      <x:c r="G31" s="24" t="str">
        <x:v>Medium reef assoc. fish (30 - 89 cm)</x:v>
      </x:c>
      <x:c r="H31" s="24" t="str">
        <x:v>Perch-likes</x:v>
      </x:c>
      <x:c r="I31" s="31" t="n">
        <x:v>7.510155054199999</x:v>
      </x:c>
      <x:c r="J31" s="31" t="n">
        <x:v>7.510155054199999</x:v>
      </x:c>
      <x:c r="K31" s="31" t="n">
        <x:v>0</x:v>
      </x:c>
      <x:c r="L31" s="31" t="n">
        <x:v>7.463991035199999</x:v>
      </x:c>
      <x:c r="M31" s="31" t="n">
        <x:v>0.046164019</x:v>
      </x:c>
      <x:c r="N31" s="24" t="str">
        <x:v>sphyraenidae</x:v>
      </x:c>
      <x:c r="O31" s="32" t="n">
        <x:v>4.4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Sphyraenidae</x:v>
      </x:c>
      <x:c r="T31" s="32" t="n">
        <x:f>IF(O31="","",(1/'Metadata'!$B$5)^(O31-1))</x:f>
        <x:v>2511.886431509582</x:v>
      </x:c>
      <x:c r="U31" s="31" t="n">
        <x:f>IF(T31="","",I31*T31)</x:f>
        <x:v>18864.65657917809</x:v>
      </x:c>
    </x:row>
    <x:row r="32" ht="18" customHeight="1">
      <x:c r="A32" s="24" t="str">
        <x:v>EEZ_670</x:v>
      </x:c>
      <x:c r="B32" s="24" t="str">
        <x:v>Saint Vincent &amp; the Grenadines</x:v>
      </x:c>
      <x:c r="C32" s="24" t="str">
        <x:v>EEZ</x:v>
      </x:c>
      <x:c r="D32" s="30" t="n">
        <x:v>2019</x:v>
      </x:c>
      <x:c r="E32" s="24" t="str">
        <x:v>Serranidae</x:v>
      </x:c>
      <x:c r="F32" s="24" t="str">
        <x:v>Basses, groupers, hinds</x:v>
      </x:c>
      <x:c r="G32" s="24" t="str">
        <x:v>Medium reef assoc. fish (30 - 89 cm)</x:v>
      </x:c>
      <x:c r="H32" s="24" t="str">
        <x:v>Perch-likes</x:v>
      </x:c>
      <x:c r="I32" s="31" t="n">
        <x:v>7.4634993077</x:v>
      </x:c>
      <x:c r="J32" s="31" t="n">
        <x:v>7.4634993077</x:v>
      </x:c>
      <x:c r="K32" s="31" t="n">
        <x:v>0</x:v>
      </x:c>
      <x:c r="L32" s="31" t="n">
        <x:v>7.2373976534</x:v>
      </x:c>
      <x:c r="M32" s="31" t="n">
        <x:v>0.2261016543</x:v>
      </x:c>
      <x:c r="N32" s="24" t="str">
        <x:v>serranidae</x:v>
      </x:c>
      <x:c r="O32" s="32" t="n">
        <x:v>3.98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Serranidae</x:v>
      </x:c>
      <x:c r="T32" s="32" t="n">
        <x:f>IF(O32="","",(1/'Metadata'!$B$5)^(O32-1))</x:f>
        <x:v>954.992586021436</x:v>
      </x:c>
      <x:c r="U32" s="31" t="n">
        <x:f>IF(T32="","",I32*T32)</x:f>
        <x:v>7127.58650462962</x:v>
      </x:c>
    </x:row>
    <x:row r="33" ht="18" customHeight="1">
      <x:c r="A33" s="24" t="str">
        <x:v>EEZ_670</x:v>
      </x:c>
      <x:c r="B33" s="24" t="str">
        <x:v>Saint Vincent &amp; the Grenadines</x:v>
      </x:c>
      <x:c r="C33" s="24" t="str">
        <x:v>EEZ</x:v>
      </x:c>
      <x:c r="D33" s="30" t="n">
        <x:v>2019</x:v>
      </x:c>
      <x:c r="E33" s="24" t="str">
        <x:v>Etelis oculatus</x:v>
      </x:c>
      <x:c r="F33" s="24" t="str">
        <x:v>Queen snapper</x:v>
      </x:c>
      <x:c r="G33" s="24" t="str">
        <x:v>Medium bathydemersals (30 - 89 cm)</x:v>
      </x:c>
      <x:c r="H33" s="24" t="str">
        <x:v>Perch-likes</x:v>
      </x:c>
      <x:c r="I33" s="31" t="n">
        <x:v>6.8982065688</x:v>
      </x:c>
      <x:c r="J33" s="31" t="n">
        <x:v>6.8982065688</x:v>
      </x:c>
      <x:c r="K33" s="31" t="n">
        <x:v>0</x:v>
      </x:c>
      <x:c r="L33" s="31" t="n">
        <x:v>4.8930875338</x:v>
      </x:c>
      <x:c r="M33" s="31" t="n">
        <x:v>2.005119035</x:v>
      </x:c>
      <x:c r="N33" s="24" t="str">
        <x:v>etelis oculatus</x:v>
      </x:c>
      <x:c r="O33" s="32" t="n">
        <x:v>4.18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Etelis oculatus</x:v>
      </x:c>
      <x:c r="T33" s="32" t="n">
        <x:f>IF(O33="","",(1/'Metadata'!$B$5)^(O33-1))</x:f>
        <x:v>1513.5612484362073</x:v>
      </x:c>
      <x:c r="U33" s="31" t="n">
        <x:f>IF(T33="","",I33*T33)</x:f>
        <x:v>10440.858146243774</x:v>
      </x:c>
    </x:row>
    <x:row r="34" ht="18" customHeight="1">
      <x:c r="A34" s="24" t="str">
        <x:v>EEZ_670</x:v>
      </x:c>
      <x:c r="B34" s="24" t="str">
        <x:v>Saint Vincent &amp; the Grenadines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6.7356623154</x:v>
      </x:c>
      <x:c r="J34" s="31" t="n">
        <x:v>6.7356623154</x:v>
      </x:c>
      <x:c r="K34" s="31" t="n">
        <x:v>0</x:v>
      </x:c>
      <x:c r="L34" s="31" t="n">
        <x:v>6.7356623154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12256.890498640283</x:v>
      </x:c>
    </x:row>
    <x:row r="35" ht="18" customHeight="1">
      <x:c r="A35" s="24" t="str">
        <x:v>EEZ_670</x:v>
      </x:c>
      <x:c r="B35" s="24" t="str">
        <x:v>Saint Vincent &amp; the Grenadines</x:v>
      </x:c>
      <x:c r="C35" s="24" t="str">
        <x:v>EEZ</x:v>
      </x:c>
      <x:c r="D35" s="30" t="n">
        <x:v>2019</x:v>
      </x:c>
      <x:c r="E35" s="24" t="str">
        <x:v>Marine finfishes not identified</x:v>
      </x:c>
      <x:c r="F35" s="24" t="str">
        <x:v>Finfishes</x:v>
      </x:c>
      <x:c r="G35" s="24" t="str">
        <x:v>Medium demersals (30 - 89 cm)</x:v>
      </x:c>
      <x:c r="H35" s="24" t="str">
        <x:v>Other fishes &amp; inverts</x:v>
      </x:c>
      <x:c r="I35" s="31" t="n">
        <x:v>6.1025627564</x:v>
      </x:c>
      <x:c r="J35" s="31" t="n">
        <x:v>6.1025627564</x:v>
      </x:c>
      <x:c r="K35" s="31" t="n">
        <x:v>0</x:v>
      </x:c>
      <x:c r="L35" s="31" t="n">
        <x:v>3.4811558313999997</x:v>
      </x:c>
      <x:c r="M35" s="31" t="n">
        <x:v>2.621406925</x:v>
      </x:c>
      <x:c r="N35" s="24" t="str">
        <x:v>marine finfishes not identified</x:v>
      </x:c>
      <x:c r="O35" s="32" t="n">
        <x:v>3.23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Marine finfishes not identified</x:v>
      </x:c>
      <x:c r="T35" s="32" t="n">
        <x:f>IF(O35="","",(1/'Metadata'!$B$5)^(O35-1))</x:f>
        <x:v>169.82436524617444</x:v>
      </x:c>
      <x:c r="U35" s="31" t="n">
        <x:f>IF(T35="","",I35*T35)</x:f>
        <x:v>1036.3638464805747</x:v>
      </x:c>
    </x:row>
    <x:row r="36" ht="18" customHeight="1">
      <x:c r="A36" s="24" t="str">
        <x:v>EEZ_670</x:v>
      </x:c>
      <x:c r="B36" s="24" t="str">
        <x:v>Saint Vincent &amp; the Grenadines</x:v>
      </x:c>
      <x:c r="C36" s="24" t="str">
        <x:v>EEZ</x:v>
      </x:c>
      <x:c r="D36" s="30" t="n">
        <x:v>2019</x:v>
      </x:c>
      <x:c r="E36" s="24" t="str">
        <x:v>Carangidae</x:v>
      </x:c>
      <x:c r="F36" s="24" t="str">
        <x:v>Jacks, pompanos</x:v>
      </x:c>
      <x:c r="G36" s="24" t="str">
        <x:v>Medium pelagics (30 - 89 cm)</x:v>
      </x:c>
      <x:c r="H36" s="24" t="str">
        <x:v>Perch-likes</x:v>
      </x:c>
      <x:c r="I36" s="31" t="n">
        <x:v>5.8465635014</x:v>
      </x:c>
      <x:c r="J36" s="31" t="n">
        <x:v>5.8465635014</x:v>
      </x:c>
      <x:c r="K36" s="31" t="n">
        <x:v>0</x:v>
      </x:c>
      <x:c r="L36" s="31" t="n">
        <x:v>3.9284163331</x:v>
      </x:c>
      <x:c r="M36" s="31" t="n">
        <x:v>1.9181471683</x:v>
      </x:c>
      <x:c r="N36" s="24" t="str">
        <x:v>carangidae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Carangidae</x:v>
      </x:c>
      <x:c r="T36" s="32" t="n">
        <x:f>IF(O36="","",(1/'Metadata'!$B$5)^(O36-1))</x:f>
        <x:v>1122.018454301963</x:v>
      </x:c>
      <x:c r="U36" s="31" t="n">
        <x:f>IF(T36="","",I36*T36)</x:f>
        <x:v>6559.952142819101</x:v>
      </x:c>
    </x:row>
    <x:row r="37" ht="18" customHeight="1">
      <x:c r="A37" s="24" t="str">
        <x:v>EEZ_670</x:v>
      </x:c>
      <x:c r="B37" s="24" t="str">
        <x:v>Saint Vincent &amp; the Grenadines</x:v>
      </x:c>
      <x:c r="C37" s="24" t="str">
        <x:v>EEZ</x:v>
      </x:c>
      <x:c r="D37" s="30" t="n">
        <x:v>2019</x:v>
      </x:c>
      <x:c r="E37" s="24" t="str">
        <x:v>Carcharhinidae</x:v>
      </x:c>
      <x:c r="F37" s="24" t="str">
        <x:v>Requiem sharks</x:v>
      </x:c>
      <x:c r="G37" s="24" t="str">
        <x:v>Large sharks (&gt;=90 cm)</x:v>
      </x:c>
      <x:c r="H37" s="24" t="str">
        <x:v>Sharks &amp; rays</x:v>
      </x:c>
      <x:c r="I37" s="31" t="n">
        <x:v>5.719491736299999</x:v>
      </x:c>
      <x:c r="J37" s="31" t="n">
        <x:v>5.719491736299999</x:v>
      </x:c>
      <x:c r="K37" s="31" t="n">
        <x:v>0</x:v>
      </x:c>
      <x:c r="L37" s="31" t="n">
        <x:v>3.7488308335</x:v>
      </x:c>
      <x:c r="M37" s="31" t="n">
        <x:v>1.9706609028</x:v>
      </x:c>
      <x:c r="N37" s="24" t="str">
        <x:v>carcharhinidae</x:v>
      </x:c>
      <x:c r="O37" s="32" t="n">
        <x:v>4.24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Carcharhinidae</x:v>
      </x:c>
      <x:c r="T37" s="32" t="n">
        <x:f>IF(O37="","",(1/'Metadata'!$B$5)^(O37-1))</x:f>
        <x:v>1737.8008287493763</x:v>
      </x:c>
      <x:c r="U37" s="31" t="n">
        <x:f>IF(T37="","",I37*T37)</x:f>
        <x:v>9939.337479367348</x:v>
      </x:c>
    </x:row>
    <x:row r="38" ht="18" customHeight="1">
      <x:c r="A38" s="24" t="str">
        <x:v>EEZ_670</x:v>
      </x:c>
      <x:c r="B38" s="24" t="str">
        <x:v>Saint Vincent &amp; the Grenadines</x:v>
      </x:c>
      <x:c r="C38" s="24" t="str">
        <x:v>EEZ</x:v>
      </x:c>
      <x:c r="D38" s="30" t="n">
        <x:v>2019</x:v>
      </x:c>
      <x:c r="E38" s="24" t="str">
        <x:v>Thunnus atlanticus</x:v>
      </x:c>
      <x:c r="F38" s="24" t="str">
        <x:v>Blackfin tuna</x:v>
      </x:c>
      <x:c r="G38" s="24" t="str">
        <x:v>Large pelagics (&gt;=90 cm)</x:v>
      </x:c>
      <x:c r="H38" s="24" t="str">
        <x:v>Tuna &amp; billfishes</x:v>
      </x:c>
      <x:c r="I38" s="31" t="n">
        <x:v>5.658466909</x:v>
      </x:c>
      <x:c r="J38" s="31" t="n">
        <x:v>5.658466909</x:v>
      </x:c>
      <x:c r="K38" s="31" t="n">
        <x:v>0</x:v>
      </x:c>
      <x:c r="L38" s="31" t="n">
        <x:v>5.658466909</x:v>
      </x:c>
      <x:c r="M38" s="31" t="n">
        <x:v>0</x:v>
      </x:c>
      <x:c r="N38" s="24" t="str">
        <x:v>thunnus atlanticus</x:v>
      </x:c>
      <x:c r="O38" s="32" t="n">
        <x:v>4.35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atlanticus</x:v>
      </x:c>
      <x:c r="T38" s="32" t="n">
        <x:f>IF(O38="","",(1/'Metadata'!$B$5)^(O38-1))</x:f>
        <x:v>2238.7211385683377</x:v>
      </x:c>
      <x:c r="U38" s="31" t="n">
        <x:f>IF(T38="","",I38*T38)</x:f>
        <x:v>12667.729481067743</x:v>
      </x:c>
    </x:row>
    <x:row r="39" ht="18" customHeight="1">
      <x:c r="A39" s="24" t="str">
        <x:v>EEZ_670</x:v>
      </x:c>
      <x:c r="B39" s="24" t="str">
        <x:v>Saint Vincent &amp; the Grenadines</x:v>
      </x:c>
      <x:c r="C39" s="24" t="str">
        <x:v>EEZ</x:v>
      </x:c>
      <x:c r="D39" s="30" t="n">
        <x:v>2019</x:v>
      </x:c>
      <x:c r="E39" s="24" t="str">
        <x:v>Lutjanus vivanus</x:v>
      </x:c>
      <x:c r="F39" s="24" t="str">
        <x:v>Silk snapper</x:v>
      </x:c>
      <x:c r="G39" s="24" t="str">
        <x:v>Medium demersals (30 - 89 cm)</x:v>
      </x:c>
      <x:c r="H39" s="24" t="str">
        <x:v>Perch-likes</x:v>
      </x:c>
      <x:c r="I39" s="31" t="n">
        <x:v>5.1401747426</x:v>
      </x:c>
      <x:c r="J39" s="31" t="n">
        <x:v>5.1401747426</x:v>
      </x:c>
      <x:c r="K39" s="31" t="n">
        <x:v>0</x:v>
      </x:c>
      <x:c r="L39" s="31" t="n">
        <x:v>2.9620200956</x:v>
      </x:c>
      <x:c r="M39" s="31" t="n">
        <x:v>2.178154647</x:v>
      </x:c>
      <x:c r="N39" s="24" t="str">
        <x:v>lutjanus vivanus</x:v>
      </x:c>
      <x:c r="O39" s="32" t="n">
        <x:v>3.09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Lutjanus vivanus</x:v>
      </x:c>
      <x:c r="T39" s="32" t="n">
        <x:f>IF(O39="","",(1/'Metadata'!$B$5)^(O39-1))</x:f>
        <x:v>123.02687708123811</x:v>
      </x:c>
      <x:c r="U39" s="31" t="n">
        <x:f>IF(T39="","",I39*T39)</x:f>
        <x:v>632.379646233935</x:v>
      </x:c>
    </x:row>
    <x:row r="40" ht="18" customHeight="1">
      <x:c r="A40" s="24" t="str">
        <x:v>EEZ_670</x:v>
      </x:c>
      <x:c r="B40" s="24" t="str">
        <x:v>Saint Vincent &amp; the Grenadines</x:v>
      </x:c>
      <x:c r="C40" s="24" t="str">
        <x:v>EEZ</x:v>
      </x:c>
      <x:c r="D40" s="30" t="n">
        <x:v>2019</x:v>
      </x:c>
      <x:c r="E40" s="24" t="str">
        <x:v>Gobiidae</x:v>
      </x:c>
      <x:c r="F40" s="24" t="str">
        <x:v>Gobies</x:v>
      </x:c>
      <x:c r="G40" s="24" t="str">
        <x:v>Small reef assoc. fish (&lt;30 cm)</x:v>
      </x:c>
      <x:c r="H40" s="24" t="str">
        <x:v>Perch-likes</x:v>
      </x:c>
      <x:c r="I40" s="31" t="n">
        <x:v>3.5709798398</x:v>
      </x:c>
      <x:c r="J40" s="31" t="n">
        <x:v>3.5709798398</x:v>
      </x:c>
      <x:c r="K40" s="31" t="n">
        <x:v>0</x:v>
      </x:c>
      <x:c r="L40" s="31" t="n">
        <x:v>2.1017665908</x:v>
      </x:c>
      <x:c r="M40" s="31" t="n">
        <x:v>1.469213249</x:v>
      </x:c>
      <x:c r="N40" s="24" t="str">
        <x:v>gobiidae</x:v>
      </x:c>
      <x:c r="O40" s="32" t="n">
        <x:v>3.11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Gobiidae</x:v>
      </x:c>
      <x:c r="T40" s="32" t="n">
        <x:f>IF(O40="","",(1/'Metadata'!$B$5)^(O40-1))</x:f>
        <x:v>128.82495516931337</x:v>
      </x:c>
      <x:c r="U40" s="31" t="n">
        <x:f>IF(T40="","",I40*T40)</x:f>
        <x:v>460.03131777275684</x:v>
      </x:c>
    </x:row>
    <x:row r="41" ht="18" customHeight="1">
      <x:c r="A41" s="24" t="str">
        <x:v>EEZ_670</x:v>
      </x:c>
      <x:c r="B41" s="24" t="str">
        <x:v>Saint Vincent &amp; the Grenadines</x:v>
      </x:c>
      <x:c r="C41" s="24" t="str">
        <x:v>EEZ</x:v>
      </x:c>
      <x:c r="D41" s="30" t="n">
        <x:v>2019</x:v>
      </x:c>
      <x:c r="E41" s="24" t="str">
        <x:v>Holocentridae</x:v>
      </x:c>
      <x:c r="F41" s="24" t="str">
        <x:v>Squirrel-, soldierfishes</x:v>
      </x:c>
      <x:c r="G41" s="24" t="str">
        <x:v>Small reef assoc. fish (&lt;30 cm)</x:v>
      </x:c>
      <x:c r="H41" s="24" t="str">
        <x:v>Other fishes &amp; inverts</x:v>
      </x:c>
      <x:c r="I41" s="31" t="n">
        <x:v>3.1722614548</x:v>
      </x:c>
      <x:c r="J41" s="31" t="n">
        <x:v>3.1722614548</x:v>
      </x:c>
      <x:c r="K41" s="31" t="n">
        <x:v>0</x:v>
      </x:c>
      <x:c r="L41" s="31" t="n">
        <x:v>2.5271111797</x:v>
      </x:c>
      <x:c r="M41" s="31" t="n">
        <x:v>0.6451502751</x:v>
      </x:c>
      <x:c r="N41" s="24" t="str">
        <x:v>holocentridae</x:v>
      </x:c>
      <x:c r="O41" s="32" t="n">
        <x:v>3.49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Holocentridae</x:v>
      </x:c>
      <x:c r="T41" s="32" t="n">
        <x:f>IF(O41="","",(1/'Metadata'!$B$5)^(O41-1))</x:f>
        <x:v>309.0295432513592</x:v>
      </x:c>
      <x:c r="U41" s="31" t="n">
        <x:f>IF(T41="","",I41*T41)</x:f>
        <x:v>980.3225084507363</x:v>
      </x:c>
    </x:row>
    <x:row r="42" ht="18" customHeight="1">
      <x:c r="A42" s="24" t="str">
        <x:v>EEZ_670</x:v>
      </x:c>
      <x:c r="B42" s="24" t="str">
        <x:v>Saint Vincent &amp; the Grenadines</x:v>
      </x:c>
      <x:c r="C42" s="24" t="str">
        <x:v>EEZ</x:v>
      </x:c>
      <x:c r="D42" s="30" t="n">
        <x:v>2019</x:v>
      </x:c>
      <x:c r="E42" s="24" t="str">
        <x:v>Seriola dumerili</x:v>
      </x:c>
      <x:c r="F42" s="24" t="str">
        <x:v>Greater amberjack</x:v>
      </x:c>
      <x:c r="G42" s="24" t="str">
        <x:v>Large reef assoc. fish (&gt;=90 cm)</x:v>
      </x:c>
      <x:c r="H42" s="24" t="str">
        <x:v>Perch-likes</x:v>
      </x:c>
      <x:c r="I42" s="31" t="n">
        <x:v>2.8012792686</x:v>
      </x:c>
      <x:c r="J42" s="31" t="n">
        <x:v>2.8012792686</x:v>
      </x:c>
      <x:c r="K42" s="31" t="n">
        <x:v>0</x:v>
      </x:c>
      <x:c r="L42" s="31" t="n">
        <x:v>1.6552354056</x:v>
      </x:c>
      <x:c r="M42" s="31" t="n">
        <x:v>1.146043863</x:v>
      </x:c>
      <x:c r="N42" s="24" t="str">
        <x:v>seriola dumerili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Seriola dumerili</x:v>
      </x:c>
      <x:c r="T42" s="32" t="n">
        <x:f>IF(O42="","",(1/'Metadata'!$B$5)^(O42-1))</x:f>
        <x:v>3162.2776601683795</x:v>
      </x:c>
      <x:c r="U42" s="31" t="n">
        <x:f>IF(T42="","",I42*T42)</x:f>
        <x:v>8858.422850986597</x:v>
      </x:c>
    </x:row>
    <x:row r="43" ht="18" customHeight="1">
      <x:c r="A43" s="24" t="str">
        <x:v>EEZ_670</x:v>
      </x:c>
      <x:c r="B43" s="24" t="str">
        <x:v>Saint Vincent &amp; the Grenadines</x:v>
      </x:c>
      <x:c r="C43" s="24" t="str">
        <x:v>EEZ</x:v>
      </x:c>
      <x:c r="D43" s="30" t="n">
        <x:v>2019</x:v>
      </x:c>
      <x:c r="E43" s="24" t="str">
        <x:v>Harengula</x:v>
      </x:c>
      <x:c r="F43" s="24" t="str">
        <x:v>False herrings</x:v>
      </x:c>
      <x:c r="G43" s="24" t="str">
        <x:v>Small pelagics (&lt;30 cm)</x:v>
      </x:c>
      <x:c r="H43" s="24" t="str">
        <x:v>Herring-likes</x:v>
      </x:c>
      <x:c r="I43" s="31" t="n">
        <x:v>2.7732750089</x:v>
      </x:c>
      <x:c r="J43" s="31" t="n">
        <x:v>2.7732750089</x:v>
      </x:c>
      <x:c r="K43" s="31" t="n">
        <x:v>0</x:v>
      </x:c>
      <x:c r="L43" s="31" t="n">
        <x:v>1.7910159149</x:v>
      </x:c>
      <x:c r="M43" s="31" t="n">
        <x:v>0.982259094</x:v>
      </x:c>
      <x:c r="N43" s="24" t="str">
        <x:v>harengula</x:v>
      </x:c>
      <x:c r="O43" s="32" t="n">
        <x:v>3.37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Harengula</x:v>
      </x:c>
      <x:c r="T43" s="32" t="n">
        <x:f>IF(O43="","",(1/'Metadata'!$B$5)^(O43-1))</x:f>
        <x:v>234.42288153199226</x:v>
      </x:c>
      <x:c r="U43" s="31" t="n">
        <x:f>IF(T43="","",I43*T43)</x:f>
        <x:v>650.1191188669994</x:v>
      </x:c>
    </x:row>
    <x:row r="44" ht="18" customHeight="1">
      <x:c r="A44" s="24" t="str">
        <x:v>EEZ_670</x:v>
      </x:c>
      <x:c r="B44" s="24" t="str">
        <x:v>Saint Vincent &amp; the Grenadines</x:v>
      </x:c>
      <x:c r="C44" s="24" t="str">
        <x:v>EEZ</x:v>
      </x:c>
      <x:c r="D44" s="30" t="n">
        <x:v>2019</x:v>
      </x:c>
      <x:c r="E44" s="24" t="str">
        <x:v>Ocyurus chrysurus</x:v>
      </x:c>
      <x:c r="F44" s="24" t="str">
        <x:v>Yellowtail snapper</x:v>
      </x:c>
      <x:c r="G44" s="24" t="str">
        <x:v>Medium reef assoc. fish (30 - 89 cm)</x:v>
      </x:c>
      <x:c r="H44" s="24" t="str">
        <x:v>Perch-likes</x:v>
      </x:c>
      <x:c r="I44" s="31" t="n">
        <x:v>2.4234996656</x:v>
      </x:c>
      <x:c r="J44" s="31" t="n">
        <x:v>2.4234996656</x:v>
      </x:c>
      <x:c r="K44" s="31" t="n">
        <x:v>0</x:v>
      </x:c>
      <x:c r="L44" s="31" t="n">
        <x:v>1.9157563966000002</x:v>
      </x:c>
      <x:c r="M44" s="31" t="n">
        <x:v>0.507743269</x:v>
      </x:c>
      <x:c r="N44" s="24" t="str">
        <x:v>ocyurus chrysurus</x:v>
      </x:c>
      <x:c r="O44" s="32" t="n">
        <x:v>4.03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Ocyurus chrysurus</x:v>
      </x:c>
      <x:c r="T44" s="32" t="n">
        <x:f>IF(O44="","",(1/'Metadata'!$B$5)^(O44-1))</x:f>
        <x:v>1071.519305237607</x:v>
      </x:c>
      <x:c r="U44" s="31" t="n">
        <x:f>IF(T44="","",I44*T44)</x:f>
        <x:v>2596.8266779272853</x:v>
      </x:c>
    </x:row>
    <x:row r="45" ht="18" customHeight="1">
      <x:c r="A45" s="24" t="str">
        <x:v>EEZ_670</x:v>
      </x:c>
      <x:c r="B45" s="24" t="str">
        <x:v>Saint Vincent &amp; the Grenadines</x:v>
      </x:c>
      <x:c r="C45" s="24" t="str">
        <x:v>EEZ</x:v>
      </x:c>
      <x:c r="D45" s="30" t="n">
        <x:v>2019</x:v>
      </x:c>
      <x:c r="E45" s="24" t="str">
        <x:v>Caranx lugubris</x:v>
      </x:c>
      <x:c r="F45" s="24" t="str">
        <x:v>Black jack</x:v>
      </x:c>
      <x:c r="G45" s="24" t="str">
        <x:v>Large benthopelagics (&gt;=90 cm)</x:v>
      </x:c>
      <x:c r="H45" s="24" t="str">
        <x:v>Perch-likes</x:v>
      </x:c>
      <x:c r="I45" s="31" t="n">
        <x:v>2.3749787944</x:v>
      </x:c>
      <x:c r="J45" s="31" t="n">
        <x:v>2.3749787944</x:v>
      </x:c>
      <x:c r="K45" s="31" t="n">
        <x:v>0</x:v>
      </x:c>
      <x:c r="L45" s="31" t="n">
        <x:v>1.4077749264000001</x:v>
      </x:c>
      <x:c r="M45" s="31" t="n">
        <x:v>0.967203868</x:v>
      </x:c>
      <x:c r="N45" s="24" t="str">
        <x:v>caranx lugubris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Caranx lugubris</x:v>
      </x:c>
      <x:c r="T45" s="32" t="n">
        <x:f>IF(O45="","",(1/'Metadata'!$B$5)^(O45-1))</x:f>
        <x:v>3162.2776601683795</x:v>
      </x:c>
      <x:c r="U45" s="31" t="n">
        <x:f>IF(T45="","",I45*T45)</x:f>
        <x:v>7510.342384904751</x:v>
      </x:c>
    </x:row>
    <x:row r="46" ht="18" customHeight="1">
      <x:c r="A46" s="24" t="str">
        <x:v>EEZ_670</x:v>
      </x:c>
      <x:c r="B46" s="24" t="str">
        <x:v>Saint Vincent &amp; the Grenadines</x:v>
      </x:c>
      <x:c r="C46" s="24" t="str">
        <x:v>EEZ</x:v>
      </x:c>
      <x:c r="D46" s="30" t="n">
        <x:v>2019</x:v>
      </x:c>
      <x:c r="E46" s="24" t="str">
        <x:v>Ablennes hians</x:v>
      </x:c>
      <x:c r="F46" s="24" t="str">
        <x:v>Flat needlefish</x:v>
      </x:c>
      <x:c r="G46" s="24" t="str">
        <x:v>Large pelagics (&gt;=90 cm)</x:v>
      </x:c>
      <x:c r="H46" s="24" t="str">
        <x:v>Other fishes &amp; inverts</x:v>
      </x:c>
      <x:c r="I46" s="31" t="n">
        <x:v>2.1806709124</x:v>
      </x:c>
      <x:c r="J46" s="31" t="n">
        <x:v>2.1806709124</x:v>
      </x:c>
      <x:c r="K46" s="31" t="n">
        <x:v>0</x:v>
      </x:c>
      <x:c r="L46" s="31" t="n">
        <x:v>2.1806709124</x:v>
      </x:c>
      <x:c r="M46" s="31" t="n">
        <x:v>0</x:v>
      </x:c>
      <x:c r="N46" s="24" t="str">
        <x:v>ablennes hians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Ablennes hians</x:v>
      </x:c>
      <x:c r="T46" s="32" t="n">
        <x:f>IF(O46="","",(1/'Metadata'!$B$5)^(O46-1))</x:f>
        <x:v>3162.2776601683795</x:v>
      </x:c>
      <x:c r="U46" s="31" t="n">
        <x:f>IF(T46="","",I46*T46)</x:f>
        <x:v>6895.886910461518</x:v>
      </x:c>
    </x:row>
    <x:row r="47" ht="18" customHeight="1">
      <x:c r="A47" s="24" t="str">
        <x:v>EEZ_670</x:v>
      </x:c>
      <x:c r="B47" s="24" t="str">
        <x:v>Saint Vincent &amp; the Grenadines</x:v>
      </x:c>
      <x:c r="C47" s="24" t="str">
        <x:v>EEZ</x:v>
      </x:c>
      <x:c r="D47" s="30" t="n">
        <x:v>2019</x:v>
      </x:c>
      <x:c r="E47" s="24" t="str">
        <x:v>Holocentrus adscensionis</x:v>
      </x:c>
      <x:c r="F47" s="24" t="str">
        <x:v>Squirrelfish</x:v>
      </x:c>
      <x:c r="G47" s="24" t="str">
        <x:v>Medium reef assoc. fish (30 - 89 cm)</x:v>
      </x:c>
      <x:c r="H47" s="24" t="str">
        <x:v>Other fishes &amp; inverts</x:v>
      </x:c>
      <x:c r="I47" s="31" t="n">
        <x:v>2.0668513396</x:v>
      </x:c>
      <x:c r="J47" s="31" t="n">
        <x:v>2.0668513396</x:v>
      </x:c>
      <x:c r="K47" s="31" t="n">
        <x:v>0</x:v>
      </x:c>
      <x:c r="L47" s="31" t="n">
        <x:v>1.3083955236</x:v>
      </x:c>
      <x:c r="M47" s="31" t="n">
        <x:v>0.758455816</x:v>
      </x:c>
      <x:c r="N47" s="24" t="str">
        <x:v>holocentrus adscensionis</x:v>
      </x:c>
      <x:c r="O47" s="32" t="n">
        <x:v>3.11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Holocentrus adscensionis</x:v>
      </x:c>
      <x:c r="T47" s="32" t="n">
        <x:f>IF(O47="","",(1/'Metadata'!$B$5)^(O47-1))</x:f>
        <x:v>128.82495516931337</x:v>
      </x:c>
      <x:c r="U47" s="31" t="n">
        <x:f>IF(T47="","",I47*T47)</x:f>
        <x:v>266.26203116560526</x:v>
      </x:c>
    </x:row>
    <x:row r="48" ht="18" customHeight="1">
      <x:c r="A48" s="24" t="str">
        <x:v>EEZ_670</x:v>
      </x:c>
      <x:c r="B48" s="24" t="str">
        <x:v>Saint Vincent &amp; the Grenadines</x:v>
      </x:c>
      <x:c r="C48" s="24" t="str">
        <x:v>EEZ</x:v>
      </x:c>
      <x:c r="D48" s="30" t="n">
        <x:v>2019</x:v>
      </x:c>
      <x:c r="E48" s="24" t="str">
        <x:v>Ginglymostoma cirratum</x:v>
      </x:c>
      <x:c r="F48" s="24" t="str">
        <x:v>Nurse shark</x:v>
      </x:c>
      <x:c r="G48" s="24" t="str">
        <x:v>Large sharks (&gt;=90 cm)</x:v>
      </x:c>
      <x:c r="H48" s="24" t="str">
        <x:v>Sharks &amp; rays</x:v>
      </x:c>
      <x:c r="I48" s="31" t="n">
        <x:v>2.0549130212</x:v>
      </x:c>
      <x:c r="J48" s="31" t="n">
        <x:v>2.0549130212</x:v>
      </x:c>
      <x:c r="K48" s="31" t="n">
        <x:v>0</x:v>
      </x:c>
      <x:c r="L48" s="31" t="n">
        <x:v>2.0349690892</x:v>
      </x:c>
      <x:c r="M48" s="31" t="n">
        <x:v>0.019943932</x:v>
      </x:c>
      <x:c r="N48" s="24" t="str">
        <x:v>ginglymostoma cirratum</x:v>
      </x:c>
      <x:c r="O48" s="32" t="n">
        <x:v>4.15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Ginglymostoma cirratum</x:v>
      </x:c>
      <x:c r="T48" s="32" t="n">
        <x:f>IF(O48="","",(1/'Metadata'!$B$5)^(O48-1))</x:f>
        <x:v>1412.5375446227554</x:v>
      </x:c>
      <x:c r="U48" s="31" t="n">
        <x:f>IF(T48="","",I48*T48)</x:f>
        <x:v>2902.641793379176</x:v>
      </x:c>
    </x:row>
    <x:row r="49" ht="18" customHeight="1">
      <x:c r="A49" s="24" t="str">
        <x:v>EEZ_670</x:v>
      </x:c>
      <x:c r="B49" s="24" t="str">
        <x:v>Saint Vincent &amp; the Grenadines</x:v>
      </x:c>
      <x:c r="C49" s="24" t="str">
        <x:v>EEZ</x:v>
      </x:c>
      <x:c r="D49" s="30" t="n">
        <x:v>2019</x:v>
      </x:c>
      <x:c r="E49" s="24" t="str">
        <x:v>Isurus oxyrinchus</x:v>
      </x:c>
      <x:c r="F49" s="24" t="str">
        <x:v>Shortfin mako</x:v>
      </x:c>
      <x:c r="G49" s="24" t="str">
        <x:v>Large sharks (&gt;=90 cm)</x:v>
      </x:c>
      <x:c r="H49" s="24" t="str">
        <x:v>Sharks &amp; rays</x:v>
      </x:c>
      <x:c r="I49" s="31" t="n">
        <x:v>1.5861072386</x:v>
      </x:c>
      <x:c r="J49" s="31" t="n">
        <x:v>1.5861072386</x:v>
      </x:c>
      <x:c r="K49" s="31" t="n">
        <x:v>0</x:v>
      </x:c>
      <x:c r="L49" s="31" t="n">
        <x:v>1.5861072386</x:v>
      </x:c>
      <x:c r="M49" s="31" t="n">
        <x:v>0</x:v>
      </x:c>
      <x:c r="N49" s="24" t="str">
        <x:v>isurus oxyrinchus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Isurus oxyrinchus</x:v>
      </x:c>
      <x:c r="T49" s="32" t="n">
        <x:f>IF(O49="","",(1/'Metadata'!$B$5)^(O49-1))</x:f>
        <x:v>3162.2776601683795</x:v>
      </x:c>
      <x:c r="U49" s="31" t="n">
        <x:f>IF(T49="","",I49*T49)</x:f>
        <x:v>5015.711487256137</x:v>
      </x:c>
    </x:row>
    <x:row r="50" ht="18" customHeight="1">
      <x:c r="A50" s="24" t="str">
        <x:v>EEZ_670</x:v>
      </x:c>
      <x:c r="B50" s="24" t="str">
        <x:v>Saint Vincent &amp; the Grenadines</x:v>
      </x:c>
      <x:c r="C50" s="24" t="str">
        <x:v>EEZ</x:v>
      </x:c>
      <x:c r="D50" s="30" t="n">
        <x:v>2019</x:v>
      </x:c>
      <x:c r="E50" s="24" t="str">
        <x:v>Acanthurus</x:v>
      </x:c>
      <x:c r="F50" s="24" t="str">
        <x:v>Surgeonfishes</x:v>
      </x:c>
      <x:c r="G50" s="24" t="str">
        <x:v>Small reef assoc. fish (&lt;30 cm)</x:v>
      </x:c>
      <x:c r="H50" s="24" t="str">
        <x:v>Perch-likes</x:v>
      </x:c>
      <x:c r="I50" s="31" t="n">
        <x:v>1.53670135</x:v>
      </x:c>
      <x:c r="J50" s="31" t="n">
        <x:v>1.53670135</x:v>
      </x:c>
      <x:c r="K50" s="31" t="n">
        <x:v>0</x:v>
      </x:c>
      <x:c r="L50" s="31" t="n">
        <x:v>1.0529380821</x:v>
      </x:c>
      <x:c r="M50" s="31" t="n">
        <x:v>0.4837632679</x:v>
      </x:c>
      <x:c r="N50" s="24" t="str">
        <x:v>acanthurus</x:v>
      </x:c>
      <x:c r="O50" s="32" t="n">
        <x:v>2.03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Acanthurus</x:v>
      </x:c>
      <x:c r="T50" s="32" t="n">
        <x:f>IF(O50="","",(1/'Metadata'!$B$5)^(O50-1))</x:f>
        <x:v>10.71519305237606</x:v>
      </x:c>
      <x:c r="U50" s="31" t="n">
        <x:f>IF(T50="","",I50*T50)</x:f>
        <x:v>16.466051629096913</x:v>
      </x:c>
    </x:row>
    <x:row r="51" ht="18" customHeight="1">
      <x:c r="A51" s="24" t="str">
        <x:v>EEZ_670</x:v>
      </x:c>
      <x:c r="B51" s="24" t="str">
        <x:v>Saint Vincent &amp; the Grenadines</x:v>
      </x:c>
      <x:c r="C51" s="24" t="str">
        <x:v>EEZ</x:v>
      </x:c>
      <x:c r="D51" s="30" t="n">
        <x:v>2019</x:v>
      </x:c>
      <x:c r="E51" s="24" t="str">
        <x:v>Rhomboplites aurorubens</x:v>
      </x:c>
      <x:c r="F51" s="24" t="str">
        <x:v>Vermilion snapper</x:v>
      </x:c>
      <x:c r="G51" s="24" t="str">
        <x:v>Medium demersals (30 - 89 cm)</x:v>
      </x:c>
      <x:c r="H51" s="24" t="str">
        <x:v>Perch-likes</x:v>
      </x:c>
      <x:c r="I51" s="31" t="n">
        <x:v>1.5206856048</x:v>
      </x:c>
      <x:c r="J51" s="31" t="n">
        <x:v>1.5206856048</x:v>
      </x:c>
      <x:c r="K51" s="31" t="n">
        <x:v>0</x:v>
      </x:c>
      <x:c r="L51" s="31" t="n">
        <x:v>0.9329416488000001</x:v>
      </x:c>
      <x:c r="M51" s="31" t="n">
        <x:v>0.587743956</x:v>
      </x:c>
      <x:c r="N51" s="24" t="str">
        <x:v>rhomboplites aurorubens</x:v>
      </x:c>
      <x:c r="O51" s="32" t="n">
        <x:v>4.36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Rhomboplites aurorubens</x:v>
      </x:c>
      <x:c r="T51" s="32" t="n">
        <x:f>IF(O51="","",(1/'Metadata'!$B$5)^(O51-1))</x:f>
        <x:v>2290.867652767775</x:v>
      </x:c>
      <x:c r="U51" s="31" t="n">
        <x:f>IF(T51="","",I51*T51)</x:f>
        <x:v>3483.68946206592</x:v>
      </x:c>
    </x:row>
    <x:row r="52" ht="18" customHeight="1">
      <x:c r="A52" s="24" t="str">
        <x:v>EEZ_670</x:v>
      </x:c>
      <x:c r="B52" s="24" t="str">
        <x:v>Saint Vincent &amp; the Grenadines</x:v>
      </x:c>
      <x:c r="C52" s="24" t="str">
        <x:v>EEZ</x:v>
      </x:c>
      <x:c r="D52" s="30" t="n">
        <x:v>2019</x:v>
      </x:c>
      <x:c r="E52" s="24" t="str">
        <x:v>Caranx latus</x:v>
      </x:c>
      <x:c r="F52" s="24" t="str">
        <x:v>Horse-eye jack</x:v>
      </x:c>
      <x:c r="G52" s="24" t="str">
        <x:v>Large reef assoc. fish (&gt;=90 cm)</x:v>
      </x:c>
      <x:c r="H52" s="24" t="str">
        <x:v>Perch-likes</x:v>
      </x:c>
      <x:c r="I52" s="31" t="n">
        <x:v>1.4509698304</x:v>
      </x:c>
      <x:c r="J52" s="31" t="n">
        <x:v>1.4509698304</x:v>
      </x:c>
      <x:c r="K52" s="31" t="n">
        <x:v>0</x:v>
      </x:c>
      <x:c r="L52" s="31" t="n">
        <x:v>0.8327396314</x:v>
      </x:c>
      <x:c r="M52" s="31" t="n">
        <x:v>0.618230199</x:v>
      </x:c>
      <x:c r="N52" s="24" t="str">
        <x:v>caranx latus</x:v>
      </x:c>
      <x:c r="O52" s="32" t="n">
        <x:v>4.16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Caranx latus</x:v>
      </x:c>
      <x:c r="T52" s="32" t="n">
        <x:f>IF(O52="","",(1/'Metadata'!$B$5)^(O52-1))</x:f>
        <x:v>1445.439770745928</x:v>
      </x:c>
      <x:c r="U52" s="31" t="n">
        <x:f>IF(T52="","",I52*T52)</x:f>
        <x:v>2097.289499012634</x:v>
      </x:c>
    </x:row>
    <x:row r="53" ht="18" customHeight="1">
      <x:c r="A53" s="24" t="str">
        <x:v>EEZ_670</x:v>
      </x:c>
      <x:c r="B53" s="24" t="str">
        <x:v>Saint Vincent &amp; the Grenadines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1.4467117051</x:v>
      </x:c>
      <x:c r="J53" s="31" t="n">
        <x:v>1.4467117051</x:v>
      </x:c>
      <x:c r="K53" s="31" t="n">
        <x:v>0</x:v>
      </x:c>
      <x:c r="L53" s="31" t="n">
        <x:v>1.4467117051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3718.621665671393</x:v>
      </x:c>
    </x:row>
    <x:row r="54" ht="18" customHeight="1">
      <x:c r="A54" s="24" t="str">
        <x:v>EEZ_670</x:v>
      </x:c>
      <x:c r="B54" s="24" t="str">
        <x:v>Saint Vincent &amp; the Grenadines</x:v>
      </x:c>
      <x:c r="C54" s="24" t="str">
        <x:v>EEZ</x:v>
      </x:c>
      <x:c r="D54" s="30" t="n">
        <x:v>2019</x:v>
      </x:c>
      <x:c r="E54" s="24" t="str">
        <x:v>Sphyraena picudilla</x:v>
      </x:c>
      <x:c r="F54" s="24" t="str">
        <x:v>Southern sennet</x:v>
      </x:c>
      <x:c r="G54" s="24" t="str">
        <x:v>Medium reef assoc. fish (30 - 89 cm)</x:v>
      </x:c>
      <x:c r="H54" s="24" t="str">
        <x:v>Perch-likes</x:v>
      </x:c>
      <x:c r="I54" s="31" t="n">
        <x:v>1.4290437506</x:v>
      </x:c>
      <x:c r="J54" s="31" t="n">
        <x:v>1.4290437506</x:v>
      </x:c>
      <x:c r="K54" s="31" t="n">
        <x:v>0</x:v>
      </x:c>
      <x:c r="L54" s="31" t="n">
        <x:v>0.8585785596000001</x:v>
      </x:c>
      <x:c r="M54" s="31" t="n">
        <x:v>0.570465191</x:v>
      </x:c>
      <x:c r="N54" s="24" t="str">
        <x:v>sphyraena picudilla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Sphyraena picudilla</x:v>
      </x:c>
      <x:c r="T54" s="32" t="n">
        <x:f>IF(O54="","",(1/'Metadata'!$B$5)^(O54-1))</x:f>
        <x:v>1513.5612484362073</x:v>
      </x:c>
      <x:c r="U54" s="31" t="n">
        <x:f>IF(T54="","",I54*T54)</x:f>
        <x:v>2162.945243228096</x:v>
      </x:c>
    </x:row>
    <x:row r="55" ht="18" customHeight="1">
      <x:c r="A55" s="24" t="str">
        <x:v>EEZ_670</x:v>
      </x:c>
      <x:c r="B55" s="24" t="str">
        <x:v>Saint Vincent &amp; the Grenadines</x:v>
      </x:c>
      <x:c r="C55" s="24" t="str">
        <x:v>EEZ</x:v>
      </x:c>
      <x:c r="D55" s="30" t="n">
        <x:v>2019</x:v>
      </x:c>
      <x:c r="E55" s="24" t="str">
        <x:v>Bodianus parrae</x:v>
      </x:c>
      <x:c r="F55" s="24" t="str">
        <x:v>Creole wrasse</x:v>
      </x:c>
      <x:c r="G55" s="24" t="str">
        <x:v>Medium reef assoc. fish (30 - 89 cm)</x:v>
      </x:c>
      <x:c r="H55" s="24" t="str">
        <x:v>Perch-likes</x:v>
      </x:c>
      <x:c r="I55" s="31" t="n">
        <x:v>1.411597232</x:v>
      </x:c>
      <x:c r="J55" s="31" t="n">
        <x:v>1.411597232</x:v>
      </x:c>
      <x:c r="K55" s="31" t="n">
        <x:v>0</x:v>
      </x:c>
      <x:c r="L55" s="31" t="n">
        <x:v>1.359486373</x:v>
      </x:c>
      <x:c r="M55" s="31" t="n">
        <x:v>0.052110859</x:v>
      </x:c>
      <x:c r="N55" s="24" t="str">
        <x:v>bodianus parrae</x:v>
      </x:c>
      <x:c r="O55" s="32" t="n">
        <x:v>3.42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Bodianus parrae</x:v>
      </x:c>
      <x:c r="T55" s="32" t="n">
        <x:f>IF(O55="","",(1/'Metadata'!$B$5)^(O55-1))</x:f>
        <x:v>263.02679918953817</x:v>
      </x:c>
      <x:c r="U55" s="31" t="n">
        <x:f>IF(T55="","",I55*T55)</x:f>
        <x:v>371.28790167777197</x:v>
      </x:c>
    </x:row>
    <x:row r="56" ht="18" customHeight="1">
      <x:c r="A56" s="24" t="str">
        <x:v>EEZ_670</x:v>
      </x:c>
      <x:c r="B56" s="24" t="str">
        <x:v>Saint Vincent &amp; the Grenadines</x:v>
      </x:c>
      <x:c r="C56" s="24" t="str">
        <x:v>EEZ</x:v>
      </x:c>
      <x:c r="D56" s="30" t="n">
        <x:v>2019</x:v>
      </x:c>
      <x:c r="E56" s="24" t="str">
        <x:v>Tetrapturus pfluegeri</x:v>
      </x:c>
      <x:c r="F56" s="24" t="str">
        <x:v>Longbill spearfish</x:v>
      </x:c>
      <x:c r="G56" s="24" t="str">
        <x:v>Large pelagics (&gt;=90 cm)</x:v>
      </x:c>
      <x:c r="H56" s="24" t="str">
        <x:v>Tuna &amp; billfishes</x:v>
      </x:c>
      <x:c r="I56" s="31" t="n">
        <x:v>1.1785249</x:v>
      </x:c>
      <x:c r="J56" s="31" t="n">
        <x:v>1.1785249</x:v>
      </x:c>
      <x:c r="K56" s="31" t="n">
        <x:v>0</x:v>
      </x:c>
      <x:c r="L56" s="31" t="n">
        <x:v>1.1785249</x:v>
      </x:c>
      <x:c r="M56" s="31" t="n">
        <x:v>0</x:v>
      </x:c>
      <x:c r="N56" s="24" t="str">
        <x:v>tetrapturus pfluegeri</x:v>
      </x:c>
      <x:c r="O56" s="32" t="n">
        <x:v>4.4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Tetrapturus pfluegeri</x:v>
      </x:c>
      <x:c r="T56" s="32" t="n">
        <x:f>IF(O56="","",(1/'Metadata'!$B$5)^(O56-1))</x:f>
        <x:v>2511.886431509582</x:v>
      </x:c>
      <x:c r="U56" s="31" t="n">
        <x:f>IF(T56="","",I56*T56)</x:f>
        <x:v>2960.320705506187</x:v>
      </x:c>
    </x:row>
    <x:row r="57" ht="18" customHeight="1">
      <x:c r="A57" s="24" t="str">
        <x:v>EEZ_670</x:v>
      </x:c>
      <x:c r="B57" s="24" t="str">
        <x:v>Saint Vincent &amp; the Grenadines</x:v>
      </x:c>
      <x:c r="C57" s="24" t="str">
        <x:v>EEZ</x:v>
      </x:c>
      <x:c r="D57" s="30" t="n">
        <x:v>2019</x:v>
      </x:c>
      <x:c r="E57" s="24" t="str">
        <x:v>Scomberomorus cavalla</x:v>
      </x:c>
      <x:c r="F57" s="24" t="str">
        <x:v>King mackerel</x:v>
      </x:c>
      <x:c r="G57" s="24" t="str">
        <x:v>Large pelagics (&gt;=90 cm)</x:v>
      </x:c>
      <x:c r="H57" s="24" t="str">
        <x:v>Perch-likes</x:v>
      </x:c>
      <x:c r="I57" s="31" t="n">
        <x:v>1.1196269956</x:v>
      </x:c>
      <x:c r="J57" s="31" t="n">
        <x:v>1.1196269956</x:v>
      </x:c>
      <x:c r="K57" s="31" t="n">
        <x:v>0</x:v>
      </x:c>
      <x:c r="L57" s="31" t="n">
        <x:v>0.43718802160000003</x:v>
      </x:c>
      <x:c r="M57" s="31" t="n">
        <x:v>0.6824389740000001</x:v>
      </x:c>
      <x:c r="N57" s="24" t="str">
        <x:v>scomberomorus cavalla</x:v>
      </x:c>
      <x:c r="O57" s="32" t="n">
        <x:v>4.42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Scomberomorus cavalla</x:v>
      </x:c>
      <x:c r="T57" s="32" t="n">
        <x:f>IF(O57="","",(1/'Metadata'!$B$5)^(O57-1))</x:f>
        <x:v>2630.2679918953813</x:v>
      </x:c>
      <x:c r="U57" s="31" t="n">
        <x:f>IF(T57="","",I57*T57)</x:f>
        <x:v>2944.919049388671</x:v>
      </x:c>
    </x:row>
    <x:row r="58" ht="18" customHeight="1">
      <x:c r="A58" s="24" t="str">
        <x:v>EEZ_670</x:v>
      </x:c>
      <x:c r="B58" s="24" t="str">
        <x:v>Saint Vincent &amp; the Grenadines</x:v>
      </x:c>
      <x:c r="C58" s="24" t="str">
        <x:v>EEZ</x:v>
      </x:c>
      <x:c r="D58" s="30" t="n">
        <x:v>2019</x:v>
      </x:c>
      <x:c r="E58" s="24" t="str">
        <x:v>Mullidae</x:v>
      </x:c>
      <x:c r="F58" s="24" t="str">
        <x:v>Goatfishes</x:v>
      </x:c>
      <x:c r="G58" s="24" t="str">
        <x:v>Medium reef assoc. fish (30 - 89 cm)</x:v>
      </x:c>
      <x:c r="H58" s="24" t="str">
        <x:v>Perch-likes</x:v>
      </x:c>
      <x:c r="I58" s="31" t="n">
        <x:v>0.763858857</x:v>
      </x:c>
      <x:c r="J58" s="31" t="n">
        <x:v>0.763858857</x:v>
      </x:c>
      <x:c r="K58" s="31" t="n">
        <x:v>0</x:v>
      </x:c>
      <x:c r="L58" s="31" t="n">
        <x:v>0.28213363599999997</x:v>
      </x:c>
      <x:c r="M58" s="31" t="n">
        <x:v>0.481725221</x:v>
      </x:c>
      <x:c r="N58" s="24" t="str">
        <x:v>mullidae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Mullidae</x:v>
      </x:c>
      <x:c r="T58" s="32" t="n">
        <x:f>IF(O58="","",(1/'Metadata'!$B$5)^(O58-1))</x:f>
        <x:v>288.40315031266056</x:v>
      </x:c>
      <x:c r="U58" s="31" t="n">
        <x:f>IF(T58="","",I58*T58)</x:f>
        <x:v>220.2993007530281</x:v>
      </x:c>
    </x:row>
    <x:row r="59" ht="18" customHeight="1">
      <x:c r="A59" s="24" t="str">
        <x:v>EEZ_670</x:v>
      </x:c>
      <x:c r="B59" s="24" t="str">
        <x:v>Saint Vincent &amp; the Grenadines</x:v>
      </x:c>
      <x:c r="C59" s="24" t="str">
        <x:v>EEZ</x:v>
      </x:c>
      <x:c r="D59" s="30" t="n">
        <x:v>2019</x:v>
      </x:c>
      <x:c r="E59" s="24" t="str">
        <x:v>Malacanthidae</x:v>
      </x:c>
      <x:c r="F59" s="24" t="str">
        <x:v>Tilefishes</x:v>
      </x:c>
      <x:c r="G59" s="24" t="str">
        <x:v>Medium demersals (30 - 89 cm)</x:v>
      </x:c>
      <x:c r="H59" s="24" t="str">
        <x:v>Perch-likes</x:v>
      </x:c>
      <x:c r="I59" s="31" t="n">
        <x:v>0.6770380042</x:v>
      </x:c>
      <x:c r="J59" s="31" t="n">
        <x:v>0.6770380042</x:v>
      </x:c>
      <x:c r="K59" s="31" t="n">
        <x:v>0</x:v>
      </x:c>
      <x:c r="L59" s="31" t="n">
        <x:v>0.4884256145</x:v>
      </x:c>
      <x:c r="M59" s="31" t="n">
        <x:v>0.1886123897</x:v>
      </x:c>
      <x:c r="N59" s="24" t="str">
        <x:v>malacanthidae</x:v>
      </x:c>
      <x:c r="O59" s="32" t="n">
        <x:v>3.62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Malacanthidae</x:v>
      </x:c>
      <x:c r="T59" s="32" t="n">
        <x:f>IF(O59="","",(1/'Metadata'!$B$5)^(O59-1))</x:f>
        <x:v>416.8693834703355</x:v>
      </x:c>
      <x:c r="U59" s="31" t="n">
        <x:f>IF(T59="","",I59*T59)</x:f>
        <x:v>282.2364153968404</x:v>
      </x:c>
    </x:row>
    <x:row r="60" ht="18" customHeight="1">
      <x:c r="A60" s="24" t="str">
        <x:v>EEZ_670</x:v>
      </x:c>
      <x:c r="B60" s="24" t="str">
        <x:v>Saint Vincent &amp; the Grenadines</x:v>
      </x:c>
      <x:c r="C60" s="24" t="str">
        <x:v>EEZ</x:v>
      </x:c>
      <x:c r="D60" s="30" t="n">
        <x:v>2019</x:v>
      </x:c>
      <x:c r="E60" s="24" t="str">
        <x:v>Epinephelus adscensionis</x:v>
      </x:c>
      <x:c r="F60" s="24" t="str">
        <x:v>Rock hind</x:v>
      </x:c>
      <x:c r="G60" s="24" t="str">
        <x:v>Medium reef assoc. fish (30 - 89 cm)</x:v>
      </x:c>
      <x:c r="H60" s="24" t="str">
        <x:v>Perch-likes</x:v>
      </x:c>
      <x:c r="I60" s="31" t="n">
        <x:v>0.5692113764</x:v>
      </x:c>
      <x:c r="J60" s="31" t="n">
        <x:v>0.5692113764</x:v>
      </x:c>
      <x:c r="K60" s="31" t="n">
        <x:v>0</x:v>
      </x:c>
      <x:c r="L60" s="31" t="n">
        <x:v>0.4413031904</x:v>
      </x:c>
      <x:c r="M60" s="31" t="n">
        <x:v>0.127908186</x:v>
      </x:c>
      <x:c r="N60" s="24" t="str">
        <x:v>epinephelus adscensionis</x:v>
      </x:c>
      <x:c r="O60" s="32" t="n">
        <x:v>3.53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Epinephelus adscensionis</x:v>
      </x:c>
      <x:c r="T60" s="32" t="n">
        <x:f>IF(O60="","",(1/'Metadata'!$B$5)^(O60-1))</x:f>
        <x:v>338.84415613920237</x:v>
      </x:c>
      <x:c r="U60" s="31" t="n">
        <x:f>IF(T60="","",I60*T60)</x:f>
        <x:v>192.8739485010919</x:v>
      </x:c>
    </x:row>
    <x:row r="61" ht="18" customHeight="1">
      <x:c r="A61" s="24" t="str">
        <x:v>EEZ_670</x:v>
      </x:c>
      <x:c r="B61" s="24" t="str">
        <x:v>Saint Vincent &amp; the Grenadines</x:v>
      </x:c>
      <x:c r="C61" s="24" t="str">
        <x:v>EEZ</x:v>
      </x:c>
      <x:c r="D61" s="30" t="n">
        <x:v>2019</x:v>
      </x:c>
      <x:c r="E61" s="24" t="str">
        <x:v>Scomberomorus brasiliensis</x:v>
      </x:c>
      <x:c r="F61" s="24" t="str">
        <x:v>Serra Spanish mackerel</x:v>
      </x:c>
      <x:c r="G61" s="24" t="str">
        <x:v>Large pelagics (&gt;=90 cm)</x:v>
      </x:c>
      <x:c r="H61" s="24" t="str">
        <x:v>Perch-likes</x:v>
      </x:c>
      <x:c r="I61" s="31" t="n">
        <x:v>0.5428028268</x:v>
      </x:c>
      <x:c r="J61" s="31" t="n">
        <x:v>0.5428028268</x:v>
      </x:c>
      <x:c r="K61" s="31" t="n">
        <x:v>0</x:v>
      </x:c>
      <x:c r="L61" s="31" t="n">
        <x:v>0.0800336952</x:v>
      </x:c>
      <x:c r="M61" s="31" t="n">
        <x:v>0.4627691316</x:v>
      </x:c>
      <x:c r="N61" s="24" t="str">
        <x:v>scomberomorus brasiliensis</x:v>
      </x:c>
      <x:c r="O61" s="32" t="n">
        <x:v>3.31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Scomberomorus brasiliensis</x:v>
      </x:c>
      <x:c r="T61" s="32" t="n">
        <x:f>IF(O61="","",(1/'Metadata'!$B$5)^(O61-1))</x:f>
        <x:v>204.17379446695296</x:v>
      </x:c>
      <x:c r="U61" s="31" t="n">
        <x:f>IF(T61="","",I61*T61)</x:f>
        <x:v>110.82611279514427</x:v>
      </x:c>
    </x:row>
    <x:row r="62" ht="18" customHeight="1">
      <x:c r="A62" s="24" t="str">
        <x:v>EEZ_670</x:v>
      </x:c>
      <x:c r="B62" s="24" t="str">
        <x:v>Saint Vincent &amp; the Grenadines</x:v>
      </x:c>
      <x:c r="C62" s="24" t="str">
        <x:v>EEZ</x:v>
      </x:c>
      <x:c r="D62" s="30" t="n">
        <x:v>2019</x:v>
      </x:c>
      <x:c r="E62" s="24" t="str">
        <x:v>Engraulidae</x:v>
      </x:c>
      <x:c r="F62" s="24" t="str">
        <x:v>Anchovies, round herrings</x:v>
      </x:c>
      <x:c r="G62" s="24" t="str">
        <x:v>Small pelagics (&lt;30 cm)</x:v>
      </x:c>
      <x:c r="H62" s="24" t="str">
        <x:v>Anchovies</x:v>
      </x:c>
      <x:c r="I62" s="31" t="n">
        <x:v>0.524168632</x:v>
      </x:c>
      <x:c r="J62" s="31" t="n">
        <x:v>0.524168632</x:v>
      </x:c>
      <x:c r="K62" s="31" t="n">
        <x:v>0</x:v>
      </x:c>
      <x:c r="L62" s="31" t="n">
        <x:v>0.406292117</x:v>
      </x:c>
      <x:c r="M62" s="31" t="n">
        <x:v>0.117876515</x:v>
      </x:c>
      <x:c r="N62" s="24" t="str">
        <x:v>engraulidae</x:v>
      </x:c>
      <x:c r="O62" s="32" t="n">
        <x:v>3.2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Engraulidae</x:v>
      </x:c>
      <x:c r="T62" s="32" t="n">
        <x:f>IF(O62="","",(1/'Metadata'!$B$5)^(O62-1))</x:f>
        <x:v>158.48931924611142</x:v>
      </x:c>
      <x:c r="U62" s="31" t="n">
        <x:f>IF(T62="","",I62*T62)</x:f>
        <x:v>83.07512965584549</x:v>
      </x:c>
    </x:row>
    <x:row r="63" ht="18" customHeight="1">
      <x:c r="A63" s="24" t="str">
        <x:v>EEZ_670</x:v>
      </x:c>
      <x:c r="B63" s="24" t="str">
        <x:v>Saint Vincent &amp; the Grenadines</x:v>
      </x:c>
      <x:c r="C63" s="24" t="str">
        <x:v>EEZ</x:v>
      </x:c>
      <x:c r="D63" s="30" t="n">
        <x:v>2019</x:v>
      </x:c>
      <x:c r="E63" s="24" t="str">
        <x:v>Scomberomorus</x:v>
      </x:c>
      <x:c r="F63" s="24" t="str">
        <x:v>Spanish mackerels</x:v>
      </x:c>
      <x:c r="G63" s="24" t="str">
        <x:v>Large pelagics (&gt;=90 cm)</x:v>
      </x:c>
      <x:c r="H63" s="24" t="str">
        <x:v>Perch-likes</x:v>
      </x:c>
      <x:c r="I63" s="31" t="n">
        <x:v>0.4251412766</x:v>
      </x:c>
      <x:c r="J63" s="31" t="n">
        <x:v>0.4251412766</x:v>
      </x:c>
      <x:c r="K63" s="31" t="n">
        <x:v>0</x:v>
      </x:c>
      <x:c r="L63" s="31" t="n">
        <x:v>0.4251412766</x:v>
      </x:c>
      <x:c r="M63" s="31" t="n">
        <x:v>0</x:v>
      </x:c>
      <x:c r="N63" s="24" t="str">
        <x:v>scomberomorus</x:v>
      </x:c>
      <x:c r="O63" s="32" t="n">
        <x:v>4.35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Scomberomorus</x:v>
      </x:c>
      <x:c r="T63" s="32" t="n">
        <x:f>IF(O63="","",(1/'Metadata'!$B$5)^(O63-1))</x:f>
        <x:v>2238.7211385683377</x:v>
      </x:c>
      <x:c r="U63" s="31" t="n">
        <x:f>IF(T63="","",I63*T63)</x:f>
        <x:v>951.7727628023486</x:v>
      </x:c>
    </x:row>
    <x:row r="64" ht="18" customHeight="1">
      <x:c r="A64" s="24" t="str">
        <x:v>EEZ_670</x:v>
      </x:c>
      <x:c r="B64" s="24" t="str">
        <x:v>Saint Vincent &amp; the Grenadines</x:v>
      </x:c>
      <x:c r="C64" s="24" t="str">
        <x:v>EEZ</x:v>
      </x:c>
      <x:c r="D64" s="30" t="n">
        <x:v>2019</x:v>
      </x:c>
      <x:c r="E64" s="24" t="str">
        <x:v>Chondrichthyes</x:v>
      </x:c>
      <x:c r="F64" s="24" t="str">
        <x:v>Sharks, rays, chimaeras</x:v>
      </x:c>
      <x:c r="G64" s="24" t="str">
        <x:v>Large sharks (&gt;=90 cm)</x:v>
      </x:c>
      <x:c r="H64" s="24" t="str">
        <x:v>Sharks &amp; rays</x:v>
      </x:c>
      <x:c r="I64" s="31" t="n">
        <x:v>0.392841633</x:v>
      </x:c>
      <x:c r="J64" s="31" t="n">
        <x:v>0.392841633</x:v>
      </x:c>
      <x:c r="K64" s="31" t="n">
        <x:v>0</x:v>
      </x:c>
      <x:c r="L64" s="31" t="n">
        <x:v>0.392841633</x:v>
      </x:c>
      <x:c r="M64" s="31" t="n">
        <x:v>0</x:v>
      </x:c>
      <x:c r="N64" s="24" t="str">
        <x:v>chondrichthyes</x:v>
      </x:c>
      <x:c r="O64" s="32" t="n">
        <x:v>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Chondrichthyes</x:v>
      </x:c>
      <x:c r="T64" s="32" t="n">
        <x:f>IF(O64="","",(1/'Metadata'!$B$5)^(O64-1))</x:f>
        <x:v>1000</x:v>
      </x:c>
      <x:c r="U64" s="31" t="n">
        <x:f>IF(T64="","",I64*T64)</x:f>
        <x:v>392.841633</x:v>
      </x:c>
    </x:row>
    <x:row r="65" ht="18" customHeight="1">
      <x:c r="A65" s="24" t="str">
        <x:v>EEZ_670</x:v>
      </x:c>
      <x:c r="B65" s="24" t="str">
        <x:v>Saint Vincent &amp; the Grenadines</x:v>
      </x:c>
      <x:c r="C65" s="24" t="str">
        <x:v>EEZ</x:v>
      </x:c>
      <x:c r="D65" s="30" t="n">
        <x:v>2019</x:v>
      </x:c>
      <x:c r="E65" s="24" t="str">
        <x:v>Thunnus thynnus</x:v>
      </x:c>
      <x:c r="F65" s="24" t="str">
        <x:v>Atlantic bluefin tuna</x:v>
      </x:c>
      <x:c r="G65" s="24" t="str">
        <x:v>Large pelagics (&gt;=90 cm)</x:v>
      </x:c>
      <x:c r="H65" s="24" t="str">
        <x:v>Tuna &amp; billfishes</x:v>
      </x:c>
      <x:c r="I65" s="31" t="n">
        <x:v>0.3424621855</x:v>
      </x:c>
      <x:c r="J65" s="31" t="n">
        <x:v>0.3424621855</x:v>
      </x:c>
      <x:c r="K65" s="31" t="n">
        <x:v>0</x:v>
      </x:c>
      <x:c r="L65" s="31" t="n">
        <x:v>0.3424621855</x:v>
      </x:c>
      <x:c r="M65" s="31" t="n">
        <x:v>0</x:v>
      </x:c>
      <x:c r="N65" s="24" t="str">
        <x:v>thunnus thynnus</x:v>
      </x:c>
      <x:c r="O65" s="32" t="n">
        <x:v>4.45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thynnus</x:v>
      </x:c>
      <x:c r="T65" s="32" t="n">
        <x:f>IF(O65="","",(1/'Metadata'!$B$5)^(O65-1))</x:f>
        <x:v>2818.382931264455</x:v>
      </x:c>
      <x:c r="U65" s="31" t="n">
        <x:f>IF(T65="","",I65*T65)</x:f>
        <x:v>965.1895782167215</x:v>
      </x:c>
    </x:row>
    <x:row r="66" ht="18" customHeight="1">
      <x:c r="A66" s="24" t="str">
        <x:v>EEZ_670</x:v>
      </x:c>
      <x:c r="B66" s="24" t="str">
        <x:v>Saint Vincent &amp; the Grenadines</x:v>
      </x:c>
      <x:c r="C66" s="24" t="str">
        <x:v>EEZ</x:v>
      </x:c>
      <x:c r="D66" s="30" t="n">
        <x:v>2019</x:v>
      </x:c>
      <x:c r="E66" s="24" t="str">
        <x:v>Haemulon flavolineatum</x:v>
      </x:c>
      <x:c r="F66" s="24" t="str">
        <x:v>French grunt</x:v>
      </x:c>
      <x:c r="G66" s="24" t="str">
        <x:v>Small reef assoc. fish (&lt;30 cm)</x:v>
      </x:c>
      <x:c r="H66" s="24" t="str">
        <x:v>Perch-likes</x:v>
      </x:c>
      <x:c r="I66" s="31" t="n">
        <x:v>0.32056436279999995</x:v>
      </x:c>
      <x:c r="J66" s="31" t="n">
        <x:v>0.32056436279999995</x:v>
      </x:c>
      <x:c r="K66" s="31" t="n">
        <x:v>0</x:v>
      </x:c>
      <x:c r="L66" s="31" t="n">
        <x:v>0.2485299538</x:v>
      </x:c>
      <x:c r="M66" s="31" t="n">
        <x:v>0.072034409</x:v>
      </x:c>
      <x:c r="N66" s="24" t="str">
        <x:v>haemulon flavolineatum</x:v>
      </x:c>
      <x:c r="O66" s="32" t="n">
        <x:v>3.46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Haemulon flavolineatum</x:v>
      </x:c>
      <x:c r="T66" s="32" t="n">
        <x:f>IF(O66="","",(1/'Metadata'!$B$5)^(O66-1))</x:f>
        <x:v>288.40315031266056</x:v>
      </x:c>
      <x:c r="U66" s="31" t="n">
        <x:f>IF(T66="","",I66*T66)</x:f>
        <x:v>92.45177210949063</x:v>
      </x:c>
    </x:row>
    <x:row r="67" ht="18" customHeight="1">
      <x:c r="A67" s="24" t="str">
        <x:v>EEZ_670</x:v>
      </x:c>
      <x:c r="B67" s="24" t="str">
        <x:v>Saint Vincent &amp; the Grenadines</x:v>
      </x:c>
      <x:c r="C67" s="24" t="str">
        <x:v>EEZ</x:v>
      </x:c>
      <x:c r="D67" s="30" t="n">
        <x:v>2019</x:v>
      </x:c>
      <x:c r="E67" s="24" t="str">
        <x:v>Paranthias furcifer</x:v>
      </x:c>
      <x:c r="F67" s="24" t="str">
        <x:v>Creole-fish</x:v>
      </x:c>
      <x:c r="G67" s="24" t="str">
        <x:v>Medium benthopelagics (30 - 89 cm)</x:v>
      </x:c>
      <x:c r="H67" s="24" t="str">
        <x:v>Perch-likes</x:v>
      </x:c>
      <x:c r="I67" s="31" t="n">
        <x:v>0.2684285754</x:v>
      </x:c>
      <x:c r="J67" s="31" t="n">
        <x:v>0.2684285754</x:v>
      </x:c>
      <x:c r="K67" s="31" t="n">
        <x:v>0</x:v>
      </x:c>
      <x:c r="L67" s="31" t="n">
        <x:v>0.2081096984</x:v>
      </x:c>
      <x:c r="M67" s="31" t="n">
        <x:v>0.060318877</x:v>
      </x:c>
      <x:c r="N67" s="24" t="str">
        <x:v>paranthias furcifer</x:v>
      </x:c>
      <x:c r="O67" s="32" t="n">
        <x:v>3.21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Paranthias furcifer</x:v>
      </x:c>
      <x:c r="T67" s="32" t="n">
        <x:f>IF(O67="","",(1/'Metadata'!$B$5)^(O67-1))</x:f>
        <x:v>162.18100973589299</x:v>
      </x:c>
      <x:c r="U67" s="31" t="n">
        <x:f>IF(T67="","",I67*T67)</x:f>
        <x:v>43.53401740033928</x:v>
      </x:c>
    </x:row>
    <x:row r="68" ht="18" customHeight="1">
      <x:c r="A68" s="24" t="str">
        <x:v>EEZ_670</x:v>
      </x:c>
      <x:c r="B68" s="24" t="str">
        <x:v>Saint Vincent &amp; the Grenadines</x:v>
      </x:c>
      <x:c r="C68" s="24" t="str">
        <x:v>EEZ</x:v>
      </x:c>
      <x:c r="D68" s="30" t="n">
        <x:v>2019</x:v>
      </x:c>
      <x:c r="E68" s="24" t="str">
        <x:v>Thunnus obesus</x:v>
      </x:c>
      <x:c r="F68" s="24" t="str">
        <x:v>Bigeye tuna</x:v>
      </x:c>
      <x:c r="G68" s="24" t="str">
        <x:v>Large pelagics (&gt;=90 cm)</x:v>
      </x:c>
      <x:c r="H68" s="24" t="str">
        <x:v>Tuna &amp; billfishes</x:v>
      </x:c>
      <x:c r="I68" s="31" t="n">
        <x:v>0.23296905780000002</x:v>
      </x:c>
      <x:c r="J68" s="31" t="n">
        <x:v>0.23296905780000002</x:v>
      </x:c>
      <x:c r="K68" s="31" t="n">
        <x:v>0</x:v>
      </x:c>
      <x:c r="L68" s="31" t="n">
        <x:v>0.23296905780000002</x:v>
      </x:c>
      <x:c r="M68" s="31" t="n">
        <x:v>0</x:v>
      </x:c>
      <x:c r="N68" s="24" t="str">
        <x:v>thunnus obesus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obesus</x:v>
      </x:c>
      <x:c r="T68" s="32" t="n">
        <x:f>IF(O68="","",(1/'Metadata'!$B$5)^(O68-1))</x:f>
        <x:v>3090.295432513592</x:v>
      </x:c>
      <x:c r="U68" s="31" t="n">
        <x:f>IF(T68="","",I68*T68)</x:f>
        <x:v>719.943215236335</x:v>
      </x:c>
    </x:row>
    <x:row r="69" ht="18" customHeight="1">
      <x:c r="A69" s="24" t="str">
        <x:v>EEZ_670</x:v>
      </x:c>
      <x:c r="B69" s="24" t="str">
        <x:v>Saint Vincent &amp; the Grenadines</x:v>
      </x:c>
      <x:c r="C69" s="24" t="str">
        <x:v>EEZ</x:v>
      </x:c>
      <x:c r="D69" s="30" t="n">
        <x:v>2019</x:v>
      </x:c>
      <x:c r="E69" s="24" t="str">
        <x:v>Sarda sarda</x:v>
      </x:c>
      <x:c r="F69" s="24" t="str">
        <x:v>Atlantic bonito</x:v>
      </x:c>
      <x:c r="G69" s="24" t="str">
        <x:v>Medium pelagics (30 - 89 cm)</x:v>
      </x:c>
      <x:c r="H69" s="24" t="str">
        <x:v>Tuna &amp; billfishes</x:v>
      </x:c>
      <x:c r="I69" s="31" t="n">
        <x:v>0.2097902683</x:v>
      </x:c>
      <x:c r="J69" s="31" t="n">
        <x:v>0.2097902683</x:v>
      </x:c>
      <x:c r="K69" s="31" t="n">
        <x:v>0</x:v>
      </x:c>
      <x:c r="L69" s="31" t="n">
        <x:v>0.2097902683</x:v>
      </x:c>
      <x:c r="M69" s="31" t="n">
        <x:v>0</x:v>
      </x:c>
      <x:c r="N69" s="24" t="str">
        <x:v>sarda sarda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Sarda sarda</x:v>
      </x:c>
      <x:c r="T69" s="32" t="n">
        <x:f>IF(O69="","",(1/'Metadata'!$B$5)^(O69-1))</x:f>
        <x:v>3162.2776601683795</x:v>
      </x:c>
      <x:c r="U69" s="31" t="n">
        <x:f>IF(T69="","",I69*T69)</x:f>
        <x:v>663.4150787658206</x:v>
      </x:c>
    </x:row>
    <x:row r="70" ht="18" customHeight="1">
      <x:c r="A70" s="24" t="str">
        <x:v>EEZ_670</x:v>
      </x:c>
      <x:c r="B70" s="24" t="str">
        <x:v>Saint Vincent &amp; the Grenadines</x:v>
      </x:c>
      <x:c r="C70" s="24" t="str">
        <x:v>EEZ</x:v>
      </x:c>
      <x:c r="D70" s="30" t="n">
        <x:v>2019</x:v>
      </x:c>
      <x:c r="E70" s="24" t="str">
        <x:v>Priacanthus</x:v>
      </x:c>
      <x:c r="F70" s="24" t="str">
        <x:v>Bigeyes</x:v>
      </x:c>
      <x:c r="G70" s="24" t="str">
        <x:v>Medium reef assoc. fish (30 - 89 cm)</x:v>
      </x:c>
      <x:c r="H70" s="24" t="str">
        <x:v>Perch-likes</x:v>
      </x:c>
      <x:c r="I70" s="31" t="n">
        <x:v>0.159697405</x:v>
      </x:c>
      <x:c r="J70" s="31" t="n">
        <x:v>0.159697405</x:v>
      </x:c>
      <x:c r="K70" s="31" t="n">
        <x:v>0</x:v>
      </x:c>
      <x:c r="L70" s="31" t="n">
        <x:v>0.12381161599999999</x:v>
      </x:c>
      <x:c r="M70" s="31" t="n">
        <x:v>0.035885789</x:v>
      </x:c>
      <x:c r="N70" s="24" t="str">
        <x:v>priacanthus</x:v>
      </x:c>
      <x:c r="O70" s="32" t="n">
        <x:v>3.81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Priacanthus</x:v>
      </x:c>
      <x:c r="T70" s="32" t="n">
        <x:f>IF(O70="","",(1/'Metadata'!$B$5)^(O70-1))</x:f>
        <x:v>645.6542290346556</x:v>
      </x:c>
      <x:c r="U70" s="31" t="n">
        <x:f>IF(T70="","",I70*T70)</x:f>
        <x:v>103.10930490411015</x:v>
      </x:c>
    </x:row>
    <x:row r="71" ht="18" customHeight="1">
      <x:c r="A71" s="24" t="str">
        <x:v>EEZ_670</x:v>
      </x:c>
      <x:c r="B71" s="24" t="str">
        <x:v>Saint Vincent &amp; the Grenadines</x:v>
      </x:c>
      <x:c r="C71" s="24" t="str">
        <x:v>EEZ</x:v>
      </x:c>
      <x:c r="D71" s="30" t="n">
        <x:v>2019</x:v>
      </x:c>
      <x:c r="E71" s="24" t="str">
        <x:v>Centropomus undecimalis</x:v>
      </x:c>
      <x:c r="F71" s="24" t="str">
        <x:v>Common snook</x:v>
      </x:c>
      <x:c r="G71" s="24" t="str">
        <x:v>Large benthopelagics (&gt;=90 cm)</x:v>
      </x:c>
      <x:c r="H71" s="24" t="str">
        <x:v>Perch-likes</x:v>
      </x:c>
      <x:c r="I71" s="31" t="n">
        <x:v>0.1329398565</x:v>
      </x:c>
      <x:c r="J71" s="31" t="n">
        <x:v>0.1329398565</x:v>
      </x:c>
      <x:c r="K71" s="31" t="n">
        <x:v>0</x:v>
      </x:c>
      <x:c r="L71" s="31" t="n">
        <x:v>0</x:v>
      </x:c>
      <x:c r="M71" s="31" t="n">
        <x:v>0.1329398565</x:v>
      </x:c>
      <x:c r="N71" s="24" t="str">
        <x:v>centropomus undecimalis</x:v>
      </x:c>
      <x:c r="O71" s="32" t="n">
        <x:v>4.17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Centropomus undecimalis</x:v>
      </x:c>
      <x:c r="T71" s="32" t="n">
        <x:f>IF(O71="","",(1/'Metadata'!$B$5)^(O71-1))</x:f>
        <x:v>1479.1083881682073</x:v>
      </x:c>
      <x:c r="U71" s="31" t="n">
        <x:f>IF(T71="","",I71*T71)</x:f>
        <x:v>196.63245687102778</x:v>
      </x:c>
    </x:row>
    <x:row r="72" ht="18" customHeight="1">
      <x:c r="A72" s="24" t="str">
        <x:v>EEZ_670</x:v>
      </x:c>
      <x:c r="B72" s="24" t="str">
        <x:v>Saint Vincent &amp; the Grenadines</x:v>
      </x:c>
      <x:c r="C72" s="24" t="str">
        <x:v>EEZ</x:v>
      </x:c>
      <x:c r="D72" s="30" t="n">
        <x:v>2019</x:v>
      </x:c>
      <x:c r="E72" s="24" t="str">
        <x:v>Dasyatidae</x:v>
      </x:c>
      <x:c r="F72" s="24" t="str">
        <x:v>Whiptail stingrays</x:v>
      </x:c>
      <x:c r="G72" s="24" t="str">
        <x:v>Large rays (&gt;=90 cm)</x:v>
      </x:c>
      <x:c r="H72" s="24" t="str">
        <x:v>Sharks &amp; rays</x:v>
      </x:c>
      <x:c r="I72" s="31" t="n">
        <x:v>0.11728503059999999</x:v>
      </x:c>
      <x:c r="J72" s="31" t="n">
        <x:v>0.11728503059999999</x:v>
      </x:c>
      <x:c r="K72" s="31" t="n">
        <x:v>0</x:v>
      </x:c>
      <x:c r="L72" s="31" t="n">
        <x:v>0.09092976259999999</x:v>
      </x:c>
      <x:c r="M72" s="31" t="n">
        <x:v>0.026355268</x:v>
      </x:c>
      <x:c r="N72" s="24" t="str">
        <x:v>dasyatidae</x:v>
      </x:c>
      <x:c r="O72" s="32" t="n">
        <x:v>3.38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Dasyatidae</x:v>
      </x:c>
      <x:c r="T72" s="32" t="n">
        <x:f>IF(O72="","",(1/'Metadata'!$B$5)^(O72-1))</x:f>
        <x:v>239.88329190194898</x:v>
      </x:c>
      <x:c r="U72" s="31" t="n">
        <x:f>IF(T72="","",I72*T72)</x:f>
        <x:v>28.134719231148818</x:v>
      </x:c>
    </x:row>
    <x:row r="73" ht="18" customHeight="1">
      <x:c r="A73" s="24" t="str">
        <x:v>EEZ_670</x:v>
      </x:c>
      <x:c r="B73" s="24" t="str">
        <x:v>Saint Vincent &amp; the Grenadines</x:v>
      </x:c>
      <x:c r="C73" s="24" t="str">
        <x:v>EEZ</x:v>
      </x:c>
      <x:c r="D73" s="30" t="n">
        <x:v>2019</x:v>
      </x:c>
      <x:c r="E73" s="24" t="str">
        <x:v>Scomberomorus regalis</x:v>
      </x:c>
      <x:c r="F73" s="24" t="str">
        <x:v>Cero</x:v>
      </x:c>
      <x:c r="G73" s="24" t="str">
        <x:v>Large reef assoc. fish (&gt;=90 cm)</x:v>
      </x:c>
      <x:c r="H73" s="24" t="str">
        <x:v>Perch-likes</x:v>
      </x:c>
      <x:c r="I73" s="31" t="n">
        <x:v>0.09821040800000001</x:v>
      </x:c>
      <x:c r="J73" s="31" t="n">
        <x:v>0.09821040800000001</x:v>
      </x:c>
      <x:c r="K73" s="31" t="n">
        <x:v>0</x:v>
      </x:c>
      <x:c r="L73" s="31" t="n">
        <x:v>0.09821040800000001</x:v>
      </x:c>
      <x:c r="M73" s="31" t="n">
        <x:v>0</x:v>
      </x:c>
      <x:c r="N73" s="24" t="str">
        <x:v>scomberomorus regalis</x:v>
      </x:c>
      <x:c r="O73" s="32" t="n">
        <x:v>4.51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Scomberomorus regalis</x:v>
      </x:c>
      <x:c r="T73" s="32" t="n">
        <x:f>IF(O73="","",(1/'Metadata'!$B$5)^(O73-1))</x:f>
        <x:v>3235.936569296281</x:v>
      </x:c>
      <x:c r="U73" s="31" t="n">
        <x:f>IF(T73="","",I73*T73)</x:f>
        <x:v>317.80265073270806</x:v>
      </x:c>
    </x:row>
    <x:row r="74" ht="18" customHeight="1">
      <x:c r="A74" s="24" t="str">
        <x:v>EEZ_670</x:v>
      </x:c>
      <x:c r="B74" s="24" t="str">
        <x:v>Saint Vincent &amp; the Grenadines</x:v>
      </x:c>
      <x:c r="C74" s="24" t="str">
        <x:v>EEZ</x:v>
      </x:c>
      <x:c r="D74" s="30" t="n">
        <x:v>2019</x:v>
      </x:c>
      <x:c r="E74" s="24" t="str">
        <x:v>Sparidae</x:v>
      </x:c>
      <x:c r="F74" s="24" t="str">
        <x:v>Porgies, seabreams</x:v>
      </x:c>
      <x:c r="G74" s="24" t="str">
        <x:v>Medium benthopelagics (30 - 89 cm)</x:v>
      </x:c>
      <x:c r="H74" s="24" t="str">
        <x:v>Perch-likes</x:v>
      </x:c>
      <x:c r="I74" s="31" t="n">
        <x:v>0.0835903116</x:v>
      </x:c>
      <x:c r="J74" s="31" t="n">
        <x:v>0.0835903116</x:v>
      </x:c>
      <x:c r="K74" s="31" t="n">
        <x:v>0</x:v>
      </x:c>
      <x:c r="L74" s="31" t="n">
        <x:v>0.0648066446</x:v>
      </x:c>
      <x:c r="M74" s="31" t="n">
        <x:v>0.018783667</x:v>
      </x:c>
      <x:c r="N74" s="24" t="str">
        <x:v>sparidae</x:v>
      </x:c>
      <x:c r="O74" s="32" t="n">
        <x:v>3.31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Sparidae</x:v>
      </x:c>
      <x:c r="T74" s="32" t="n">
        <x:f>IF(O74="","",(1/'Metadata'!$B$5)^(O74-1))</x:f>
        <x:v>204.17379446695296</x:v>
      </x:c>
      <x:c r="U74" s="31" t="n">
        <x:f>IF(T74="","",I74*T74)</x:f>
        <x:v>17.066951100046953</x:v>
      </x:c>
    </x:row>
    <x:row r="75" ht="18" customHeight="1">
      <x:c r="A75" s="24" t="str">
        <x:v>EEZ_670</x:v>
      </x:c>
      <x:c r="B75" s="24" t="str">
        <x:v>Saint Vincent &amp; the Grenadines</x:v>
      </x:c>
      <x:c r="C75" s="24" t="str">
        <x:v>EEZ</x:v>
      </x:c>
      <x:c r="D75" s="30" t="n">
        <x:v>2019</x:v>
      </x:c>
      <x:c r="E75" s="24" t="str">
        <x:v>Thunnus alalunga</x:v>
      </x:c>
      <x:c r="F75" s="24" t="str">
        <x:v>Albacore</x:v>
      </x:c>
      <x:c r="G75" s="24" t="str">
        <x:v>Large pelagics (&gt;=90 cm)</x:v>
      </x:c>
      <x:c r="H75" s="24" t="str">
        <x:v>Tuna &amp; billfishes</x:v>
      </x:c>
      <x:c r="I75" s="31" t="n">
        <x:v>0.07372729360000001</x:v>
      </x:c>
      <x:c r="J75" s="31" t="n">
        <x:v>0.07372729360000001</x:v>
      </x:c>
      <x:c r="K75" s="31" t="n">
        <x:v>0</x:v>
      </x:c>
      <x:c r="L75" s="31" t="n">
        <x:v>0.07372729360000001</x:v>
      </x:c>
      <x:c r="M75" s="31" t="n">
        <x:v>0</x:v>
      </x:c>
      <x:c r="N75" s="24" t="str">
        <x:v>thunnus alalunga</x:v>
      </x:c>
      <x:c r="O75" s="32" t="n">
        <x:v>4.3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alalunga</x:v>
      </x:c>
      <x:c r="T75" s="32" t="n">
        <x:f>IF(O75="","",(1/'Metadata'!$B$5)^(O75-1))</x:f>
        <x:v>1995.2623149688789</x:v>
      </x:c>
      <x:c r="U75" s="31" t="n">
        <x:f>IF(T75="","",I75*T75)</x:f>
        <x:v>147.1052905047262</x:v>
      </x:c>
    </x:row>
    <x:row r="76" ht="18" customHeight="1">
      <x:c r="A76" s="24" t="str">
        <x:v>EEZ_670</x:v>
      </x:c>
      <x:c r="B76" s="24" t="str">
        <x:v>Saint Vincent &amp; the Grenadines</x:v>
      </x:c>
      <x:c r="C76" s="24" t="str">
        <x:v>EEZ</x:v>
      </x:c>
      <x:c r="D76" s="30" t="n">
        <x:v>2019</x:v>
      </x:c>
      <x:c r="E76" s="24" t="str">
        <x:v>Sciaenidae</x:v>
      </x:c>
      <x:c r="F76" s="24" t="str">
        <x:v>Drums, croakers</x:v>
      </x:c>
      <x:c r="G76" s="24" t="str">
        <x:v>Medium demersals (30 - 89 cm)</x:v>
      </x:c>
      <x:c r="H76" s="24" t="str">
        <x:v>Perch-likes</x:v>
      </x:c>
      <x:c r="I76" s="31" t="n">
        <x:v>0.069246028</x:v>
      </x:c>
      <x:c r="J76" s="31" t="n">
        <x:v>0.069246028</x:v>
      </x:c>
      <x:c r="K76" s="31" t="n">
        <x:v>0</x:v>
      </x:c>
      <x:c r="L76" s="31" t="n">
        <x:v>0</x:v>
      </x:c>
      <x:c r="M76" s="31" t="n">
        <x:v>0.069246028</x:v>
      </x:c>
      <x:c r="N76" s="24" t="str">
        <x:v>sciaenidae</x:v>
      </x:c>
      <x:c r="O76" s="32" t="n">
        <x:v>3.76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Sciaenidae</x:v>
      </x:c>
      <x:c r="T76" s="32" t="n">
        <x:f>IF(O76="","",(1/'Metadata'!$B$5)^(O76-1))</x:f>
        <x:v>575.4399373371566</x:v>
      </x:c>
      <x:c r="U76" s="31" t="n">
        <x:f>IF(T76="","",I76*T76)</x:f>
        <x:v>39.84693001316699</x:v>
      </x:c>
    </x:row>
    <x:row r="77" ht="18" customHeight="1">
      <x:c r="A77" s="24" t="str">
        <x:v>EEZ_670</x:v>
      </x:c>
      <x:c r="B77" s="24" t="str">
        <x:v>Saint Vincent &amp; the Grenadines</x:v>
      </x:c>
      <x:c r="C77" s="24" t="str">
        <x:v>EEZ</x:v>
      </x:c>
      <x:c r="D77" s="30" t="n">
        <x:v>2019</x:v>
      </x:c>
      <x:c r="E77" s="24" t="str">
        <x:v>Carcharhinus</x:v>
      </x:c>
      <x:c r="F77" s="24" t="str">
        <x:v>Sharp-nosed sharks</x:v>
      </x:c>
      <x:c r="G77" s="24" t="str">
        <x:v>Large sharks (&gt;=90 cm)</x:v>
      </x:c>
      <x:c r="H77" s="24" t="str">
        <x:v>Sharks &amp; rays</x:v>
      </x:c>
      <x:c r="I77" s="31" t="n">
        <x:v>0.0533571959</x:v>
      </x:c>
      <x:c r="J77" s="31" t="n">
        <x:v>0.0533571959</x:v>
      </x:c>
      <x:c r="K77" s="31" t="n">
        <x:v>0</x:v>
      </x:c>
      <x:c r="L77" s="31" t="n">
        <x:v>0</x:v>
      </x:c>
      <x:c r="M77" s="31" t="n">
        <x:v>0.0533571959</x:v>
      </x:c>
      <x:c r="N77" s="24" t="str">
        <x:v>carcharhinus</x:v>
      </x:c>
      <x:c r="O77" s="32" t="n">
        <x:v>4.26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Carcharhinus</x:v>
      </x:c>
      <x:c r="T77" s="32" t="n">
        <x:f>IF(O77="","",(1/'Metadata'!$B$5)^(O77-1))</x:f>
        <x:v>1819.7008586099826</x:v>
      </x:c>
      <x:c r="U77" s="31" t="n">
        <x:f>IF(T77="","",I77*T77)</x:f>
        <x:v>97.09413519225104</x:v>
      </x:c>
    </x:row>
    <x:row r="78" ht="18" customHeight="1">
      <x:c r="A78" s="24" t="str">
        <x:v>EEZ_670</x:v>
      </x:c>
      <x:c r="B78" s="24" t="str">
        <x:v>Saint Vincent &amp; the Grenadines</x:v>
      </x:c>
      <x:c r="C78" s="24" t="str">
        <x:v>EEZ</x:v>
      </x:c>
      <x:c r="D78" s="30" t="n">
        <x:v>2019</x:v>
      </x:c>
      <x:c r="E78" s="24" t="str">
        <x:v>Mycteroperca bonaci</x:v>
      </x:c>
      <x:c r="F78" s="24" t="str">
        <x:v>Black grouper</x:v>
      </x:c>
      <x:c r="G78" s="24" t="str">
        <x:v>Large reef assoc. fish (&gt;=90 cm)</x:v>
      </x:c>
      <x:c r="H78" s="24" t="str">
        <x:v>Perch-likes</x:v>
      </x:c>
      <x:c r="I78" s="31" t="n">
        <x:v>0.0493312618</x:v>
      </x:c>
      <x:c r="J78" s="31" t="n">
        <x:v>0.0493312618</x:v>
      </x:c>
      <x:c r="K78" s="31" t="n">
        <x:v>0</x:v>
      </x:c>
      <x:c r="L78" s="31" t="n">
        <x:v>0.0382459738</x:v>
      </x:c>
      <x:c r="M78" s="31" t="n">
        <x:v>0.011085288</x:v>
      </x:c>
      <x:c r="N78" s="24" t="str">
        <x:v>mycteroperca bonaci</x:v>
      </x:c>
      <x:c r="O78" s="32" t="n">
        <x:v>4.3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Mycteroperca bonaci</x:v>
      </x:c>
      <x:c r="T78" s="32" t="n">
        <x:f>IF(O78="","",(1/'Metadata'!$B$5)^(O78-1))</x:f>
        <x:v>1995.2623149688789</x:v>
      </x:c>
      <x:c r="U78" s="31" t="n">
        <x:f>IF(T78="","",I78*T78)</x:f>
        <x:v>98.42880761940381</x:v>
      </x:c>
    </x:row>
    <x:row r="79" ht="18" customHeight="1">
      <x:c r="A79" s="24" t="str">
        <x:v>EEZ_670</x:v>
      </x:c>
      <x:c r="B79" s="24" t="str">
        <x:v>Saint Vincent &amp; the Grenadines</x:v>
      </x:c>
      <x:c r="C79" s="24" t="str">
        <x:v>EEZ</x:v>
      </x:c>
      <x:c r="D79" s="30" t="n">
        <x:v>2019</x:v>
      </x:c>
      <x:c r="E79" s="24" t="str">
        <x:v>Palinuridae</x:v>
      </x:c>
      <x:c r="F79" s="24" t="str">
        <x:v>Spiny lobsters</x:v>
      </x:c>
      <x:c r="G79" s="24" t="str">
        <x:v>Lobsters, crabs</x:v>
      </x:c>
      <x:c r="H79" s="24" t="str">
        <x:v>Crustaceans</x:v>
      </x:c>
      <x:c r="I79" s="31" t="n">
        <x:v>0.046164019</x:v>
      </x:c>
      <x:c r="J79" s="31" t="n">
        <x:v>0.046164019</x:v>
      </x:c>
      <x:c r="K79" s="31" t="n">
        <x:v>0</x:v>
      </x:c>
      <x:c r="L79" s="31" t="n">
        <x:v>0</x:v>
      </x:c>
      <x:c r="M79" s="31" t="n">
        <x:v>0.046164019</x:v>
      </x:c>
      <x:c r="N79" s="24" t="str">
        <x:v>palinuridae</x:v>
      </x:c>
      <x:c r="O79" s="32" t="n">
        <x:v>3.14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Palinuridae</x:v>
      </x:c>
      <x:c r="T79" s="32" t="n">
        <x:f>IF(O79="","",(1/'Metadata'!$B$5)^(O79-1))</x:f>
        <x:v>138.03842646028852</x:v>
      </x:c>
      <x:c r="U79" s="31" t="n">
        <x:f>IF(T79="","",I79*T79)</x:f>
        <x:v>6.372408541842862</x:v>
      </x:c>
    </x:row>
    <x:row r="80" ht="18" customHeight="1">
      <x:c r="A80" s="24" t="str">
        <x:v>EEZ_670</x:v>
      </x:c>
      <x:c r="B80" s="24" t="str">
        <x:v>Saint Vincent &amp; the Grenadines</x:v>
      </x:c>
      <x:c r="C80" s="24" t="str">
        <x:v>EEZ</x:v>
      </x:c>
      <x:c r="D80" s="30" t="n">
        <x:v>2019</x:v>
      </x:c>
      <x:c r="E80" s="24" t="str">
        <x:v>Kyphosus</x:v>
      </x:c>
      <x:c r="F80" s="24" t="str">
        <x:v>Sea chubs</x:v>
      </x:c>
      <x:c r="G80" s="24" t="str">
        <x:v>Medium reef assoc. fish (30 - 89 cm)</x:v>
      </x:c>
      <x:c r="H80" s="24" t="str">
        <x:v>Perch-likes</x:v>
      </x:c>
      <x:c r="I80" s="31" t="n">
        <x:v>0.0460243466</x:v>
      </x:c>
      <x:c r="J80" s="31" t="n">
        <x:v>0.0460243466</x:v>
      </x:c>
      <x:c r="K80" s="31" t="n">
        <x:v>0</x:v>
      </x:c>
      <x:c r="L80" s="31" t="n">
        <x:v>0.035682162600000004</x:v>
      </x:c>
      <x:c r="M80" s="31" t="n">
        <x:v>0.010342184</x:v>
      </x:c>
      <x:c r="N80" s="24" t="str">
        <x:v>kyphosus</x:v>
      </x:c>
      <x:c r="O80" s="32" t="n">
        <x:v>2.05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Kyphosus</x:v>
      </x:c>
      <x:c r="T80" s="32" t="n">
        <x:f>IF(O80="","",(1/'Metadata'!$B$5)^(O80-1))</x:f>
        <x:v>11.220184543019629</x:v>
      </x:c>
      <x:c r="U80" s="31" t="n">
        <x:f>IF(T80="","",I80*T80)</x:f>
        <x:v>0.5164016623238981</x:v>
      </x:c>
    </x:row>
    <x:row r="81" ht="18" customHeight="1">
      <x:c r="A81" s="24" t="str">
        <x:v>EEZ_670</x:v>
      </x:c>
      <x:c r="B81" s="24" t="str">
        <x:v>Saint Vincent &amp; the Grenadines</x:v>
      </x:c>
      <x:c r="C81" s="24" t="str">
        <x:v>EEZ</x:v>
      </x:c>
      <x:c r="D81" s="30" t="n">
        <x:v>2019</x:v>
      </x:c>
      <x:c r="E81" s="24" t="str">
        <x:v>Gymnothorax moringa</x:v>
      </x:c>
      <x:c r="F81" s="24" t="str">
        <x:v>Spotted moray</x:v>
      </x:c>
      <x:c r="G81" s="24" t="str">
        <x:v>Large reef assoc. fish (&gt;=90 cm)</x:v>
      </x:c>
      <x:c r="H81" s="24" t="str">
        <x:v>Other fishes &amp; inverts</x:v>
      </x:c>
      <x:c r="I81" s="31" t="n">
        <x:v>0.0439457518</x:v>
      </x:c>
      <x:c r="J81" s="31" t="n">
        <x:v>0.0439457518</x:v>
      </x:c>
      <x:c r="K81" s="31" t="n">
        <x:v>0</x:v>
      </x:c>
      <x:c r="L81" s="31" t="n">
        <x:v>0.0340706458</x:v>
      </x:c>
      <x:c r="M81" s="31" t="n">
        <x:v>0.009875106</x:v>
      </x:c>
      <x:c r="N81" s="24" t="str">
        <x:v>gymnothorax moringa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Gymnothorax moringa</x:v>
      </x:c>
      <x:c r="T81" s="32" t="n">
        <x:f>IF(O81="","",(1/'Metadata'!$B$5)^(O81-1))</x:f>
        <x:v>3162.2776601683795</x:v>
      </x:c>
      <x:c r="U81" s="31" t="n">
        <x:f>IF(T81="","",I81*T81)</x:f>
        <x:v>138.96866917644437</x:v>
      </x:c>
    </x:row>
    <x:row r="82" ht="18" customHeight="1">
      <x:c r="A82" s="24" t="str">
        <x:v>EEZ_670</x:v>
      </x:c>
      <x:c r="B82" s="24" t="str">
        <x:v>Saint Vincent &amp; the Grenadines</x:v>
      </x:c>
      <x:c r="C82" s="24" t="str">
        <x:v>EEZ</x:v>
      </x:c>
      <x:c r="D82" s="30" t="n">
        <x:v>2019</x:v>
      </x:c>
      <x:c r="E82" s="24" t="str">
        <x:v>Opisthonema oglinum</x:v>
      </x:c>
      <x:c r="F82" s="24" t="str">
        <x:v>Atlantic thread herring</x:v>
      </x:c>
      <x:c r="G82" s="24" t="str">
        <x:v>Small pelagics (&lt;30 cm)</x:v>
      </x:c>
      <x:c r="H82" s="24" t="str">
        <x:v>Herring-likes</x:v>
      </x:c>
      <x:c r="I82" s="31" t="n">
        <x:v>0.0417121426</x:v>
      </x:c>
      <x:c r="J82" s="31" t="n">
        <x:v>0.0417121426</x:v>
      </x:c>
      <x:c r="K82" s="31" t="n">
        <x:v>0</x:v>
      </x:c>
      <x:c r="L82" s="31" t="n">
        <x:v>0</x:v>
      </x:c>
      <x:c r="M82" s="31" t="n">
        <x:v>0.0417121426</x:v>
      </x:c>
      <x:c r="N82" s="24" t="str">
        <x:v>opisthonema oglinum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Opisthonema oglinum</x:v>
      </x:c>
      <x:c r="T82" s="32" t="n">
        <x:f>IF(O82="","",(1/'Metadata'!$B$5)^(O82-1))</x:f>
        <x:v>3162.2776601683795</x:v>
      </x:c>
      <x:c r="U82" s="31" t="n">
        <x:f>IF(T82="","",I82*T82)</x:f>
        <x:v>131.9053767017378</x:v>
      </x:c>
    </x:row>
    <x:row r="83" ht="18" customHeight="1">
      <x:c r="A83" s="24" t="str">
        <x:v>EEZ_670</x:v>
      </x:c>
      <x:c r="B83" s="24" t="str">
        <x:v>Saint Vincent &amp; the Grenadines</x:v>
      </x:c>
      <x:c r="C83" s="24" t="str">
        <x:v>EEZ</x:v>
      </x:c>
      <x:c r="D83" s="30" t="n">
        <x:v>2019</x:v>
      </x:c>
      <x:c r="E83" s="24" t="str">
        <x:v>Auxis</x:v>
      </x:c>
      <x:c r="F83" s="24" t="str">
        <x:v>Bullet and frigate tunas</x:v>
      </x:c>
      <x:c r="G83" s="24" t="str">
        <x:v>Medium pelagics (30 - 89 cm)</x:v>
      </x:c>
      <x:c r="H83" s="24" t="str">
        <x:v>Tuna &amp; billfishes</x:v>
      </x:c>
      <x:c r="I83" s="31" t="n">
        <x:v>0.0346230145</x:v>
      </x:c>
      <x:c r="J83" s="31" t="n">
        <x:v>0.0346230145</x:v>
      </x:c>
      <x:c r="K83" s="31" t="n">
        <x:v>0</x:v>
      </x:c>
      <x:c r="L83" s="31" t="n">
        <x:v>0</x:v>
      </x:c>
      <x:c r="M83" s="31" t="n">
        <x:v>0.0346230145</x:v>
      </x:c>
      <x:c r="N83" s="24" t="str">
        <x:v>auxis</x:v>
      </x:c>
      <x:c r="O83" s="32" t="n">
        <x:v>4.24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Auxis</x:v>
      </x:c>
      <x:c r="T83" s="32" t="n">
        <x:f>IF(O83="","",(1/'Metadata'!$B$5)^(O83-1))</x:f>
        <x:v>1737.8008287493763</x:v>
      </x:c>
      <x:c r="U83" s="31" t="n">
        <x:f>IF(T83="","",I83*T83)</x:f>
        <x:v>60.16790329190167</x:v>
      </x:c>
    </x:row>
    <x:row r="84" ht="18" customHeight="1">
      <x:c r="A84" s="24" t="str">
        <x:v>EEZ_670</x:v>
      </x:c>
      <x:c r="B84" s="24" t="str">
        <x:v>Saint Vincent &amp; the Grenadines</x:v>
      </x:c>
      <x:c r="C84" s="24" t="str">
        <x:v>EEZ</x:v>
      </x:c>
      <x:c r="D84" s="30" t="n">
        <x:v>2019</x:v>
      </x:c>
      <x:c r="E84" s="24" t="str">
        <x:v>Sardinella brasiliensis</x:v>
      </x:c>
      <x:c r="F84" s="24" t="str">
        <x:v>Brazilian sardinella</x:v>
      </x:c>
      <x:c r="G84" s="24" t="str">
        <x:v>Small pelagics (&lt;30 cm)</x:v>
      </x:c>
      <x:c r="H84" s="24" t="str">
        <x:v>Herring-likes</x:v>
      </x:c>
      <x:c r="I84" s="31" t="n">
        <x:v>0.025421479400000002</x:v>
      </x:c>
      <x:c r="J84" s="31" t="n">
        <x:v>0.025421479400000002</x:v>
      </x:c>
      <x:c r="K84" s="31" t="n">
        <x:v>0</x:v>
      </x:c>
      <x:c r="L84" s="31" t="n">
        <x:v>0</x:v>
      </x:c>
      <x:c r="M84" s="31" t="n">
        <x:v>0.025421479400000002</x:v>
      </x:c>
      <x:c r="N84" s="24" t="str">
        <x:v>sardinella brasiliensis</x:v>
      </x:c>
      <x:c r="O84" s="32" t="n">
        <x:v>3.1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brasiliensis</x:v>
      </x:c>
      <x:c r="T84" s="32" t="n">
        <x:f>IF(O84="","",(1/'Metadata'!$B$5)^(O84-1))</x:f>
        <x:v>125.89254117941675</x:v>
      </x:c>
      <x:c r="U84" s="31" t="n">
        <x:f>IF(T84="","",I84*T84)</x:f>
        <x:v>3.200374642206195</x:v>
      </x:c>
    </x:row>
    <x:row r="85" ht="18" customHeight="1">
      <x:c r="A85" s="24" t="str">
        <x:v>EEZ_670</x:v>
      </x:c>
      <x:c r="B85" s="24" t="str">
        <x:v>Saint Vincent &amp; the Grenadines</x:v>
      </x:c>
      <x:c r="C85" s="24" t="str">
        <x:v>EEZ</x:v>
      </x:c>
      <x:c r="D85" s="30" t="n">
        <x:v>2019</x:v>
      </x:c>
      <x:c r="E85" s="24" t="str">
        <x:v>Cittarium pica</x:v>
      </x:c>
      <x:c r="F85" s="24" t="str">
        <x:v>West Indian top shell</x:v>
      </x:c>
      <x:c r="G85" s="24" t="str">
        <x:v>Other demersal invertebrates</x:v>
      </x:c>
      <x:c r="H85" s="24" t="str">
        <x:v>Molluscs</x:v>
      </x:c>
      <x:c r="I85" s="31" t="n">
        <x:v>0.022180622</x:v>
      </x:c>
      <x:c r="J85" s="31" t="n">
        <x:v>0.022180622</x:v>
      </x:c>
      <x:c r="K85" s="31" t="n">
        <x:v>0</x:v>
      </x:c>
      <x:c r="L85" s="31" t="n">
        <x:v>0.017196389000000003</x:v>
      </x:c>
      <x:c r="M85" s="31" t="n">
        <x:v>0.004984233</x:v>
      </x:c>
      <x:c r="N85" s="24" t="str">
        <x:v>cittarium pica</x:v>
      </x:c>
      <x:c r="O85" s="32" t="n">
        <x:v>2.03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Cittarium pica</x:v>
      </x:c>
      <x:c r="T85" s="32" t="n">
        <x:f>IF(O85="","",(1/'Metadata'!$B$5)^(O85-1))</x:f>
        <x:v>10.71519305237606</x:v>
      </x:c>
      <x:c r="U85" s="31" t="n">
        <x:f>IF(T85="","",I85*T85)</x:f>
        <x:v>0.2376696467517796</x:v>
      </x:c>
    </x:row>
    <x:row r="86" ht="18" customHeight="1">
      <x:c r="A86" s="24" t="str">
        <x:v>EEZ_670</x:v>
      </x:c>
      <x:c r="B86" s="24" t="str">
        <x:v>Saint Vincent &amp; the Grenadines</x:v>
      </x:c>
      <x:c r="C86" s="24" t="str">
        <x:v>EEZ</x:v>
      </x:c>
      <x:c r="D86" s="30" t="n">
        <x:v>2019</x:v>
      </x:c>
      <x:c r="E86" s="24" t="str">
        <x:v>Istiophoridae</x:v>
      </x:c>
      <x:c r="F86" s="24" t="str">
        <x:v>Billfishes</x:v>
      </x:c>
      <x:c r="G86" s="24" t="str">
        <x:v>Large pelagics (&gt;=90 cm)</x:v>
      </x:c>
      <x:c r="H86" s="24" t="str">
        <x:v>Tuna &amp; billfishes</x:v>
      </x:c>
      <x:c r="I86" s="31" t="n">
        <x:v>0.0201958161</x:v>
      </x:c>
      <x:c r="J86" s="31" t="n">
        <x:v>0.0201958161</x:v>
      </x:c>
      <x:c r="K86" s="31" t="n">
        <x:v>0</x:v>
      </x:c>
      <x:c r="L86" s="31" t="n">
        <x:v>0.0007103951</x:v>
      </x:c>
      <x:c r="M86" s="31" t="n">
        <x:v>0.019485421</x:v>
      </x:c>
      <x:c r="N86" s="24" t="str">
        <x:v>istiophoridae</x:v>
      </x:c>
      <x:c r="O86" s="32" t="n">
        <x:v>4.48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Istiophoridae</x:v>
      </x:c>
      <x:c r="T86" s="32" t="n">
        <x:f>IF(O86="","",(1/'Metadata'!$B$5)^(O86-1))</x:f>
        <x:v>3019.951720402019</x:v>
      </x:c>
      <x:c r="U86" s="31" t="n">
        <x:f>IF(T86="","",I86*T86)</x:f>
        <x:v>60.99038957611779</x:v>
      </x:c>
    </x:row>
    <x:row r="87" ht="18" customHeight="1">
      <x:c r="A87" s="24" t="str">
        <x:v>EEZ_670</x:v>
      </x:c>
      <x:c r="B87" s="24" t="str">
        <x:v>Saint Vincent &amp; the Grenadines</x:v>
      </x:c>
      <x:c r="C87" s="24" t="str">
        <x:v>EEZ</x:v>
      </x:c>
      <x:c r="D87" s="30" t="n">
        <x:v>2019</x:v>
      </x:c>
      <x:c r="E87" s="24" t="str">
        <x:v>Trachinotus carolinus</x:v>
      </x:c>
      <x:c r="F87" s="24" t="str">
        <x:v>Florida pompano</x:v>
      </x:c>
      <x:c r="G87" s="24" t="str">
        <x:v>Medium benthopelagics (30 - 89 cm)</x:v>
      </x:c>
      <x:c r="H87" s="24" t="str">
        <x:v>Perch-likes</x:v>
      </x:c>
      <x:c r="I87" s="31" t="n">
        <x:v>0.0200720736</x:v>
      </x:c>
      <x:c r="J87" s="31" t="n">
        <x:v>0.0200720736</x:v>
      </x:c>
      <x:c r="K87" s="31" t="n">
        <x:v>0</x:v>
      </x:c>
      <x:c r="L87" s="31" t="n">
        <x:v>0.0155616556</x:v>
      </x:c>
      <x:c r="M87" s="31" t="n">
        <x:v>0.004510418</x:v>
      </x:c>
      <x:c r="N87" s="24" t="str">
        <x:v>trachinotus carolinus</x:v>
      </x:c>
      <x:c r="O87" s="32" t="n">
        <x:v>3.5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Trachinotus carolinus</x:v>
      </x:c>
      <x:c r="T87" s="32" t="n">
        <x:f>IF(O87="","",(1/'Metadata'!$B$5)^(O87-1))</x:f>
        <x:v>316.22776601683796</x:v>
      </x:c>
      <x:c r="U87" s="31" t="n">
        <x:f>IF(T87="","",I87*T87)</x:f>
        <x:v>6.3473469938535505</x:v>
      </x:c>
    </x:row>
    <x:row r="88" ht="18" customHeight="1">
      <x:c r="A88" s="24" t="str">
        <x:v>EEZ_670</x:v>
      </x:c>
      <x:c r="B88" s="24" t="str">
        <x:v>Saint Vincent &amp; the Grenadines</x:v>
      </x:c>
      <x:c r="C88" s="24" t="str">
        <x:v>EEZ</x:v>
      </x:c>
      <x:c r="D88" s="30" t="n">
        <x:v>2019</x:v>
      </x:c>
      <x:c r="E88" s="24" t="str">
        <x:v>Ruvettus pretiosus</x:v>
      </x:c>
      <x:c r="F88" s="24" t="str">
        <x:v>Oilfish</x:v>
      </x:c>
      <x:c r="G88" s="24" t="str">
        <x:v>Large benthopelagics (&gt;=90 cm)</x:v>
      </x:c>
      <x:c r="H88" s="24" t="str">
        <x:v>Perch-likes</x:v>
      </x:c>
      <x:c r="I88" s="31" t="n">
        <x:v>0.0199235353</x:v>
      </x:c>
      <x:c r="J88" s="31" t="n">
        <x:v>0.0199235353</x:v>
      </x:c>
      <x:c r="K88" s="31" t="n">
        <x:v>0</x:v>
      </x:c>
      <x:c r="L88" s="31" t="n">
        <x:v>0.0199235353</x:v>
      </x:c>
      <x:c r="M88" s="31" t="n">
        <x:v>0</x:v>
      </x:c>
      <x:c r="N88" s="24" t="str">
        <x:v>ruvettus pretiosus</x:v>
      </x:c>
      <x:c r="O88" s="32" t="n">
        <x:v>4.18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Ruvettus pretiosus</x:v>
      </x:c>
      <x:c r="T88" s="32" t="n">
        <x:f>IF(O88="","",(1/'Metadata'!$B$5)^(O88-1))</x:f>
        <x:v>1513.5612484362073</x:v>
      </x:c>
      <x:c r="U88" s="31" t="n">
        <x:f>IF(T88="","",I88*T88)</x:f>
        <x:v>30.155490961930845</x:v>
      </x:c>
    </x:row>
    <x:row r="89" ht="18" customHeight="1">
      <x:c r="A89" s="24" t="str">
        <x:v>EEZ_670</x:v>
      </x:c>
      <x:c r="B89" s="24" t="str">
        <x:v>Saint Vincent &amp; the Grenadines</x:v>
      </x:c>
      <x:c r="C89" s="24" t="str">
        <x:v>EEZ</x:v>
      </x:c>
      <x:c r="D89" s="30" t="n">
        <x:v>2019</x:v>
      </x:c>
      <x:c r="E89" s="24" t="str">
        <x:v>Katsuwonus pelamis</x:v>
      </x:c>
      <x:c r="F89" s="24" t="str">
        <x:v>Skipjack tuna</x:v>
      </x:c>
      <x:c r="G89" s="24" t="str">
        <x:v>Large pelagics (&gt;=90 cm)</x:v>
      </x:c>
      <x:c r="H89" s="24" t="str">
        <x:v>Tuna &amp; billfishes</x:v>
      </x:c>
      <x:c r="I89" s="31" t="n">
        <x:v>0.0163161956</x:v>
      </x:c>
      <x:c r="J89" s="31" t="n">
        <x:v>0.0163161956</x:v>
      </x:c>
      <x:c r="K89" s="31" t="n">
        <x:v>0</x:v>
      </x:c>
      <x:c r="L89" s="31" t="n">
        <x:v>0.0163161956</x:v>
      </x:c>
      <x:c r="M89" s="31" t="n">
        <x:v>0</x:v>
      </x:c>
      <x:c r="N89" s="24" t="str">
        <x:v>katsuwonus pelamis</x:v>
      </x:c>
      <x:c r="O89" s="32" t="n">
        <x:v>4.43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Katsuwonus pelamis</x:v>
      </x:c>
      <x:c r="T89" s="32" t="n">
        <x:f>IF(O89="","",(1/'Metadata'!$B$5)^(O89-1))</x:f>
        <x:v>2691.534803926914</x:v>
      </x:c>
      <x:c r="U89" s="31" t="n">
        <x:f>IF(T89="","",I89*T89)</x:f>
        <x:v>43.91560832507917</x:v>
      </x:c>
    </x:row>
    <x:row r="90" ht="18" customHeight="1">
      <x:c r="A90" s="24" t="str">
        <x:v>EEZ_670</x:v>
      </x:c>
      <x:c r="B90" s="24" t="str">
        <x:v>Saint Vincent &amp; the Grenadines</x:v>
      </x:c>
      <x:c r="C90" s="24" t="str">
        <x:v>EEZ</x:v>
      </x:c>
      <x:c r="D90" s="30" t="n">
        <x:v>2019</x:v>
      </x:c>
      <x:c r="E90" s="24" t="str">
        <x:v>Thunnus</x:v>
      </x:c>
      <x:c r="F90" s="24" t="str">
        <x:v>Tunas</x:v>
      </x:c>
      <x:c r="G90" s="24" t="str">
        <x:v>Large pelagics (&gt;=90 cm)</x:v>
      </x:c>
      <x:c r="H90" s="24" t="str">
        <x:v>Tuna &amp; billfishes</x:v>
      </x:c>
      <x:c r="I90" s="31" t="n">
        <x:v>0.0147502435</x:v>
      </x:c>
      <x:c r="J90" s="31" t="n">
        <x:v>0.0147502435</x:v>
      </x:c>
      <x:c r="K90" s="31" t="n">
        <x:v>0</x:v>
      </x:c>
      <x:c r="L90" s="31" t="n">
        <x:v>0.0001361775</x:v>
      </x:c>
      <x:c r="M90" s="31" t="n">
        <x:v>0.014614066</x:v>
      </x:c>
      <x:c r="N90" s="24" t="str">
        <x:v>thunnus</x:v>
      </x:c>
      <x:c r="O90" s="32" t="n">
        <x:v>4.34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Thunnus</x:v>
      </x:c>
      <x:c r="T90" s="32" t="n">
        <x:f>IF(O90="","",(1/'Metadata'!$B$5)^(O90-1))</x:f>
        <x:v>2187.761623949552</x:v>
      </x:c>
      <x:c r="U90" s="31" t="n">
        <x:f>IF(T90="","",I90*T90)</x:f>
        <x:v>32.27001667321132</x:v>
      </x:c>
    </x:row>
    <x:row r="91" ht="18" customHeight="1">
      <x:c r="A91" s="24" t="str">
        <x:v>EEZ_670</x:v>
      </x:c>
      <x:c r="B91" s="24" t="str">
        <x:v>Saint Vincent &amp; the Grenadines</x:v>
      </x:c>
      <x:c r="C91" s="24" t="str">
        <x:v>EEZ</x:v>
      </x:c>
      <x:c r="D91" s="30" t="n">
        <x:v>2019</x:v>
      </x:c>
      <x:c r="E91" s="24" t="str">
        <x:v>Prionace glauca</x:v>
      </x:c>
      <x:c r="F91" s="24" t="str">
        <x:v>Blue shark</x:v>
      </x:c>
      <x:c r="G91" s="24" t="str">
        <x:v>Large sharks (&gt;=90 cm)</x:v>
      </x:c>
      <x:c r="H91" s="24" t="str">
        <x:v>Sharks &amp; rays</x:v>
      </x:c>
      <x:c r="I91" s="31" t="n">
        <x:v>0.0043901446</x:v>
      </x:c>
      <x:c r="J91" s="31" t="n">
        <x:v>0.0043901446</x:v>
      </x:c>
      <x:c r="K91" s="31" t="n">
        <x:v>0</x:v>
      </x:c>
      <x:c r="L91" s="31" t="n">
        <x:v>0.0043901446</x:v>
      </x:c>
      <x:c r="M91" s="31" t="n">
        <x:v>0</x:v>
      </x:c>
      <x:c r="N91" s="24" t="str">
        <x:v>prionace glauca</x:v>
      </x:c>
      <x:c r="O91" s="32" t="n">
        <x:v>4.35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Prionace glauca</x:v>
      </x:c>
      <x:c r="T91" s="32" t="n">
        <x:f>IF(O91="","",(1/'Metadata'!$B$5)^(O91-1))</x:f>
        <x:v>2238.7211385683377</x:v>
      </x:c>
      <x:c r="U91" s="31" t="n">
        <x:f>IF(T91="","",I91*T91)</x:f>
        <x:v>9.828309517391638</x:v>
      </x:c>
    </x:row>
    <x:row r="92" ht="18" customHeight="1">
      <x:c r="A92" s="24" t="str">
        <x:v>EEZ_670</x:v>
      </x:c>
      <x:c r="B92" s="24" t="str">
        <x:v>Saint Vincent &amp; the Grenadines</x:v>
      </x:c>
      <x:c r="C92" s="24" t="str">
        <x:v>EEZ</x:v>
      </x:c>
      <x:c r="D92" s="30" t="n">
        <x:v>2019</x:v>
      </x:c>
      <x:c r="E92" s="24" t="str">
        <x:v>Caranx hippos</x:v>
      </x:c>
      <x:c r="F92" s="24" t="str">
        <x:v>Crevalle jack</x:v>
      </x:c>
      <x:c r="G92" s="24" t="str">
        <x:v>Large reef assoc. fish (&gt;=90 cm)</x:v>
      </x:c>
      <x:c r="H92" s="24" t="str">
        <x:v>Perch-likes</x:v>
      </x:c>
      <x:c r="I92" s="31" t="n">
        <x:v>0.0027354992</x:v>
      </x:c>
      <x:c r="J92" s="31" t="n">
        <x:v>0.0027354992</x:v>
      </x:c>
      <x:c r="K92" s="31" t="n">
        <x:v>0</x:v>
      </x:c>
      <x:c r="L92" s="31" t="n">
        <x:v>0.0027354992</x:v>
      </x:c>
      <x:c r="M92" s="31" t="n">
        <x:v>0</x:v>
      </x:c>
      <x:c r="N92" s="24" t="str">
        <x:v>caranx hippos</x:v>
      </x:c>
      <x:c r="O92" s="32" t="n">
        <x:v>3.56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Caranx hippos</x:v>
      </x:c>
      <x:c r="T92" s="32" t="n">
        <x:f>IF(O92="","",(1/'Metadata'!$B$5)^(O92-1))</x:f>
        <x:v>363.0780547701014</x:v>
      </x:c>
      <x:c r="U92" s="31" t="n">
        <x:f>IF(T92="","",I92*T92)</x:f>
        <x:v>0.9931997283611685</x:v>
      </x:c>
    </x:row>
    <x:row r="93" ht="18" customHeight="1">
      <x:c r="A93" s="24" t="str">
        <x:v>EEZ_670</x:v>
      </x:c>
      <x:c r="B93" s="24" t="str">
        <x:v>Saint Vincent &amp; the Grenadines</x:v>
      </x:c>
      <x:c r="C93" s="24" t="str">
        <x:v>EEZ</x:v>
      </x:c>
      <x:c r="D93" s="30" t="n">
        <x:v>2019</x:v>
      </x:c>
      <x:c r="E93" s="24" t="str">
        <x:v>Bothidae</x:v>
      </x:c>
      <x:c r="F93" s="24" t="str">
        <x:v>Lefteye flounders</x:v>
      </x:c>
      <x:c r="G93" s="24" t="str">
        <x:v>Small to medium flatfishes (&lt;90 cm)</x:v>
      </x:c>
      <x:c r="H93" s="24" t="str">
        <x:v>Flatfishes</x:v>
      </x:c>
      <x:c r="I93" s="31" t="n">
        <x:v>0.0021977896</x:v>
      </x:c>
      <x:c r="J93" s="31" t="n">
        <x:v>0.0021977896</x:v>
      </x:c>
      <x:c r="K93" s="31" t="n">
        <x:v>0</x:v>
      </x:c>
      <x:c r="L93" s="31" t="n">
        <x:v>0.0017039176</x:v>
      </x:c>
      <x:c r="M93" s="31" t="n">
        <x:v>0.000493872</x:v>
      </x:c>
      <x:c r="N93" s="24" t="str">
        <x:v>bothidae</x:v>
      </x:c>
      <x:c r="O93" s="32" t="n">
        <x:v>3.77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Bothidae</x:v>
      </x:c>
      <x:c r="T93" s="32" t="n">
        <x:f>IF(O93="","",(1/'Metadata'!$B$5)^(O93-1))</x:f>
        <x:v>588.843655355589</x:v>
      </x:c>
      <x:c r="U93" s="31" t="n">
        <x:f>IF(T93="","",I93*T93)</x:f>
        <x:v>1.294154461766498</x:v>
      </x:c>
    </x:row>
    <x:row r="94" ht="18" customHeight="1">
      <x:c r="A94" s="24" t="str">
        <x:v>EEZ_670</x:v>
      </x:c>
      <x:c r="B94" s="24" t="str">
        <x:v>Saint Vincent &amp; the Grenadines</x:v>
      </x:c>
      <x:c r="C94" s="24" t="str">
        <x:v>EEZ</x:v>
      </x:c>
      <x:c r="D94" s="30" t="n">
        <x:v>2019</x:v>
      </x:c>
      <x:c r="E94" s="24" t="str">
        <x:v>Lutjanus griseus</x:v>
      </x:c>
      <x:c r="F94" s="24" t="str">
        <x:v>Grey snapper</x:v>
      </x:c>
      <x:c r="G94" s="24" t="str">
        <x:v>Medium reef assoc. fish (30 - 89 cm)</x:v>
      </x:c>
      <x:c r="H94" s="24" t="str">
        <x:v>Perch-likes</x:v>
      </x:c>
      <x:c r="I94" s="31" t="n">
        <x:v>0.0012192106</x:v>
      </x:c>
      <x:c r="J94" s="31" t="n">
        <x:v>0.0012192106</x:v>
      </x:c>
      <x:c r="K94" s="31" t="n">
        <x:v>0</x:v>
      </x:c>
      <x:c r="L94" s="31" t="n">
        <x:v>0.0009452505999999999</x:v>
      </x:c>
      <x:c r="M94" s="31" t="n">
        <x:v>0.00027396</x:v>
      </x:c>
      <x:c r="N94" s="24" t="str">
        <x:v>lutjanus griseus</x:v>
      </x:c>
      <x:c r="O94" s="32" t="n">
        <x:v>4.23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Lutjanus griseus</x:v>
      </x:c>
      <x:c r="T94" s="32" t="n">
        <x:f>IF(O94="","",(1/'Metadata'!$B$5)^(O94-1))</x:f>
        <x:v>1698.243652461746</x:v>
      </x:c>
      <x:c r="U94" s="31" t="n">
        <x:f>IF(T94="","",I94*T94)</x:f>
        <x:v>2.070516662464077</x:v>
      </x:c>
    </x:row>
  </x:sheetData>
  <x:conditionalFormatting sqref="R2:R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ce0c7d1d83d4b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0.524168632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83.07512965584549</x:v>
      </x:c>
    </x:row>
    <x:row r="3" ht="18" customHeight="1">
      <x:c r="A3" s="24" t="str">
        <x:v>Crustaceans</x:v>
      </x:c>
      <x:c r="B3" s="31" t="n">
        <x:v>90.15631978900001</x:v>
      </x:c>
      <x:c r="C3" s="32" t="n">
        <x:v>3.1999692773490924</x:v>
      </x:c>
      <x:c r="D3" s="32" t="n">
        <x:f>IF(C3="","",(1/'Metadata'!$B$5)^(C3-1))</x:f>
        <x:v>158.4781078676412</x:v>
      </x:c>
      <x:c r="E3" s="31" t="n">
        <x:f>IF(B3=0,"",B3*D3)</x:f>
        <x:v>14287.802972470698</x:v>
      </x:c>
    </x:row>
    <x:row r="4" ht="18" customHeight="1">
      <x:c r="A4" s="24" t="str">
        <x:v>Flatfishes</x:v>
      </x:c>
      <x:c r="B4" s="31" t="n">
        <x:v>0.0021977896</x:v>
      </x:c>
      <x:c r="C4" s="32" t="n">
        <x:v>3.77</x:v>
      </x:c>
      <x:c r="D4" s="32" t="n">
        <x:f>IF(C4="","",(1/'Metadata'!$B$5)^(C4-1))</x:f>
        <x:v>588.843655355589</x:v>
      </x:c>
      <x:c r="E4" s="31" t="n">
        <x:f>IF(B4=0,"",B4*D4)</x:f>
        <x:v>1.294154461766498</x:v>
      </x:c>
    </x:row>
    <x:row r="5" ht="18" customHeight="1">
      <x:c r="A5" s="24" t="str">
        <x:v>Herring-likes</x:v>
      </x:c>
      <x:c r="B5" s="31" t="n">
        <x:v>2.8404086308999994</x:v>
      </x:c>
      <x:c r="C5" s="32" t="n">
        <x:v>3.3841778620378444</x:v>
      </x:c>
      <x:c r="D5" s="32" t="n">
        <x:f>IF(C5="","",(1/'Metadata'!$B$5)^(C5-1))</x:f>
        <x:v>242.20207640300637</x:v>
      </x:c>
      <x:c r="E5" s="31" t="n">
        <x:f>IF(B5=0,"",B5*D5)</x:f>
        <x:v>687.9528682370004</x:v>
      </x:c>
    </x:row>
    <x:row r="6" ht="18" customHeight="1">
      <x:c r="A6" s="24" t="str">
        <x:v>Molluscs</x:v>
      </x:c>
      <x:c r="B6" s="31" t="n">
        <x:v>223.7580623267</x:v>
      </x:c>
      <x:c r="C6" s="32" t="n">
        <x:v>2.1899841395680535</x:v>
      </x:c>
      <x:c r="D6" s="32" t="n">
        <x:f>IF(C6="","",(1/'Metadata'!$B$5)^(C6-1))</x:f>
        <x:v>15.487600571714141</x:v>
      </x:c>
      <x:c r="E6" s="31" t="n">
        <x:f>IF(B6=0,"",B6*D6)</x:f>
        <x:v>3465.4754940166476</x:v>
      </x:c>
    </x:row>
    <x:row r="7" ht="18" customHeight="1">
      <x:c r="A7" s="24" t="str">
        <x:v>Other fishes &amp; inverts</x:v>
      </x:c>
      <x:c r="B7" s="31" t="n">
        <x:v>243.88561926469998</x:v>
      </x:c>
      <x:c r="C7" s="32" t="n">
        <x:v>3.2404829026512427</x:v>
      </x:c>
      <x:c r="D7" s="32" t="n">
        <x:f>IF(C7="","",(1/'Metadata'!$B$5)^(C7-1))</x:f>
        <x:v>173.97342066592296</x:v>
      </x:c>
      <x:c r="E7" s="31" t="n">
        <x:f>IF(B7=0,"",B7*D7)</x:f>
        <x:v>42429.61543470677</x:v>
      </x:c>
    </x:row>
    <x:row r="8" ht="18" customHeight="1">
      <x:c r="A8" s="24" t="str">
        <x:v>Perch-likes</x:v>
      </x:c>
      <x:c r="B8" s="31" t="n">
        <x:v>882.8221688563001</x:v>
      </x:c>
      <x:c r="C8" s="32" t="n">
        <x:v>3.8329353922834044</x:v>
      </x:c>
      <x:c r="D8" s="32" t="n">
        <x:f>IF(C8="","",(1/'Metadata'!$B$5)^(C8-1))</x:f>
        <x:v>680.6680917326554</x:v>
      </x:c>
      <x:c r="E8" s="31" t="n">
        <x:f>IF(B8=0,"",B8*D8)</x:f>
        <x:v>600908.8810147019</x:v>
      </x:c>
    </x:row>
    <x:row r="9" ht="18" customHeight="1">
      <x:c r="A9" s="24" t="str">
        <x:v>Sharks &amp; rays</x:v>
      </x:c>
      <x:c r="B9" s="31" t="n">
        <x:v>24.5396861419</x:v>
      </x:c>
      <x:c r="C9" s="32" t="n">
        <x:v>4.402141425402393</x:v>
      </x:c>
      <x:c r="D9" s="32" t="n">
        <x:f>IF(C9="","",(1/'Metadata'!$B$5)^(C9-1))</x:f>
        <x:v>2524.3026627266568</x:v>
      </x:c>
      <x:c r="E9" s="31" t="n">
        <x:f>IF(B9=0,"",B9*D9)</x:f>
        <x:v>61945.59507047461</x:v>
      </x:c>
    </x:row>
    <x:row r="10" ht="18" customHeight="1">
      <x:c r="A10" s="24" t="str">
        <x:v>Tuna &amp; billfishes</x:v>
      </x:c>
      <x:c r="B10" s="31" t="n">
        <x:v>226.2619736568</x:v>
      </x:c>
      <x:c r="C10" s="32" t="n">
        <x:v>4.494062601178597</x:v>
      </x:c>
      <x:c r="D10" s="32" t="n">
        <x:f>IF(C10="","",(1/'Metadata'!$B$5)^(C10-1))</x:f>
        <x:v>3119.339187403501</x:v>
      </x:c>
      <x:c r="E10" s="31" t="n">
        <x:f>IF(B10=0,"",B10*D10)</x:f>
        <x:v>705787.8410469148</x:v>
      </x:c>
    </x:row>
  </x:sheetData>
  <x:pageMargins left="0.7" right="0.7" top="0.75" bottom="0.75" header="0.3" footer="0.3"/>
  <x:tableParts count="1">
    <x:tablePart xmlns:r="http://schemas.openxmlformats.org/officeDocument/2006/relationships" r:id="R6fbe213bcb4040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2.5278421862</x:v>
      </x:c>
      <x:c r="C2" s="32" t="n">
        <x:v>4.480123093041449</x:v>
      </x:c>
      <x:c r="D2" s="32" t="n">
        <x:f>IF(C2="","",(1/'Metadata'!$B$5)^(C2-1))</x:f>
        <x:v>3020.807793282525</x:v>
      </x:c>
      <x:c r="E2" s="31" t="n">
        <x:f>IF(B2=0,"",B2*D2)</x:f>
        <x:v>7636.125376261295</x:v>
      </x:c>
    </x:row>
    <x:row r="3" ht="18" customHeight="1">
      <x:c r="A3" s="24" t="str">
        <x:v>Large pelagics (&gt;=90 cm)</x:v>
      </x:c>
      <x:c r="B3" s="31" t="n">
        <x:v>362.32639603279995</x:v>
      </x:c>
      <x:c r="C3" s="32" t="n">
        <x:v>4.435451419890124</x:v>
      </x:c>
      <x:c r="D3" s="32" t="n">
        <x:f>IF(C3="","",(1/'Metadata'!$B$5)^(C3-1))</x:f>
        <x:v>2725.532844216922</x:v>
      </x:c>
      <x:c r="E3" s="31" t="n">
        <x:f>IF(B3=0,"",B3*D3)</x:f>
        <x:v>987532.4927141442</x:v>
      </x:c>
    </x:row>
    <x:row r="4" ht="18" customHeight="1">
      <x:c r="A4" s="24" t="str">
        <x:v>Large rays (&gt;=90 cm)</x:v>
      </x:c>
      <x:c r="B4" s="31" t="n">
        <x:v>0.11728503059999999</x:v>
      </x:c>
      <x:c r="C4" s="32" t="n">
        <x:v>3.38</x:v>
      </x:c>
      <x:c r="D4" s="32" t="n">
        <x:f>IF(C4="","",(1/'Metadata'!$B$5)^(C4-1))</x:f>
        <x:v>239.88329190194898</x:v>
      </x:c>
      <x:c r="E4" s="31" t="n">
        <x:f>IF(B4=0,"",B4*D4)</x:f>
        <x:v>28.134719231148818</x:v>
      </x:c>
    </x:row>
    <x:row r="5" ht="18" customHeight="1">
      <x:c r="A5" s="24" t="str">
        <x:v>Large reef assoc. fish (&gt;=90 cm)</x:v>
      </x:c>
      <x:c r="B5" s="31" t="n">
        <x:v>4.4464720198</x:v>
      </x:c>
      <x:c r="C5" s="32" t="n">
        <x:v>4.386475107092499</x:v>
      </x:c>
      <x:c r="D5" s="32" t="n">
        <x:f>IF(C5="","",(1/'Metadata'!$B$5)^(C5-1))</x:f>
        <x:v>2434.8662341975596</x:v>
      </x:c>
      <x:c r="E5" s="31" t="n">
        <x:f>IF(B5=0,"",B5*D5)</x:f>
        <x:v>10826.564582315243</x:v>
      </x:c>
    </x:row>
    <x:row r="6" ht="18" customHeight="1">
      <x:c r="A6" s="24" t="str">
        <x:v>Large sharks (&gt;=90 cm)</x:v>
      </x:c>
      <x:c r="B6" s="31" t="n">
        <x:v>24.422401111299997</x:v>
      </x:c>
      <x:c r="C6" s="32" t="n">
        <x:v>4.407050110990248</x:v>
      </x:c>
      <x:c r="D6" s="32" t="n">
        <x:f>IF(C6="","",(1/'Metadata'!$B$5)^(C6-1))</x:f>
        <x:v>2552.995862632921</x:v>
      </x:c>
      <x:c r="E6" s="31" t="n">
        <x:f>IF(B6=0,"",B6*D6)</x:f>
        <x:v>62350.28899271055</x:v>
      </x:c>
    </x:row>
    <x:row r="7" ht="18" customHeight="1">
      <x:c r="A7" s="24" t="str">
        <x:v>Lobsters, crabs</x:v>
      </x:c>
      <x:c r="B7" s="31" t="n">
        <x:v>90.15631978900001</x:v>
      </x:c>
      <x:c r="C7" s="32" t="n">
        <x:v>3.1999692773490924</x:v>
      </x:c>
      <x:c r="D7" s="32" t="n">
        <x:f>IF(C7="","",(1/'Metadata'!$B$5)^(C7-1))</x:f>
        <x:v>158.4781078676412</x:v>
      </x:c>
      <x:c r="E7" s="31" t="n">
        <x:f>IF(B7=0,"",B7*D7)</x:f>
        <x:v>14287.802972470698</x:v>
      </x:c>
    </x:row>
    <x:row r="8" ht="18" customHeight="1">
      <x:c r="A8" s="24" t="str">
        <x:v>Medium bathydemersals (30 - 89 cm)</x:v>
      </x:c>
      <x:c r="B8" s="31" t="n">
        <x:v>6.8982065688</x:v>
      </x:c>
      <x:c r="C8" s="32" t="n">
        <x:v>4.18</x:v>
      </x:c>
      <x:c r="D8" s="32" t="n">
        <x:f>IF(C8="","",(1/'Metadata'!$B$5)^(C8-1))</x:f>
        <x:v>1513.5612484362073</x:v>
      </x:c>
      <x:c r="E8" s="31" t="n">
        <x:f>IF(B8=0,"",B8*D8)</x:f>
        <x:v>10440.858146243774</x:v>
      </x:c>
    </x:row>
    <x:row r="9" ht="18" customHeight="1">
      <x:c r="A9" s="24" t="str">
        <x:v>Medium benthopelagics (30 - 89 cm)</x:v>
      </x:c>
      <x:c r="B9" s="31" t="n">
        <x:v>10.3383292605</x:v>
      </x:c>
      <x:c r="C9" s="32" t="n">
        <x:v>4.387462078412588</x:v>
      </x:c>
      <x:c r="D9" s="32" t="n">
        <x:f>IF(C9="","",(1/'Metadata'!$B$5)^(C9-1))</x:f>
        <x:v>2440.405968146441</x:v>
      </x:c>
      <x:c r="E9" s="31" t="n">
        <x:f>IF(B9=0,"",B9*D9)</x:f>
        <x:v>25229.72042798718</x:v>
      </x:c>
    </x:row>
    <x:row r="10" ht="18" customHeight="1">
      <x:c r="A10" s="24" t="str">
        <x:v>Medium demersals (30 - 89 cm)</x:v>
      </x:c>
      <x:c r="B10" s="31" t="n">
        <x:v>197.4746605654</x:v>
      </x:c>
      <x:c r="C10" s="32" t="n">
        <x:v>3.302597701337504</x:v>
      </x:c>
      <x:c r="D10" s="32" t="n">
        <x:f>IF(C10="","",(1/'Metadata'!$B$5)^(C10-1))</x:f>
        <x:v>200.7232597602015</x:v>
      </x:c>
      <x:c r="E10" s="31" t="n">
        <x:f>IF(B10=0,"",B10*D10)</x:f>
        <x:v>39637.7575887264</x:v>
      </x:c>
    </x:row>
    <x:row r="11" ht="18" customHeight="1">
      <x:c r="A11" s="24" t="str">
        <x:v>Medium pelagics (30 - 89 cm)</x:v>
      </x:c>
      <x:c r="B11" s="31" t="n">
        <x:v>383.0920196535</x:v>
      </x:c>
      <x:c r="C11" s="32" t="n">
        <x:v>3.721185401401932</x:v>
      </x:c>
      <x:c r="D11" s="32" t="n">
        <x:f>IF(C11="","",(1/'Metadata'!$B$5)^(C11-1))</x:f>
        <x:v>526.2418724180645</x:v>
      </x:c>
      <x:c r="E11" s="31" t="n">
        <x:f>IF(B11=0,"",B11*D11)</x:f>
        <x:v>201599.06173087584</x:v>
      </x:c>
    </x:row>
    <x:row r="12" ht="18" customHeight="1">
      <x:c r="A12" s="24" t="str">
        <x:v>Medium reef assoc. fish (30 - 89 cm)</x:v>
      </x:c>
      <x:c r="B12" s="31" t="n">
        <x:v>316.965503622</x:v>
      </x:c>
      <x:c r="C12" s="32" t="n">
        <x:v>3.9527705693615856</x:v>
      </x:c>
      <x:c r="D12" s="32" t="n">
        <x:f>IF(C12="","",(1/'Metadata'!$B$5)^(C12-1))</x:f>
        <x:v>896.954822822011</x:v>
      </x:c>
      <x:c r="E12" s="31" t="n">
        <x:f>IF(B12=0,"",B12*D12)</x:f>
        <x:v>284303.73714196053</x:v>
      </x:c>
    </x:row>
    <x:row r="13" ht="18" customHeight="1">
      <x:c r="A13" s="24" t="str">
        <x:v>Other demersal invertebrates</x:v>
      </x:c>
      <x:c r="B13" s="31" t="n">
        <x:v>223.7580623267</x:v>
      </x:c>
      <x:c r="C13" s="32" t="n">
        <x:v>2.1899841395680535</x:v>
      </x:c>
      <x:c r="D13" s="32" t="n">
        <x:f>IF(C13="","",(1/'Metadata'!$B$5)^(C13-1))</x:f>
        <x:v>15.487600571714141</x:v>
      </x:c>
      <x:c r="E13" s="31" t="n">
        <x:f>IF(B13=0,"",B13*D13)</x:f>
        <x:v>3465.4754940166476</x:v>
      </x:c>
    </x:row>
    <x:row r="14" ht="18" customHeight="1">
      <x:c r="A14" s="24" t="str">
        <x:v>Small pelagics (&lt;30 cm)</x:v>
      </x:c>
      <x:c r="B14" s="31" t="n">
        <x:v>3.3645772628999997</x:v>
      </x:c>
      <x:c r="C14" s="32" t="n">
        <x:v>3.355484730495413</x:v>
      </x:c>
      <x:c r="D14" s="32" t="n">
        <x:f>IF(C14="","",(1/'Metadata'!$B$5)^(C14-1))</x:f>
        <x:v>226.71733634391393</x:v>
      </x:c>
      <x:c r="E14" s="31" t="n">
        <x:f>IF(B14=0,"",B14*D14)</x:f>
        <x:v>762.8079949679845</x:v>
      </x:c>
    </x:row>
    <x:row r="15" ht="18" customHeight="1">
      <x:c r="A15" s="24" t="str">
        <x:v>Small reef assoc. fish (&lt;30 cm)</x:v>
      </x:c>
      <x:c r="B15" s="31" t="n">
        <x:v>68.90033186880001</x:v>
      </x:c>
      <x:c r="C15" s="32" t="n">
        <x:v>2.151096205415524</x:v>
      </x:c>
      <x:c r="D15" s="32" t="n">
        <x:f>IF(C15="","",(1/'Metadata'!$B$5)^(C15-1))</x:f>
        <x:v>14.161074429715951</x:v>
      </x:c>
      <x:c r="E15" s="31" t="n">
        <x:f>IF(B15=0,"",B15*D15)</x:f>
        <x:v>975.7027278262069</x:v>
      </x:c>
    </x:row>
    <x:row r="16" ht="18" customHeight="1">
      <x:c r="A16" s="24" t="str">
        <x:v>Small to medium flatfishes (&lt;90 cm)</x:v>
      </x:c>
      <x:c r="B16" s="31" t="n">
        <x:v>0.0021977896</x:v>
      </x:c>
      <x:c r="C16" s="32" t="n">
        <x:v>3.77</x:v>
      </x:c>
      <x:c r="D16" s="32" t="n">
        <x:f>IF(C16="","",(1/'Metadata'!$B$5)^(C16-1))</x:f>
        <x:v>588.843655355589</x:v>
      </x:c>
      <x:c r="E16" s="31" t="n">
        <x:f>IF(B16=0,"",B16*D16)</x:f>
        <x:v>1.294154461766498</x:v>
      </x:c>
    </x:row>
  </x:sheetData>
  <x:pageMargins left="0.7" right="0.7" top="0.75" bottom="0.75" header="0.3" footer="0.3"/>
  <x:tableParts count="1">
    <x:tablePart xmlns:r="http://schemas.openxmlformats.org/officeDocument/2006/relationships" r:id="R144565a2815745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EEZ_670</x:v>
      </x:c>
      <x:c r="B2" s="24" t="str">
        <x:v>raw_filtered_tonnes</x:v>
      </x:c>
      <x:c r="C2" s="24" t="n">
        <x:v>1694.7906050879</x:v>
      </x:c>
      <x:c r="D2" s="24" t="str">
        <x:v>tonnes</x:v>
      </x:c>
    </x:row>
    <x:row r="3" ht="18" customHeight="1">
      <x:c r="A3" s="24" t="str">
        <x:v>EEZ_670</x:v>
      </x:c>
      <x:c r="B3" s="24" t="str">
        <x:v>species_catch_tonnes</x:v>
      </x:c>
      <x:c r="C3" s="24" t="n">
        <x:v>1694.7906050879</x:v>
      </x:c>
      <x:c r="D3" s="24" t="str">
        <x:v>tonnes</x:v>
      </x:c>
    </x:row>
    <x:row r="4" ht="18" customHeight="1">
      <x:c r="A4" s="24" t="str">
        <x:v>EEZ_670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EEZ_670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EEZ_670</x:v>
      </x:c>
      <x:c r="B6" s="24" t="str">
        <x:v>matched_catch_tonnes</x:v>
      </x:c>
      <x:c r="C6" s="24" t="n">
        <x:v>1694.7906050879</x:v>
      </x:c>
      <x:c r="D6" s="24" t="str">
        <x:v>tonnes</x:v>
      </x:c>
    </x:row>
    <x:row r="7" ht="18" customHeight="1">
      <x:c r="A7" s="24" t="str">
        <x:v>EEZ_670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EEZ_670</x:v>
      </x:c>
      <x:c r="B8" s="24" t="str">
        <x:v>taxa_count</x:v>
      </x:c>
      <x:c r="C8" s="24" t="n">
        <x:v>93</x:v>
      </x:c>
      <x:c r="D8" s="24" t="str">
        <x:v>count</x:v>
      </x:c>
    </x:row>
    <x:row r="9" ht="18" customHeight="1">
      <x:c r="A9" s="24" t="str">
        <x:v>EEZ_670</x:v>
      </x:c>
      <x:c r="B9" s="24" t="str">
        <x:v>matched_taxa_count</x:v>
      </x:c>
      <x:c r="C9" s="24" t="n">
        <x:v>93</x:v>
      </x:c>
      <x:c r="D9" s="24" t="str">
        <x:v>count</x:v>
      </x:c>
    </x:row>
    <x:row r="10" ht="18" customHeight="1">
      <x:c r="A10" s="24" t="str">
        <x:v>EEZ_670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EEZ_670</x:v>
      </x:c>
      <x:c r="B11" s="24" t="str">
        <x:v>species_ppr</x:v>
      </x:c>
      <x:c r="C11" s="24" t="n">
        <x:v>1747160.988916773</x:v>
      </x:c>
      <x:c r="D11" s="24" t="str">
        <x:v>tonnes_primary_production_equivalent</x:v>
      </x:c>
    </x:row>
    <x:row r="12" ht="18" customHeight="1">
      <x:c r="A12" s="24" t="str">
        <x:v>EEZ_670</x:v>
      </x:c>
      <x:c r="B12" s="24" t="str">
        <x:v>commercial_ppr</x:v>
      </x:c>
      <x:c r="C12" s="24" t="n">
        <x:v>1429597.53318564</x:v>
      </x:c>
      <x:c r="D12" s="24" t="str">
        <x:v>tonnes_primary_production_equivalent</x:v>
      </x:c>
    </x:row>
    <x:row r="13" ht="18" customHeight="1">
      <x:c r="A13" s="24" t="str">
        <x:v>EEZ_670</x:v>
      </x:c>
      <x:c r="B13" s="24" t="str">
        <x:v>functional_ppr</x:v>
      </x:c>
      <x:c r="C13" s="24" t="n">
        <x:v>1649077.8247641998</x:v>
      </x:c>
      <x:c r="D13" s="24" t="str">
        <x:v>tonnes_primary_production_equivalent</x:v>
      </x:c>
    </x:row>
    <x:row r="14" ht="18" customHeight="1">
      <x:c r="A14" s="24" t="str">
        <x:v>EEZ_670</x:v>
      </x:c>
      <x:c r="B14" s="24" t="str">
        <x:v>commercial_ppr_difference</x:v>
      </x:c>
      <x:c r="C14" s="24" t="n">
        <x:v>-317563.45573113323</x:v>
      </x:c>
      <x:c r="D14" s="24" t="str">
        <x:v>tonnes_primary_production_equivalent</x:v>
      </x:c>
    </x:row>
    <x:row r="15" ht="18" customHeight="1">
      <x:c r="A15" s="24" t="str">
        <x:v>EEZ_670</x:v>
      </x:c>
      <x:c r="B15" s="24" t="str">
        <x:v>functional_ppr_difference</x:v>
      </x:c>
      <x:c r="C15" s="24" t="n">
        <x:v>-98083.16415257333</x:v>
      </x:c>
      <x:c r="D15" s="24" t="str">
        <x:v>tonnes_primary_production_equivalent</x:v>
      </x:c>
    </x:row>
    <x:row r="16" ht="18" customHeight="1">
      <x:c r="A16" s="24" t="str">
        <x:v>EEZ_670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EEZ_670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44773bace0646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EEZ_670 - Saint Vincent &amp; the Grenadines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EEZ_670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