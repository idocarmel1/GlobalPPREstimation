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94606a9c1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2a02b9c1fc4f91"/>
    <x:sheet xmlns:r="http://schemas.openxmlformats.org/officeDocument/2006/relationships" name="Commercial" sheetId="2" r:id="R511a16f2721e42f8"/>
    <x:sheet xmlns:r="http://schemas.openxmlformats.org/officeDocument/2006/relationships" name="Functional" sheetId="3" r:id="Rdcb2807d20a24f93"/>
    <x:sheet xmlns:r="http://schemas.openxmlformats.org/officeDocument/2006/relationships" name="Missing TL" sheetId="4" r:id="R00e0de74467a4f53"/>
    <x:sheet xmlns:r="http://schemas.openxmlformats.org/officeDocument/2006/relationships" name="Validation" sheetId="5" r:id="Red80630111184271"/>
    <x:sheet xmlns:r="http://schemas.openxmlformats.org/officeDocument/2006/relationships" name="Metadata" sheetId="6" r:id="Rb70da644e8a8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12369c70b4da5" /><Relationship Type="http://schemas.openxmlformats.org/officeDocument/2006/relationships/theme" Target="/xl/theme/theme1.xml" Id="R24f43e87301e4c17" /><Relationship Type="http://schemas.microsoft.com/office/2022/11/relationships/FeaturePropertyBag" Target="/xl/featurePropertyBag/featurePropertyBag.xml" Id="Rfbd992c369864465" /><Relationship Type="http://schemas.openxmlformats.org/officeDocument/2006/relationships/sharedStrings" Target="/xl/sharedStrings.xml" Id="Rd83ffd4900bb4f50" /><Relationship Type="http://schemas.openxmlformats.org/officeDocument/2006/relationships/worksheet" Target="/xl/worksheets/sheet1.xml" Id="Rb72a02b9c1fc4f91" /><Relationship Type="http://schemas.openxmlformats.org/officeDocument/2006/relationships/worksheet" Target="/xl/worksheets/sheet2.xml" Id="R511a16f2721e42f8" /><Relationship Type="http://schemas.openxmlformats.org/officeDocument/2006/relationships/worksheet" Target="/xl/worksheets/sheet3.xml" Id="Rdcb2807d20a24f93" /><Relationship Type="http://schemas.openxmlformats.org/officeDocument/2006/relationships/worksheet" Target="/xl/worksheets/sheet4.xml" Id="R00e0de74467a4f53" /><Relationship Type="http://schemas.openxmlformats.org/officeDocument/2006/relationships/worksheet" Target="/xl/worksheets/sheet5.xml" Id="Red80630111184271" /><Relationship Type="http://schemas.openxmlformats.org/officeDocument/2006/relationships/worksheet" Target="/xl/worksheets/sheet6.xml" Id="Rb70da644e8a849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32SpeciesTable" displayName="EEZ332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32CommercialTable" displayName="EEZ332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32FunctionalTable" displayName="EEZ332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32ValidationTable" displayName="EEZ33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da47172fe4e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d86d974f74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1c84aa3ed449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66507cfa5843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EEZ_332</x:v>
      </x:c>
      <x:c r="B2" s="24" t="str">
        <x:v>Haiti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5031.879296784899</x:v>
      </x:c>
      <x:c r="J2" s="31" t="n">
        <x:v>5005.3578693851</x:v>
      </x:c>
      <x:c r="K2" s="31" t="n">
        <x:v>26.5214273998</x:v>
      </x:c>
      <x:c r="L2" s="31" t="n">
        <x:v>2741.1161119597</x:v>
      </x:c>
      <x:c r="M2" s="31" t="n">
        <x:v>2290.7631848252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958804.8337556149</x:v>
      </x:c>
    </x:row>
    <x:row r="3" ht="18" customHeight="1">
      <x:c r="A3" s="24" t="str">
        <x:v>EEZ_332</x:v>
      </x:c>
      <x:c r="B3" s="24" t="str">
        <x:v>Haiti</x:v>
      </x:c>
      <x:c r="C3" s="24" t="str">
        <x:v>EEZ</x:v>
      </x:c>
      <x:c r="D3" s="30" t="n">
        <x:v>2019</x:v>
      </x:c>
      <x:c r="E3" s="24" t="str">
        <x:v>Labridae</x:v>
      </x:c>
      <x:c r="F3" s="24" t="str">
        <x:v>Wrasses, gropers, tuskfishes</x:v>
      </x:c>
      <x:c r="G3" s="24" t="str">
        <x:v>Medium reef assoc. fish (30 - 89 cm)</x:v>
      </x:c>
      <x:c r="H3" s="24" t="str">
        <x:v>Perch-likes</x:v>
      </x:c>
      <x:c r="I3" s="31" t="n">
        <x:v>4747.4251426651</x:v>
      </x:c>
      <x:c r="J3" s="31" t="n">
        <x:v>4747.4251426651</x:v>
      </x:c>
      <x:c r="K3" s="31" t="n">
        <x:v>0</x:v>
      </x:c>
      <x:c r="L3" s="31" t="n">
        <x:v>3083.0942471298</x:v>
      </x:c>
      <x:c r="M3" s="31" t="n">
        <x:v>1664.3308955353</x:v>
      </x:c>
      <x:c r="N3" s="24" t="str">
        <x:v>labridae</x:v>
      </x:c>
      <x:c r="O3" s="32" t="n">
        <x:v>3.46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Labridae</x:v>
      </x:c>
      <x:c r="T3" s="32" t="n">
        <x:f>IF(O3="","",(1/'Metadata'!$B$5)^(O3-1))</x:f>
        <x:v>288.40315031266056</x:v>
      </x:c>
      <x:c r="U3" s="31" t="n">
        <x:f>IF(T3="","",I3*T3)</x:f>
        <x:v>1369172.367018147</x:v>
      </x:c>
    </x:row>
    <x:row r="4" ht="18" customHeight="1">
      <x:c r="A4" s="24" t="str">
        <x:v>EEZ_332</x:v>
      </x:c>
      <x:c r="B4" s="24" t="str">
        <x:v>Haiti</x:v>
      </x:c>
      <x:c r="C4" s="24" t="str">
        <x:v>EEZ</x:v>
      </x:c>
      <x:c r="D4" s="30" t="n">
        <x:v>2019</x:v>
      </x:c>
      <x:c r="E4" s="24" t="str">
        <x:v>Caranx ruber</x:v>
      </x:c>
      <x:c r="F4" s="24" t="str">
        <x:v>Bar jack</x:v>
      </x:c>
      <x:c r="G4" s="24" t="str">
        <x:v>Medium reef assoc. fish (30 - 89 cm)</x:v>
      </x:c>
      <x:c r="H4" s="24" t="str">
        <x:v>Perch-likes</x:v>
      </x:c>
      <x:c r="I4" s="31" t="n">
        <x:v>1658.8225279196001</x:v>
      </x:c>
      <x:c r="J4" s="31" t="n">
        <x:v>1658.8225279196001</x:v>
      </x:c>
      <x:c r="K4" s="31" t="n">
        <x:v>0</x:v>
      </x:c>
      <x:c r="L4" s="31" t="n">
        <x:v>1077.2800074036</x:v>
      </x:c>
      <x:c r="M4" s="31" t="n">
        <x:v>581.542520516</x:v>
      </x:c>
      <x:c r="N4" s="24" t="str">
        <x:v>caranx ruber</x:v>
      </x:c>
      <x:c r="O4" s="32" t="n">
        <x:v>4.28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Caranx ruber</x:v>
      </x:c>
      <x:c r="T4" s="32" t="n">
        <x:f>IF(O4="","",(1/'Metadata'!$B$5)^(O4-1))</x:f>
        <x:v>1905.4607179632483</x:v>
      </x:c>
      <x:c r="U4" s="31" t="n">
        <x:f>IF(T4="","",I4*T4)</x:f>
        <x:v>3160821.165023292</x:v>
      </x:c>
    </x:row>
    <x:row r="5" ht="18" customHeight="1">
      <x:c r="A5" s="24" t="str">
        <x:v>EEZ_332</x:v>
      </x:c>
      <x:c r="B5" s="24" t="str">
        <x:v>Haiti</x:v>
      </x:c>
      <x:c r="C5" s="24" t="str">
        <x:v>EEZ</x:v>
      </x:c>
      <x:c r="D5" s="30" t="n">
        <x:v>2019</x:v>
      </x:c>
      <x:c r="E5" s="24" t="str">
        <x:v>Panulirus</x:v>
      </x:c>
      <x:c r="F5" s="24" t="str">
        <x:v>Spiny lobsters</x:v>
      </x:c>
      <x:c r="G5" s="24" t="str">
        <x:v>Lobsters, crabs</x:v>
      </x:c>
      <x:c r="H5" s="24" t="str">
        <x:v>Crustaceans</x:v>
      </x:c>
      <x:c r="I5" s="31" t="n">
        <x:v>1061.2342216504</x:v>
      </x:c>
      <x:c r="J5" s="31" t="n">
        <x:v>1061.2342216504</x:v>
      </x:c>
      <x:c r="K5" s="31" t="n">
        <x:v>0</x:v>
      </x:c>
      <x:c r="L5" s="31" t="n">
        <x:v>0</x:v>
      </x:c>
      <x:c r="M5" s="31" t="n">
        <x:v>1061.2342216504</x:v>
      </x:c>
      <x:c r="N5" s="24" t="str">
        <x:v>panulirus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Panulirus</x:v>
      </x:c>
      <x:c r="T5" s="32" t="n">
        <x:f>IF(O5="","",(1/'Metadata'!$B$5)^(O5-1))</x:f>
        <x:v>39.810717055349734</x:v>
      </x:c>
      <x:c r="U5" s="31" t="n">
        <x:f>IF(T5="","",I5*T5)</x:f>
        <x:v>42248.495327578385</x:v>
      </x:c>
    </x:row>
    <x:row r="6" ht="18" customHeight="1">
      <x:c r="A6" s="24" t="str">
        <x:v>EEZ_332</x:v>
      </x:c>
      <x:c r="B6" s="24" t="str">
        <x:v>Haiti</x:v>
      </x:c>
      <x:c r="C6" s="24" t="str">
        <x:v>EEZ</x:v>
      </x:c>
      <x:c r="D6" s="30" t="n">
        <x:v>2019</x:v>
      </x:c>
      <x:c r="E6" s="24" t="str">
        <x:v>Selar crumenophthalmus</x:v>
      </x:c>
      <x:c r="F6" s="24" t="str">
        <x:v>Bigeye scad</x:v>
      </x:c>
      <x:c r="G6" s="24" t="str">
        <x:v>Medium pelagics (30 - 89 cm)</x:v>
      </x:c>
      <x:c r="H6" s="24" t="str">
        <x:v>Perch-likes</x:v>
      </x:c>
      <x:c r="I6" s="31" t="n">
        <x:v>971.6952046391</x:v>
      </x:c>
      <x:c r="J6" s="31" t="n">
        <x:v>971.6952046391</x:v>
      </x:c>
      <x:c r="K6" s="31" t="n">
        <x:v>0</x:v>
      </x:c>
      <x:c r="L6" s="31" t="n">
        <x:v>631.0426821612</x:v>
      </x:c>
      <x:c r="M6" s="31" t="n">
        <x:v>340.6525224779</x:v>
      </x:c>
      <x:c r="N6" s="24" t="str">
        <x:v>selar crumenophthalmus</x:v>
      </x:c>
      <x:c r="O6" s="32" t="n">
        <x:v>3.81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Selar crumenophthalmus</x:v>
      </x:c>
      <x:c r="T6" s="32" t="n">
        <x:f>IF(O6="","",(1/'Metadata'!$B$5)^(O6-1))</x:f>
        <x:v>645.6542290346556</x:v>
      </x:c>
      <x:c r="U6" s="31" t="n">
        <x:f>IF(T6="","",I6*T6)</x:f>
        <x:v>627379.11820793</x:v>
      </x:c>
    </x:row>
    <x:row r="7" ht="18" customHeight="1">
      <x:c r="A7" s="24" t="str">
        <x:v>EEZ_332</x:v>
      </x:c>
      <x:c r="B7" s="24" t="str">
        <x:v>Haiti</x:v>
      </x:c>
      <x:c r="C7" s="24" t="str">
        <x:v>EEZ</x:v>
      </x:c>
      <x:c r="D7" s="30" t="n">
        <x:v>2019</x:v>
      </x:c>
      <x:c r="E7" s="24" t="str">
        <x:v>Sphyraenidae</x:v>
      </x:c>
      <x:c r="F7" s="24" t="str">
        <x:v>Barracudas</x:v>
      </x:c>
      <x:c r="G7" s="24" t="str">
        <x:v>Medium reef assoc. fish (30 - 89 cm)</x:v>
      </x:c>
      <x:c r="H7" s="24" t="str">
        <x:v>Perch-likes</x:v>
      </x:c>
      <x:c r="I7" s="31" t="n">
        <x:v>911.3033447629</x:v>
      </x:c>
      <x:c r="J7" s="31" t="n">
        <x:v>911.3033447629</x:v>
      </x:c>
      <x:c r="K7" s="31" t="n">
        <x:v>0</x:v>
      </x:c>
      <x:c r="L7" s="31" t="n">
        <x:v>590.4756525935001</x:v>
      </x:c>
      <x:c r="M7" s="31" t="n">
        <x:v>320.8276921694</x:v>
      </x:c>
      <x:c r="N7" s="24" t="str">
        <x:v>sphyraenidae</x:v>
      </x:c>
      <x:c r="O7" s="32" t="n">
        <x:v>4.4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Sphyraenidae</x:v>
      </x:c>
      <x:c r="T7" s="32" t="n">
        <x:f>IF(O7="","",(1/'Metadata'!$B$5)^(O7-1))</x:f>
        <x:v>2511.886431509582</x:v>
      </x:c>
      <x:c r="U7" s="31" t="n">
        <x:f>IF(T7="","",I7*T7)</x:f>
        <x:v>2289090.5066992273</x:v>
      </x:c>
    </x:row>
    <x:row r="8" ht="18" customHeight="1">
      <x:c r="A8" s="24" t="str">
        <x:v>EEZ_332</x:v>
      </x:c>
      <x:c r="B8" s="24" t="str">
        <x:v>Haiti</x:v>
      </x:c>
      <x:c r="C8" s="24" t="str">
        <x:v>EEZ</x:v>
      </x:c>
      <x:c r="D8" s="30" t="n">
        <x:v>2019</x:v>
      </x:c>
      <x:c r="E8" s="24" t="str">
        <x:v>Decapoda</x:v>
      </x:c>
      <x:c r="F8" s="24" t="str">
        <x:v>Crabs, lobsters, shrimps</x:v>
      </x:c>
      <x:c r="G8" s="24" t="str">
        <x:v>Lobsters, crabs</x:v>
      </x:c>
      <x:c r="H8" s="24" t="str">
        <x:v>Crustaceans</x:v>
      </x:c>
      <x:c r="I8" s="31" t="n">
        <x:v>811.2817929687</x:v>
      </x:c>
      <x:c r="J8" s="31" t="n">
        <x:v>811.2817929687</x:v>
      </x:c>
      <x:c r="K8" s="31" t="n">
        <x:v>0</x:v>
      </x:c>
      <x:c r="L8" s="31" t="n">
        <x:v>100</x:v>
      </x:c>
      <x:c r="M8" s="31" t="n">
        <x:v>711.2817929687</x:v>
      </x:c>
      <x:c r="N8" s="24" t="str">
        <x:v>decapoda</x:v>
      </x:c>
      <x:c r="O8" s="32" t="n">
        <x:v>3.43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Decapoda</x:v>
      </x:c>
      <x:c r="T8" s="32" t="n">
        <x:f>IF(O8="","",(1/'Metadata'!$B$5)^(O8-1))</x:f>
        <x:v>269.1534803926917</x:v>
      </x:c>
      <x:c r="U8" s="31" t="n">
        <x:f>IF(T8="","",I8*T8)</x:f>
        <x:v>218359.31815674872</x:v>
      </x:c>
    </x:row>
    <x:row r="9" ht="18" customHeight="1">
      <x:c r="A9" s="24" t="str">
        <x:v>EEZ_332</x:v>
      </x:c>
      <x:c r="B9" s="24" t="str">
        <x:v>Haiti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808.5908239606</x:v>
      </x:c>
      <x:c r="J9" s="31" t="n">
        <x:v>808.5908239606</x:v>
      </x:c>
      <x:c r="K9" s="31" t="n">
        <x:v>0</x:v>
      </x:c>
      <x:c r="L9" s="31" t="n">
        <x:v>758.1099132766</x:v>
      </x:c>
      <x:c r="M9" s="31" t="n">
        <x:v>50.480910684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1895521.9093317178</x:v>
      </x:c>
    </x:row>
    <x:row r="10" ht="18" customHeight="1">
      <x:c r="A10" s="24" t="str">
        <x:v>EEZ_332</x:v>
      </x:c>
      <x:c r="B10" s="24" t="str">
        <x:v>Haiti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806.981039289</x:v>
      </x:c>
      <x:c r="J10" s="31" t="n">
        <x:v>806.981039289</x:v>
      </x:c>
      <x:c r="K10" s="31" t="n">
        <x:v>0</x:v>
      </x:c>
      <x:c r="L10" s="31" t="n">
        <x:v>756.500128605</x:v>
      </x:c>
      <x:c r="M10" s="31" t="n">
        <x:v>50.480910684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2734408.0927821803</x:v>
      </x:c>
    </x:row>
    <x:row r="11" ht="18" customHeight="1">
      <x:c r="A11" s="24" t="str">
        <x:v>EEZ_332</x:v>
      </x:c>
      <x:c r="B11" s="24" t="str">
        <x:v>Haiti</x:v>
      </x:c>
      <x:c r="C11" s="24" t="str">
        <x:v>EEZ</x:v>
      </x:c>
      <x:c r="D11" s="30" t="n">
        <x:v>2019</x:v>
      </x:c>
      <x:c r="E11" s="24" t="str">
        <x:v>Makaira nigricans</x:v>
      </x:c>
      <x:c r="F11" s="24" t="str">
        <x:v>Blue marlin</x:v>
      </x:c>
      <x:c r="G11" s="24" t="str">
        <x:v>Large pelagics (&gt;=90 cm)</x:v>
      </x:c>
      <x:c r="H11" s="24" t="str">
        <x:v>Tuna &amp; billfishes</x:v>
      </x:c>
      <x:c r="I11" s="31" t="n">
        <x:v>806.981039289</x:v>
      </x:c>
      <x:c r="J11" s="31" t="n">
        <x:v>806.981039289</x:v>
      </x:c>
      <x:c r="K11" s="31" t="n">
        <x:v>0</x:v>
      </x:c>
      <x:c r="L11" s="31" t="n">
        <x:v>756.500128605</x:v>
      </x:c>
      <x:c r="M11" s="31" t="n">
        <x:v>50.480910684</x:v>
      </x:c>
      <x:c r="N11" s="24" t="str">
        <x:v>makaira nigricans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Makaira nigricans</x:v>
      </x:c>
      <x:c r="T11" s="32" t="n">
        <x:f>IF(O11="","",(1/'Metadata'!$B$5)^(O11-1))</x:f>
        <x:v>3090.295432513592</x:v>
      </x:c>
      <x:c r="U11" s="31" t="n">
        <x:f>IF(T11="","",I11*T11)</x:f>
        <x:v>2493809.819839868</x:v>
      </x:c>
    </x:row>
    <x:row r="12" ht="18" customHeight="1">
      <x:c r="A12" s="24" t="str">
        <x:v>EEZ_332</x:v>
      </x:c>
      <x:c r="B12" s="24" t="str">
        <x:v>Haiti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605.2356584196999</x:v>
      </x:c>
      <x:c r="J12" s="31" t="n">
        <x:v>605.2356584196999</x:v>
      </x:c>
      <x:c r="K12" s="31" t="n">
        <x:v>0</x:v>
      </x:c>
      <x:c r="L12" s="31" t="n">
        <x:v>567.3749829788</x:v>
      </x:c>
      <x:c r="M12" s="31" t="n">
        <x:v>37.860675440899996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1520283.2382502123</x:v>
      </x:c>
    </x:row>
    <x:row r="13" ht="18" customHeight="1">
      <x:c r="A13" s="24" t="str">
        <x:v>EEZ_332</x:v>
      </x:c>
      <x:c r="B13" s="24" t="str">
        <x:v>Haiti</x:v>
      </x:c>
      <x:c r="C13" s="24" t="str">
        <x:v>EEZ</x:v>
      </x:c>
      <x:c r="D13" s="30" t="n">
        <x:v>2019</x:v>
      </x:c>
      <x:c r="E13" s="24" t="str">
        <x:v>Acanthocybium solandri</x:v>
      </x:c>
      <x:c r="F13" s="24" t="str">
        <x:v>Wahoo</x:v>
      </x:c>
      <x:c r="G13" s="24" t="str">
        <x:v>Large pelagics (&gt;=90 cm)</x:v>
      </x:c>
      <x:c r="H13" s="24" t="str">
        <x:v>Perch-likes</x:v>
      </x:c>
      <x:c r="I13" s="31" t="n">
        <x:v>603.3710178429999</x:v>
      </x:c>
      <x:c r="J13" s="31" t="n">
        <x:v>603.3710178429999</x:v>
      </x:c>
      <x:c r="K13" s="31" t="n">
        <x:v>0</x:v>
      </x:c>
      <x:c r="L13" s="31" t="n">
        <x:v>567.3749829788</x:v>
      </x:c>
      <x:c r="M13" s="31" t="n">
        <x:v>35.9960348642</x:v>
      </x:c>
      <x:c r="N13" s="24" t="str">
        <x:v>acanthocybium solandri</x:v>
      </x:c>
      <x:c r="O13" s="32" t="n">
        <x:v>4.26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Acanthocybium solandri</x:v>
      </x:c>
      <x:c r="T13" s="32" t="n">
        <x:f>IF(O13="","",(1/'Metadata'!$B$5)^(O13-1))</x:f>
        <x:v>1819.7008586099826</x:v>
      </x:c>
      <x:c r="U13" s="31" t="n">
        <x:f>IF(T13="","",I13*T13)</x:f>
        <x:v>1097954.759229286</x:v>
      </x:c>
    </x:row>
    <x:row r="14" ht="18" customHeight="1">
      <x:c r="A14" s="24" t="str">
        <x:v>EEZ_332</x:v>
      </x:c>
      <x:c r="B14" s="24" t="str">
        <x:v>Haiti</x:v>
      </x:c>
      <x:c r="C14" s="24" t="str">
        <x:v>EEZ</x:v>
      </x:c>
      <x:c r="D14" s="30" t="n">
        <x:v>2019</x:v>
      </x:c>
      <x:c r="E14" s="24" t="str">
        <x:v>Thunnus</x:v>
      </x:c>
      <x:c r="F14" s="24" t="str">
        <x:v>Tunas</x:v>
      </x:c>
      <x:c r="G14" s="24" t="str">
        <x:v>Large pelagics (&gt;=90 cm)</x:v>
      </x:c>
      <x:c r="H14" s="24" t="str">
        <x:v>Tuna &amp; billfishes</x:v>
      </x:c>
      <x:c r="I14" s="31" t="n">
        <x:v>603.3710178429999</x:v>
      </x:c>
      <x:c r="J14" s="31" t="n">
        <x:v>603.3710178429999</x:v>
      </x:c>
      <x:c r="K14" s="31" t="n">
        <x:v>0</x:v>
      </x:c>
      <x:c r="L14" s="31" t="n">
        <x:v>567.3749829788</x:v>
      </x:c>
      <x:c r="M14" s="31" t="n">
        <x:v>35.9960348642</x:v>
      </x:c>
      <x:c r="N14" s="24" t="str">
        <x:v>thunnus</x:v>
      </x:c>
      <x:c r="O14" s="32" t="n">
        <x:v>4.34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Thunnus</x:v>
      </x:c>
      <x:c r="T14" s="32" t="n">
        <x:f>IF(O14="","",(1/'Metadata'!$B$5)^(O14-1))</x:f>
        <x:v>2187.761623949552</x:v>
      </x:c>
      <x:c r="U14" s="31" t="n">
        <x:f>IF(T14="","",I14*T14)</x:f>
        <x:v>1320031.9578402955</x:v>
      </x:c>
    </x:row>
    <x:row r="15" ht="18" customHeight="1">
      <x:c r="A15" s="24" t="str">
        <x:v>EEZ_332</x:v>
      </x:c>
      <x:c r="B15" s="24" t="str">
        <x:v>Haiti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603.3710178428</x:v>
      </x:c>
      <x:c r="J15" s="31" t="n">
        <x:v>603.3710178428</x:v>
      </x:c>
      <x:c r="K15" s="31" t="n">
        <x:v>0</x:v>
      </x:c>
      <x:c r="L15" s="31" t="n">
        <x:v>567.3749829788001</x:v>
      </x:c>
      <x:c r="M15" s="31" t="n">
        <x:v>35.996034864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1097954.7592289224</x:v>
      </x:c>
    </x:row>
    <x:row r="16" ht="18" customHeight="1">
      <x:c r="A16" s="24" t="str">
        <x:v>EEZ_332</x:v>
      </x:c>
      <x:c r="B16" s="24" t="str">
        <x:v>Haiti</x:v>
      </x:c>
      <x:c r="C16" s="24" t="str">
        <x:v>EEZ</x:v>
      </x:c>
      <x:c r="D16" s="30" t="n">
        <x:v>2019</x:v>
      </x:c>
      <x:c r="E16" s="24" t="str">
        <x:v>Mulloidichthys martinicus</x:v>
      </x:c>
      <x:c r="F16" s="24" t="str">
        <x:v>Yellow goatfish</x:v>
      </x:c>
      <x:c r="G16" s="24" t="str">
        <x:v>Medium reef assoc. fish (30 - 89 cm)</x:v>
      </x:c>
      <x:c r="H16" s="24" t="str">
        <x:v>Perch-likes</x:v>
      </x:c>
      <x:c r="I16" s="31" t="n">
        <x:v>520.5510024852</x:v>
      </x:c>
      <x:c r="J16" s="31" t="n">
        <x:v>520.5510024852</x:v>
      </x:c>
      <x:c r="K16" s="31" t="n">
        <x:v>0</x:v>
      </x:c>
      <x:c r="L16" s="31" t="n">
        <x:v>338.05857972909996</x:v>
      </x:c>
      <x:c r="M16" s="31" t="n">
        <x:v>182.4924227561</x:v>
      </x:c>
      <x:c r="N16" s="24" t="str">
        <x:v>mulloidichthys martinicus</x:v>
      </x:c>
      <x:c r="O16" s="32" t="n">
        <x:v>3.21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Mulloidichthys martinicus</x:v>
      </x:c>
      <x:c r="T16" s="32" t="n">
        <x:f>IF(O16="","",(1/'Metadata'!$B$5)^(O16-1))</x:f>
        <x:v>162.18100973589299</x:v>
      </x:c>
      <x:c r="U16" s="31" t="n">
        <x:f>IF(T16="","",I16*T16)</x:f>
        <x:v>84423.48720208107</x:v>
      </x:c>
    </x:row>
    <x:row r="17" ht="18" customHeight="1">
      <x:c r="A17" s="24" t="str">
        <x:v>EEZ_332</x:v>
      </x:c>
      <x:c r="B17" s="24" t="str">
        <x:v>Haiti</x:v>
      </x:c>
      <x:c r="C17" s="24" t="str">
        <x:v>EEZ</x:v>
      </x:c>
      <x:c r="D17" s="30" t="n">
        <x:v>2019</x:v>
      </x:c>
      <x:c r="E17" s="24" t="str">
        <x:v>Haemulon</x:v>
      </x:c>
      <x:c r="F17" s="24" t="str">
        <x:v>Grunts</x:v>
      </x:c>
      <x:c r="G17" s="24" t="str">
        <x:v>Small reef assoc. fish (&lt;30 cm)</x:v>
      </x:c>
      <x:c r="H17" s="24" t="str">
        <x:v>Perch-likes</x:v>
      </x:c>
      <x:c r="I17" s="31" t="n">
        <x:v>381.7374018225</x:v>
      </x:c>
      <x:c r="J17" s="31" t="n">
        <x:v>381.7374018225</x:v>
      </x:c>
      <x:c r="K17" s="31" t="n">
        <x:v>0</x:v>
      </x:c>
      <x:c r="L17" s="31" t="n">
        <x:v>247.90962513469998</x:v>
      </x:c>
      <x:c r="M17" s="31" t="n">
        <x:v>133.8277766878</x:v>
      </x:c>
      <x:c r="N17" s="24" t="str">
        <x:v>haemulon</x:v>
      </x:c>
      <x:c r="O17" s="32" t="n">
        <x:v>3.25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Haemulon</x:v>
      </x:c>
      <x:c r="T17" s="32" t="n">
        <x:f>IF(O17="","",(1/'Metadata'!$B$5)^(O17-1))</x:f>
        <x:v>177.82794100389228</x:v>
      </x:c>
      <x:c r="U17" s="31" t="n">
        <x:f>IF(T17="","",I17*T17)</x:f>
        <x:v>67883.57617027065</x:v>
      </x:c>
    </x:row>
    <x:row r="18" ht="18" customHeight="1">
      <x:c r="A18" s="24" t="str">
        <x:v>EEZ_332</x:v>
      </x:c>
      <x:c r="B18" s="24" t="str">
        <x:v>Haiti</x:v>
      </x:c>
      <x:c r="C18" s="24" t="str">
        <x:v>EEZ</x:v>
      </x:c>
      <x:c r="D18" s="30" t="n">
        <x:v>2019</x:v>
      </x:c>
      <x:c r="E18" s="24" t="str">
        <x:v>Sparisoma viride</x:v>
      </x:c>
      <x:c r="F18" s="24" t="str">
        <x:v>Stoplight parrotfish</x:v>
      </x:c>
      <x:c r="G18" s="24" t="str">
        <x:v>Medium reef assoc. fish (30 - 89 cm)</x:v>
      </x:c>
      <x:c r="H18" s="24" t="str">
        <x:v>Perch-likes</x:v>
      </x:c>
      <x:c r="I18" s="31" t="n">
        <x:v>367.8560417563</x:v>
      </x:c>
      <x:c r="J18" s="31" t="n">
        <x:v>367.8560417563</x:v>
      </x:c>
      <x:c r="K18" s="31" t="n">
        <x:v>0</x:v>
      </x:c>
      <x:c r="L18" s="31" t="n">
        <x:v>238.89472967529997</x:v>
      </x:c>
      <x:c r="M18" s="31" t="n">
        <x:v>128.961312081</x:v>
      </x:c>
      <x:c r="N18" s="24" t="str">
        <x:v>sparisoma viride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Sparisoma viride</x:v>
      </x:c>
      <x:c r="T18" s="32" t="n">
        <x:f>IF(O18="","",(1/'Metadata'!$B$5)^(O18-1))</x:f>
        <x:v>10</x:v>
      </x:c>
      <x:c r="U18" s="31" t="n">
        <x:f>IF(T18="","",I18*T18)</x:f>
        <x:v>3678.5604175629996</x:v>
      </x:c>
    </x:row>
    <x:row r="19" ht="18" customHeight="1">
      <x:c r="A19" s="24" t="str">
        <x:v>EEZ_332</x:v>
      </x:c>
      <x:c r="B19" s="24" t="str">
        <x:v>Haiti</x:v>
      </x:c>
      <x:c r="C19" s="24" t="str">
        <x:v>EEZ</x:v>
      </x:c>
      <x:c r="D19" s="30" t="n">
        <x:v>2019</x:v>
      </x:c>
      <x:c r="E19" s="24" t="str">
        <x:v>Lutjanus campechanus</x:v>
      </x:c>
      <x:c r="F19" s="24" t="str">
        <x:v>Northern red snapper</x:v>
      </x:c>
      <x:c r="G19" s="24" t="str">
        <x:v>Medium reef assoc. fish (30 - 89 cm)</x:v>
      </x:c>
      <x:c r="H19" s="24" t="str">
        <x:v>Perch-likes</x:v>
      </x:c>
      <x:c r="I19" s="31" t="n">
        <x:v>353.9746816899</x:v>
      </x:c>
      <x:c r="J19" s="31" t="n">
        <x:v>353.9746816899</x:v>
      </x:c>
      <x:c r="K19" s="31" t="n">
        <x:v>0</x:v>
      </x:c>
      <x:c r="L19" s="31" t="n">
        <x:v>229.8798342158</x:v>
      </x:c>
      <x:c r="M19" s="31" t="n">
        <x:v>124.09484747409999</x:v>
      </x:c>
      <x:c r="N19" s="24" t="str">
        <x:v>lutjanus campechanus</x:v>
      </x:c>
      <x:c r="O19" s="32" t="n">
        <x:v>4.01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Lutjanus campechanus</x:v>
      </x:c>
      <x:c r="T19" s="32" t="n">
        <x:f>IF(O19="","",(1/'Metadata'!$B$5)^(O19-1))</x:f>
        <x:v>1023.2929922807537</x:v>
      </x:c>
      <x:c r="U19" s="31" t="n">
        <x:f>IF(T19="","",I19*T19)</x:f>
        <x:v>362219.8112180851</x:v>
      </x:c>
    </x:row>
    <x:row r="20" ht="18" customHeight="1">
      <x:c r="A20" s="24" t="str">
        <x:v>EEZ_332</x:v>
      </x:c>
      <x:c r="B20" s="24" t="str">
        <x:v>Haiti</x:v>
      </x:c>
      <x:c r="C20" s="24" t="str">
        <x:v>EEZ</x:v>
      </x:c>
      <x:c r="D20" s="30" t="n">
        <x:v>2019</x:v>
      </x:c>
      <x:c r="E20" s="24" t="str">
        <x:v>Holocentrus adscensionis</x:v>
      </x:c>
      <x:c r="F20" s="24" t="str">
        <x:v>Squirrelfish</x:v>
      </x:c>
      <x:c r="G20" s="24" t="str">
        <x:v>Medium reef assoc. fish (30 - 89 cm)</x:v>
      </x:c>
      <x:c r="H20" s="24" t="str">
        <x:v>Other fishes &amp; inverts</x:v>
      </x:c>
      <x:c r="I20" s="31" t="n">
        <x:v>270.6865212923</x:v>
      </x:c>
      <x:c r="J20" s="31" t="n">
        <x:v>270.6865212923</x:v>
      </x:c>
      <x:c r="K20" s="31" t="n">
        <x:v>0</x:v>
      </x:c>
      <x:c r="L20" s="31" t="n">
        <x:v>175.7904614591</x:v>
      </x:c>
      <x:c r="M20" s="31" t="n">
        <x:v>94.8960598332</x:v>
      </x:c>
      <x:c r="N20" s="24" t="str">
        <x:v>holocentrus adscensionis</x:v>
      </x:c>
      <x:c r="O20" s="32" t="n">
        <x:v>3.11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Holocentrus adscensionis</x:v>
      </x:c>
      <x:c r="T20" s="32" t="n">
        <x:f>IF(O20="","",(1/'Metadata'!$B$5)^(O20-1))</x:f>
        <x:v>128.82495516931337</x:v>
      </x:c>
      <x:c r="U20" s="31" t="n">
        <x:f>IF(T20="","",I20*T20)</x:f>
        <x:v>34871.17897041793</x:v>
      </x:c>
    </x:row>
    <x:row r="21" ht="18" customHeight="1">
      <x:c r="A21" s="24" t="str">
        <x:v>EEZ_332</x:v>
      </x:c>
      <x:c r="B21" s="24" t="str">
        <x:v>Haiti</x:v>
      </x:c>
      <x:c r="C21" s="24" t="str">
        <x:v>EEZ</x:v>
      </x:c>
      <x:c r="D21" s="30" t="n">
        <x:v>2019</x:v>
      </x:c>
      <x:c r="E21" s="24" t="str">
        <x:v>Holocentridae</x:v>
      </x:c>
      <x:c r="F21" s="24" t="str">
        <x:v>Squirrel-, soldierfishes</x:v>
      </x:c>
      <x:c r="G21" s="24" t="str">
        <x:v>Small reef assoc. fish (&lt;30 cm)</x:v>
      </x:c>
      <x:c r="H21" s="24" t="str">
        <x:v>Other fishes &amp; inverts</x:v>
      </x:c>
      <x:c r="I21" s="31" t="n">
        <x:v>263.77719283060003</x:v>
      </x:c>
      <x:c r="J21" s="31" t="n">
        <x:v>263.77719283060003</x:v>
      </x:c>
      <x:c r="K21" s="31" t="n">
        <x:v>0</x:v>
      </x:c>
      <x:c r="L21" s="31" t="n">
        <x:v>171.2830137294</x:v>
      </x:c>
      <x:c r="M21" s="31" t="n">
        <x:v>92.4941791012</x:v>
      </x:c>
      <x:c r="N21" s="24" t="str">
        <x:v>holocentridae</x:v>
      </x:c>
      <x:c r="O21" s="32" t="n">
        <x:v>3.49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Holocentridae</x:v>
      </x:c>
      <x:c r="T21" s="32" t="n">
        <x:f>IF(O21="","",(1/'Metadata'!$B$5)^(O21-1))</x:f>
        <x:v>309.0295432513592</x:v>
      </x:c>
      <x:c r="U21" s="31" t="n">
        <x:f>IF(T21="","",I21*T21)</x:f>
        <x:v>81514.94542056603</x:v>
      </x:c>
    </x:row>
    <x:row r="22" ht="18" customHeight="1">
      <x:c r="A22" s="24" t="str">
        <x:v>EEZ_332</x:v>
      </x:c>
      <x:c r="B22" s="24" t="str">
        <x:v>Haiti</x:v>
      </x:c>
      <x:c r="C22" s="24" t="str">
        <x:v>EEZ</x:v>
      </x:c>
      <x:c r="D22" s="30" t="n">
        <x:v>2019</x:v>
      </x:c>
      <x:c r="E22" s="24" t="str">
        <x:v>Panulirus argus</x:v>
      </x:c>
      <x:c r="F22" s="24" t="str">
        <x:v>Caribbean spiny lobster</x:v>
      </x:c>
      <x:c r="G22" s="24" t="str">
        <x:v>Lobsters, crabs</x:v>
      </x:c>
      <x:c r="H22" s="24" t="str">
        <x:v>Crustaceans</x:v>
      </x:c>
      <x:c r="I22" s="31" t="n">
        <x:v>250</x:v>
      </x:c>
      <x:c r="J22" s="31" t="n">
        <x:v>250</x:v>
      </x:c>
      <x:c r="K22" s="31" t="n">
        <x:v>0</x:v>
      </x:c>
      <x:c r="L22" s="31" t="n">
        <x:v>250</x:v>
      </x:c>
      <x:c r="M22" s="31" t="n">
        <x:v>0</x:v>
      </x:c>
      <x:c r="N22" s="24" t="str">
        <x:v>panulirus argus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 argus</x:v>
      </x:c>
      <x:c r="T22" s="32" t="n">
        <x:f>IF(O22="","",(1/'Metadata'!$B$5)^(O22-1))</x:f>
        <x:v>158.48931924611142</x:v>
      </x:c>
      <x:c r="U22" s="31" t="n">
        <x:f>IF(T22="","",I22*T22)</x:f>
        <x:v>39622.32981152785</x:v>
      </x:c>
    </x:row>
    <x:row r="23" ht="18" customHeight="1">
      <x:c r="A23" s="24" t="str">
        <x:v>EEZ_332</x:v>
      </x:c>
      <x:c r="B23" s="24" t="str">
        <x:v>Haiti</x:v>
      </x:c>
      <x:c r="C23" s="24" t="str">
        <x:v>EEZ</x:v>
      </x:c>
      <x:c r="D23" s="30" t="n">
        <x:v>2019</x:v>
      </x:c>
      <x:c r="E23" s="24" t="str">
        <x:v>Pseudupeneus maculatus</x:v>
      </x:c>
      <x:c r="F23" s="24" t="str">
        <x:v>Spotted goatfish</x:v>
      </x:c>
      <x:c r="G23" s="24" t="str">
        <x:v>Medium reef assoc. fish (30 - 89 cm)</x:v>
      </x:c>
      <x:c r="H23" s="24" t="str">
        <x:v>Perch-likes</x:v>
      </x:c>
      <x:c r="I23" s="31" t="n">
        <x:v>220.49705517980001</x:v>
      </x:c>
      <x:c r="J23" s="31" t="n">
        <x:v>220.49705517980001</x:v>
      </x:c>
      <x:c r="K23" s="31" t="n">
        <x:v>0</x:v>
      </x:c>
      <x:c r="L23" s="31" t="n">
        <x:v>207.3425955672</x:v>
      </x:c>
      <x:c r="M23" s="31" t="n">
        <x:v>13.1544596126</x:v>
      </x:c>
      <x:c r="N23" s="24" t="str">
        <x:v>pseudupeneus maculatus</x:v>
      </x:c>
      <x:c r="O23" s="32" t="n">
        <x:v>3.65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Pseudupeneus maculatus</x:v>
      </x:c>
      <x:c r="T23" s="32" t="n">
        <x:f>IF(O23="","",(1/'Metadata'!$B$5)^(O23-1))</x:f>
        <x:v>446.683592150963</x:v>
      </x:c>
      <x:c r="U23" s="31" t="n">
        <x:f>IF(T23="","",I23*T23)</x:f>
        <x:v>98492.41666642218</x:v>
      </x:c>
    </x:row>
    <x:row r="24" ht="18" customHeight="1">
      <x:c r="A24" s="24" t="str">
        <x:v>EEZ_332</x:v>
      </x:c>
      <x:c r="B24" s="24" t="str">
        <x:v>Haiti</x:v>
      </x:c>
      <x:c r="C24" s="24" t="str">
        <x:v>EEZ</x:v>
      </x:c>
      <x:c r="D24" s="30" t="n">
        <x:v>2019</x:v>
      </x:c>
      <x:c r="E24" s="24" t="str">
        <x:v>Heteropriacanthus cruentatus</x:v>
      </x:c>
      <x:c r="F24" s="24" t="str">
        <x:v>Glasseye</x:v>
      </x:c>
      <x:c r="G24" s="24" t="str">
        <x:v>Medium reef assoc. fish (30 - 89 cm)</x:v>
      </x:c>
      <x:c r="H24" s="24" t="str">
        <x:v>Perch-likes</x:v>
      </x:c>
      <x:c r="I24" s="31" t="n">
        <x:v>194.3390409278</x:v>
      </x:c>
      <x:c r="J24" s="31" t="n">
        <x:v>194.3390409278</x:v>
      </x:c>
      <x:c r="K24" s="31" t="n">
        <x:v>0</x:v>
      </x:c>
      <x:c r="L24" s="31" t="n">
        <x:v>126.2085364322</x:v>
      </x:c>
      <x:c r="M24" s="31" t="n">
        <x:v>68.1305044956</x:v>
      </x:c>
      <x:c r="N24" s="24" t="str">
        <x:v>heteropriacanthus cruentatus</x:v>
      </x:c>
      <x:c r="O24" s="32" t="n">
        <x:v>3.61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Heteropriacanthus cruentatus</x:v>
      </x:c>
      <x:c r="T24" s="32" t="n">
        <x:f>IF(O24="","",(1/'Metadata'!$B$5)^(O24-1))</x:f>
        <x:v>407.3802778041126</x:v>
      </x:c>
      <x:c r="U24" s="31" t="n">
        <x:f>IF(T24="","",I24*T24)</x:f>
        <x:v>79169.89248135197</x:v>
      </x:c>
    </x:row>
    <x:row r="25" ht="18" customHeight="1">
      <x:c r="A25" s="24" t="str">
        <x:v>EEZ_332</x:v>
      </x:c>
      <x:c r="B25" s="24" t="str">
        <x:v>Haiti</x:v>
      </x:c>
      <x:c r="C25" s="24" t="str">
        <x:v>EEZ</x:v>
      </x:c>
      <x:c r="D25" s="30" t="n">
        <x:v>2019</x:v>
      </x:c>
      <x:c r="E25" s="24" t="str">
        <x:v>Decapterus macarellus</x:v>
      </x:c>
      <x:c r="F25" s="24" t="str">
        <x:v>Mackerel scad</x:v>
      </x:c>
      <x:c r="G25" s="24" t="str">
        <x:v>Medium pelagics (30 - 89 cm)</x:v>
      </x:c>
      <x:c r="H25" s="24" t="str">
        <x:v>Perch-likes</x:v>
      </x:c>
      <x:c r="I25" s="31" t="n">
        <x:v>187.3983608947</x:v>
      </x:c>
      <x:c r="J25" s="31" t="n">
        <x:v>187.3983608947</x:v>
      </x:c>
      <x:c r="K25" s="31" t="n">
        <x:v>0</x:v>
      </x:c>
      <x:c r="L25" s="31" t="n">
        <x:v>121.7010887025</x:v>
      </x:c>
      <x:c r="M25" s="31" t="n">
        <x:v>65.6972721922</x:v>
      </x:c>
      <x:c r="N25" s="24" t="str">
        <x:v>decapterus macarellus</x:v>
      </x:c>
      <x:c r="O25" s="32" t="n">
        <x:v>3.96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Decapterus macarellus</x:v>
      </x:c>
      <x:c r="T25" s="32" t="n">
        <x:f>IF(O25="","",(1/'Metadata'!$B$5)^(O25-1))</x:f>
        <x:v>912.0108393559096</x:v>
      </x:c>
      <x:c r="U25" s="31" t="n">
        <x:f>IF(T25="","",I25*T25)</x:f>
        <x:v>170909.33641349702</x:v>
      </x:c>
    </x:row>
    <x:row r="26" ht="18" customHeight="1">
      <x:c r="A26" s="24" t="str">
        <x:v>EEZ_332</x:v>
      </x:c>
      <x:c r="B26" s="24" t="str">
        <x:v>Haiti</x:v>
      </x:c>
      <x:c r="C26" s="24" t="str">
        <x:v>EEZ</x:v>
      </x:c>
      <x:c r="D26" s="30" t="n">
        <x:v>2019</x:v>
      </x:c>
      <x:c r="E26" s="24" t="str">
        <x:v>Haemulon plumierii</x:v>
      </x:c>
      <x:c r="F26" s="24" t="str">
        <x:v>White grunt</x:v>
      </x:c>
      <x:c r="G26" s="24" t="str">
        <x:v>Medium reef assoc. fish (30 - 89 cm)</x:v>
      </x:c>
      <x:c r="H26" s="24" t="str">
        <x:v>Perch-likes</x:v>
      </x:c>
      <x:c r="I26" s="31" t="n">
        <x:v>177.35632699250002</x:v>
      </x:c>
      <x:c r="J26" s="31" t="n">
        <x:v>177.35632699250002</x:v>
      </x:c>
      <x:c r="K26" s="31" t="n">
        <x:v>0</x:v>
      </x:c>
      <x:c r="L26" s="31" t="n">
        <x:v>166.7755659997</x:v>
      </x:c>
      <x:c r="M26" s="31" t="n">
        <x:v>10.5807609928</x:v>
      </x:c>
      <x:c r="N26" s="24" t="str">
        <x:v>haemulon plumierii</x:v>
      </x:c>
      <x:c r="O26" s="32" t="n">
        <x:v>3.82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Haemulon plumierii</x:v>
      </x:c>
      <x:c r="T26" s="32" t="n">
        <x:f>IF(O26="","",(1/'Metadata'!$B$5)^(O26-1))</x:f>
        <x:v>660.6934480075957</x:v>
      </x:c>
      <x:c r="U26" s="31" t="n">
        <x:f>IF(T26="","",I26*T26)</x:f>
        <x:v>117178.16320663746</x:v>
      </x:c>
    </x:row>
    <x:row r="27" ht="18" customHeight="1">
      <x:c r="A27" s="24" t="str">
        <x:v>EEZ_332</x:v>
      </x:c>
      <x:c r="B27" s="24" t="str">
        <x:v>Haiti</x:v>
      </x:c>
      <x:c r="C27" s="24" t="str">
        <x:v>EEZ</x:v>
      </x:c>
      <x:c r="D27" s="30" t="n">
        <x:v>2019</x:v>
      </x:c>
      <x:c r="E27" s="24" t="str">
        <x:v>Rhomboplites aurorubens</x:v>
      </x:c>
      <x:c r="F27" s="24" t="str">
        <x:v>Vermilion snapper</x:v>
      </x:c>
      <x:c r="G27" s="24" t="str">
        <x:v>Medium demersals (30 - 89 cm)</x:v>
      </x:c>
      <x:c r="H27" s="24" t="str">
        <x:v>Perch-likes</x:v>
      </x:c>
      <x:c r="I27" s="31" t="n">
        <x:v>173.5170008284</x:v>
      </x:c>
      <x:c r="J27" s="31" t="n">
        <x:v>173.5170008284</x:v>
      </x:c>
      <x:c r="K27" s="31" t="n">
        <x:v>0</x:v>
      </x:c>
      <x:c r="L27" s="31" t="n">
        <x:v>112.686193243</x:v>
      </x:c>
      <x:c r="M27" s="31" t="n">
        <x:v>60.830807585399995</x:v>
      </x:c>
      <x:c r="N27" s="24" t="str">
        <x:v>rhomboplites aurorubens</x:v>
      </x:c>
      <x:c r="O27" s="32" t="n">
        <x:v>4.36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Rhomboplites aurorubens</x:v>
      </x:c>
      <x:c r="T27" s="32" t="n">
        <x:f>IF(O27="","",(1/'Metadata'!$B$5)^(O27-1))</x:f>
        <x:v>2290.867652767775</x:v>
      </x:c>
      <x:c r="U27" s="31" t="n">
        <x:f>IF(T27="","",I27*T27)</x:f>
        <x:v>397504.48440306075</x:v>
      </x:c>
    </x:row>
    <x:row r="28" ht="18" customHeight="1">
      <x:c r="A28" s="24" t="str">
        <x:v>EEZ_332</x:v>
      </x:c>
      <x:c r="B28" s="24" t="str">
        <x:v>Haiti</x:v>
      </x:c>
      <x:c r="C28" s="24" t="str">
        <x:v>EEZ</x:v>
      </x:c>
      <x:c r="D28" s="30" t="n">
        <x:v>2019</x:v>
      </x:c>
      <x:c r="E28" s="24" t="str">
        <x:v>Dendrobranchiata</x:v>
      </x:c>
      <x:c r="F28" s="24" t="str">
        <x:v>Shrimps and prawns</x:v>
      </x:c>
      <x:c r="G28" s="24" t="str">
        <x:v>Shrimps</x:v>
      </x:c>
      <x:c r="H28" s="24" t="str">
        <x:v>Crustaceans</x:v>
      </x:c>
      <x:c r="I28" s="31" t="n">
        <x:v>157.300065972</x:v>
      </x:c>
      <x:c r="J28" s="31" t="n">
        <x:v>157.300065972</x:v>
      </x:c>
      <x:c r="K28" s="31" t="n">
        <x:v>0</x:v>
      </x:c>
      <x:c r="L28" s="31" t="n">
        <x:v>0</x:v>
      </x:c>
      <x:c r="M28" s="31" t="n">
        <x:v>157.300065972</x:v>
      </x:c>
      <x:c r="N28" s="24" t="str">
        <x:v>dendrobranchiata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Dendrobranchiata</x:v>
      </x:c>
      <x:c r="T28" s="32" t="n">
        <x:f>IF(O28="","",(1/'Metadata'!$B$5)^(O28-1))</x:f>
        <x:v>173.78008287493762</x:v>
      </x:c>
      <x:c r="U28" s="31" t="n">
        <x:f>IF(T28="","",I28*T28)</x:f>
        <x:v>27335.618500847315</x:v>
      </x:c>
    </x:row>
    <x:row r="29" ht="18" customHeight="1">
      <x:c r="A29" s="24" t="str">
        <x:v>EEZ_332</x:v>
      </x:c>
      <x:c r="B29" s="24" t="str">
        <x:v>Haiti</x:v>
      </x:c>
      <x:c r="C29" s="24" t="str">
        <x:v>EEZ</x:v>
      </x:c>
      <x:c r="D29" s="30" t="n">
        <x:v>2019</x:v>
      </x:c>
      <x:c r="E29" s="24" t="str">
        <x:v>Lutjanus purpureus</x:v>
      </x:c>
      <x:c r="F29" s="24" t="str">
        <x:v>Southern red snapper</x:v>
      </x:c>
      <x:c r="G29" s="24" t="str">
        <x:v>Medium demersals (30 - 89 cm)</x:v>
      </x:c>
      <x:c r="H29" s="24" t="str">
        <x:v>Perch-likes</x:v>
      </x:c>
      <x:c r="I29" s="31" t="n">
        <x:v>136.5080432528</x:v>
      </x:c>
      <x:c r="J29" s="31" t="n">
        <x:v>136.5080432528</x:v>
      </x:c>
      <x:c r="K29" s="31" t="n">
        <x:v>0</x:v>
      </x:c>
      <x:c r="L29" s="31" t="n">
        <x:v>136.5080432528</x:v>
      </x:c>
      <x:c r="M29" s="31" t="n">
        <x:v>0</x:v>
      </x:c>
      <x:c r="N29" s="24" t="str">
        <x:v>lutjanus purpureus</x:v>
      </x:c>
      <x:c r="O29" s="32" t="n">
        <x:v>3.58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purpureus</x:v>
      </x:c>
      <x:c r="T29" s="32" t="n">
        <x:f>IF(O29="","",(1/'Metadata'!$B$5)^(O29-1))</x:f>
        <x:v>380.1893963205613</x:v>
      </x:c>
      <x:c r="U29" s="31" t="n">
        <x:f>IF(T29="","",I29*T29)</x:f>
        <x:v>51898.9105571831</x:v>
      </x:c>
    </x:row>
    <x:row r="30" ht="18" customHeight="1">
      <x:c r="A30" s="24" t="str">
        <x:v>EEZ_332</x:v>
      </x:c>
      <x:c r="B30" s="24" t="str">
        <x:v>Haiti</x:v>
      </x:c>
      <x:c r="C30" s="24" t="str">
        <x:v>EEZ</x:v>
      </x:c>
      <x:c r="D30" s="30" t="n">
        <x:v>2019</x:v>
      </x:c>
      <x:c r="E30" s="24" t="str">
        <x:v>Rajiformes</x:v>
      </x:c>
      <x:c r="F30" s="24" t="str">
        <x:v>Skates and rays</x:v>
      </x:c>
      <x:c r="G30" s="24" t="str">
        <x:v>Large rays (&gt;=90 cm)</x:v>
      </x:c>
      <x:c r="H30" s="24" t="str">
        <x:v>Sharks &amp; rays</x:v>
      </x:c>
      <x:c r="I30" s="31" t="n">
        <x:v>135.8776955165</x:v>
      </x:c>
      <x:c r="J30" s="31" t="n">
        <x:v>135.8776955165</x:v>
      </x:c>
      <x:c r="K30" s="31" t="n">
        <x:v>0</x:v>
      </x:c>
      <x:c r="L30" s="31" t="n">
        <x:v>120.67702508750001</x:v>
      </x:c>
      <x:c r="M30" s="31" t="n">
        <x:v>15.200670429</x:v>
      </x:c>
      <x:c r="N30" s="24" t="str">
        <x:v>rajiformes</x:v>
      </x:c>
      <x:c r="O30" s="32" t="n">
        <x:v>3.61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Rajiformes</x:v>
      </x:c>
      <x:c r="T30" s="32" t="n">
        <x:f>IF(O30="","",(1/'Metadata'!$B$5)^(O30-1))</x:f>
        <x:v>407.3802778041126</x:v>
      </x:c>
      <x:c r="U30" s="31" t="n">
        <x:f>IF(T30="","",I30*T30)</x:f>
        <x:v>55353.8933468944</x:v>
      </x:c>
    </x:row>
    <x:row r="31" ht="18" customHeight="1">
      <x:c r="A31" s="24" t="str">
        <x:v>EEZ_332</x:v>
      </x:c>
      <x:c r="B31" s="24" t="str">
        <x:v>Haiti</x:v>
      </x:c>
      <x:c r="C31" s="24" t="str">
        <x:v>EEZ</x:v>
      </x:c>
      <x:c r="D31" s="30" t="n">
        <x:v>2019</x:v>
      </x:c>
      <x:c r="E31" s="24" t="str">
        <x:v>Tylosurus crocodilus</x:v>
      </x:c>
      <x:c r="F31" s="24" t="str">
        <x:v>Hound needlefish</x:v>
      </x:c>
      <x:c r="G31" s="24" t="str">
        <x:v>Large pelagics (&gt;=90 cm)</x:v>
      </x:c>
      <x:c r="H31" s="24" t="str">
        <x:v>Other fishes &amp; inverts</x:v>
      </x:c>
      <x:c r="I31" s="31" t="n">
        <x:v>132.15437581109998</x:v>
      </x:c>
      <x:c r="J31" s="31" t="n">
        <x:v>132.15437581109998</x:v>
      </x:c>
      <x:c r="K31" s="31" t="n">
        <x:v>0</x:v>
      </x:c>
      <x:c r="L31" s="31" t="n">
        <x:v>85.6415068648</x:v>
      </x:c>
      <x:c r="M31" s="31" t="n">
        <x:v>46.5128689463</x:v>
      </x:c>
      <x:c r="N31" s="24" t="str">
        <x:v>tylosurus crocodilus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Tylosurus crocodilus</x:v>
      </x:c>
      <x:c r="T31" s="32" t="n">
        <x:f>IF(O31="","",(1/'Metadata'!$B$5)^(O31-1))</x:f>
        <x:v>2691.534803926914</x:v>
      </x:c>
      <x:c r="U31" s="31" t="n">
        <x:f>IF(T31="","",I31*T31)</x:f>
        <x:v>355698.10198681266</x:v>
      </x:c>
    </x:row>
    <x:row r="32" ht="18" customHeight="1">
      <x:c r="A32" s="24" t="str">
        <x:v>EEZ_332</x:v>
      </x:c>
      <x:c r="B32" s="24" t="str">
        <x:v>Haiti</x:v>
      </x:c>
      <x:c r="C32" s="24" t="str">
        <x:v>EEZ</x:v>
      </x:c>
      <x:c r="D32" s="30" t="n">
        <x:v>2019</x:v>
      </x:c>
      <x:c r="E32" s="24" t="str">
        <x:v>Chaetodontidae</x:v>
      </x:c>
      <x:c r="F32" s="24" t="str">
        <x:v>Butterflyfishes</x:v>
      </x:c>
      <x:c r="G32" s="24" t="str">
        <x:v>Small reef assoc. fish (&lt;30 cm)</x:v>
      </x:c>
      <x:c r="H32" s="24" t="str">
        <x:v>Perch-likes</x:v>
      </x:c>
      <x:c r="I32" s="31" t="n">
        <x:v>124.9322405966</x:v>
      </x:c>
      <x:c r="J32" s="31" t="n">
        <x:v>124.9322405966</x:v>
      </x:c>
      <x:c r="K32" s="31" t="n">
        <x:v>0</x:v>
      </x:c>
      <x:c r="L32" s="31" t="n">
        <x:v>81.13405913499999</x:v>
      </x:c>
      <x:c r="M32" s="31" t="n">
        <x:v>43.7981814616</x:v>
      </x:c>
      <x:c r="N32" s="24" t="str">
        <x:v>chaetodontidae</x:v>
      </x:c>
      <x:c r="O32" s="32" t="n">
        <x:v>3.24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Chaetodontidae</x:v>
      </x:c>
      <x:c r="T32" s="32" t="n">
        <x:f>IF(O32="","",(1/'Metadata'!$B$5)^(O32-1))</x:f>
        <x:v>173.78008287493762</x:v>
      </x:c>
      <x:c r="U32" s="31" t="n">
        <x:f>IF(T32="","",I32*T32)</x:f>
        <x:v>21710.735124628794</x:v>
      </x:c>
    </x:row>
    <x:row r="33" ht="18" customHeight="1">
      <x:c r="A33" s="24" t="str">
        <x:v>EEZ_332</x:v>
      </x:c>
      <x:c r="B33" s="24" t="str">
        <x:v>Haiti</x:v>
      </x:c>
      <x:c r="C33" s="24" t="str">
        <x:v>EEZ</x:v>
      </x:c>
      <x:c r="D33" s="30" t="n">
        <x:v>2019</x:v>
      </x:c>
      <x:c r="E33" s="24" t="str">
        <x:v>Cephalopholis cruentata</x:v>
      </x:c>
      <x:c r="F33" s="24" t="str">
        <x:v>Graysby</x:v>
      </x:c>
      <x:c r="G33" s="24" t="str">
        <x:v>Medium reef assoc. fish (30 - 89 cm)</x:v>
      </x:c>
      <x:c r="H33" s="24" t="str">
        <x:v>Perch-likes</x:v>
      </x:c>
      <x:c r="I33" s="31" t="n">
        <x:v>111.0508805302</x:v>
      </x:c>
      <x:c r="J33" s="31" t="n">
        <x:v>111.0508805302</x:v>
      </x:c>
      <x:c r="K33" s="31" t="n">
        <x:v>0</x:v>
      </x:c>
      <x:c r="L33" s="31" t="n">
        <x:v>72.1191636756</x:v>
      </x:c>
      <x:c r="M33" s="31" t="n">
        <x:v>38.9317168546</x:v>
      </x:c>
      <x:c r="N33" s="24" t="str">
        <x:v>cephalopholis cruentata</x:v>
      </x:c>
      <x:c r="O33" s="32" t="n">
        <x:v>4.25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Cephalopholis cruentata</x:v>
      </x:c>
      <x:c r="T33" s="32" t="n">
        <x:f>IF(O33="","",(1/'Metadata'!$B$5)^(O33-1))</x:f>
        <x:v>1778.2794100389228</x:v>
      </x:c>
      <x:c r="U33" s="31" t="n">
        <x:f>IF(T33="","",I33*T33)</x:f>
        <x:v>197479.49431354695</x:v>
      </x:c>
    </x:row>
    <x:row r="34" ht="18" customHeight="1">
      <x:c r="A34" s="24" t="str">
        <x:v>EEZ_332</x:v>
      </x:c>
      <x:c r="B34" s="24" t="str">
        <x:v>Haiti</x:v>
      </x:c>
      <x:c r="C34" s="24" t="str">
        <x:v>EEZ</x:v>
      </x:c>
      <x:c r="D34" s="30" t="n">
        <x:v>2019</x:v>
      </x:c>
      <x:c r="E34" s="24" t="str">
        <x:v>Haemulidae</x:v>
      </x:c>
      <x:c r="F34" s="24" t="str">
        <x:v>Grunts, sweetlips, bonnetmouths</x:v>
      </x:c>
      <x:c r="G34" s="24" t="str">
        <x:v>Medium demersals (30 - 89 cm)</x:v>
      </x:c>
      <x:c r="H34" s="24" t="str">
        <x:v>Perch-likes</x:v>
      </x:c>
      <x:c r="I34" s="31" t="n">
        <x:v>103.0687579245</x:v>
      </x:c>
      <x:c r="J34" s="31" t="n">
        <x:v>103.0687579245</x:v>
      </x:c>
      <x:c r="K34" s="31" t="n">
        <x:v>0</x:v>
      </x:c>
      <x:c r="L34" s="31" t="n">
        <x:v>0</x:v>
      </x:c>
      <x:c r="M34" s="31" t="n">
        <x:v>103.0687579245</x:v>
      </x:c>
      <x:c r="N34" s="24" t="str">
        <x:v>haemulidae</x:v>
      </x:c>
      <x:c r="O34" s="32" t="n">
        <x:v>3.36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Haemulidae</x:v>
      </x:c>
      <x:c r="T34" s="32" t="n">
        <x:f>IF(O34="","",(1/'Metadata'!$B$5)^(O34-1))</x:f>
        <x:v>229.08676527677724</x:v>
      </x:c>
      <x:c r="U34" s="31" t="n">
        <x:f>IF(T34="","",I34*T34)</x:f>
        <x:v>23611.68835401891</x:v>
      </x:c>
    </x:row>
    <x:row r="35" ht="18" customHeight="1">
      <x:c r="A35" s="24" t="str">
        <x:v>EEZ_332</x:v>
      </x:c>
      <x:c r="B35" s="24" t="str">
        <x:v>Haiti</x:v>
      </x:c>
      <x:c r="C35" s="24" t="str">
        <x:v>EEZ</x:v>
      </x:c>
      <x:c r="D35" s="30" t="n">
        <x:v>2019</x:v>
      </x:c>
      <x:c r="E35" s="24" t="str">
        <x:v>Mullidae</x:v>
      </x:c>
      <x:c r="F35" s="24" t="str">
        <x:v>Goatfishes</x:v>
      </x:c>
      <x:c r="G35" s="24" t="str">
        <x:v>Medium reef assoc. fish (30 - 89 cm)</x:v>
      </x:c>
      <x:c r="H35" s="24" t="str">
        <x:v>Perch-likes</x:v>
      </x:c>
      <x:c r="I35" s="31" t="n">
        <x:v>98.7742263443</x:v>
      </x:c>
      <x:c r="J35" s="31" t="n">
        <x:v>98.7742263443</x:v>
      </x:c>
      <x:c r="K35" s="31" t="n">
        <x:v>0</x:v>
      </x:c>
      <x:c r="L35" s="31" t="n">
        <x:v>0</x:v>
      </x:c>
      <x:c r="M35" s="31" t="n">
        <x:v>98.7742263443</x:v>
      </x:c>
      <x:c r="N35" s="24" t="str">
        <x:v>mullidae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Mullidae</x:v>
      </x:c>
      <x:c r="T35" s="32" t="n">
        <x:f>IF(O35="","",(1/'Metadata'!$B$5)^(O35-1))</x:f>
        <x:v>288.40315031266056</x:v>
      </x:c>
      <x:c r="U35" s="31" t="n">
        <x:f>IF(T35="","",I35*T35)</x:f>
        <x:v>28486.79804739191</x:v>
      </x:c>
    </x:row>
    <x:row r="36" ht="18" customHeight="1">
      <x:c r="A36" s="24" t="str">
        <x:v>EEZ_332</x:v>
      </x:c>
      <x:c r="B36" s="24" t="str">
        <x:v>Haiti</x:v>
      </x:c>
      <x:c r="C36" s="24" t="str">
        <x:v>EEZ</x:v>
      </x:c>
      <x:c r="D36" s="30" t="n">
        <x:v>2019</x:v>
      </x:c>
      <x:c r="E36" s="24" t="str">
        <x:v>Ocyurus chrysurus</x:v>
      </x:c>
      <x:c r="F36" s="24" t="str">
        <x:v>Yellowtail snapper</x:v>
      </x:c>
      <x:c r="G36" s="24" t="str">
        <x:v>Medium reef assoc. fish (30 - 89 cm)</x:v>
      </x:c>
      <x:c r="H36" s="24" t="str">
        <x:v>Perch-likes</x:v>
      </x:c>
      <x:c r="I36" s="31" t="n">
        <x:v>90.2288404308</x:v>
      </x:c>
      <x:c r="J36" s="31" t="n">
        <x:v>90.2288404308</x:v>
      </x:c>
      <x:c r="K36" s="31" t="n">
        <x:v>0</x:v>
      </x:c>
      <x:c r="L36" s="31" t="n">
        <x:v>58.5968204865</x:v>
      </x:c>
      <x:c r="M36" s="31" t="n">
        <x:v>31.6320199443</x:v>
      </x:c>
      <x:c r="N36" s="24" t="str">
        <x:v>ocyurus chrysurus</x:v>
      </x:c>
      <x:c r="O36" s="32" t="n">
        <x:v>4.03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Ocyurus chrysurus</x:v>
      </x:c>
      <x:c r="T36" s="32" t="n">
        <x:f>IF(O36="","",(1/'Metadata'!$B$5)^(O36-1))</x:f>
        <x:v>1071.519305237607</x:v>
      </x:c>
      <x:c r="U36" s="31" t="n">
        <x:f>IF(T36="","",I36*T36)</x:f>
        <x:v>96681.94441080574</x:v>
      </x:c>
    </x:row>
    <x:row r="37" ht="18" customHeight="1">
      <x:c r="A37" s="24" t="str">
        <x:v>EEZ_332</x:v>
      </x:c>
      <x:c r="B37" s="24" t="str">
        <x:v>Haiti</x:v>
      </x:c>
      <x:c r="C37" s="24" t="str">
        <x:v>EEZ</x:v>
      </x:c>
      <x:c r="D37" s="30" t="n">
        <x:v>2019</x:v>
      </x:c>
      <x:c r="E37" s="24" t="str">
        <x:v>Hemiramphus brasiliensis</x:v>
      </x:c>
      <x:c r="F37" s="24" t="str">
        <x:v>Ballyhoo halfbeak</x:v>
      </x:c>
      <x:c r="G37" s="24" t="str">
        <x:v>Medium pelagics (30 - 89 cm)</x:v>
      </x:c>
      <x:c r="H37" s="24" t="str">
        <x:v>Other fishes &amp; inverts</x:v>
      </x:c>
      <x:c r="I37" s="31" t="n">
        <x:v>83.4659215647</x:v>
      </x:c>
      <x:c r="J37" s="31" t="n">
        <x:v>83.4659215647</x:v>
      </x:c>
      <x:c r="K37" s="31" t="n">
        <x:v>0</x:v>
      </x:c>
      <x:c r="L37" s="31" t="n">
        <x:v>54.0893727566</x:v>
      </x:c>
      <x:c r="M37" s="31" t="n">
        <x:v>29.3765488081</x:v>
      </x:c>
      <x:c r="N37" s="24" t="str">
        <x:v>hemiramphus brasiliensis</x:v>
      </x:c>
      <x:c r="O37" s="32" t="n">
        <x:v>2.28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Hemiramphus brasiliensis</x:v>
      </x:c>
      <x:c r="T37" s="32" t="n">
        <x:f>IF(O37="","",(1/'Metadata'!$B$5)^(O37-1))</x:f>
        <x:v>19.054607179632463</x:v>
      </x:c>
      <x:c r="U37" s="31" t="n">
        <x:f>IF(T37="","",I37*T37)</x:f>
        <x:v>1590.4103483013726</x:v>
      </x:c>
    </x:row>
    <x:row r="38" ht="18" customHeight="1">
      <x:c r="A38" s="24" t="str">
        <x:v>EEZ_332</x:v>
      </x:c>
      <x:c r="B38" s="24" t="str">
        <x:v>Haiti</x:v>
      </x:c>
      <x:c r="C38" s="24" t="str">
        <x:v>EEZ</x:v>
      </x:c>
      <x:c r="D38" s="30" t="n">
        <x:v>2019</x:v>
      </x:c>
      <x:c r="E38" s="24" t="str">
        <x:v>Cynoglossidae</x:v>
      </x:c>
      <x:c r="F38" s="24" t="str">
        <x:v>Tonguefishes</x:v>
      </x:c>
      <x:c r="G38" s="24" t="str">
        <x:v>Small to medium flatfishes (&lt;90 cm)</x:v>
      </x:c>
      <x:c r="H38" s="24" t="str">
        <x:v>Flatfishes</x:v>
      </x:c>
      <x:c r="I38" s="31" t="n">
        <x:v>79.8657817436</x:v>
      </x:c>
      <x:c r="J38" s="31" t="n">
        <x:v>79.8657817436</x:v>
      </x:c>
      <x:c r="K38" s="31" t="n">
        <x:v>0</x:v>
      </x:c>
      <x:c r="L38" s="31" t="n">
        <x:v>79.8657817436</x:v>
      </x:c>
      <x:c r="M38" s="31" t="n">
        <x:v>0</x:v>
      </x:c>
      <x:c r="N38" s="24" t="str">
        <x:v>cynoglossidae</x:v>
      </x:c>
      <x:c r="O38" s="32" t="n">
        <x:v>3.29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Cynoglossidae</x:v>
      </x:c>
      <x:c r="T38" s="32" t="n">
        <x:f>IF(O38="","",(1/'Metadata'!$B$5)^(O38-1))</x:f>
        <x:v>194.98445997580455</x:v>
      </x:c>
      <x:c r="U38" s="31" t="n">
        <x:f>IF(T38="","",I38*T38)</x:f>
        <x:v>15572.586323821315</x:v>
      </x:c>
    </x:row>
    <x:row r="39" ht="18" customHeight="1">
      <x:c r="A39" s="24" t="str">
        <x:v>EEZ_332</x:v>
      </x:c>
      <x:c r="B39" s="24" t="str">
        <x:v>Haiti</x:v>
      </x:c>
      <x:c r="C39" s="24" t="str">
        <x:v>EEZ</x:v>
      </x:c>
      <x:c r="D39" s="30" t="n">
        <x:v>2019</x:v>
      </x:c>
      <x:c r="E39" s="24" t="str">
        <x:v>Octopus</x:v>
      </x:c>
      <x:c r="F39" s="24" t="str">
        <x:v>Octopuses, pikas</x:v>
      </x:c>
      <x:c r="G39" s="24" t="str">
        <x:v>Cephalopods</x:v>
      </x:c>
      <x:c r="H39" s="24" t="str">
        <x:v>Other fishes &amp; inverts</x:v>
      </x:c>
      <x:c r="I39" s="31" t="n">
        <x:v>73.2553015265</x:v>
      </x:c>
      <x:c r="J39" s="31" t="n">
        <x:v>73.2553015265</x:v>
      </x:c>
      <x:c r="K39" s="31" t="n">
        <x:v>0</x:v>
      </x:c>
      <x:c r="L39" s="31" t="n">
        <x:v>0</x:v>
      </x:c>
      <x:c r="M39" s="31" t="n">
        <x:v>73.2553015265</x:v>
      </x:c>
      <x:c r="N39" s="24" t="str">
        <x:v>octopus</x:v>
      </x:c>
      <x:c r="O39" s="32" t="n">
        <x:v>3.8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Octopus</x:v>
      </x:c>
      <x:c r="T39" s="32" t="n">
        <x:f>IF(O39="","",(1/'Metadata'!$B$5)^(O39-1))</x:f>
        <x:v>630.957344480193</x:v>
      </x:c>
      <x:c r="U39" s="31" t="n">
        <x:f>IF(T39="","",I39*T39)</x:f>
        <x:v>46220.97052025627</x:v>
      </x:c>
    </x:row>
    <x:row r="40" ht="18" customHeight="1">
      <x:c r="A40" s="24" t="str">
        <x:v>EEZ_332</x:v>
      </x:c>
      <x:c r="B40" s="24" t="str">
        <x:v>Haiti</x:v>
      </x:c>
      <x:c r="C40" s="24" t="str">
        <x:v>EEZ</x:v>
      </x:c>
      <x:c r="D40" s="30" t="n">
        <x:v>2019</x:v>
      </x:c>
      <x:c r="E40" s="24" t="str">
        <x:v>Lutjanus griseus</x:v>
      </x:c>
      <x:c r="F40" s="24" t="str">
        <x:v>Grey snapper</x:v>
      </x:c>
      <x:c r="G40" s="24" t="str">
        <x:v>Medium reef assoc. fish (30 - 89 cm)</x:v>
      </x:c>
      <x:c r="H40" s="24" t="str">
        <x:v>Perch-likes</x:v>
      </x:c>
      <x:c r="I40" s="31" t="n">
        <x:v>62.4661202981</x:v>
      </x:c>
      <x:c r="J40" s="31" t="n">
        <x:v>62.4661202981</x:v>
      </x:c>
      <x:c r="K40" s="31" t="n">
        <x:v>0</x:v>
      </x:c>
      <x:c r="L40" s="31" t="n">
        <x:v>40.5670295675</x:v>
      </x:c>
      <x:c r="M40" s="31" t="n">
        <x:v>21.899090730599998</x:v>
      </x:c>
      <x:c r="N40" s="24" t="str">
        <x:v>lutjanus griseus</x:v>
      </x:c>
      <x:c r="O40" s="32" t="n">
        <x:v>4.23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griseus</x:v>
      </x:c>
      <x:c r="T40" s="32" t="n">
        <x:f>IF(O40="","",(1/'Metadata'!$B$5)^(O40-1))</x:f>
        <x:v>1698.243652461746</x:v>
      </x:c>
      <x:c r="U40" s="31" t="n">
        <x:f>IF(T40="","",I40*T40)</x:f>
        <x:v>106082.69229016016</x:v>
      </x:c>
    </x:row>
    <x:row r="41" ht="18" customHeight="1">
      <x:c r="A41" s="24" t="str">
        <x:v>EEZ_332</x:v>
      </x:c>
      <x:c r="B41" s="24" t="str">
        <x:v>Haiti</x:v>
      </x:c>
      <x:c r="C41" s="24" t="str">
        <x:v>EEZ</x:v>
      </x:c>
      <x:c r="D41" s="30" t="n">
        <x:v>2019</x:v>
      </x:c>
      <x:c r="E41" s="24" t="str">
        <x:v>Ablennes hians</x:v>
      </x:c>
      <x:c r="F41" s="24" t="str">
        <x:v>Flat needlefish</x:v>
      </x:c>
      <x:c r="G41" s="24" t="str">
        <x:v>Large pelagics (&gt;=90 cm)</x:v>
      </x:c>
      <x:c r="H41" s="24" t="str">
        <x:v>Other fishes &amp; inverts</x:v>
      </x:c>
      <x:c r="I41" s="31" t="n">
        <x:v>55.643947710000006</x:v>
      </x:c>
      <x:c r="J41" s="31" t="n">
        <x:v>55.643947710000006</x:v>
      </x:c>
      <x:c r="K41" s="31" t="n">
        <x:v>0</x:v>
      </x:c>
      <x:c r="L41" s="31" t="n">
        <x:v>36.0595818378</x:v>
      </x:c>
      <x:c r="M41" s="31" t="n">
        <x:v>19.5843658722</x:v>
      </x:c>
      <x:c r="N41" s="24" t="str">
        <x:v>ablennes hians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Ablennes hians</x:v>
      </x:c>
      <x:c r="T41" s="32" t="n">
        <x:f>IF(O41="","",(1/'Metadata'!$B$5)^(O41-1))</x:f>
        <x:v>3162.2776601683795</x:v>
      </x:c>
      <x:c r="U41" s="31" t="n">
        <x:f>IF(T41="","",I41*T41)</x:f>
        <x:v>175961.6127669105</x:v>
      </x:c>
    </x:row>
    <x:row r="42" ht="18" customHeight="1">
      <x:c r="A42" s="24" t="str">
        <x:v>EEZ_332</x:v>
      </x:c>
      <x:c r="B42" s="24" t="str">
        <x:v>Haiti</x:v>
      </x:c>
      <x:c r="C42" s="24" t="str">
        <x:v>EEZ</x:v>
      </x:c>
      <x:c r="D42" s="30" t="n">
        <x:v>2019</x:v>
      </x:c>
      <x:c r="E42" s="24" t="str">
        <x:v>Gymnothorax moringa</x:v>
      </x:c>
      <x:c r="F42" s="24" t="str">
        <x:v>Spotted moray</x:v>
      </x:c>
      <x:c r="G42" s="24" t="str">
        <x:v>Large reef assoc. fish (&gt;=90 cm)</x:v>
      </x:c>
      <x:c r="H42" s="24" t="str">
        <x:v>Other fishes &amp; inverts</x:v>
      </x:c>
      <x:c r="I42" s="31" t="n">
        <x:v>55.5254402651</x:v>
      </x:c>
      <x:c r="J42" s="31" t="n">
        <x:v>55.5254402651</x:v>
      </x:c>
      <x:c r="K42" s="31" t="n">
        <x:v>0</x:v>
      </x:c>
      <x:c r="L42" s="31" t="n">
        <x:v>36.0595818378</x:v>
      </x:c>
      <x:c r="M42" s="31" t="n">
        <x:v>19.465858427300002</x:v>
      </x:c>
      <x:c r="N42" s="24" t="str">
        <x:v>gymnothorax moringa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Gymnothorax moringa</x:v>
      </x:c>
      <x:c r="T42" s="32" t="n">
        <x:f>IF(O42="","",(1/'Metadata'!$B$5)^(O42-1))</x:f>
        <x:v>3162.2776601683795</x:v>
      </x:c>
      <x:c r="U42" s="31" t="n">
        <x:f>IF(T42="","",I42*T42)</x:f>
        <x:v>175586.85932133955</x:v>
      </x:c>
    </x:row>
    <x:row r="43" ht="18" customHeight="1">
      <x:c r="A43" s="24" t="str">
        <x:v>EEZ_332</x:v>
      </x:c>
      <x:c r="B43" s="24" t="str">
        <x:v>Haiti</x:v>
      </x:c>
      <x:c r="C43" s="24" t="str">
        <x:v>EEZ</x:v>
      </x:c>
      <x:c r="D43" s="30" t="n">
        <x:v>2019</x:v>
      </x:c>
      <x:c r="E43" s="24" t="str">
        <x:v>Haemulon vittatum</x:v>
      </x:c>
      <x:c r="F43" s="24" t="str">
        <x:v>Boga</x:v>
      </x:c>
      <x:c r="G43" s="24" t="str">
        <x:v>Small reef assoc. fish (&lt;30 cm)</x:v>
      </x:c>
      <x:c r="H43" s="24" t="str">
        <x:v>Perch-likes</x:v>
      </x:c>
      <x:c r="I43" s="31" t="n">
        <x:v>52.7275566734</x:v>
      </x:c>
      <x:c r="J43" s="31" t="n">
        <x:v>52.7275566734</x:v>
      </x:c>
      <x:c r="K43" s="31" t="n">
        <x:v>0</x:v>
      </x:c>
      <x:c r="L43" s="31" t="n">
        <x:v>49.581925026899995</x:v>
      </x:c>
      <x:c r="M43" s="31" t="n">
        <x:v>3.1456316465</x:v>
      </x:c>
      <x:c r="N43" s="24" t="str">
        <x:v>haemulon vittatum</x:v>
      </x:c>
      <x:c r="O43" s="32" t="n">
        <x:v>3.3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Haemulon vittatum</x:v>
      </x:c>
      <x:c r="T43" s="32" t="n">
        <x:f>IF(O43="","",(1/'Metadata'!$B$5)^(O43-1))</x:f>
        <x:v>199.52623149688787</x:v>
      </x:c>
      <x:c r="U43" s="31" t="n">
        <x:f>IF(T43="","",I43*T43)</x:f>
        <x:v>10520.530679082083</x:v>
      </x:c>
    </x:row>
    <x:row r="44" ht="18" customHeight="1">
      <x:c r="A44" s="24" t="str">
        <x:v>EEZ_332</x:v>
      </x:c>
      <x:c r="B44" s="24" t="str">
        <x:v>Haiti</x:v>
      </x:c>
      <x:c r="C44" s="24" t="str">
        <x:v>EEZ</x:v>
      </x:c>
      <x:c r="D44" s="30" t="n">
        <x:v>2019</x:v>
      </x:c>
      <x:c r="E44" s="24" t="str">
        <x:v>Holothuroidea</x:v>
      </x:c>
      <x:c r="F44" s="24" t="str">
        <x:v>Sea cucumbers</x:v>
      </x:c>
      <x:c r="G44" s="24" t="str">
        <x:v>Other demersal invertebrates</x:v>
      </x:c>
      <x:c r="H44" s="24" t="str">
        <x:v>Other fishes &amp; inverts</x:v>
      </x:c>
      <x:c r="I44" s="31" t="n">
        <x:v>38.3957705218</x:v>
      </x:c>
      <x:c r="J44" s="31" t="n">
        <x:v>38.3957705218</x:v>
      </x:c>
      <x:c r="K44" s="31" t="n">
        <x:v>0</x:v>
      </x:c>
      <x:c r="L44" s="31" t="n">
        <x:v>0</x:v>
      </x:c>
      <x:c r="M44" s="31" t="n">
        <x:v>38.3957705218</x:v>
      </x:c>
      <x:c r="N44" s="24" t="str">
        <x:v>holothuroidea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Holothuroidea</x:v>
      </x:c>
      <x:c r="T44" s="32" t="n">
        <x:f>IF(O44="","",(1/'Metadata'!$B$5)^(O44-1))</x:f>
        <x:v>10</x:v>
      </x:c>
      <x:c r="U44" s="31" t="n">
        <x:f>IF(T44="","",I44*T44)</x:f>
        <x:v>383.957705218</x:v>
      </x:c>
    </x:row>
    <x:row r="45" ht="18" customHeight="1">
      <x:c r="A45" s="24" t="str">
        <x:v>EEZ_332</x:v>
      </x:c>
      <x:c r="B45" s="24" t="str">
        <x:v>Haiti</x:v>
      </x:c>
      <x:c r="C45" s="24" t="str">
        <x:v>EEZ</x:v>
      </x:c>
      <x:c r="D45" s="30" t="n">
        <x:v>2019</x:v>
      </x:c>
      <x:c r="E45" s="24" t="str">
        <x:v>Ostraciidae</x:v>
      </x:c>
      <x:c r="F45" s="24" t="str">
        <x:v>Box-, cow-, trunkfishes</x:v>
      </x:c>
      <x:c r="G45" s="24" t="str">
        <x:v>Medium reef assoc. fish (30 - 89 cm)</x:v>
      </x:c>
      <x:c r="H45" s="24" t="str">
        <x:v>Other fishes &amp; inverts</x:v>
      </x:c>
      <x:c r="I45" s="31" t="n">
        <x:v>36.2372673722</x:v>
      </x:c>
      <x:c r="J45" s="31" t="n">
        <x:v>36.2372673722</x:v>
      </x:c>
      <x:c r="K45" s="31" t="n">
        <x:v>0</x:v>
      </x:c>
      <x:c r="L45" s="31" t="n">
        <x:v>22.5372386487</x:v>
      </x:c>
      <x:c r="M45" s="31" t="n">
        <x:v>13.700028723500001</x:v>
      </x:c>
      <x:c r="N45" s="24" t="str">
        <x:v>ostraciidae</x:v>
      </x:c>
      <x:c r="O45" s="32" t="n">
        <x:v>2.83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Ostraciidae</x:v>
      </x:c>
      <x:c r="T45" s="32" t="n">
        <x:f>IF(O45="","",(1/'Metadata'!$B$5)^(O45-1))</x:f>
        <x:v>67.60829753919819</x:v>
      </x:c>
      <x:c r="U45" s="31" t="n">
        <x:f>IF(T45="","",I45*T45)</x:f>
        <x:v>2449.939954507176</x:v>
      </x:c>
    </x:row>
    <x:row r="46" ht="18" customHeight="1">
      <x:c r="A46" s="24" t="str">
        <x:v>EEZ_332</x:v>
      </x:c>
      <x:c r="B46" s="24" t="str">
        <x:v>Haiti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34.9562354197</x:v>
      </x:c>
      <x:c r="J46" s="31" t="n">
        <x:v>34.9562354197</x:v>
      </x:c>
      <x:c r="K46" s="31" t="n">
        <x:v>0</x:v>
      </x:c>
      <x:c r="L46" s="31" t="n">
        <x:v>22.5372386487</x:v>
      </x:c>
      <x:c r="M46" s="31" t="n">
        <x:v>12.418996771000002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666.0773344011382</x:v>
      </x:c>
    </x:row>
    <x:row r="47" ht="18" customHeight="1">
      <x:c r="A47" s="24" t="str">
        <x:v>EEZ_332</x:v>
      </x:c>
      <x:c r="B47" s="24" t="str">
        <x:v>Haiti</x:v>
      </x:c>
      <x:c r="C47" s="24" t="str">
        <x:v>EEZ</x:v>
      </x:c>
      <x:c r="D47" s="30" t="n">
        <x:v>2019</x:v>
      </x:c>
      <x:c r="E47" s="24" t="str">
        <x:v>Lutjanus apodus</x:v>
      </x:c>
      <x:c r="F47" s="24" t="str">
        <x:v>Schoolmaster snapper</x:v>
      </x:c>
      <x:c r="G47" s="24" t="str">
        <x:v>Medium reef assoc. fish (30 - 89 cm)</x:v>
      </x:c>
      <x:c r="H47" s="24" t="str">
        <x:v>Perch-likes</x:v>
      </x:c>
      <x:c r="I47" s="31" t="n">
        <x:v>34.703400165800005</x:v>
      </x:c>
      <x:c r="J47" s="31" t="n">
        <x:v>34.703400165800005</x:v>
      </x:c>
      <x:c r="K47" s="31" t="n">
        <x:v>0</x:v>
      </x:c>
      <x:c r="L47" s="31" t="n">
        <x:v>22.537238648600002</x:v>
      </x:c>
      <x:c r="M47" s="31" t="n">
        <x:v>12.1661615172</x:v>
      </x:c>
      <x:c r="N47" s="24" t="str">
        <x:v>lutjanus apodus</x:v>
      </x:c>
      <x:c r="O47" s="32" t="n">
        <x:v>4.25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Lutjanus apodus</x:v>
      </x:c>
      <x:c r="T47" s="32" t="n">
        <x:f>IF(O47="","",(1/'Metadata'!$B$5)^(O47-1))</x:f>
        <x:v>1778.2794100389228</x:v>
      </x:c>
      <x:c r="U47" s="31" t="n">
        <x:f>IF(T47="","",I47*T47)</x:f>
        <x:v>61712.34197318349</x:v>
      </x:c>
    </x:row>
    <x:row r="48" ht="18" customHeight="1">
      <x:c r="A48" s="24" t="str">
        <x:v>EEZ_332</x:v>
      </x:c>
      <x:c r="B48" s="24" t="str">
        <x:v>Haiti</x:v>
      </x:c>
      <x:c r="C48" s="24" t="str">
        <x:v>EEZ</x:v>
      </x:c>
      <x:c r="D48" s="30" t="n">
        <x:v>2019</x:v>
      </x:c>
      <x:c r="E48" s="24" t="str">
        <x:v>Holothuriidae</x:v>
      </x:c>
      <x:c r="F48" s="24" t="str">
        <x:v>Fleshy sea cucumbers</x:v>
      </x:c>
      <x:c r="G48" s="24" t="str">
        <x:v>Other demersal invertebrates</x:v>
      </x:c>
      <x:c r="H48" s="24" t="str">
        <x:v>Other fishes &amp; inverts</x:v>
      </x:c>
      <x:c r="I48" s="31" t="n">
        <x:v>20</x:v>
      </x:c>
      <x:c r="J48" s="31" t="n">
        <x:v>20</x:v>
      </x:c>
      <x:c r="K48" s="31" t="n">
        <x:v>0</x:v>
      </x:c>
      <x:c r="L48" s="31" t="n">
        <x:v>20</x:v>
      </x:c>
      <x:c r="M48" s="31" t="n">
        <x:v>0</x:v>
      </x:c>
      <x:c r="N48" s="24" t="str">
        <x:v>holothuriidae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Holothuriidae</x:v>
      </x:c>
      <x:c r="T48" s="32" t="n">
        <x:f>IF(O48="","",(1/'Metadata'!$B$5)^(O48-1))</x:f>
        <x:v>10</x:v>
      </x:c>
      <x:c r="U48" s="31" t="n">
        <x:f>IF(T48="","",I48*T48)</x:f>
        <x:v>200</x:v>
      </x:c>
    </x:row>
    <x:row r="49" ht="18" customHeight="1">
      <x:c r="A49" s="24" t="str">
        <x:v>EEZ_332</x:v>
      </x:c>
      <x:c r="B49" s="24" t="str">
        <x:v>Haiti</x:v>
      </x:c>
      <x:c r="C49" s="24" t="str">
        <x:v>EEZ</x:v>
      </x:c>
      <x:c r="D49" s="30" t="n">
        <x:v>2019</x:v>
      </x:c>
      <x:c r="E49" s="24" t="str">
        <x:v>Lutjanidae</x:v>
      </x:c>
      <x:c r="F49" s="24" t="str">
        <x:v>Snappers</x:v>
      </x:c>
      <x:c r="G49" s="24" t="str">
        <x:v>Medium reef assoc. fish (30 - 89 cm)</x:v>
      </x:c>
      <x:c r="H49" s="24" t="str">
        <x:v>Perch-likes</x:v>
      </x:c>
      <x:c r="I49" s="31" t="n">
        <x:v>6.668615905499999</x:v>
      </x:c>
      <x:c r="J49" s="31" t="n">
        <x:v>6.668615905499999</x:v>
      </x:c>
      <x:c r="K49" s="31" t="n">
        <x:v>0</x:v>
      </x:c>
      <x:c r="L49" s="31" t="n">
        <x:v>3.5880277995</x:v>
      </x:c>
      <x:c r="M49" s="31" t="n">
        <x:v>3.080588106</x:v>
      </x:c>
      <x:c r="N49" s="24" t="str">
        <x:v>lutjanidae</x:v>
      </x:c>
      <x:c r="O49" s="32" t="n">
        <x:v>4.02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Lutjanidae</x:v>
      </x:c>
      <x:c r="T49" s="32" t="n">
        <x:f>IF(O49="","",(1/'Metadata'!$B$5)^(O49-1))</x:f>
        <x:v>1047.1285480508984</x:v>
      </x:c>
      <x:c r="U49" s="31" t="n">
        <x:f>IF(T49="","",I49*T49)</x:f>
        <x:v>6982.898090635342</x:v>
      </x:c>
    </x:row>
    <x:row r="50" ht="18" customHeight="1">
      <x:c r="A50" s="24" t="str">
        <x:v>EEZ_332</x:v>
      </x:c>
      <x:c r="B50" s="24" t="str">
        <x:v>Haiti</x:v>
      </x:c>
      <x:c r="C50" s="24" t="str">
        <x:v>EEZ</x:v>
      </x:c>
      <x:c r="D50" s="30" t="n">
        <x:v>2019</x:v>
      </x:c>
      <x:c r="E50" s="24" t="str">
        <x:v>Elasmobranchii</x:v>
      </x:c>
      <x:c r="F50" s="24" t="str">
        <x:v>Sharks, rays, skates</x:v>
      </x:c>
      <x:c r="G50" s="24" t="str">
        <x:v>Large sharks (&gt;=90 cm)</x:v>
      </x:c>
      <x:c r="H50" s="24" t="str">
        <x:v>Sharks &amp; rays</x:v>
      </x:c>
      <x:c r="I50" s="31" t="n">
        <x:v>4.8098892475</x:v>
      </x:c>
      <x:c r="J50" s="31" t="n">
        <x:v>4.8098892475</x:v>
      </x:c>
      <x:c r="K50" s="31" t="n">
        <x:v>0</x:v>
      </x:c>
      <x:c r="L50" s="31" t="n">
        <x:v>4.2963256638</x:v>
      </x:c>
      <x:c r="M50" s="31" t="n">
        <x:v>0.5135635837</x:v>
      </x:c>
      <x:c r="N50" s="24" t="str">
        <x:v>elasmobranchii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Elasmobranchii</x:v>
      </x:c>
      <x:c r="T50" s="32" t="n">
        <x:f>IF(O50="","",(1/'Metadata'!$B$5)^(O50-1))</x:f>
        <x:v>1122.018454301963</x:v>
      </x:c>
      <x:c r="U50" s="31" t="n">
        <x:f>IF(T50="","",I50*T50)</x:f>
        <x:v>5396.784498843582</x:v>
      </x:c>
    </x:row>
    <x:row r="51" ht="18" customHeight="1">
      <x:c r="A51" s="24" t="str">
        <x:v>EEZ_332</x:v>
      </x:c>
      <x:c r="B51" s="24" t="str">
        <x:v>Haiti</x:v>
      </x:c>
      <x:c r="C51" s="24" t="str">
        <x:v>EEZ</x:v>
      </x:c>
      <x:c r="D51" s="30" t="n">
        <x:v>2019</x:v>
      </x:c>
      <x:c r="E51" s="24" t="str">
        <x:v>Carangidae</x:v>
      </x:c>
      <x:c r="F51" s="24" t="str">
        <x:v>Jacks, pompanos</x:v>
      </x:c>
      <x:c r="G51" s="24" t="str">
        <x:v>Medium pelagics (30 - 89 cm)</x:v>
      </x:c>
      <x:c r="H51" s="24" t="str">
        <x:v>Perch-likes</x:v>
      </x:c>
      <x:c r="I51" s="31" t="n">
        <x:v>0.530954033</x:v>
      </x:c>
      <x:c r="J51" s="31" t="n">
        <x:v>0.530954033</x:v>
      </x:c>
      <x:c r="K51" s="31" t="n">
        <x:v>0</x:v>
      </x:c>
      <x:c r="L51" s="31" t="n">
        <x:v>0</x:v>
      </x:c>
      <x:c r="M51" s="31" t="n">
        <x:v>0.530954033</x:v>
      </x:c>
      <x:c r="N51" s="24" t="str">
        <x:v>carangidae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Carangidae</x:v>
      </x:c>
      <x:c r="T51" s="32" t="n">
        <x:f>IF(O51="","",(1/'Metadata'!$B$5)^(O51-1))</x:f>
        <x:v>1122.018454301963</x:v>
      </x:c>
      <x:c r="U51" s="31" t="n">
        <x:f>IF(T51="","",I51*T51)</x:f>
        <x:v>595.7402234120534</x:v>
      </x:c>
    </x:row>
    <x:row r="52" ht="18" customHeight="1">
      <x:c r="A52" s="24" t="str">
        <x:v>EEZ_332</x:v>
      </x:c>
      <x:c r="B52" s="24" t="str">
        <x:v>Haiti</x:v>
      </x:c>
      <x:c r="C52" s="24" t="str">
        <x:v>EEZ</x:v>
      </x:c>
      <x:c r="D52" s="30" t="n">
        <x:v>2019</x:v>
      </x:c>
      <x:c r="E52" s="24" t="str">
        <x:v>Monacanthidae</x:v>
      </x:c>
      <x:c r="F52" s="24" t="str">
        <x:v>Filefishes</x:v>
      </x:c>
      <x:c r="G52" s="24" t="str">
        <x:v>Medium reef assoc. fish (30 - 89 cm)</x:v>
      </x:c>
      <x:c r="H52" s="24" t="str">
        <x:v>Other fishes &amp; inverts</x:v>
      </x:c>
      <x:c r="I52" s="31" t="n">
        <x:v>0.3981312462</x:v>
      </x:c>
      <x:c r="J52" s="31" t="n">
        <x:v>0.3981312462</x:v>
      </x:c>
      <x:c r="K52" s="31" t="n">
        <x:v>0</x:v>
      </x:c>
      <x:c r="L52" s="31" t="n">
        <x:v>0</x:v>
      </x:c>
      <x:c r="M52" s="31" t="n">
        <x:v>0.3981312462</x:v>
      </x:c>
      <x:c r="N52" s="24" t="str">
        <x:v>monacanthidae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Monacanthidae</x:v>
      </x:c>
      <x:c r="T52" s="32" t="n">
        <x:f>IF(O52="","",(1/'Metadata'!$B$5)^(O52-1))</x:f>
        <x:v>100</x:v>
      </x:c>
      <x:c r="U52" s="31" t="n">
        <x:f>IF(T52="","",I52*T52)</x:f>
        <x:v>39.81312462</x:v>
      </x:c>
    </x:row>
    <x:row r="53" ht="18" customHeight="1">
      <x:c r="A53" s="24" t="str">
        <x:v>EEZ_332</x:v>
      </x:c>
      <x:c r="B53" s="24" t="str">
        <x:v>Haiti</x:v>
      </x:c>
      <x:c r="C53" s="24" t="str">
        <x:v>EEZ</x:v>
      </x:c>
      <x:c r="D53" s="30" t="n">
        <x:v>2019</x:v>
      </x:c>
      <x:c r="E53" s="24" t="str">
        <x:v>Balistidae</x:v>
      </x:c>
      <x:c r="F53" s="24" t="str">
        <x:v>Triggerfishes</x:v>
      </x:c>
      <x:c r="G53" s="24" t="str">
        <x:v>Medium reef assoc. fish (30 - 89 cm)</x:v>
      </x:c>
      <x:c r="H53" s="24" t="str">
        <x:v>Other fishes &amp; inverts</x:v>
      </x:c>
      <x:c r="I53" s="31" t="n">
        <x:v>0.3971199054</x:v>
      </x:c>
      <x:c r="J53" s="31" t="n">
        <x:v>0.3971199054</x:v>
      </x:c>
      <x:c r="K53" s="31" t="n">
        <x:v>0</x:v>
      </x:c>
      <x:c r="L53" s="31" t="n">
        <x:v>0</x:v>
      </x:c>
      <x:c r="M53" s="31" t="n">
        <x:v>0.3971199054</x:v>
      </x:c>
      <x:c r="N53" s="24" t="str">
        <x:v>balistidae</x:v>
      </x:c>
      <x:c r="O53" s="32" t="n">
        <x:v>3.25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Balistidae</x:v>
      </x:c>
      <x:c r="T53" s="32" t="n">
        <x:f>IF(O53="","",(1/'Metadata'!$B$5)^(O53-1))</x:f>
        <x:v>177.82794100389228</x:v>
      </x:c>
      <x:c r="U53" s="31" t="n">
        <x:f>IF(T53="","",I53*T53)</x:f>
        <x:v>70.61901510894248</x:v>
      </x:c>
    </x:row>
    <x:row r="54" ht="18" customHeight="1">
      <x:c r="A54" s="24" t="str">
        <x:v>EEZ_332</x:v>
      </x:c>
      <x:c r="B54" s="24" t="str">
        <x:v>Haiti</x:v>
      </x:c>
      <x:c r="C54" s="24" t="str">
        <x:v>EEZ</x:v>
      </x:c>
      <x:c r="D54" s="30" t="n">
        <x:v>2019</x:v>
      </x:c>
      <x:c r="E54" s="24" t="str">
        <x:v>Lutjanus</x:v>
      </x:c>
      <x:c r="F54" s="24" t="str">
        <x:v>Snappers</x:v>
      </x:c>
      <x:c r="G54" s="24" t="str">
        <x:v>Medium reef assoc. fish (30 - 89 cm)</x:v>
      </x:c>
      <x:c r="H54" s="24" t="str">
        <x:v>Perch-likes</x:v>
      </x:c>
      <x:c r="I54" s="31" t="n">
        <x:v>0.3307085119</x:v>
      </x:c>
      <x:c r="J54" s="31" t="n">
        <x:v>0.3307085119</x:v>
      </x:c>
      <x:c r="K54" s="31" t="n">
        <x:v>0</x:v>
      </x:c>
      <x:c r="L54" s="31" t="n">
        <x:v>0</x:v>
      </x:c>
      <x:c r="M54" s="31" t="n">
        <x:v>0.3307085119</x:v>
      </x:c>
      <x:c r="N54" s="24" t="str">
        <x:v>lutjanus</x:v>
      </x:c>
      <x:c r="O54" s="32" t="n">
        <x:v>4.02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Lutjanus</x:v>
      </x:c>
      <x:c r="T54" s="32" t="n">
        <x:f>IF(O54="","",(1/'Metadata'!$B$5)^(O54-1))</x:f>
        <x:v>1047.1285480508984</x:v>
      </x:c>
      <x:c r="U54" s="31" t="n">
        <x:f>IF(T54="","",I54*T54)</x:f>
        <x:v>346.29432389392025</x:v>
      </x:c>
    </x:row>
    <x:row r="55" ht="18" customHeight="1">
      <x:c r="A55" s="24" t="str">
        <x:v>EEZ_332</x:v>
      </x:c>
      <x:c r="B55" s="24" t="str">
        <x:v>Haiti</x:v>
      </x:c>
      <x:c r="C55" s="24" t="str">
        <x:v>EEZ</x:v>
      </x:c>
      <x:c r="D55" s="30" t="n">
        <x:v>2019</x:v>
      </x:c>
      <x:c r="E55" s="24" t="str">
        <x:v>Carcharhinidae</x:v>
      </x:c>
      <x:c r="F55" s="24" t="str">
        <x:v>Requiem sharks</x:v>
      </x:c>
      <x:c r="G55" s="24" t="str">
        <x:v>Large sharks (&gt;=90 cm)</x:v>
      </x:c>
      <x:c r="H55" s="24" t="str">
        <x:v>Sharks &amp; rays</x:v>
      </x:c>
      <x:c r="I55" s="31" t="n">
        <x:v>0.0842784179</x:v>
      </x:c>
      <x:c r="J55" s="31" t="n">
        <x:v>0.0842784179</x:v>
      </x:c>
      <x:c r="K55" s="31" t="n">
        <x:v>0</x:v>
      </x:c>
      <x:c r="L55" s="31" t="n">
        <x:v>0</x:v>
      </x:c>
      <x:c r="M55" s="31" t="n">
        <x:v>0.0842784179</x:v>
      </x:c>
      <x:c r="N55" s="24" t="str">
        <x:v>carcharhinidae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Carcharhinidae</x:v>
      </x:c>
      <x:c r="T55" s="32" t="n">
        <x:f>IF(O55="","",(1/'Metadata'!$B$5)^(O55-1))</x:f>
        <x:v>1737.8008287493763</x:v>
      </x:c>
      <x:c r="U55" s="31" t="n">
        <x:f>IF(T55="","",I55*T55)</x:f>
        <x:v>146.45910447230625</x:v>
      </x:c>
    </x:row>
    <x:row r="56" ht="18" customHeight="1">
      <x:c r="A56" s="24" t="str">
        <x:v>EEZ_332</x:v>
      </x:c>
      <x:c r="B56" s="24" t="str">
        <x:v>Haiti</x:v>
      </x:c>
      <x:c r="C56" s="24" t="str">
        <x:v>EEZ</x:v>
      </x:c>
      <x:c r="D56" s="30" t="n">
        <x:v>2019</x:v>
      </x:c>
      <x:c r="E56" s="24" t="str">
        <x:v>Malacanthidae</x:v>
      </x:c>
      <x:c r="F56" s="24" t="str">
        <x:v>Tilefishes</x:v>
      </x:c>
      <x:c r="G56" s="24" t="str">
        <x:v>Medium demersals (30 - 89 cm)</x:v>
      </x:c>
      <x:c r="H56" s="24" t="str">
        <x:v>Perch-likes</x:v>
      </x:c>
      <x:c r="I56" s="31" t="n">
        <x:v>0.0455103457</x:v>
      </x:c>
      <x:c r="J56" s="31" t="n">
        <x:v>0.0455103457</x:v>
      </x:c>
      <x:c r="K56" s="31" t="n">
        <x:v>0</x:v>
      </x:c>
      <x:c r="L56" s="31" t="n">
        <x:v>0</x:v>
      </x:c>
      <x:c r="M56" s="31" t="n">
        <x:v>0.0455103457</x:v>
      </x:c>
      <x:c r="N56" s="24" t="str">
        <x:v>malacanthidae</x:v>
      </x:c>
      <x:c r="O56" s="32" t="n">
        <x:v>3.62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Malacanthidae</x:v>
      </x:c>
      <x:c r="T56" s="32" t="n">
        <x:f>IF(O56="","",(1/'Metadata'!$B$5)^(O56-1))</x:f>
        <x:v>416.8693834703355</x:v>
      </x:c>
      <x:c r="U56" s="31" t="n">
        <x:f>IF(T56="","",I56*T56)</x:f>
        <x:v>18.971869753480835</x:v>
      </x:c>
    </x:row>
    <x:row r="57" ht="18" customHeight="1">
      <x:c r="A57" s="24" t="str">
        <x:v>EEZ_332</x:v>
      </x:c>
      <x:c r="B57" s="24" t="str">
        <x:v>Haiti</x:v>
      </x:c>
      <x:c r="C57" s="24" t="str">
        <x:v>EEZ</x:v>
      </x:c>
      <x:c r="D57" s="30" t="n">
        <x:v>2019</x:v>
      </x:c>
      <x:c r="E57" s="24" t="str">
        <x:v>Dasyatidae</x:v>
      </x:c>
      <x:c r="F57" s="24" t="str">
        <x:v>Whiptail stingrays</x:v>
      </x:c>
      <x:c r="G57" s="24" t="str">
        <x:v>Large rays (&gt;=90 cm)</x:v>
      </x:c>
      <x:c r="H57" s="24" t="str">
        <x:v>Sharks &amp; rays</x:v>
      </x:c>
      <x:c r="I57" s="31" t="n">
        <x:v>0.0180018701</x:v>
      </x:c>
      <x:c r="J57" s="31" t="n">
        <x:v>0.0180018701</x:v>
      </x:c>
      <x:c r="K57" s="31" t="n">
        <x:v>0</x:v>
      </x:c>
      <x:c r="L57" s="31" t="n">
        <x:v>0</x:v>
      </x:c>
      <x:c r="M57" s="31" t="n">
        <x:v>0.0180018701</x:v>
      </x:c>
      <x:c r="N57" s="24" t="str">
        <x:v>dasyatidae</x:v>
      </x:c>
      <x:c r="O57" s="32" t="n">
        <x:v>3.38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Dasyatidae</x:v>
      </x:c>
      <x:c r="T57" s="32" t="n">
        <x:f>IF(O57="","",(1/'Metadata'!$B$5)^(O57-1))</x:f>
        <x:v>239.88329190194898</x:v>
      </x:c>
      <x:c r="U57" s="31" t="n">
        <x:f>IF(T57="","",I57*T57)</x:f>
        <x:v>4.3183478599792675</x:v>
      </x:c>
    </x:row>
    <x:row r="58" ht="18" customHeight="1">
      <x:c r="A58" s="24" t="str">
        <x:v>EEZ_332</x:v>
      </x:c>
      <x:c r="B58" s="24" t="str">
        <x:v>Haiti</x:v>
      </x:c>
      <x:c r="C58" s="24" t="str">
        <x:v>EEZ</x:v>
      </x:c>
      <x:c r="D58" s="30" t="n">
        <x:v>2019</x:v>
      </x:c>
      <x:c r="E58" s="24" t="str">
        <x:v>Serranidae</x:v>
      </x:c>
      <x:c r="F58" s="24" t="str">
        <x:v>Basses, groupers, hinds</x:v>
      </x:c>
      <x:c r="G58" s="24" t="str">
        <x:v>Medium reef assoc. fish (30 - 89 cm)</x:v>
      </x:c>
      <x:c r="H58" s="24" t="str">
        <x:v>Perch-likes</x:v>
      </x:c>
      <x:c r="I58" s="31" t="n">
        <x:v>0.0151026925</x:v>
      </x:c>
      <x:c r="J58" s="31" t="n">
        <x:v>0.0151026925</x:v>
      </x:c>
      <x:c r="K58" s="31" t="n">
        <x:v>0</x:v>
      </x:c>
      <x:c r="L58" s="31" t="n">
        <x:v>0</x:v>
      </x:c>
      <x:c r="M58" s="31" t="n">
        <x:v>0.0151026925</x:v>
      </x:c>
      <x:c r="N58" s="24" t="str">
        <x:v>serranidae</x:v>
      </x:c>
      <x:c r="O58" s="32" t="n">
        <x:v>3.98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Serranidae</x:v>
      </x:c>
      <x:c r="T58" s="32" t="n">
        <x:f>IF(O58="","",(1/'Metadata'!$B$5)^(O58-1))</x:f>
        <x:v>954.992586021436</x:v>
      </x:c>
      <x:c r="U58" s="31" t="n">
        <x:f>IF(T58="","",I58*T58)</x:f>
        <x:v>14.422959366461546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4dda47172fe4e1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2279.8160805911</x:v>
      </x:c>
      <x:c r="C2" s="32" t="n">
        <x:v>3.005311611867621</x:v>
      </x:c>
      <x:c r="D2" s="32" t="n">
        <x:f>IF(C2="","",(1/'Metadata'!$B$5)^(C2-1))</x:f>
        <x:v>101.23055359635303</x:v>
      </x:c>
      <x:c r="E2" s="31" t="n">
        <x:f>IF(B2=0,"",B2*D2)</x:f>
        <x:v>230787.04393610486</x:v>
      </x:c>
    </x:row>
    <x:row r="3" ht="18" customHeight="1">
      <x:c r="A3" s="24" t="str">
        <x:v>Flatfishes</x:v>
      </x:c>
      <x:c r="B3" s="31" t="n">
        <x:v>79.8657817436</x:v>
      </x:c>
      <x:c r="C3" s="32" t="n">
        <x:v>3.29</x:v>
      </x:c>
      <x:c r="D3" s="32" t="n">
        <x:f>IF(C3="","",(1/'Metadata'!$B$5)^(C3-1))</x:f>
        <x:v>194.98445997580455</x:v>
      </x:c>
      <x:c r="E3" s="31" t="n">
        <x:f>IF(B3=0,"",B3*D3)</x:f>
        <x:v>15572.586323821315</x:v>
      </x:c>
    </x:row>
    <x:row r="4" ht="18" customHeight="1">
      <x:c r="A4" s="24" t="str">
        <x:v>Other fishes &amp; inverts</x:v>
      </x:c>
      <x:c r="B4" s="31" t="n">
        <x:v>6061.816286830801</x:v>
      </x:c>
      <x:c r="C4" s="32" t="n">
        <x:v>3.3064657931044907</x:v>
      </x:c>
      <x:c r="D4" s="32" t="n">
        <x:f>IF(C4="","",(1/'Metadata'!$B$5)^(C4-1))</x:f>
        <x:v>202.5190087888173</x:v>
      </x:c>
      <x:c r="E4" s="31" t="n">
        <x:f>IF(B4=0,"",B4*D4)</x:f>
        <x:v>1227633.025868883</x:v>
      </x:c>
    </x:row>
    <x:row r="5" ht="18" customHeight="1">
      <x:c r="A5" s="24" t="str">
        <x:v>Perch-likes</x:v>
      </x:c>
      <x:c r="B5" s="31" t="n">
        <x:v>14344.048843754701</x:v>
      </x:c>
      <x:c r="C5" s="32" t="n">
        <x:v>3.7951205071423804</x:v>
      </x:c>
      <x:c r="D5" s="32" t="n">
        <x:f>IF(C5="","",(1/'Metadata'!$B$5)^(C5-1))</x:f>
        <x:v>623.9079321598356</x:v>
      </x:c>
      <x:c r="E5" s="31" t="n">
        <x:f>IF(B5=0,"",B5*D5)</x:f>
        <x:v>8949365.852906676</x:v>
      </x:c>
    </x:row>
    <x:row r="6" ht="18" customHeight="1">
      <x:c r="A6" s="24" t="str">
        <x:v>Sharks &amp; rays</x:v>
      </x:c>
      <x:c r="B6" s="31" t="n">
        <x:v>140.789865052</x:v>
      </x:c>
      <x:c r="C6" s="32" t="n">
        <x:v>3.6253797025180345</x:v>
      </x:c>
      <x:c r="D6" s="32" t="n">
        <x:f>IF(C6="","",(1/'Metadata'!$B$5)^(C6-1))</x:f>
        <x:v>422.06535278583647</x:v>
      </x:c>
      <x:c r="E6" s="31" t="n">
        <x:f>IF(B6=0,"",B6*D6)</x:f>
        <x:v>59422.52406184269</x:v>
      </x:c>
    </x:row>
    <x:row r="7" ht="18" customHeight="1">
      <x:c r="A7" s="24" t="str">
        <x:v>Tuna &amp; billfishes</x:v>
      </x:c>
      <x:c r="B7" s="31" t="n">
        <x:v>2217.333096421</x:v>
      </x:c>
      <x:c r="C7" s="32" t="n">
        <x:v>4.463740340953341</x:v>
      </x:c>
      <x:c r="D7" s="32" t="n">
        <x:f>IF(C7="","",(1/'Metadata'!$B$5)^(C7-1))</x:f>
        <x:v>2908.9773581370046</x:v>
      </x:c>
      <x:c r="E7" s="31" t="n">
        <x:f>IF(B7=0,"",B7*D7)</x:f>
        <x:v>6450171.772936504</x:v>
      </x:c>
    </x:row>
  </x:sheetData>
  <x:pageMargins left="0.7" right="0.7" top="0.75" bottom="0.75" header="0.3" footer="0.3"/>
  <x:tableParts count="1">
    <x:tablePart xmlns:r="http://schemas.openxmlformats.org/officeDocument/2006/relationships" r:id="Reed86d974f7446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73.2553015265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46220.97052025627</x:v>
      </x:c>
    </x:row>
    <x:row r="3" ht="18" customHeight="1">
      <x:c r="A3" s="24" t="str">
        <x:v>Large pelagics (&gt;=90 cm)</x:v>
      </x:c>
      <x:c r="B3" s="31" t="n">
        <x:v>4422.3289201654</x:v>
      </x:c>
      <x:c r="C3" s="32" t="n">
        <x:v>4.4095273162991955</x:v>
      </x:c>
      <x:c r="D3" s="32" t="n">
        <x:f>IF(C3="","",(1/'Metadata'!$B$5)^(C3-1))</x:f>
        <x:v>2567.5997001785386</x:v>
      </x:c>
      <x:c r="E3" s="31" t="n">
        <x:f>IF(B3=0,"",B3*D3)</x:f>
        <x:v>11354770.409507561</x:v>
      </x:c>
    </x:row>
    <x:row r="4" ht="18" customHeight="1">
      <x:c r="A4" s="24" t="str">
        <x:v>Large rays (&gt;=90 cm)</x:v>
      </x:c>
      <x:c r="B4" s="31" t="n">
        <x:v>135.8956973866</x:v>
      </x:c>
      <x:c r="C4" s="32" t="n">
        <x:v>3.609969532294233</x:v>
      </x:c>
      <x:c r="D4" s="32" t="n">
        <x:f>IF(C4="","",(1/'Metadata'!$B$5)^(C4-1))</x:f>
        <x:v>407.35169925294525</x:v>
      </x:c>
      <x:c r="E4" s="31" t="n">
        <x:f>IF(B4=0,"",B4*D4)</x:f>
        <x:v>55357.34325159554</x:v>
      </x:c>
    </x:row>
    <x:row r="5" ht="18" customHeight="1">
      <x:c r="A5" s="24" t="str">
        <x:v>Large reef assoc. fish (&gt;=90 cm)</x:v>
      </x:c>
      <x:c r="B5" s="31" t="n">
        <x:v>55.5254402651</x:v>
      </x:c>
      <x:c r="C5" s="32" t="n">
        <x:v>4.5</x:v>
      </x:c>
      <x:c r="D5" s="32" t="n">
        <x:f>IF(C5="","",(1/'Metadata'!$B$5)^(C5-1))</x:f>
        <x:v>3162.2776601683795</x:v>
      </x:c>
      <x:c r="E5" s="31" t="n">
        <x:f>IF(B5=0,"",B5*D5)</x:f>
        <x:v>175586.85932133955</x:v>
      </x:c>
    </x:row>
    <x:row r="6" ht="18" customHeight="1">
      <x:c r="A6" s="24" t="str">
        <x:v>Large sharks (&gt;=90 cm)</x:v>
      </x:c>
      <x:c r="B6" s="31" t="n">
        <x:v>4.8941676654</x:v>
      </x:c>
      <x:c r="C6" s="32" t="n">
        <x:v>4.053271833025707</x:v>
      </x:c>
      <x:c r="D6" s="32" t="n">
        <x:f>IF(C6="","",(1/'Metadata'!$B$5)^(C6-1))</x:f>
        <x:v>1130.5032963908359</x:v>
      </x:c>
      <x:c r="E6" s="31" t="n">
        <x:f>IF(B6=0,"",B6*D6)</x:f>
        <x:v>5532.872678824142</x:v>
      </x:c>
    </x:row>
    <x:row r="7" ht="18" customHeight="1">
      <x:c r="A7" s="24" t="str">
        <x:v>Lobsters, crabs</x:v>
      </x:c>
      <x:c r="B7" s="31" t="n">
        <x:v>2122.5160146191</x:v>
      </x:c>
      <x:c r="C7" s="32" t="n">
        <x:v>2.987918810738292</x:v>
      </x:c>
      <x:c r="D7" s="32" t="n">
        <x:f>IF(C7="","",(1/'Metadata'!$B$5)^(C7-1))</x:f>
        <x:v>97.25653903654731</x:v>
      </x:c>
      <x:c r="E7" s="31" t="n">
        <x:f>IF(B7=0,"",B7*D7)</x:f>
        <x:v>206428.56163149932</x:v>
      </x:c>
    </x:row>
    <x:row r="8" ht="18" customHeight="1">
      <x:c r="A8" s="24" t="str">
        <x:v>Medium demersals (30 - 89 cm)</x:v>
      </x:c>
      <x:c r="B8" s="31" t="n">
        <x:v>5445.0186091363</x:v>
      </x:c>
      <x:c r="C8" s="32" t="n">
        <x:v>3.3234547179737812</x:v>
      </x:c>
      <x:c r="D8" s="32" t="n">
        <x:f>IF(C8="","",(1/'Metadata'!$B$5)^(C8-1))</x:f>
        <x:v>210.59823057850517</x:v>
      </x:c>
      <x:c r="E8" s="31" t="n">
        <x:f>IF(B8=0,"",B8*D8)</x:f>
        <x:v>1146711.284551138</x:v>
      </x:c>
    </x:row>
    <x:row r="9" ht="18" customHeight="1">
      <x:c r="A9" s="24" t="str">
        <x:v>Medium pelagics (30 - 89 cm)</x:v>
      </x:c>
      <x:c r="B9" s="31" t="n">
        <x:v>1846.4614589743</x:v>
      </x:c>
      <x:c r="C9" s="32" t="n">
        <x:v>3.903178918141604</x:v>
      </x:c>
      <x:c r="D9" s="32" t="n">
        <x:f>IF(C9="","",(1/'Metadata'!$B$5)^(C9-1))</x:f>
        <x:v>800.1638340053072</x:v>
      </x:c>
      <x:c r="E9" s="31" t="n">
        <x:f>IF(B9=0,"",B9*D9)</x:f>
        <x:v>1477471.6803559093</x:v>
      </x:c>
    </x:row>
    <x:row r="10" ht="18" customHeight="1">
      <x:c r="A10" s="24" t="str">
        <x:v>Medium reef assoc. fish (30 - 89 cm)</x:v>
      </x:c>
      <x:c r="B10" s="31" t="n">
        <x:v>9864.0820990743</x:v>
      </x:c>
      <x:c r="C10" s="32" t="n">
        <x:v>3.6607280643872775</x:v>
      </x:c>
      <x:c r="D10" s="32" t="n">
        <x:f>IF(C10="","",(1/'Metadata'!$B$5)^(C10-1))</x:f>
        <x:v>457.85510872580915</x:v>
      </x:c>
      <x:c r="E10" s="31" t="n">
        <x:f>IF(B10=0,"",B10*D10)</x:f>
        <x:v>4516320.381951971</x:v>
      </x:c>
    </x:row>
    <x:row r="11" ht="18" customHeight="1">
      <x:c r="A11" s="24" t="str">
        <x:v>Other demersal invertebrates</x:v>
      </x:c>
      <x:c r="B11" s="31" t="n">
        <x:v>58.3957705218</x:v>
      </x:c>
      <x:c r="C11" s="32" t="n">
        <x:v>2</x:v>
      </x:c>
      <x:c r="D11" s="32" t="n">
        <x:f>IF(C11="","",(1/'Metadata'!$B$5)^(C11-1))</x:f>
        <x:v>10</x:v>
      </x:c>
      <x:c r="E11" s="31" t="n">
        <x:f>IF(B11=0,"",B11*D11)</x:f>
        <x:v>583.957705218</x:v>
      </x:c>
    </x:row>
    <x:row r="12" ht="18" customHeight="1">
      <x:c r="A12" s="24" t="str">
        <x:v>Shrimps</x:v>
      </x:c>
      <x:c r="B12" s="31" t="n">
        <x:v>157.300065972</x:v>
      </x:c>
      <x:c r="C12" s="32" t="n">
        <x:v>3.24</x:v>
      </x:c>
      <x:c r="D12" s="32" t="n">
        <x:f>IF(C12="","",(1/'Metadata'!$B$5)^(C12-1))</x:f>
        <x:v>173.78008287493762</x:v>
      </x:c>
      <x:c r="E12" s="31" t="n">
        <x:f>IF(B12=0,"",B12*D12)</x:f>
        <x:v>27335.618500847315</x:v>
      </x:c>
    </x:row>
    <x:row r="13" ht="18" customHeight="1">
      <x:c r="A13" s="24" t="str">
        <x:v>Small reef assoc. fish (&lt;30 cm)</x:v>
      </x:c>
      <x:c r="B13" s="31" t="n">
        <x:v>858.1306273427999</x:v>
      </x:c>
      <x:c r="C13" s="32" t="n">
        <x:v>3.285875695807838</x:v>
      </x:c>
      <x:c r="D13" s="32" t="n">
        <x:f>IF(C13="","",(1/'Metadata'!$B$5)^(C13-1))</x:f>
        <x:v>193.141542628039</x:v>
      </x:c>
      <x:c r="E13" s="31" t="n">
        <x:f>IF(B13=0,"",B13*D13)</x:f>
        <x:v>165740.67314135525</x:v>
      </x:c>
    </x:row>
    <x:row r="14" ht="18" customHeight="1">
      <x:c r="A14" s="24" t="str">
        <x:v>Small to medium flatfishes (&lt;90 cm)</x:v>
      </x:c>
      <x:c r="B14" s="31" t="n">
        <x:v>79.8657817436</x:v>
      </x:c>
      <x:c r="C14" s="32" t="n">
        <x:v>3.29</x:v>
      </x:c>
      <x:c r="D14" s="32" t="n">
        <x:f>IF(C14="","",(1/'Metadata'!$B$5)^(C14-1))</x:f>
        <x:v>194.98445997580455</x:v>
      </x:c>
      <x:c r="E14" s="31" t="n">
        <x:f>IF(B14=0,"",B14*D14)</x:f>
        <x:v>15572.586323821315</x:v>
      </x:c>
    </x:row>
  </x:sheetData>
  <x:pageMargins left="0.7" right="0.7" top="0.75" bottom="0.75" header="0.3" footer="0.3"/>
  <x:tableParts count="1">
    <x:tablePart xmlns:r="http://schemas.openxmlformats.org/officeDocument/2006/relationships" r:id="Rcc1c84aa3ed449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EEZ_332</x:v>
      </x:c>
      <x:c r="B2" s="24" t="str">
        <x:v>raw_filtered_tonnes</x:v>
      </x:c>
      <x:c r="C2" s="24" t="n">
        <x:v>25123.669954393197</x:v>
      </x:c>
      <x:c r="D2" s="24" t="str">
        <x:v>tonnes</x:v>
      </x:c>
    </x:row>
    <x:row r="3" ht="18" customHeight="1">
      <x:c r="A3" s="24" t="str">
        <x:v>EEZ_332</x:v>
      </x:c>
      <x:c r="B3" s="24" t="str">
        <x:v>species_catch_tonnes</x:v>
      </x:c>
      <x:c r="C3" s="24" t="n">
        <x:v>25123.6699543932</x:v>
      </x:c>
      <x:c r="D3" s="24" t="str">
        <x:v>tonnes</x:v>
      </x:c>
    </x:row>
    <x:row r="4" ht="18" customHeight="1">
      <x:c r="A4" s="24" t="str">
        <x:v>EEZ_332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EEZ_332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EEZ_332</x:v>
      </x:c>
      <x:c r="B6" s="24" t="str">
        <x:v>matched_catch_tonnes</x:v>
      </x:c>
      <x:c r="C6" s="24" t="n">
        <x:v>25123.6699543932</x:v>
      </x:c>
      <x:c r="D6" s="24" t="str">
        <x:v>tonnes</x:v>
      </x:c>
    </x:row>
    <x:row r="7" ht="18" customHeight="1">
      <x:c r="A7" s="24" t="str">
        <x:v>EEZ_332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EEZ_332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EEZ_332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EEZ_332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EEZ_332</x:v>
      </x:c>
      <x:c r="B11" s="24" t="str">
        <x:v>species_ppr</x:v>
      </x:c>
      <x:c r="C11" s="24" t="n">
        <x:v>23832130.00848978</x:v>
      </x:c>
      <x:c r="D11" s="24" t="str">
        <x:v>tonnes_primary_production_equivalent</x:v>
      </x:c>
    </x:row>
    <x:row r="12" ht="18" customHeight="1">
      <x:c r="A12" s="24" t="str">
        <x:v>EEZ_332</x:v>
      </x:c>
      <x:c r="B12" s="24" t="str">
        <x:v>commercial_ppr</x:v>
      </x:c>
      <x:c r="C12" s="24" t="n">
        <x:v>16932952.80603383</x:v>
      </x:c>
      <x:c r="D12" s="24" t="str">
        <x:v>tonnes_primary_production_equivalent</x:v>
      </x:c>
    </x:row>
    <x:row r="13" ht="18" customHeight="1">
      <x:c r="A13" s="24" t="str">
        <x:v>EEZ_332</x:v>
      </x:c>
      <x:c r="B13" s="24" t="str">
        <x:v>functional_ppr</x:v>
      </x:c>
      <x:c r="C13" s="24" t="n">
        <x:v>19193633.199441336</x:v>
      </x:c>
      <x:c r="D13" s="24" t="str">
        <x:v>tonnes_primary_production_equivalent</x:v>
      </x:c>
    </x:row>
    <x:row r="14" ht="18" customHeight="1">
      <x:c r="A14" s="24" t="str">
        <x:v>EEZ_332</x:v>
      </x:c>
      <x:c r="B14" s="24" t="str">
        <x:v>commercial_ppr_difference</x:v>
      </x:c>
      <x:c r="C14" s="24" t="n">
        <x:v>-6899177.202455949</x:v>
      </x:c>
      <x:c r="D14" s="24" t="str">
        <x:v>tonnes_primary_production_equivalent</x:v>
      </x:c>
    </x:row>
    <x:row r="15" ht="18" customHeight="1">
      <x:c r="A15" s="24" t="str">
        <x:v>EEZ_332</x:v>
      </x:c>
      <x:c r="B15" s="24" t="str">
        <x:v>functional_ppr_difference</x:v>
      </x:c>
      <x:c r="C15" s="24" t="n">
        <x:v>-4638496.809048444</x:v>
      </x:c>
      <x:c r="D15" s="24" t="str">
        <x:v>tonnes_primary_production_equivalent</x:v>
      </x:c>
    </x:row>
    <x:row r="16" ht="18" customHeight="1">
      <x:c r="A16" s="24" t="str">
        <x:v>EEZ_332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EEZ_332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466507cfa5843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EEZ_332 - Haiti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EEZ_332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