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94d2c4ce6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fa362886dcb4197"/>
    <x:sheet xmlns:r="http://schemas.openxmlformats.org/officeDocument/2006/relationships" name="Commercial" sheetId="2" r:id="Rd7284dcb71a24269"/>
    <x:sheet xmlns:r="http://schemas.openxmlformats.org/officeDocument/2006/relationships" name="Functional" sheetId="3" r:id="R2709d72572884158"/>
    <x:sheet xmlns:r="http://schemas.openxmlformats.org/officeDocument/2006/relationships" name="Missing TL" sheetId="4" r:id="R2a62ca83db204d08"/>
    <x:sheet xmlns:r="http://schemas.openxmlformats.org/officeDocument/2006/relationships" name="Validation" sheetId="5" r:id="Re143c3ec1af643d2"/>
    <x:sheet xmlns:r="http://schemas.openxmlformats.org/officeDocument/2006/relationships" name="Metadata" sheetId="6" r:id="Rdcdd6ad689be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6ed7d709344597" /><Relationship Type="http://schemas.openxmlformats.org/officeDocument/2006/relationships/theme" Target="/xl/theme/theme1.xml" Id="R76f2c4a64c0748e5" /><Relationship Type="http://schemas.microsoft.com/office/2022/11/relationships/FeaturePropertyBag" Target="/xl/featurePropertyBag/featurePropertyBag.xml" Id="R9214868c1c954fe9" /><Relationship Type="http://schemas.openxmlformats.org/officeDocument/2006/relationships/sharedStrings" Target="/xl/sharedStrings.xml" Id="R483d518f8c7b46e6" /><Relationship Type="http://schemas.openxmlformats.org/officeDocument/2006/relationships/worksheet" Target="/xl/worksheets/sheet1.xml" Id="Rffa362886dcb4197" /><Relationship Type="http://schemas.openxmlformats.org/officeDocument/2006/relationships/worksheet" Target="/xl/worksheets/sheet2.xml" Id="Rd7284dcb71a24269" /><Relationship Type="http://schemas.openxmlformats.org/officeDocument/2006/relationships/worksheet" Target="/xl/worksheets/sheet3.xml" Id="R2709d72572884158" /><Relationship Type="http://schemas.openxmlformats.org/officeDocument/2006/relationships/worksheet" Target="/xl/worksheets/sheet4.xml" Id="R2a62ca83db204d08" /><Relationship Type="http://schemas.openxmlformats.org/officeDocument/2006/relationships/worksheet" Target="/xl/worksheets/sheet5.xml" Id="Re143c3ec1af643d2" /><Relationship Type="http://schemas.openxmlformats.org/officeDocument/2006/relationships/worksheet" Target="/xl/worksheets/sheet6.xml" Id="Rdcdd6ad689be43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98SpeciesTable" displayName="EEZ898SpeciesTable" ref="A1:U18" headerRowCount="1" totalsRowCount="0" totalsRowShown="0">
  <x:autoFilter ref="A1:U1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98CommercialTable" displayName="EEZ898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98FunctionalTable" displayName="EEZ898FunctionalTable" ref="A1:E5" headerRowCount="1" totalsRowCount="0" totalsRowShown="0">
  <x:autoFilter ref="A1:E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98ValidationTable" displayName="EEZ89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0ef4ce08c141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b6b9a5bde744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45a336a5634d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00047134fe462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EEZ_898</x:v>
      </x:c>
      <x:c r="B2" s="24" t="str">
        <x:v>Clipperton Isl. (France)</x:v>
      </x:c>
      <x:c r="C2" s="24" t="str">
        <x:v>EEZ</x:v>
      </x:c>
      <x:c r="D2" s="30" t="n">
        <x:v>2019</x:v>
      </x:c>
      <x:c r="E2" s="24" t="str">
        <x:v>Thunnus albacares</x:v>
      </x:c>
      <x:c r="F2" s="24" t="str">
        <x:v>Yellowfin tuna</x:v>
      </x:c>
      <x:c r="G2" s="24" t="str">
        <x:v>Large pelagics (&gt;=90 cm)</x:v>
      </x:c>
      <x:c r="H2" s="24" t="str">
        <x:v>Tuna &amp; billfishes</x:v>
      </x:c>
      <x:c r="I2" s="31" t="n">
        <x:v>5425.9409491284005</x:v>
      </x:c>
      <x:c r="J2" s="31" t="n">
        <x:v>5367.7311506216</x:v>
      </x:c>
      <x:c r="K2" s="31" t="n">
        <x:v>58.2097985068</x:v>
      </x:c>
      <x:c r="L2" s="31" t="n">
        <x:v>5367.7311506216</x:v>
      </x:c>
      <x:c r="M2" s="31" t="n">
        <x:v>58.2097985068</x:v>
      </x:c>
      <x:c r="N2" s="24" t="str">
        <x:v>thunnus albacares</x:v>
      </x:c>
      <x:c r="O2" s="32" t="n">
        <x:v>4.41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albacares</x:v>
      </x:c>
      <x:c r="T2" s="32" t="n">
        <x:f>IF(O2="","",(1/'Metadata'!$B$5)^(O2-1))</x:f>
        <x:v>2570.3957827688646</x:v>
      </x:c>
      <x:c r="U2" s="31" t="n">
        <x:f>IF(T2="","",I2*T2)</x:f>
        <x:v>13946815.733192531</x:v>
      </x:c>
    </x:row>
    <x:row r="3" ht="18" customHeight="1">
      <x:c r="A3" s="24" t="str">
        <x:v>EEZ_898</x:v>
      </x:c>
      <x:c r="B3" s="24" t="str">
        <x:v>Clipperton Isl. (France)</x:v>
      </x:c>
      <x:c r="C3" s="24" t="str">
        <x:v>EEZ</x:v>
      </x:c>
      <x:c r="D3" s="30" t="n">
        <x:v>2019</x:v>
      </x:c>
      <x:c r="E3" s="24" t="str">
        <x:v>Katsuwonus pelamis</x:v>
      </x:c>
      <x:c r="F3" s="24" t="str">
        <x:v>Skipjack tuna</x:v>
      </x:c>
      <x:c r="G3" s="24" t="str">
        <x:v>Large pelagics (&gt;=90 cm)</x:v>
      </x:c>
      <x:c r="H3" s="24" t="str">
        <x:v>Tuna &amp; billfishes</x:v>
      </x:c>
      <x:c r="I3" s="31" t="n">
        <x:v>166.96023522069999</x:v>
      </x:c>
      <x:c r="J3" s="31" t="n">
        <x:v>166.9602331796</x:v>
      </x:c>
      <x:c r="K3" s="31" t="n">
        <x:v>0.0000020411</x:v>
      </x:c>
      <x:c r="L3" s="31" t="n">
        <x:v>166.9602331796</x:v>
      </x:c>
      <x:c r="M3" s="31" t="n">
        <x:v>0.0000020411</x:v>
      </x:c>
      <x:c r="N3" s="24" t="str">
        <x:v>katsuwonus pelamis</x:v>
      </x:c>
      <x:c r="O3" s="32" t="n">
        <x:v>4.43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Katsuwonus pelamis</x:v>
      </x:c>
      <x:c r="T3" s="32" t="n">
        <x:f>IF(O3="","",(1/'Metadata'!$B$5)^(O3-1))</x:f>
        <x:v>2691.534803926914</x:v>
      </x:c>
      <x:c r="U3" s="31" t="n">
        <x:f>IF(T3="","",I3*T3)</x:f>
        <x:v>449379.28396833816</x:v>
      </x:c>
    </x:row>
    <x:row r="4" ht="18" customHeight="1">
      <x:c r="A4" s="24" t="str">
        <x:v>EEZ_898</x:v>
      </x:c>
      <x:c r="B4" s="24" t="str">
        <x:v>Clipperton Isl. (France)</x:v>
      </x:c>
      <x:c r="C4" s="24" t="str">
        <x:v>EEZ</x:v>
      </x:c>
      <x:c r="D4" s="30" t="n">
        <x:v>2019</x:v>
      </x:c>
      <x:c r="E4" s="24" t="str">
        <x:v>Thunnus alalunga</x:v>
      </x:c>
      <x:c r="F4" s="24" t="str">
        <x:v>Albacore</x:v>
      </x:c>
      <x:c r="G4" s="24" t="str">
        <x:v>Large pelagics (&gt;=90 cm)</x:v>
      </x:c>
      <x:c r="H4" s="24" t="str">
        <x:v>Tuna &amp; billfishes</x:v>
      </x:c>
      <x:c r="I4" s="31" t="n">
        <x:v>50.1831532599</x:v>
      </x:c>
      <x:c r="J4" s="31" t="n">
        <x:v>49.6813714087</x:v>
      </x:c>
      <x:c r="K4" s="31" t="n">
        <x:v>0.5017818512</x:v>
      </x:c>
      <x:c r="L4" s="31" t="n">
        <x:v>49.6813714087</x:v>
      </x:c>
      <x:c r="M4" s="31" t="n">
        <x:v>0.5017818512</x:v>
      </x:c>
      <x:c r="N4" s="24" t="str">
        <x:v>thunnus alalunga</x:v>
      </x:c>
      <x:c r="O4" s="32" t="n">
        <x:v>4.3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alalunga</x:v>
      </x:c>
      <x:c r="T4" s="32" t="n">
        <x:f>IF(O4="","",(1/'Metadata'!$B$5)^(O4-1))</x:f>
        <x:v>1995.2623149688789</x:v>
      </x:c>
      <x:c r="U4" s="31" t="n">
        <x:f>IF(T4="","",I4*T4)</x:f>
        <x:v>100128.55454578612</x:v>
      </x:c>
    </x:row>
    <x:row r="5" ht="18" customHeight="1">
      <x:c r="A5" s="24" t="str">
        <x:v>EEZ_898</x:v>
      </x:c>
      <x:c r="B5" s="24" t="str">
        <x:v>Clipperton Isl. (France)</x:v>
      </x:c>
      <x:c r="C5" s="24" t="str">
        <x:v>EEZ</x:v>
      </x:c>
      <x:c r="D5" s="30" t="n">
        <x:v>2019</x:v>
      </x:c>
      <x:c r="E5" s="24" t="str">
        <x:v>Xiphias gladius</x:v>
      </x:c>
      <x:c r="F5" s="24" t="str">
        <x:v>Swordfish</x:v>
      </x:c>
      <x:c r="G5" s="24" t="str">
        <x:v>Large pelagics (&gt;=90 cm)</x:v>
      </x:c>
      <x:c r="H5" s="24" t="str">
        <x:v>Tuna &amp; billfishes</x:v>
      </x:c>
      <x:c r="I5" s="31" t="n">
        <x:v>45.288293213299994</x:v>
      </x:c>
      <x:c r="J5" s="31" t="n">
        <x:v>45.1779024627</x:v>
      </x:c>
      <x:c r="K5" s="31" t="n">
        <x:v>0.1103907506</x:v>
      </x:c>
      <x:c r="L5" s="31" t="n">
        <x:v>45.1779024627</x:v>
      </x:c>
      <x:c r="M5" s="31" t="n">
        <x:v>0.1103907506</x:v>
      </x:c>
      <x:c r="N5" s="24" t="str">
        <x:v>xiphias gladius</x:v>
      </x:c>
      <x:c r="O5" s="32" t="n">
        <x:v>4.53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Xiphias gladius</x:v>
      </x:c>
      <x:c r="T5" s="32" t="n">
        <x:f>IF(O5="","",(1/'Metadata'!$B$5)^(O5-1))</x:f>
        <x:v>3388.4415613920273</x:v>
      </x:c>
      <x:c r="U5" s="31" t="n">
        <x:f>IF(T5="","",I5*T5)</x:f>
        <x:v>153456.7349684542</x:v>
      </x:c>
    </x:row>
    <x:row r="6" ht="18" customHeight="1">
      <x:c r="A6" s="24" t="str">
        <x:v>EEZ_898</x:v>
      </x:c>
      <x:c r="B6" s="24" t="str">
        <x:v>Clipperton Isl. (France)</x:v>
      </x:c>
      <x:c r="C6" s="24" t="str">
        <x:v>EEZ</x:v>
      </x:c>
      <x:c r="D6" s="30" t="n">
        <x:v>2019</x:v>
      </x:c>
      <x:c r="E6" s="24" t="str">
        <x:v>Elasmobranchii</x:v>
      </x:c>
      <x:c r="F6" s="24" t="str">
        <x:v>Sharks, rays, skates</x:v>
      </x:c>
      <x:c r="G6" s="24" t="str">
        <x:v>Large sharks (&gt;=90 cm)</x:v>
      </x:c>
      <x:c r="H6" s="24" t="str">
        <x:v>Sharks &amp; rays</x:v>
      </x:c>
      <x:c r="I6" s="31" t="n">
        <x:v>37.973594005</x:v>
      </x:c>
      <x:c r="J6" s="31" t="n">
        <x:v>24.7732724143</x:v>
      </x:c>
      <x:c r="K6" s="31" t="n">
        <x:v>13.200321590700002</x:v>
      </x:c>
      <x:c r="L6" s="31" t="n">
        <x:v>9.7732724143</x:v>
      </x:c>
      <x:c r="M6" s="31" t="n">
        <x:v>28.2003215907</x:v>
      </x:c>
      <x:c r="N6" s="24" t="str">
        <x:v>elasmobranchii</x:v>
      </x:c>
      <x:c r="O6" s="32" t="n">
        <x:v>4.05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Elasmobranchii</x:v>
      </x:c>
      <x:c r="T6" s="32" t="n">
        <x:f>IF(O6="","",(1/'Metadata'!$B$5)^(O6-1))</x:f>
        <x:v>1122.018454301963</x:v>
      </x:c>
      <x:c r="U6" s="31" t="n">
        <x:f>IF(T6="","",I6*T6)</x:f>
        <x:v>42607.07324978039</x:v>
      </x:c>
    </x:row>
    <x:row r="7" ht="18" customHeight="1">
      <x:c r="A7" s="24" t="str">
        <x:v>EEZ_898</x:v>
      </x:c>
      <x:c r="B7" s="24" t="str">
        <x:v>Clipperton Isl. (France)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29.466542266999998</x:v>
      </x:c>
      <x:c r="J7" s="31" t="n">
        <x:v>19.00466533</x:v>
      </x:c>
      <x:c r="K7" s="31" t="n">
        <x:v>10.461876937</x:v>
      </x:c>
      <x:c r="L7" s="31" t="n">
        <x:v>14.00466533</x:v>
      </x:c>
      <x:c r="M7" s="31" t="n">
        <x:v>15.461876937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5614.733878397216</x:v>
      </x:c>
    </x:row>
    <x:row r="8" ht="18" customHeight="1">
      <x:c r="A8" s="24" t="str">
        <x:v>EEZ_898</x:v>
      </x:c>
      <x:c r="B8" s="24" t="str">
        <x:v>Clipperton Isl. (France)</x:v>
      </x:c>
      <x:c r="C8" s="24" t="str">
        <x:v>EEZ</x:v>
      </x:c>
      <x:c r="D8" s="30" t="n">
        <x:v>2019</x:v>
      </x:c>
      <x:c r="E8" s="24" t="str">
        <x:v>Acanthocybium solandri</x:v>
      </x:c>
      <x:c r="F8" s="24" t="str">
        <x:v>Wahoo</x:v>
      </x:c>
      <x:c r="G8" s="24" t="str">
        <x:v>Large pelagics (&gt;=90 cm)</x:v>
      </x:c>
      <x:c r="H8" s="24" t="str">
        <x:v>Perch-likes</x:v>
      </x:c>
      <x:c r="I8" s="31" t="n">
        <x:v>17.002843728</x:v>
      </x:c>
      <x:c r="J8" s="31" t="n">
        <x:v>17.002843728</x:v>
      </x:c>
      <x:c r="K8" s="31" t="n">
        <x:v>0</x:v>
      </x:c>
      <x:c r="L8" s="31" t="n">
        <x:v>17.002843728</x:v>
      </x:c>
      <x:c r="M8" s="31" t="n">
        <x:v>0</x:v>
      </x:c>
      <x:c r="N8" s="24" t="str">
        <x:v>acanthocybium solandri</x:v>
      </x:c>
      <x:c r="O8" s="32" t="n">
        <x:v>4.26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Acanthocybium solandri</x:v>
      </x:c>
      <x:c r="T8" s="32" t="n">
        <x:f>IF(O8="","",(1/'Metadata'!$B$5)^(O8-1))</x:f>
        <x:v>1819.7008586099826</x:v>
      </x:c>
      <x:c r="U8" s="31" t="n">
        <x:f>IF(T8="","",I8*T8)</x:f>
        <x:v>30940.089330652954</x:v>
      </x:c>
    </x:row>
    <x:row r="9" ht="18" customHeight="1">
      <x:c r="A9" s="24" t="str">
        <x:v>EEZ_898</x:v>
      </x:c>
      <x:c r="B9" s="24" t="str">
        <x:v>Clipperton Isl. (France)</x:v>
      </x:c>
      <x:c r="C9" s="24" t="str">
        <x:v>EEZ</x:v>
      </x:c>
      <x:c r="D9" s="30" t="n">
        <x:v>2019</x:v>
      </x:c>
      <x:c r="E9" s="24" t="str">
        <x:v>Coryphaena hippurus</x:v>
      </x:c>
      <x:c r="F9" s="24" t="str">
        <x:v>Common dolphinfish</x:v>
      </x:c>
      <x:c r="G9" s="24" t="str">
        <x:v>Large pelagics (&gt;=90 cm)</x:v>
      </x:c>
      <x:c r="H9" s="24" t="str">
        <x:v>Perch-likes</x:v>
      </x:c>
      <x:c r="I9" s="31" t="n">
        <x:v>14.7646283145</x:v>
      </x:c>
      <x:c r="J9" s="31" t="n">
        <x:v>1.4508093267</x:v>
      </x:c>
      <x:c r="K9" s="31" t="n">
        <x:v>13.3138189878</x:v>
      </x:c>
      <x:c r="L9" s="31" t="n">
        <x:v>1.4508093267</x:v>
      </x:c>
      <x:c r="M9" s="31" t="n">
        <x:v>13.3138189878</x:v>
      </x:c>
      <x:c r="N9" s="24" t="str">
        <x:v>coryphaena hippurus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Coryphaena hippurus</x:v>
      </x:c>
      <x:c r="T9" s="32" t="n">
        <x:f>IF(O9="","",(1/'Metadata'!$B$5)^(O9-1))</x:f>
        <x:v>2344.228815319923</x:v>
      </x:c>
      <x:c r="U9" s="31" t="n">
        <x:f>IF(T9="","",I9*T9)</x:f>
        <x:v>34611.66714233932</x:v>
      </x:c>
    </x:row>
    <x:row r="10" ht="18" customHeight="1">
      <x:c r="A10" s="24" t="str">
        <x:v>EEZ_898</x:v>
      </x:c>
      <x:c r="B10" s="24" t="str">
        <x:v>Clipperton Isl. (France)</x:v>
      </x:c>
      <x:c r="C10" s="24" t="str">
        <x:v>EEZ</x:v>
      </x:c>
      <x:c r="D10" s="30" t="n">
        <x:v>2019</x:v>
      </x:c>
      <x:c r="E10" s="24" t="str">
        <x:v>Scombridae</x:v>
      </x:c>
      <x:c r="F10" s="24" t="str">
        <x:v>Mackerels, tunas, bonitos</x:v>
      </x:c>
      <x:c r="G10" s="24" t="str">
        <x:v>Medium pelagics (30 - 89 cm)</x:v>
      </x:c>
      <x:c r="H10" s="24" t="str">
        <x:v>Perch-likes</x:v>
      </x:c>
      <x:c r="I10" s="31" t="n">
        <x:v>13.7752538071</x:v>
      </x:c>
      <x:c r="J10" s="31" t="n">
        <x:v>0.5042156893</x:v>
      </x:c>
      <x:c r="K10" s="31" t="n">
        <x:v>13.2710381178</x:v>
      </x:c>
      <x:c r="L10" s="31" t="n">
        <x:v>0.5042156893</x:v>
      </x:c>
      <x:c r="M10" s="31" t="n">
        <x:v>13.2710381178</x:v>
      </x:c>
      <x:c r="N10" s="24" t="str">
        <x:v>scombridae</x:v>
      </x:c>
      <x:c r="O10" s="32" t="n">
        <x:v>4.26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Scombridae</x:v>
      </x:c>
      <x:c r="T10" s="32" t="n">
        <x:f>IF(O10="","",(1/'Metadata'!$B$5)^(O10-1))</x:f>
        <x:v>1819.7008586099826</x:v>
      </x:c>
      <x:c r="U10" s="31" t="n">
        <x:f>IF(T10="","",I10*T10)</x:f>
        <x:v>25066.8411803503</x:v>
      </x:c>
    </x:row>
    <x:row r="11" ht="18" customHeight="1">
      <x:c r="A11" s="24" t="str">
        <x:v>EEZ_898</x:v>
      </x:c>
      <x:c r="B11" s="24" t="str">
        <x:v>Clipperton Isl. (France)</x:v>
      </x:c>
      <x:c r="C11" s="24" t="str">
        <x:v>EEZ</x:v>
      </x:c>
      <x:c r="D11" s="30" t="n">
        <x:v>2019</x:v>
      </x:c>
      <x:c r="E11" s="24" t="str">
        <x:v>Istiophoridae</x:v>
      </x:c>
      <x:c r="F11" s="24" t="str">
        <x:v>Billfishes</x:v>
      </x:c>
      <x:c r="G11" s="24" t="str">
        <x:v>Large pelagics (&gt;=90 cm)</x:v>
      </x:c>
      <x:c r="H11" s="24" t="str">
        <x:v>Tuna &amp; billfishes</x:v>
      </x:c>
      <x:c r="I11" s="31" t="n">
        <x:v>9.8581256587</x:v>
      </x:c>
      <x:c r="J11" s="31" t="n">
        <x:v>0.5078886318</x:v>
      </x:c>
      <x:c r="K11" s="31" t="n">
        <x:v>9.3502370269</x:v>
      </x:c>
      <x:c r="L11" s="31" t="n">
        <x:v>0.5078886318</x:v>
      </x:c>
      <x:c r="M11" s="31" t="n">
        <x:v>9.3502370269</x:v>
      </x:c>
      <x:c r="N11" s="24" t="str">
        <x:v>istiophoridae</x:v>
      </x:c>
      <x:c r="O11" s="32" t="n">
        <x:v>4.48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Istiophoridae</x:v>
      </x:c>
      <x:c r="T11" s="32" t="n">
        <x:f>IF(O11="","",(1/'Metadata'!$B$5)^(O11-1))</x:f>
        <x:v>3019.951720402019</x:v>
      </x:c>
      <x:c r="U11" s="31" t="n">
        <x:f>IF(T11="","",I11*T11)</x:f>
        <x:v>29771.063542930355</x:v>
      </x:c>
    </x:row>
    <x:row r="12" ht="18" customHeight="1">
      <x:c r="A12" s="24" t="str">
        <x:v>EEZ_898</x:v>
      </x:c>
      <x:c r="B12" s="24" t="str">
        <x:v>Clipperton Isl. (France)</x:v>
      </x:c>
      <x:c r="C12" s="24" t="str">
        <x:v>EEZ</x:v>
      </x:c>
      <x:c r="D12" s="30" t="n">
        <x:v>2019</x:v>
      </x:c>
      <x:c r="E12" s="24" t="str">
        <x:v>Coryphaena</x:v>
      </x:c>
      <x:c r="F12" s="24" t="str">
        <x:v>Dolphinfishes</x:v>
      </x:c>
      <x:c r="G12" s="24" t="str">
        <x:v>Large pelagics (&gt;=90 cm)</x:v>
      </x:c>
      <x:c r="H12" s="24" t="str">
        <x:v>Perch-likes</x:v>
      </x:c>
      <x:c r="I12" s="31" t="n">
        <x:v>4.9419591034</x:v>
      </x:c>
      <x:c r="J12" s="31" t="n">
        <x:v>4.9419591034</x:v>
      </x:c>
      <x:c r="K12" s="31" t="n">
        <x:v>0</x:v>
      </x:c>
      <x:c r="L12" s="31" t="n">
        <x:v>4.9419591034</x:v>
      </x:c>
      <x:c r="M12" s="31" t="n">
        <x:v>0</x:v>
      </x:c>
      <x:c r="N12" s="24" t="str">
        <x:v>coryphaena</x:v>
      </x:c>
      <x:c r="O12" s="32" t="n">
        <x:v>4.49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Coryphaena</x:v>
      </x:c>
      <x:c r="T12" s="32" t="n">
        <x:f>IF(O12="","",(1/'Metadata'!$B$5)^(O12-1))</x:f>
        <x:v>3090.295432513592</x:v>
      </x:c>
      <x:c r="U12" s="31" t="n">
        <x:f>IF(T12="","",I12*T12)</x:f>
        <x:v>15272.113644905987</x:v>
      </x:c>
    </x:row>
    <x:row r="13" ht="18" customHeight="1">
      <x:c r="A13" s="24" t="str">
        <x:v>EEZ_898</x:v>
      </x:c>
      <x:c r="B13" s="24" t="str">
        <x:v>Clipperton Isl. (France)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3.7729534487</x:v>
      </x:c>
      <x:c r="J13" s="31" t="n">
        <x:v>0.4410555553</x:v>
      </x:c>
      <x:c r="K13" s="31" t="n">
        <x:v>3.3318978934</x:v>
      </x:c>
      <x:c r="L13" s="31" t="n">
        <x:v>0.4410555553</x:v>
      </x:c>
      <x:c r="M13" s="31" t="n">
        <x:v>3.3318978934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4233.323396663634</x:v>
      </x:c>
    </x:row>
    <x:row r="14" ht="18" customHeight="1">
      <x:c r="A14" s="24" t="str">
        <x:v>EEZ_898</x:v>
      </x:c>
      <x:c r="B14" s="24" t="str">
        <x:v>Clipperton Isl. (France)</x:v>
      </x:c>
      <x:c r="C14" s="24" t="str">
        <x:v>EEZ</x:v>
      </x:c>
      <x:c r="D14" s="30" t="n">
        <x:v>2019</x:v>
      </x:c>
      <x:c r="E14" s="24" t="str">
        <x:v>Marine pelagic fishes not identified</x:v>
      </x:c>
      <x:c r="F14" s="24" t="str">
        <x:v>Pelagic fishes</x:v>
      </x:c>
      <x:c r="G14" s="24" t="str">
        <x:v>Medium pelagics (30 - 89 cm)</x:v>
      </x:c>
      <x:c r="H14" s="24" t="str">
        <x:v>Other fishes &amp; inverts</x:v>
      </x:c>
      <x:c r="I14" s="31" t="n">
        <x:v>0.6463399447999999</x:v>
      </x:c>
      <x:c r="J14" s="31" t="n">
        <x:v>0.6463399447999999</x:v>
      </x:c>
      <x:c r="K14" s="31" t="n">
        <x:v>0</x:v>
      </x:c>
      <x:c r="L14" s="31" t="n">
        <x:v>0.6463399447999999</x:v>
      </x:c>
      <x:c r="M14" s="31" t="n">
        <x:v>0</x:v>
      </x:c>
      <x:c r="N14" s="24" t="str">
        <x:v>marine pelagic fishes not identified</x:v>
      </x:c>
      <x:c r="O14" s="32" t="n">
        <x:v>3.35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pelagic fishes not identified</x:v>
      </x:c>
      <x:c r="T14" s="32" t="n">
        <x:f>IF(O14="","",(1/'Metadata'!$B$5)^(O14-1))</x:f>
        <x:v>223.872113856834</x:v>
      </x:c>
      <x:c r="U14" s="31" t="n">
        <x:f>IF(T14="","",I14*T14)</x:f>
        <x:v>144.69748971248538</x:v>
      </x:c>
    </x:row>
    <x:row r="15" ht="18" customHeight="1">
      <x:c r="A15" s="24" t="str">
        <x:v>EEZ_898</x:v>
      </x:c>
      <x:c r="B15" s="24" t="str">
        <x:v>Clipperton Isl. (France)</x:v>
      </x:c>
      <x:c r="C15" s="24" t="str">
        <x:v>EEZ</x:v>
      </x:c>
      <x:c r="D15" s="30" t="n">
        <x:v>2019</x:v>
      </x:c>
      <x:c r="E15" s="24" t="str">
        <x:v>Thunnus obesus</x:v>
      </x:c>
      <x:c r="F15" s="24" t="str">
        <x:v>Bigeye tuna</x:v>
      </x:c>
      <x:c r="G15" s="24" t="str">
        <x:v>Large pelagics (&gt;=90 cm)</x:v>
      </x:c>
      <x:c r="H15" s="24" t="str">
        <x:v>Tuna &amp; billfishes</x:v>
      </x:c>
      <x:c r="I15" s="31" t="n">
        <x:v>0.4728757479</x:v>
      </x:c>
      <x:c r="J15" s="31" t="n">
        <x:v>0.4728756001</x:v>
      </x:c>
      <x:c r="K15" s="31" t="n">
        <x:v>1.478e-7</x:v>
      </x:c>
      <x:c r="L15" s="31" t="n">
        <x:v>0.4728756001</x:v>
      </x:c>
      <x:c r="M15" s="31" t="n">
        <x:v>1.478e-7</x:v>
      </x:c>
      <x:c r="N15" s="24" t="str">
        <x:v>thunnus obesus</x:v>
      </x:c>
      <x:c r="O15" s="32" t="n">
        <x:v>4.49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obesus</x:v>
      </x:c>
      <x:c r="T15" s="32" t="n">
        <x:f>IF(O15="","",(1/'Metadata'!$B$5)^(O15-1))</x:f>
        <x:v>3090.295432513592</x:v>
      </x:c>
      <x:c r="U15" s="31" t="n">
        <x:f>IF(T15="","",I15*T15)</x:f>
        <x:v>1461.3257638818188</x:v>
      </x:c>
    </x:row>
    <x:row r="16" ht="18" customHeight="1">
      <x:c r="A16" s="24" t="str">
        <x:v>EEZ_898</x:v>
      </x:c>
      <x:c r="B16" s="24" t="str">
        <x:v>Clipperton Isl. (France)</x:v>
      </x:c>
      <x:c r="C16" s="24" t="str">
        <x:v>EEZ</x:v>
      </x:c>
      <x:c r="D16" s="30" t="n">
        <x:v>2019</x:v>
      </x:c>
      <x:c r="E16" s="24" t="str">
        <x:v>Kajikia audax</x:v>
      </x:c>
      <x:c r="F16" s="24" t="str">
        <x:v>Striped marlin</x:v>
      </x:c>
      <x:c r="G16" s="24" t="str">
        <x:v>Large pelagics (&gt;=90 cm)</x:v>
      </x:c>
      <x:c r="H16" s="24" t="str">
        <x:v>Tuna &amp; billfishes</x:v>
      </x:c>
      <x:c r="I16" s="31" t="n">
        <x:v>0.3149985975</x:v>
      </x:c>
      <x:c r="J16" s="31" t="n">
        <x:v>0.3149985975</x:v>
      </x:c>
      <x:c r="K16" s="31" t="n">
        <x:v>0</x:v>
      </x:c>
      <x:c r="L16" s="31" t="n">
        <x:v>0.3149985975</x:v>
      </x:c>
      <x:c r="M16" s="31" t="n">
        <x:v>0</x:v>
      </x:c>
      <x:c r="N16" s="24" t="str">
        <x:v>kajikia audax</x:v>
      </x:c>
      <x:c r="O16" s="32" t="n">
        <x:v>4.58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Kajikia audax</x:v>
      </x:c>
      <x:c r="T16" s="32" t="n">
        <x:f>IF(O16="","",(1/'Metadata'!$B$5)^(O16-1))</x:f>
        <x:v>3801.8939632056126</x:v>
      </x:c>
      <x:c r="U16" s="31" t="n">
        <x:f>IF(T16="","",I16*T16)</x:f>
        <x:v>1197.5912662534845</x:v>
      </x:c>
    </x:row>
    <x:row r="17" ht="18" customHeight="1">
      <x:c r="A17" s="24" t="str">
        <x:v>EEZ_898</x:v>
      </x:c>
      <x:c r="B17" s="24" t="str">
        <x:v>Clipperton Isl. (France)</x:v>
      </x:c>
      <x:c r="C17" s="24" t="str">
        <x:v>EEZ</x:v>
      </x:c>
      <x:c r="D17" s="30" t="n">
        <x:v>2019</x:v>
      </x:c>
      <x:c r="E17" s="24" t="str">
        <x:v>Istiompax indica</x:v>
      </x:c>
      <x:c r="F17" s="24" t="str">
        <x:v>Black marlin</x:v>
      </x:c>
      <x:c r="G17" s="24" t="str">
        <x:v>Large pelagics (&gt;=90 cm)</x:v>
      </x:c>
      <x:c r="H17" s="24" t="str">
        <x:v>Tuna &amp; billfishes</x:v>
      </x:c>
      <x:c r="I17" s="31" t="n">
        <x:v>0.20379016709999997</x:v>
      </x:c>
      <x:c r="J17" s="31" t="n">
        <x:v>0.20379016709999997</x:v>
      </x:c>
      <x:c r="K17" s="31" t="n">
        <x:v>0</x:v>
      </x:c>
      <x:c r="L17" s="31" t="n">
        <x:v>0.20379016709999997</x:v>
      </x:c>
      <x:c r="M17" s="31" t="n">
        <x:v>0</x:v>
      </x:c>
      <x:c r="N17" s="24" t="str">
        <x:v>istiompax indica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Istiompax indica</x:v>
      </x:c>
      <x:c r="T17" s="32" t="n">
        <x:f>IF(O17="","",(1/'Metadata'!$B$5)^(O17-1))</x:f>
        <x:v>3162.2776601683795</x:v>
      </x:c>
      <x:c r="U17" s="31" t="n">
        <x:f>IF(T17="","",I17*T17)</x:f>
        <x:v>644.441092782311</x:v>
      </x:c>
    </x:row>
    <x:row r="18" ht="18" customHeight="1">
      <x:c r="A18" s="24" t="str">
        <x:v>EEZ_898</x:v>
      </x:c>
      <x:c r="B18" s="24" t="str">
        <x:v>Clipperton Isl. (France)</x:v>
      </x:c>
      <x:c r="C18" s="24" t="str">
        <x:v>EEZ</x:v>
      </x:c>
      <x:c r="D18" s="30" t="n">
        <x:v>2019</x:v>
      </x:c>
      <x:c r="E18" s="24" t="str">
        <x:v>Istiophorus platypterus</x:v>
      </x:c>
      <x:c r="F18" s="24" t="str">
        <x:v>Indo-Pacific sailfish</x:v>
      </x:c>
      <x:c r="G18" s="24" t="str">
        <x:v>Large pelagics (&gt;=90 cm)</x:v>
      </x:c>
      <x:c r="H18" s="24" t="str">
        <x:v>Tuna &amp; billfishes</x:v>
      </x:c>
      <x:c r="I18" s="31" t="n">
        <x:v>0.0023555658</x:v>
      </x:c>
      <x:c r="J18" s="31" t="n">
        <x:v>0.0023555658</x:v>
      </x:c>
      <x:c r="K18" s="31" t="n">
        <x:v>0</x:v>
      </x:c>
      <x:c r="L18" s="31" t="n">
        <x:v>0.0023555658</x:v>
      </x:c>
      <x:c r="M18" s="31" t="n">
        <x:v>0</x:v>
      </x:c>
      <x:c r="N18" s="24" t="str">
        <x:v>istiophorus platypterus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Istiophorus platypterus</x:v>
      </x:c>
      <x:c r="T18" s="32" t="n">
        <x:f>IF(O18="","",(1/'Metadata'!$B$5)^(O18-1))</x:f>
        <x:v>3162.2776601683795</x:v>
      </x:c>
      <x:c r="U18" s="31" t="n">
        <x:f>IF(T18="","",I18*T18)</x:f>
        <x:v>7.448953106396656</x:v>
      </x:c>
    </x:row>
  </x:sheetData>
  <x:conditionalFormatting sqref="R2:R1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50ef4ce08c141f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30.1128822118</x:v>
      </x:c>
      <x:c r="C2" s="32" t="n">
        <x:v>3.281502473121562</x:v>
      </x:c>
      <x:c r="D2" s="32" t="n">
        <x:f>IF(C2="","",(1/'Metadata'!$B$5)^(C2-1))</x:f>
        <x:v>191.20642129624704</x:v>
      </x:c>
      <x:c r="E2" s="31" t="n">
        <x:f>IF(B2=0,"",B2*D2)</x:f>
        <x:v>5757.776442633694</x:v>
      </x:c>
    </x:row>
    <x:row r="3" ht="18" customHeight="1">
      <x:c r="A3" s="24" t="str">
        <x:v>Perch-likes</x:v>
      </x:c>
      <x:c r="B3" s="31" t="n">
        <x:v>54.2576384017</x:v>
      </x:c>
      <x:c r="C3" s="32" t="n">
        <x:v>4.296279490632758</x:v>
      </x:c>
      <x:c r="D3" s="32" t="n">
        <x:f>IF(C3="","",(1/'Metadata'!$B$5)^(C3-1))</x:f>
        <x:v>1978.242330307355</x:v>
      </x:c>
      <x:c r="E3" s="31" t="n">
        <x:f>IF(B3=0,"",B3*D3)</x:f>
        <x:v>107334.75702875284</x:v>
      </x:c>
    </x:row>
    <x:row r="4" ht="18" customHeight="1">
      <x:c r="A4" s="24" t="str">
        <x:v>Sharks &amp; rays</x:v>
      </x:c>
      <x:c r="B4" s="31" t="n">
        <x:v>37.973594005</x:v>
      </x:c>
      <x:c r="C4" s="32" t="n">
        <x:v>4.05</x:v>
      </x:c>
      <x:c r="D4" s="32" t="n">
        <x:f>IF(C4="","",(1/'Metadata'!$B$5)^(C4-1))</x:f>
        <x:v>1122.018454301963</x:v>
      </x:c>
      <x:c r="E4" s="31" t="n">
        <x:f>IF(B4=0,"",B4*D4)</x:f>
        <x:v>42607.07324978039</x:v>
      </x:c>
    </x:row>
    <x:row r="5" ht="18" customHeight="1">
      <x:c r="A5" s="24" t="str">
        <x:v>Tuna &amp; billfishes</x:v>
      </x:c>
      <x:c r="B5" s="31" t="n">
        <x:v>5699.2247765593</x:v>
      </x:c>
      <x:c r="C5" s="32" t="n">
        <x:v>4.4107112642374755</x:v>
      </x:c>
      <x:c r="D5" s="32" t="n">
        <x:f>IF(C5="","",(1/'Metadata'!$B$5)^(C5-1))</x:f>
        <x:v>2574.60888834439</x:v>
      </x:c>
      <x:c r="E5" s="31" t="n">
        <x:f>IF(B5=0,"",B5*D5)</x:f>
        <x:v>14673274.766402144</x:v>
      </x:c>
    </x:row>
  </x:sheetData>
  <x:pageMargins left="0.7" right="0.7" top="0.75" bottom="0.75" header="0.3" footer="0.3"/>
  <x:tableParts count="1">
    <x:tablePart xmlns:r="http://schemas.openxmlformats.org/officeDocument/2006/relationships" r:id="R0fb6b9a5bde7444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5735.9342077052</x:v>
      </x:c>
      <x:c r="C2" s="32" t="n">
        <x:v>4.410228036053768</x:v>
      </x:c>
      <x:c r="D2" s="32" t="n">
        <x:f>IF(C2="","",(1/'Metadata'!$B$5)^(C2-1))</x:f>
        <x:v>2571.745781090348</x:v>
      </x:c>
      <x:c r="E2" s="31" t="n">
        <x:f>IF(B2=0,"",B2*D2)</x:f>
        <x:v>14751364.599277655</x:v>
      </x:c>
    </x:row>
    <x:row r="3" ht="18" customHeight="1">
      <x:c r="A3" s="24" t="str">
        <x:v>Large sharks (&gt;=90 cm)</x:v>
      </x:c>
      <x:c r="B3" s="31" t="n">
        <x:v>37.973594005</x:v>
      </x:c>
      <x:c r="C3" s="32" t="n">
        <x:v>4.05</x:v>
      </x:c>
      <x:c r="D3" s="32" t="n">
        <x:f>IF(C3="","",(1/'Metadata'!$B$5)^(C3-1))</x:f>
        <x:v>1122.018454301963</x:v>
      </x:c>
      <x:c r="E3" s="31" t="n">
        <x:f>IF(B3=0,"",B3*D3)</x:f>
        <x:v>42607.07324978039</x:v>
      </x:c>
    </x:row>
    <x:row r="4" ht="18" customHeight="1">
      <x:c r="A4" s="24" t="str">
        <x:v>Medium demersals (30 - 89 cm)</x:v>
      </x:c>
      <x:c r="B4" s="31" t="n">
        <x:v>29.466542266999998</x:v>
      </x:c>
      <x:c r="C4" s="32" t="n">
        <x:v>3.28</x:v>
      </x:c>
      <x:c r="D4" s="32" t="n">
        <x:f>IF(C4="","",(1/'Metadata'!$B$5)^(C4-1))</x:f>
        <x:v>190.54607179632464</x:v>
      </x:c>
      <x:c r="E4" s="31" t="n">
        <x:f>IF(B4=0,"",B4*D4)</x:f>
        <x:v>5614.733878397216</x:v>
      </x:c>
    </x:row>
    <x:row r="5" ht="18" customHeight="1">
      <x:c r="A5" s="24" t="str">
        <x:v>Medium pelagics (30 - 89 cm)</x:v>
      </x:c>
      <x:c r="B5" s="31" t="n">
        <x:v>18.194547200600002</x:v>
      </x:c>
      <x:c r="C5" s="32" t="n">
        <x:v>4.184126192381997</x:v>
      </x:c>
      <x:c r="D5" s="32" t="n">
        <x:f>IF(C5="","",(1/'Metadata'!$B$5)^(C5-1))</x:f>
        <x:v>1528.0099856107418</x:v>
      </x:c>
      <x:c r="E5" s="31" t="n">
        <x:f>IF(B5=0,"",B5*D5)</x:f>
        <x:v>27801.449806182773</x:v>
      </x:c>
    </x:row>
  </x:sheetData>
  <x:pageMargins left="0.7" right="0.7" top="0.75" bottom="0.75" header="0.3" footer="0.3"/>
  <x:tableParts count="1">
    <x:tablePart xmlns:r="http://schemas.openxmlformats.org/officeDocument/2006/relationships" r:id="Rfc45a336a5634d8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EEZ_898</x:v>
      </x:c>
      <x:c r="B2" s="24" t="str">
        <x:v>raw_filtered_tonnes</x:v>
      </x:c>
      <x:c r="C2" s="24" t="n">
        <x:v>5821.5688911778</x:v>
      </x:c>
      <x:c r="D2" s="24" t="str">
        <x:v>tonnes</x:v>
      </x:c>
    </x:row>
    <x:row r="3" ht="18" customHeight="1">
      <x:c r="A3" s="24" t="str">
        <x:v>EEZ_898</x:v>
      </x:c>
      <x:c r="B3" s="24" t="str">
        <x:v>species_catch_tonnes</x:v>
      </x:c>
      <x:c r="C3" s="24" t="n">
        <x:v>5821.5688911778</x:v>
      </x:c>
      <x:c r="D3" s="24" t="str">
        <x:v>tonnes</x:v>
      </x:c>
    </x:row>
    <x:row r="4" ht="18" customHeight="1">
      <x:c r="A4" s="24" t="str">
        <x:v>EEZ_898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EEZ_898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EEZ_898</x:v>
      </x:c>
      <x:c r="B6" s="24" t="str">
        <x:v>matched_catch_tonnes</x:v>
      </x:c>
      <x:c r="C6" s="24" t="n">
        <x:v>5821.5688911778</x:v>
      </x:c>
      <x:c r="D6" s="24" t="str">
        <x:v>tonnes</x:v>
      </x:c>
    </x:row>
    <x:row r="7" ht="18" customHeight="1">
      <x:c r="A7" s="24" t="str">
        <x:v>EEZ_898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EEZ_898</x:v>
      </x:c>
      <x:c r="B8" s="24" t="str">
        <x:v>taxa_count</x:v>
      </x:c>
      <x:c r="C8" s="24" t="n">
        <x:v>17</x:v>
      </x:c>
      <x:c r="D8" s="24" t="str">
        <x:v>count</x:v>
      </x:c>
    </x:row>
    <x:row r="9" ht="18" customHeight="1">
      <x:c r="A9" s="24" t="str">
        <x:v>EEZ_898</x:v>
      </x:c>
      <x:c r="B9" s="24" t="str">
        <x:v>matched_taxa_count</x:v>
      </x:c>
      <x:c r="C9" s="24" t="n">
        <x:v>17</x:v>
      </x:c>
      <x:c r="D9" s="24" t="str">
        <x:v>count</x:v>
      </x:c>
    </x:row>
    <x:row r="10" ht="18" customHeight="1">
      <x:c r="A10" s="24" t="str">
        <x:v>EEZ_898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EEZ_898</x:v>
      </x:c>
      <x:c r="B11" s="24" t="str">
        <x:v>species_ppr</x:v>
      </x:c>
      <x:c r="C11" s="24" t="n">
        <x:v>14841352.716606868</x:v>
      </x:c>
      <x:c r="D11" s="24" t="str">
        <x:v>tonnes_primary_production_equivalent</x:v>
      </x:c>
    </x:row>
    <x:row r="12" ht="18" customHeight="1">
      <x:c r="A12" s="24" t="str">
        <x:v>EEZ_898</x:v>
      </x:c>
      <x:c r="B12" s="24" t="str">
        <x:v>commercial_ppr</x:v>
      </x:c>
      <x:c r="C12" s="24" t="n">
        <x:v>14828974.37312331</x:v>
      </x:c>
      <x:c r="D12" s="24" t="str">
        <x:v>tonnes_primary_production_equivalent</x:v>
      </x:c>
    </x:row>
    <x:row r="13" ht="18" customHeight="1">
      <x:c r="A13" s="24" t="str">
        <x:v>EEZ_898</x:v>
      </x:c>
      <x:c r="B13" s="24" t="str">
        <x:v>functional_ppr</x:v>
      </x:c>
      <x:c r="C13" s="24" t="n">
        <x:v>14827387.856212014</x:v>
      </x:c>
      <x:c r="D13" s="24" t="str">
        <x:v>tonnes_primary_production_equivalent</x:v>
      </x:c>
    </x:row>
    <x:row r="14" ht="18" customHeight="1">
      <x:c r="A14" s="24" t="str">
        <x:v>EEZ_898</x:v>
      </x:c>
      <x:c r="B14" s="24" t="str">
        <x:v>commercial_ppr_difference</x:v>
      </x:c>
      <x:c r="C14" s="24" t="n">
        <x:v>-12378.343483557925</x:v>
      </x:c>
      <x:c r="D14" s="24" t="str">
        <x:v>tonnes_primary_production_equivalent</x:v>
      </x:c>
    </x:row>
    <x:row r="15" ht="18" customHeight="1">
      <x:c r="A15" s="24" t="str">
        <x:v>EEZ_898</x:v>
      </x:c>
      <x:c r="B15" s="24" t="str">
        <x:v>functional_ppr_difference</x:v>
      </x:c>
      <x:c r="C15" s="24" t="n">
        <x:v>-13964.860394854099</x:v>
      </x:c>
      <x:c r="D15" s="24" t="str">
        <x:v>tonnes_primary_production_equivalent</x:v>
      </x:c>
    </x:row>
    <x:row r="16" ht="18" customHeight="1">
      <x:c r="A16" s="24" t="str">
        <x:v>EEZ_898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EEZ_898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b00047134fe46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EEZ_898 - Clipperton Isl.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EEZ_898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raw_data/SAU_downloads/EEZ_898-catch.zip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