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4bca40336349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03a149a43964183"/>
    <x:sheet xmlns:r="http://schemas.openxmlformats.org/officeDocument/2006/relationships" name="Commercial" sheetId="2" r:id="R9b2702cf0d4044f0"/>
    <x:sheet xmlns:r="http://schemas.openxmlformats.org/officeDocument/2006/relationships" name="Functional" sheetId="3" r:id="Re251c29c891c44f1"/>
    <x:sheet xmlns:r="http://schemas.openxmlformats.org/officeDocument/2006/relationships" name="Missing TL" sheetId="4" r:id="R30a9acdd264e45a2"/>
    <x:sheet xmlns:r="http://schemas.openxmlformats.org/officeDocument/2006/relationships" name="Validation" sheetId="5" r:id="Reb7abcb5779c475f"/>
    <x:sheet xmlns:r="http://schemas.openxmlformats.org/officeDocument/2006/relationships" name="Metadata" sheetId="6" r:id="R98d8aa978c214d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e40ea8d9814e7f" /><Relationship Type="http://schemas.openxmlformats.org/officeDocument/2006/relationships/theme" Target="/xl/theme/theme1.xml" Id="Racfd65cda26f461a" /><Relationship Type="http://schemas.microsoft.com/office/2022/11/relationships/FeaturePropertyBag" Target="/xl/featurePropertyBag/featurePropertyBag.xml" Id="R024a80aca4d24111" /><Relationship Type="http://schemas.openxmlformats.org/officeDocument/2006/relationships/sharedStrings" Target="/xl/sharedStrings.xml" Id="Rec32dc616bbd4c51" /><Relationship Type="http://schemas.openxmlformats.org/officeDocument/2006/relationships/worksheet" Target="/xl/worksheets/sheet1.xml" Id="R503a149a43964183" /><Relationship Type="http://schemas.openxmlformats.org/officeDocument/2006/relationships/worksheet" Target="/xl/worksheets/sheet2.xml" Id="R9b2702cf0d4044f0" /><Relationship Type="http://schemas.openxmlformats.org/officeDocument/2006/relationships/worksheet" Target="/xl/worksheets/sheet3.xml" Id="Re251c29c891c44f1" /><Relationship Type="http://schemas.openxmlformats.org/officeDocument/2006/relationships/worksheet" Target="/xl/worksheets/sheet4.xml" Id="R30a9acdd264e45a2" /><Relationship Type="http://schemas.openxmlformats.org/officeDocument/2006/relationships/worksheet" Target="/xl/worksheets/sheet5.xml" Id="Reb7abcb5779c475f" /><Relationship Type="http://schemas.openxmlformats.org/officeDocument/2006/relationships/worksheet" Target="/xl/worksheets/sheet6.xml" Id="R98d8aa978c214d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723SpeciesTable" displayName="EEZ723SpeciesTable" ref="A1:U175" headerRowCount="1" totalsRowCount="0" totalsRowShown="0">
  <x:autoFilter ref="A1:U17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723CommercialTable" displayName="EEZ723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723FunctionalTable" displayName="EEZ723FunctionalTable" ref="A1:E24" headerRowCount="1" totalsRowCount="0" totalsRowShown="0">
  <x:autoFilter ref="A1:E24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723ValidationTable" displayName="EEZ723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8e7877bde840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7c201c2028c45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1082393996b4c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f9a6eefbd0490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EEZ_723</x:v>
      </x:c>
      <x:c r="B2" s="24" t="str">
        <x:v>Canary Isl. (Spain)</x:v>
      </x:c>
      <x:c r="C2" s="24" t="str">
        <x:v>EEZ</x:v>
      </x:c>
      <x:c r="D2" s="30" t="n">
        <x:v>2019</x:v>
      </x:c>
      <x:c r="E2" s="24" t="str">
        <x:v>Thunnus alalunga</x:v>
      </x:c>
      <x:c r="F2" s="24" t="str">
        <x:v>Albacore</x:v>
      </x:c>
      <x:c r="G2" s="24" t="str">
        <x:v>Large pelagics (&gt;=90 cm)</x:v>
      </x:c>
      <x:c r="H2" s="24" t="str">
        <x:v>Tuna &amp; billfishes</x:v>
      </x:c>
      <x:c r="I2" s="31" t="n">
        <x:v>10178.9978437058</x:v>
      </x:c>
      <x:c r="J2" s="31" t="n">
        <x:v>10178.9978437058</x:v>
      </x:c>
      <x:c r="K2" s="31" t="n">
        <x:v>0</x:v>
      </x:c>
      <x:c r="L2" s="31" t="n">
        <x:v>9470.577819747099</x:v>
      </x:c>
      <x:c r="M2" s="31" t="n">
        <x:v>708.4200239587001</x:v>
      </x:c>
      <x:c r="N2" s="24" t="str">
        <x:v>thunnus alalunga</x:v>
      </x:c>
      <x:c r="O2" s="32" t="n">
        <x:v>4.3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alalunga</x:v>
      </x:c>
      <x:c r="T2" s="32" t="n">
        <x:f>IF(O2="","",(1/'Metadata'!$B$5)^(O2-1))</x:f>
        <x:v>1995.2623149688789</x:v>
      </x:c>
      <x:c r="U2" s="31" t="n">
        <x:f>IF(T2="","",I2*T2)</x:f>
        <x:v>20309770.80169566</x:v>
      </x:c>
    </x:row>
    <x:row r="3" ht="18" customHeight="1">
      <x:c r="A3" s="24" t="str">
        <x:v>EEZ_723</x:v>
      </x:c>
      <x:c r="B3" s="24" t="str">
        <x:v>Canary Isl. (Spain)</x:v>
      </x:c>
      <x:c r="C3" s="24" t="str">
        <x:v>EEZ</x:v>
      </x:c>
      <x:c r="D3" s="30" t="n">
        <x:v>2019</x:v>
      </x:c>
      <x:c r="E3" s="24" t="str">
        <x:v>Thunnus obesus</x:v>
      </x:c>
      <x:c r="F3" s="24" t="str">
        <x:v>Bigeye tuna</x:v>
      </x:c>
      <x:c r="G3" s="24" t="str">
        <x:v>Large pelagics (&gt;=90 cm)</x:v>
      </x:c>
      <x:c r="H3" s="24" t="str">
        <x:v>Tuna &amp; billfishes</x:v>
      </x:c>
      <x:c r="I3" s="31" t="n">
        <x:v>6673.0256390174</x:v>
      </x:c>
      <x:c r="J3" s="31" t="n">
        <x:v>6673.0256390174</x:v>
      </x:c>
      <x:c r="K3" s="31" t="n">
        <x:v>0</x:v>
      </x:c>
      <x:c r="L3" s="31" t="n">
        <x:v>5790.5191620141995</x:v>
      </x:c>
      <x:c r="M3" s="31" t="n">
        <x:v>882.5064770032</x:v>
      </x:c>
      <x:c r="N3" s="24" t="str">
        <x:v>thunnus obesus</x:v>
      </x:c>
      <x:c r="O3" s="32" t="n">
        <x:v>4.49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obesus</x:v>
      </x:c>
      <x:c r="T3" s="32" t="n">
        <x:f>IF(O3="","",(1/'Metadata'!$B$5)^(O3-1))</x:f>
        <x:v>3090.295432513592</x:v>
      </x:c>
      <x:c r="U3" s="31" t="n">
        <x:f>IF(T3="","",I3*T3)</x:f>
        <x:v>20621620.653301563</x:v>
      </x:c>
    </x:row>
    <x:row r="4" ht="18" customHeight="1">
      <x:c r="A4" s="24" t="str">
        <x:v>EEZ_723</x:v>
      </x:c>
      <x:c r="B4" s="24" t="str">
        <x:v>Canary Isl. (Spain)</x:v>
      </x:c>
      <x:c r="C4" s="24" t="str">
        <x:v>EEZ</x:v>
      </x:c>
      <x:c r="D4" s="30" t="n">
        <x:v>2019</x:v>
      </x:c>
      <x:c r="E4" s="24" t="str">
        <x:v>Sparisoma cretense</x:v>
      </x:c>
      <x:c r="F4" s="24" t="str">
        <x:v>Old parrotfish</x:v>
      </x:c>
      <x:c r="G4" s="24" t="str">
        <x:v>Medium reef assoc. fish (30 - 89 cm)</x:v>
      </x:c>
      <x:c r="H4" s="24" t="str">
        <x:v>Perch-likes</x:v>
      </x:c>
      <x:c r="I4" s="31" t="n">
        <x:v>6071.212780316</x:v>
      </x:c>
      <x:c r="J4" s="31" t="n">
        <x:v>6071.212780316</x:v>
      </x:c>
      <x:c r="K4" s="31" t="n">
        <x:v>0</x:v>
      </x:c>
      <x:c r="L4" s="31" t="n">
        <x:v>250.4423300002</x:v>
      </x:c>
      <x:c r="M4" s="31" t="n">
        <x:v>5820.7704503158</x:v>
      </x:c>
      <x:c r="N4" s="24" t="str">
        <x:v>sparisoma cretense</x:v>
      </x:c>
      <x:c r="O4" s="32" t="n">
        <x:v>2.86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Sparisoma cretense</x:v>
      </x:c>
      <x:c r="T4" s="32" t="n">
        <x:f>IF(O4="","",(1/'Metadata'!$B$5)^(O4-1))</x:f>
        <x:v>72.44359600749898</x:v>
      </x:c>
      <x:c r="U4" s="31" t="n">
        <x:f>IF(T4="","",I4*T4)</x:f>
        <x:v>439820.485932777</x:v>
      </x:c>
    </x:row>
    <x:row r="5" ht="18" customHeight="1">
      <x:c r="A5" s="24" t="str">
        <x:v>EEZ_723</x:v>
      </x:c>
      <x:c r="B5" s="24" t="str">
        <x:v>Canary Isl. (Spain)</x:v>
      </x:c>
      <x:c r="C5" s="24" t="str">
        <x:v>EEZ</x:v>
      </x:c>
      <x:c r="D5" s="30" t="n">
        <x:v>2019</x:v>
      </x:c>
      <x:c r="E5" s="24" t="str">
        <x:v>Diplodus</x:v>
      </x:c>
      <x:c r="F5" s="24" t="str">
        <x:v>Two-toothed seabreams</x:v>
      </x:c>
      <x:c r="G5" s="24" t="str">
        <x:v>Medium benthopelagics (30 - 89 cm)</x:v>
      </x:c>
      <x:c r="H5" s="24" t="str">
        <x:v>Perch-likes</x:v>
      </x:c>
      <x:c r="I5" s="31" t="n">
        <x:v>5878.1471348612</x:v>
      </x:c>
      <x:c r="J5" s="31" t="n">
        <x:v>5878.1471348612</x:v>
      </x:c>
      <x:c r="K5" s="31" t="n">
        <x:v>0</x:v>
      </x:c>
      <x:c r="L5" s="31" t="n">
        <x:v>30.5202199998</x:v>
      </x:c>
      <x:c r="M5" s="31" t="n">
        <x:v>5847.6269148614</x:v>
      </x:c>
      <x:c r="N5" s="24" t="str">
        <x:v>diplodus</x:v>
      </x:c>
      <x:c r="O5" s="32" t="n">
        <x:v>2.97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Diplodus</x:v>
      </x:c>
      <x:c r="T5" s="32" t="n">
        <x:f>IF(O5="","",(1/'Metadata'!$B$5)^(O5-1))</x:f>
        <x:v>93.32543007969915</x:v>
      </x:c>
      <x:c r="U5" s="31" t="n">
        <x:f>IF(T5="","",I5*T5)</x:f>
        <x:v>548580.6094326728</x:v>
      </x:c>
    </x:row>
    <x:row r="6" ht="18" customHeight="1">
      <x:c r="A6" s="24" t="str">
        <x:v>EEZ_723</x:v>
      </x:c>
      <x:c r="B6" s="24" t="str">
        <x:v>Canary Isl. (Spain)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5687.017704117201</x:v>
      </x:c>
      <x:c r="J6" s="31" t="n">
        <x:v>5351.6954266518005</x:v>
      </x:c>
      <x:c r="K6" s="31" t="n">
        <x:v>335.32227746539996</x:v>
      </x:c>
      <x:c r="L6" s="31" t="n">
        <x:v>113.45751</x:v>
      </x:c>
      <x:c r="M6" s="31" t="n">
        <x:v>5573.560194117201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1083638.8837556855</x:v>
      </x:c>
    </x:row>
    <x:row r="7" ht="18" customHeight="1">
      <x:c r="A7" s="24" t="str">
        <x:v>EEZ_723</x:v>
      </x:c>
      <x:c r="B7" s="24" t="str">
        <x:v>Canary Isl. (Spain)</x:v>
      </x:c>
      <x:c r="C7" s="24" t="str">
        <x:v>EEZ</x:v>
      </x:c>
      <x:c r="D7" s="30" t="n">
        <x:v>2019</x:v>
      </x:c>
      <x:c r="E7" s="24" t="str">
        <x:v>Katsuwonus pelamis</x:v>
      </x:c>
      <x:c r="F7" s="24" t="str">
        <x:v>Skipjack tuna</x:v>
      </x:c>
      <x:c r="G7" s="24" t="str">
        <x:v>Large pelagics (&gt;=90 cm)</x:v>
      </x:c>
      <x:c r="H7" s="24" t="str">
        <x:v>Tuna &amp; billfishes</x:v>
      </x:c>
      <x:c r="I7" s="31" t="n">
        <x:v>5602.362279496199</x:v>
      </x:c>
      <x:c r="J7" s="31" t="n">
        <x:v>5602.362279496199</x:v>
      </x:c>
      <x:c r="K7" s="31" t="n">
        <x:v>0</x:v>
      </x:c>
      <x:c r="L7" s="31" t="n">
        <x:v>4902.2362192421</x:v>
      </x:c>
      <x:c r="M7" s="31" t="n">
        <x:v>700.1260602541</x:v>
      </x:c>
      <x:c r="N7" s="24" t="str">
        <x:v>katsuwonus pelamis</x:v>
      </x:c>
      <x:c r="O7" s="32" t="n">
        <x:v>4.43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Katsuwonus pelamis</x:v>
      </x:c>
      <x:c r="T7" s="32" t="n">
        <x:f>IF(O7="","",(1/'Metadata'!$B$5)^(O7-1))</x:f>
        <x:v>2691.534803926914</x:v>
      </x:c>
      <x:c r="U7" s="31" t="n">
        <x:f>IF(T7="","",I7*T7)</x:f>
        <x:v>15078953.05947134</x:v>
      </x:c>
    </x:row>
    <x:row r="8" ht="18" customHeight="1">
      <x:c r="A8" s="24" t="str">
        <x:v>EEZ_723</x:v>
      </x:c>
      <x:c r="B8" s="24" t="str">
        <x:v>Canary Isl. (Spain)</x:v>
      </x:c>
      <x:c r="C8" s="24" t="str">
        <x:v>EEZ</x:v>
      </x:c>
      <x:c r="D8" s="30" t="n">
        <x:v>2019</x:v>
      </x:c>
      <x:c r="E8" s="24" t="str">
        <x:v>Boops boops</x:v>
      </x:c>
      <x:c r="F8" s="24" t="str">
        <x:v>Bogue</x:v>
      </x:c>
      <x:c r="G8" s="24" t="str">
        <x:v>Medium demersals (30 - 89 cm)</x:v>
      </x:c>
      <x:c r="H8" s="24" t="str">
        <x:v>Perch-likes</x:v>
      </x:c>
      <x:c r="I8" s="31" t="n">
        <x:v>5475.4709691009</x:v>
      </x:c>
      <x:c r="J8" s="31" t="n">
        <x:v>4698.2858516214</x:v>
      </x:c>
      <x:c r="K8" s="31" t="n">
        <x:v>777.1851174795</x:v>
      </x:c>
      <x:c r="L8" s="31" t="n">
        <x:v>3.5514200002</x:v>
      </x:c>
      <x:c r="M8" s="31" t="n">
        <x:v>5471.9195491007</x:v>
      </x:c>
      <x:c r="N8" s="24" t="str">
        <x:v>boops boops</x:v>
      </x:c>
      <x:c r="O8" s="32" t="n">
        <x:v>2.79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Boops boops</x:v>
      </x:c>
      <x:c r="T8" s="32" t="n">
        <x:f>IF(O8="","",(1/'Metadata'!$B$5)^(O8-1))</x:f>
        <x:v>61.65950018614822</x:v>
      </x:c>
      <x:c r="U8" s="31" t="n">
        <x:f>IF(T8="","",I8*T8)</x:f>
        <x:v>337614.80323852616</x:v>
      </x:c>
    </x:row>
    <x:row r="9" ht="18" customHeight="1">
      <x:c r="A9" s="24" t="str">
        <x:v>EEZ_723</x:v>
      </x:c>
      <x:c r="B9" s="24" t="str">
        <x:v>Canary Isl. (Spain)</x:v>
      </x:c>
      <x:c r="C9" s="24" t="str">
        <x:v>EEZ</x:v>
      </x:c>
      <x:c r="D9" s="30" t="n">
        <x:v>2019</x:v>
      </x:c>
      <x:c r="E9" s="24" t="str">
        <x:v>Serranus</x:v>
      </x:c>
      <x:c r="F9" s="24" t="str">
        <x:v>Groupers</x:v>
      </x:c>
      <x:c r="G9" s="24" t="str">
        <x:v>Small reef assoc. fish (&lt;30 cm)</x:v>
      </x:c>
      <x:c r="H9" s="24" t="str">
        <x:v>Perch-likes</x:v>
      </x:c>
      <x:c r="I9" s="31" t="n">
        <x:v>4824.203611999699</x:v>
      </x:c>
      <x:c r="J9" s="31" t="n">
        <x:v>4824.203611999699</x:v>
      </x:c>
      <x:c r="K9" s="31" t="n">
        <x:v>0</x:v>
      </x:c>
      <x:c r="L9" s="31" t="n">
        <x:v>12.5570399997</x:v>
      </x:c>
      <x:c r="M9" s="31" t="n">
        <x:v>4811.646572</x:v>
      </x:c>
      <x:c r="N9" s="24" t="str">
        <x:v>serranus</x:v>
      </x:c>
      <x:c r="O9" s="32" t="n">
        <x:v>3.73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Serranus</x:v>
      </x:c>
      <x:c r="T9" s="32" t="n">
        <x:f>IF(O9="","",(1/'Metadata'!$B$5)^(O9-1))</x:f>
        <x:v>537.0317963702527</x:v>
      </x:c>
      <x:c r="U9" s="31" t="n">
        <x:f>IF(T9="","",I9*T9)</x:f>
        <x:v>2590750.73180806</x:v>
      </x:c>
    </x:row>
    <x:row r="10" ht="18" customHeight="1">
      <x:c r="A10" s="24" t="str">
        <x:v>EEZ_723</x:v>
      </x:c>
      <x:c r="B10" s="24" t="str">
        <x:v>Canary Isl. (Spain)</x:v>
      </x:c>
      <x:c r="C10" s="24" t="str">
        <x:v>EEZ</x:v>
      </x:c>
      <x:c r="D10" s="30" t="n">
        <x:v>2019</x:v>
      </x:c>
      <x:c r="E10" s="24" t="str">
        <x:v>Scomber colias</x:v>
      </x:c>
      <x:c r="F10" s="24" t="str">
        <x:v>Atlantic chub mackerel</x:v>
      </x:c>
      <x:c r="G10" s="24" t="str">
        <x:v>Medium pelagics (30 - 89 cm)</x:v>
      </x:c>
      <x:c r="H10" s="24" t="str">
        <x:v>Perch-likes</x:v>
      </x:c>
      <x:c r="I10" s="31" t="n">
        <x:v>4313.4536761428</x:v>
      </x:c>
      <x:c r="J10" s="31" t="n">
        <x:v>4313.4536761428</x:v>
      </x:c>
      <x:c r="K10" s="31" t="n">
        <x:v>0</x:v>
      </x:c>
      <x:c r="L10" s="31" t="n">
        <x:v>1120.4690900001</x:v>
      </x:c>
      <x:c r="M10" s="31" t="n">
        <x:v>3192.9845861427</x:v>
      </x:c>
      <x:c r="N10" s="24" t="str">
        <x:v>scomber colias</x:v>
      </x:c>
      <x:c r="O10" s="32" t="n">
        <x:v>3.91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Scomber colias</x:v>
      </x:c>
      <x:c r="T10" s="32" t="n">
        <x:f>IF(O10="","",(1/'Metadata'!$B$5)^(O10-1))</x:f>
        <x:v>812.8305161640995</x:v>
      </x:c>
      <x:c r="U10" s="31" t="n">
        <x:f>IF(T10="","",I10*T10)</x:f>
        <x:v>3506106.7780290847</x:v>
      </x:c>
    </x:row>
    <x:row r="11" ht="18" customHeight="1">
      <x:c r="A11" s="24" t="str">
        <x:v>EEZ_723</x:v>
      </x:c>
      <x:c r="B11" s="24" t="str">
        <x:v>Canary Isl. (Spain)</x:v>
      </x:c>
      <x:c r="C11" s="24" t="str">
        <x:v>EEZ</x:v>
      </x:c>
      <x:c r="D11" s="30" t="n">
        <x:v>2019</x:v>
      </x:c>
      <x:c r="E11" s="24" t="str">
        <x:v>Sarpa salpa</x:v>
      </x:c>
      <x:c r="F11" s="24" t="str">
        <x:v>Salema</x:v>
      </x:c>
      <x:c r="G11" s="24" t="str">
        <x:v>Medium benthopelagics (30 - 89 cm)</x:v>
      </x:c>
      <x:c r="H11" s="24" t="str">
        <x:v>Perch-likes</x:v>
      </x:c>
      <x:c r="I11" s="31" t="n">
        <x:v>3338.8449073442</x:v>
      </x:c>
      <x:c r="J11" s="31" t="n">
        <x:v>3338.8449073442</x:v>
      </x:c>
      <x:c r="K11" s="31" t="n">
        <x:v>0</x:v>
      </x:c>
      <x:c r="L11" s="31" t="n">
        <x:v>0</x:v>
      </x:c>
      <x:c r="M11" s="31" t="n">
        <x:v>3338.8449073442</x:v>
      </x:c>
      <x:c r="N11" s="24" t="str">
        <x:v>sarpa salpa</x:v>
      </x:c>
      <x:c r="O11" s="32" t="n">
        <x:v>2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Sarpa salpa</x:v>
      </x:c>
      <x:c r="T11" s="32" t="n">
        <x:f>IF(O11="","",(1/'Metadata'!$B$5)^(O11-1))</x:f>
        <x:v>10</x:v>
      </x:c>
      <x:c r="U11" s="31" t="n">
        <x:f>IF(T11="","",I11*T11)</x:f>
        <x:v>33388.449073441996</x:v>
      </x:c>
    </x:row>
    <x:row r="12" ht="18" customHeight="1">
      <x:c r="A12" s="24" t="str">
        <x:v>EEZ_723</x:v>
      </x:c>
      <x:c r="B12" s="24" t="str">
        <x:v>Canary Isl. (Spain)</x:v>
      </x:c>
      <x:c r="C12" s="24" t="str">
        <x:v>EEZ</x:v>
      </x:c>
      <x:c r="D12" s="30" t="n">
        <x:v>2019</x:v>
      </x:c>
      <x:c r="E12" s="24" t="str">
        <x:v>Mycteroperca fusca</x:v>
      </x:c>
      <x:c r="F12" s="24" t="str">
        <x:v>Island grouper</x:v>
      </x:c>
      <x:c r="G12" s="24" t="str">
        <x:v>Large reef assoc. fish (&gt;=90 cm)</x:v>
      </x:c>
      <x:c r="H12" s="24" t="str">
        <x:v>Perch-likes</x:v>
      </x:c>
      <x:c r="I12" s="31" t="n">
        <x:v>2419.1629559998996</x:v>
      </x:c>
      <x:c r="J12" s="31" t="n">
        <x:v>2419.1629559998996</x:v>
      </x:c>
      <x:c r="K12" s="31" t="n">
        <x:v>0</x:v>
      </x:c>
      <x:c r="L12" s="31" t="n">
        <x:v>13.3396699999</x:v>
      </x:c>
      <x:c r="M12" s="31" t="n">
        <x:v>2405.823286</x:v>
      </x:c>
      <x:c r="N12" s="24" t="str">
        <x:v>mycteroperca fusca</x:v>
      </x:c>
      <x:c r="O12" s="32" t="n">
        <x:v>4.3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Mycteroperca fusca</x:v>
      </x:c>
      <x:c r="T12" s="32" t="n">
        <x:f>IF(O12="","",(1/'Metadata'!$B$5)^(O12-1))</x:f>
        <x:v>1995.2623149688789</x:v>
      </x:c>
      <x:c r="U12" s="31" t="n">
        <x:f>IF(T12="","",I12*T12)</x:f>
        <x:v>4826864.679875316</x:v>
      </x:c>
    </x:row>
    <x:row r="13" ht="18" customHeight="1">
      <x:c r="A13" s="24" t="str">
        <x:v>EEZ_723</x:v>
      </x:c>
      <x:c r="B13" s="24" t="str">
        <x:v>Canary Isl. (Spain)</x:v>
      </x:c>
      <x:c r="C13" s="24" t="str">
        <x:v>EEZ</x:v>
      </x:c>
      <x:c r="D13" s="30" t="n">
        <x:v>2019</x:v>
      </x:c>
      <x:c r="E13" s="24" t="str">
        <x:v>Pagellus erythrinus</x:v>
      </x:c>
      <x:c r="F13" s="24" t="str">
        <x:v>Common pandora</x:v>
      </x:c>
      <x:c r="G13" s="24" t="str">
        <x:v>Medium benthopelagics (30 - 89 cm)</x:v>
      </x:c>
      <x:c r="H13" s="24" t="str">
        <x:v>Perch-likes</x:v>
      </x:c>
      <x:c r="I13" s="31" t="n">
        <x:v>1928.8662011869</x:v>
      </x:c>
      <x:c r="J13" s="31" t="n">
        <x:v>1928.8662011869</x:v>
      </x:c>
      <x:c r="K13" s="31" t="n">
        <x:v>0</x:v>
      </x:c>
      <x:c r="L13" s="31" t="n">
        <x:v>32.6021199999</x:v>
      </x:c>
      <x:c r="M13" s="31" t="n">
        <x:v>1896.264081187</x:v>
      </x:c>
      <x:c r="N13" s="24" t="str">
        <x:v>pagellus erythrinus</x:v>
      </x:c>
      <x:c r="O13" s="32" t="n">
        <x:v>3.48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Pagellus erythrinus</x:v>
      </x:c>
      <x:c r="T13" s="32" t="n">
        <x:f>IF(O13="","",(1/'Metadata'!$B$5)^(O13-1))</x:f>
        <x:v>301.9951720402016</x:v>
      </x:c>
      <x:c r="U13" s="31" t="n">
        <x:f>IF(T13="","",I13*T13)</x:f>
        <x:v>582508.2802699681</x:v>
      </x:c>
    </x:row>
    <x:row r="14" ht="18" customHeight="1">
      <x:c r="A14" s="24" t="str">
        <x:v>EEZ_723</x:v>
      </x:c>
      <x:c r="B14" s="24" t="str">
        <x:v>Canary Isl. (Spain)</x:v>
      </x:c>
      <x:c r="C14" s="24" t="str">
        <x:v>EEZ</x:v>
      </x:c>
      <x:c r="D14" s="30" t="n">
        <x:v>2019</x:v>
      </x:c>
      <x:c r="E14" s="24" t="str">
        <x:v>Trachurus picturatus</x:v>
      </x:c>
      <x:c r="F14" s="24" t="str">
        <x:v>Blue jack mackerel</x:v>
      </x:c>
      <x:c r="G14" s="24" t="str">
        <x:v>Medium benthopelagics (30 - 89 cm)</x:v>
      </x:c>
      <x:c r="H14" s="24" t="str">
        <x:v>Perch-likes</x:v>
      </x:c>
      <x:c r="I14" s="31" t="n">
        <x:v>1663.5009120836999</x:v>
      </x:c>
      <x:c r="J14" s="31" t="n">
        <x:v>1663.5009120836999</x:v>
      </x:c>
      <x:c r="K14" s="31" t="n">
        <x:v>0</x:v>
      </x:c>
      <x:c r="L14" s="31" t="n">
        <x:v>492.17229999989996</x:v>
      </x:c>
      <x:c r="M14" s="31" t="n">
        <x:v>1171.3286120838</x:v>
      </x:c>
      <x:c r="N14" s="24" t="str">
        <x:v>trachurus picturatus</x:v>
      </x:c>
      <x:c r="O14" s="32" t="n">
        <x:v>3.32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Trachurus picturatus</x:v>
      </x:c>
      <x:c r="T14" s="32" t="n">
        <x:f>IF(O14="","",(1/'Metadata'!$B$5)^(O14-1))</x:f>
        <x:v>208.92961308540387</x:v>
      </x:c>
      <x:c r="U14" s="31" t="n">
        <x:f>IF(T14="","",I14*T14)</x:f>
        <x:v>347554.60192886385</x:v>
      </x:c>
    </x:row>
    <x:row r="15" ht="18" customHeight="1">
      <x:c r="A15" s="24" t="str">
        <x:v>EEZ_723</x:v>
      </x:c>
      <x:c r="B15" s="24" t="str">
        <x:v>Canary Isl. (Spain)</x:v>
      </x:c>
      <x:c r="C15" s="24" t="str">
        <x:v>EEZ</x:v>
      </x:c>
      <x:c r="D15" s="30" t="n">
        <x:v>2019</x:v>
      </x:c>
      <x:c r="E15" s="24" t="str">
        <x:v>Pagrus pagrus</x:v>
      </x:c>
      <x:c r="F15" s="24" t="str">
        <x:v>Red porgy</x:v>
      </x:c>
      <x:c r="G15" s="24" t="str">
        <x:v>Medium benthopelagics (30 - 89 cm)</x:v>
      </x:c>
      <x:c r="H15" s="24" t="str">
        <x:v>Perch-likes</x:v>
      </x:c>
      <x:c r="I15" s="31" t="n">
        <x:v>1508.6683064646</x:v>
      </x:c>
      <x:c r="J15" s="31" t="n">
        <x:v>1508.6683064646</x:v>
      </x:c>
      <x:c r="K15" s="31" t="n">
        <x:v>0</x:v>
      </x:c>
      <x:c r="L15" s="31" t="n">
        <x:v>111.45771</x:v>
      </x:c>
      <x:c r="M15" s="31" t="n">
        <x:v>1397.2105964646</x:v>
      </x:c>
      <x:c r="N15" s="24" t="str">
        <x:v>pagrus pagrus</x:v>
      </x:c>
      <x:c r="O15" s="32" t="n">
        <x:v>3.86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Pagrus pagrus</x:v>
      </x:c>
      <x:c r="T15" s="32" t="n">
        <x:f>IF(O15="","",(1/'Metadata'!$B$5)^(O15-1))</x:f>
        <x:v>724.4359600749899</x:v>
      </x:c>
      <x:c r="U15" s="31" t="n">
        <x:f>IF(T15="","",I15*T15)</x:f>
        <x:v>1092933.5730283915</x:v>
      </x:c>
    </x:row>
    <x:row r="16" ht="18" customHeight="1">
      <x:c r="A16" s="24" t="str">
        <x:v>EEZ_723</x:v>
      </x:c>
      <x:c r="B16" s="24" t="str">
        <x:v>Canary Isl. (Spain)</x:v>
      </x:c>
      <x:c r="C16" s="24" t="str">
        <x:v>EEZ</x:v>
      </x:c>
      <x:c r="D16" s="30" t="n">
        <x:v>2019</x:v>
      </x:c>
      <x:c r="E16" s="24" t="str">
        <x:v>Trachinotus ovatus</x:v>
      </x:c>
      <x:c r="F16" s="24" t="str">
        <x:v>Pompano</x:v>
      </x:c>
      <x:c r="G16" s="24" t="str">
        <x:v>Medium pelagics (30 - 89 cm)</x:v>
      </x:c>
      <x:c r="H16" s="24" t="str">
        <x:v>Perch-likes</x:v>
      </x:c>
      <x:c r="I16" s="31" t="n">
        <x:v>1498.939157</x:v>
      </x:c>
      <x:c r="J16" s="31" t="n">
        <x:v>1498.939157</x:v>
      </x:c>
      <x:c r="K16" s="31" t="n">
        <x:v>0</x:v>
      </x:c>
      <x:c r="L16" s="31" t="n">
        <x:v>9.61998</x:v>
      </x:c>
      <x:c r="M16" s="31" t="n">
        <x:v>1489.319177</x:v>
      </x:c>
      <x:c r="N16" s="24" t="str">
        <x:v>trachinotus ovatus</x:v>
      </x:c>
      <x:c r="O16" s="32" t="n">
        <x:v>3.73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Trachinotus ovatus</x:v>
      </x:c>
      <x:c r="T16" s="32" t="n">
        <x:f>IF(O16="","",(1/'Metadata'!$B$5)^(O16-1))</x:f>
        <x:v>537.0317963702527</x:v>
      </x:c>
      <x:c r="U16" s="31" t="n">
        <x:f>IF(T16="","",I16*T16)</x:f>
        <x:v>804977.9881334222</x:v>
      </x:c>
    </x:row>
    <x:row r="17" ht="18" customHeight="1">
      <x:c r="A17" s="24" t="str">
        <x:v>EEZ_723</x:v>
      </x:c>
      <x:c r="B17" s="24" t="str">
        <x:v>Canary Isl. (Spain)</x:v>
      </x:c>
      <x:c r="C17" s="24" t="str">
        <x:v>EEZ</x:v>
      </x:c>
      <x:c r="D17" s="30" t="n">
        <x:v>2019</x:v>
      </x:c>
      <x:c r="E17" s="24" t="str">
        <x:v>Makaira nigricans</x:v>
      </x:c>
      <x:c r="F17" s="24" t="str">
        <x:v>Blue marlin</x:v>
      </x:c>
      <x:c r="G17" s="24" t="str">
        <x:v>Large pelagics (&gt;=90 cm)</x:v>
      </x:c>
      <x:c r="H17" s="24" t="str">
        <x:v>Tuna &amp; billfishes</x:v>
      </x:c>
      <x:c r="I17" s="31" t="n">
        <x:v>1375.0476668209</x:v>
      </x:c>
      <x:c r="J17" s="31" t="n">
        <x:v>1375.0476668209</x:v>
      </x:c>
      <x:c r="K17" s="31" t="n">
        <x:v>0</x:v>
      </x:c>
      <x:c r="L17" s="31" t="n">
        <x:v>0.2915038209</x:v>
      </x:c>
      <x:c r="M17" s="31" t="n">
        <x:v>1374.756163</x:v>
      </x:c>
      <x:c r="N17" s="24" t="str">
        <x:v>makaira nigricans</x:v>
      </x:c>
      <x:c r="O17" s="32" t="n">
        <x:v>4.49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Makaira nigricans</x:v>
      </x:c>
      <x:c r="T17" s="32" t="n">
        <x:f>IF(O17="","",(1/'Metadata'!$B$5)^(O17-1))</x:f>
        <x:v>3090.295432513592</x:v>
      </x:c>
      <x:c r="U17" s="31" t="n">
        <x:f>IF(T17="","",I17*T17)</x:f>
        <x:v>4249303.524265099</x:v>
      </x:c>
    </x:row>
    <x:row r="18" ht="18" customHeight="1">
      <x:c r="A18" s="24" t="str">
        <x:v>EEZ_723</x:v>
      </x:c>
      <x:c r="B18" s="24" t="str">
        <x:v>Canary Isl. (Spain)</x:v>
      </x:c>
      <x:c r="C18" s="24" t="str">
        <x:v>EEZ</x:v>
      </x:c>
      <x:c r="D18" s="30" t="n">
        <x:v>2019</x:v>
      </x:c>
      <x:c r="E18" s="24" t="str">
        <x:v>Sardina pilchardus</x:v>
      </x:c>
      <x:c r="F18" s="24" t="str">
        <x:v>European pilchard</x:v>
      </x:c>
      <x:c r="G18" s="24" t="str">
        <x:v>Small pelagics (&lt;30 cm)</x:v>
      </x:c>
      <x:c r="H18" s="24" t="str">
        <x:v>Herring-likes</x:v>
      </x:c>
      <x:c r="I18" s="31" t="n">
        <x:v>1355.5988361392</x:v>
      </x:c>
      <x:c r="J18" s="31" t="n">
        <x:v>1355.5988361392</x:v>
      </x:c>
      <x:c r="K18" s="31" t="n">
        <x:v>0</x:v>
      </x:c>
      <x:c r="L18" s="31" t="n">
        <x:v>90.50791134</x:v>
      </x:c>
      <x:c r="M18" s="31" t="n">
        <x:v>1265.0909247992001</x:v>
      </x:c>
      <x:c r="N18" s="24" t="str">
        <x:v>sardina pilchardus</x:v>
      </x:c>
      <x:c r="O18" s="32" t="n">
        <x:v>3.06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Sardina pilchardus</x:v>
      </x:c>
      <x:c r="T18" s="32" t="n">
        <x:f>IF(O18="","",(1/'Metadata'!$B$5)^(O18-1))</x:f>
        <x:v>114.81536214968828</x:v>
      </x:c>
      <x:c r="U18" s="31" t="n">
        <x:f>IF(T18="","",I18*T18)</x:f>
        <x:v>155643.5713010182</x:v>
      </x:c>
    </x:row>
    <x:row r="19" ht="18" customHeight="1">
      <x:c r="A19" s="24" t="str">
        <x:v>EEZ_723</x:v>
      </x:c>
      <x:c r="B19" s="24" t="str">
        <x:v>Canary Isl. (Spain)</x:v>
      </x:c>
      <x:c r="C19" s="24" t="str">
        <x:v>EEZ</x:v>
      </x:c>
      <x:c r="D19" s="30" t="n">
        <x:v>2019</x:v>
      </x:c>
      <x:c r="E19" s="24" t="str">
        <x:v>Muraena augusti</x:v>
      </x:c>
      <x:c r="F19" s="24" t="str">
        <x:v>Black moray</x:v>
      </x:c>
      <x:c r="G19" s="24" t="str">
        <x:v>Large demersals (&gt;=90 cm)</x:v>
      </x:c>
      <x:c r="H19" s="24" t="str">
        <x:v>Other fishes &amp; inverts</x:v>
      </x:c>
      <x:c r="I19" s="31" t="n">
        <x:v>1337.8340569999</x:v>
      </x:c>
      <x:c r="J19" s="31" t="n">
        <x:v>1337.8340569999</x:v>
      </x:c>
      <x:c r="K19" s="31" t="n">
        <x:v>0</x:v>
      </x:c>
      <x:c r="L19" s="31" t="n">
        <x:v>20.3593999999</x:v>
      </x:c>
      <x:c r="M19" s="31" t="n">
        <x:v>1317.474657</x:v>
      </x:c>
      <x:c r="N19" s="24" t="str">
        <x:v>muraena augusti</x:v>
      </x:c>
      <x:c r="O19" s="32" t="n">
        <x:v>4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Muraena augusti</x:v>
      </x:c>
      <x:c r="T19" s="32" t="n">
        <x:f>IF(O19="","",(1/'Metadata'!$B$5)^(O19-1))</x:f>
        <x:v>1000</x:v>
      </x:c>
      <x:c r="U19" s="31" t="n">
        <x:f>IF(T19="","",I19*T19)</x:f>
        <x:v>1337834.0569999</x:v>
      </x:c>
    </x:row>
    <x:row r="20" ht="18" customHeight="1">
      <x:c r="A20" s="24" t="str">
        <x:v>EEZ_723</x:v>
      </x:c>
      <x:c r="B20" s="24" t="str">
        <x:v>Canary Isl. (Spain)</x:v>
      </x:c>
      <x:c r="C20" s="24" t="str">
        <x:v>EEZ</x:v>
      </x:c>
      <x:c r="D20" s="30" t="n">
        <x:v>2019</x:v>
      </x:c>
      <x:c r="E20" s="24" t="str">
        <x:v>Seriola dumerili</x:v>
      </x:c>
      <x:c r="F20" s="24" t="str">
        <x:v>Greater amberjack</x:v>
      </x:c>
      <x:c r="G20" s="24" t="str">
        <x:v>Large reef assoc. fish (&gt;=90 cm)</x:v>
      </x:c>
      <x:c r="H20" s="24" t="str">
        <x:v>Perch-likes</x:v>
      </x:c>
      <x:c r="I20" s="31" t="n">
        <x:v>1034.9899384122</x:v>
      </x:c>
      <x:c r="J20" s="31" t="n">
        <x:v>1034.9899384122</x:v>
      </x:c>
      <x:c r="K20" s="31" t="n">
        <x:v>0</x:v>
      </x:c>
      <x:c r="L20" s="31" t="n">
        <x:v>15.902080000000002</x:v>
      </x:c>
      <x:c r="M20" s="31" t="n">
        <x:v>1019.0878584121999</x:v>
      </x:c>
      <x:c r="N20" s="24" t="str">
        <x:v>seriola dumerili</x:v>
      </x:c>
      <x:c r="O20" s="32" t="n">
        <x:v>4.5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Seriola dumerili</x:v>
      </x:c>
      <x:c r="T20" s="32" t="n">
        <x:f>IF(O20="","",(1/'Metadata'!$B$5)^(O20-1))</x:f>
        <x:v>3162.2776601683795</x:v>
      </x:c>
      <x:c r="U20" s="31" t="n">
        <x:f>IF(T20="","",I20*T20)</x:f>
        <x:v>3272925.560739947</x:v>
      </x:c>
    </x:row>
    <x:row r="21" ht="18" customHeight="1">
      <x:c r="A21" s="24" t="str">
        <x:v>EEZ_723</x:v>
      </x:c>
      <x:c r="B21" s="24" t="str">
        <x:v>Canary Isl. (Spain)</x:v>
      </x:c>
      <x:c r="C21" s="24" t="str">
        <x:v>EEZ</x:v>
      </x:c>
      <x:c r="D21" s="30" t="n">
        <x:v>2019</x:v>
      </x:c>
      <x:c r="E21" s="24" t="str">
        <x:v>Coryphaena hippurus</x:v>
      </x:c>
      <x:c r="F21" s="24" t="str">
        <x:v>Common dolphinfish</x:v>
      </x:c>
      <x:c r="G21" s="24" t="str">
        <x:v>Large pelagics (&gt;=90 cm)</x:v>
      </x:c>
      <x:c r="H21" s="24" t="str">
        <x:v>Perch-likes</x:v>
      </x:c>
      <x:c r="I21" s="31" t="n">
        <x:v>918.7467409909</x:v>
      </x:c>
      <x:c r="J21" s="31" t="n">
        <x:v>918.7467409909</x:v>
      </x:c>
      <x:c r="K21" s="31" t="n">
        <x:v>0</x:v>
      </x:c>
      <x:c r="L21" s="31" t="n">
        <x:v>2.2426319909</x:v>
      </x:c>
      <x:c r="M21" s="31" t="n">
        <x:v>916.504109</x:v>
      </x:c>
      <x:c r="N21" s="24" t="str">
        <x:v>coryphaena hippurus</x:v>
      </x:c>
      <x:c r="O21" s="32" t="n">
        <x:v>4.37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Coryphaena hippurus</x:v>
      </x:c>
      <x:c r="T21" s="32" t="n">
        <x:f>IF(O21="","",(1/'Metadata'!$B$5)^(O21-1))</x:f>
        <x:v>2344.228815319923</x:v>
      </x:c>
      <x:c r="U21" s="31" t="n">
        <x:f>IF(T21="","",I21*T21)</x:f>
        <x:v>2153752.5842121374</x:v>
      </x:c>
    </x:row>
    <x:row r="22" ht="18" customHeight="1">
      <x:c r="A22" s="24" t="str">
        <x:v>EEZ_723</x:v>
      </x:c>
      <x:c r="B22" s="24" t="str">
        <x:v>Canary Isl. (Spain)</x:v>
      </x:c>
      <x:c r="C22" s="24" t="str">
        <x:v>EEZ</x:v>
      </x:c>
      <x:c r="D22" s="30" t="n">
        <x:v>2019</x:v>
      </x:c>
      <x:c r="E22" s="24" t="str">
        <x:v>Spondyliosoma cantharus</x:v>
      </x:c>
      <x:c r="F22" s="24" t="str">
        <x:v>Black seabream</x:v>
      </x:c>
      <x:c r="G22" s="24" t="str">
        <x:v>Medium benthopelagics (30 - 89 cm)</x:v>
      </x:c>
      <x:c r="H22" s="24" t="str">
        <x:v>Perch-likes</x:v>
      </x:c>
      <x:c r="I22" s="31" t="n">
        <x:v>916.7352024526</x:v>
      </x:c>
      <x:c r="J22" s="31" t="n">
        <x:v>916.7352024526</x:v>
      </x:c>
      <x:c r="K22" s="31" t="n">
        <x:v>0</x:v>
      </x:c>
      <x:c r="L22" s="31" t="n">
        <x:v>34.727599999700004</x:v>
      </x:c>
      <x:c r="M22" s="31" t="n">
        <x:v>882.0076024529</x:v>
      </x:c>
      <x:c r="N22" s="24" t="str">
        <x:v>spondyliosoma cantharus</x:v>
      </x:c>
      <x:c r="O22" s="32" t="n">
        <x:v>3.34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Spondyliosoma cantharus</x:v>
      </x:c>
      <x:c r="T22" s="32" t="n">
        <x:f>IF(O22="","",(1/'Metadata'!$B$5)^(O22-1))</x:f>
        <x:v>218.77616239495518</x:v>
      </x:c>
      <x:c r="U22" s="31" t="n">
        <x:f>IF(T22="","",I22*T22)</x:f>
        <x:v>200559.80952494213</x:v>
      </x:c>
    </x:row>
    <x:row r="23" ht="18" customHeight="1">
      <x:c r="A23" s="24" t="str">
        <x:v>EEZ_723</x:v>
      </x:c>
      <x:c r="B23" s="24" t="str">
        <x:v>Canary Isl. (Spain)</x:v>
      </x:c>
      <x:c r="C23" s="24" t="str">
        <x:v>EEZ</x:v>
      </x:c>
      <x:c r="D23" s="30" t="n">
        <x:v>2019</x:v>
      </x:c>
      <x:c r="E23" s="24" t="str">
        <x:v>Diplodus vulgaris</x:v>
      </x:c>
      <x:c r="F23" s="24" t="str">
        <x:v>Common two-banded seabream</x:v>
      </x:c>
      <x:c r="G23" s="24" t="str">
        <x:v>Medium benthopelagics (30 - 89 cm)</x:v>
      </x:c>
      <x:c r="H23" s="24" t="str">
        <x:v>Perch-likes</x:v>
      </x:c>
      <x:c r="I23" s="31" t="n">
        <x:v>879.8360322</x:v>
      </x:c>
      <x:c r="J23" s="31" t="n">
        <x:v>879.8360322</x:v>
      </x:c>
      <x:c r="K23" s="31" t="n">
        <x:v>0</x:v>
      </x:c>
      <x:c r="L23" s="31" t="n">
        <x:v>20.61343</x:v>
      </x:c>
      <x:c r="M23" s="31" t="n">
        <x:v>859.2226022</x:v>
      </x:c>
      <x:c r="N23" s="24" t="str">
        <x:v>diplodus vulgaris</x:v>
      </x:c>
      <x:c r="O23" s="32" t="n">
        <x:v>3.52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Diplodus vulgaris</x:v>
      </x:c>
      <x:c r="T23" s="32" t="n">
        <x:f>IF(O23="","",(1/'Metadata'!$B$5)^(O23-1))</x:f>
        <x:v>331.1311214825911</x:v>
      </x:c>
      <x:c r="U23" s="31" t="n">
        <x:f>IF(T23="","",I23*T23)</x:f>
        <x:v>291341.0920631791</x:v>
      </x:c>
    </x:row>
    <x:row r="24" ht="18" customHeight="1">
      <x:c r="A24" s="24" t="str">
        <x:v>EEZ_723</x:v>
      </x:c>
      <x:c r="B24" s="24" t="str">
        <x:v>Canary Isl. (Spain)</x:v>
      </x:c>
      <x:c r="C24" s="24" t="str">
        <x:v>EEZ</x:v>
      </x:c>
      <x:c r="D24" s="30" t="n">
        <x:v>2019</x:v>
      </x:c>
      <x:c r="E24" s="24" t="str">
        <x:v>Pagellus acarne</x:v>
      </x:c>
      <x:c r="F24" s="24" t="str">
        <x:v>Axillary seabream</x:v>
      </x:c>
      <x:c r="G24" s="24" t="str">
        <x:v>Medium benthopelagics (30 - 89 cm)</x:v>
      </x:c>
      <x:c r="H24" s="24" t="str">
        <x:v>Perch-likes</x:v>
      </x:c>
      <x:c r="I24" s="31" t="n">
        <x:v>868.7335322</x:v>
      </x:c>
      <x:c r="J24" s="31" t="n">
        <x:v>868.7335322</x:v>
      </x:c>
      <x:c r="K24" s="31" t="n">
        <x:v>0</x:v>
      </x:c>
      <x:c r="L24" s="31" t="n">
        <x:v>9.51093</x:v>
      </x:c>
      <x:c r="M24" s="31" t="n">
        <x:v>859.2226022</x:v>
      </x:c>
      <x:c r="N24" s="24" t="str">
        <x:v>pagellus acarne</x:v>
      </x:c>
      <x:c r="O24" s="32" t="n">
        <x:v>3.81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Pagellus acarne</x:v>
      </x:c>
      <x:c r="T24" s="32" t="n">
        <x:f>IF(O24="","",(1/'Metadata'!$B$5)^(O24-1))</x:f>
        <x:v>645.6542290346556</x:v>
      </x:c>
      <x:c r="U24" s="31" t="n">
        <x:f>IF(T24="","",I24*T24)</x:f>
        <x:v>560901.4789691442</x:v>
      </x:c>
    </x:row>
    <x:row r="25" ht="18" customHeight="1">
      <x:c r="A25" s="24" t="str">
        <x:v>EEZ_723</x:v>
      </x:c>
      <x:c r="B25" s="24" t="str">
        <x:v>Canary Isl. (Spain)</x:v>
      </x:c>
      <x:c r="C25" s="24" t="str">
        <x:v>EEZ</x:v>
      </x:c>
      <x:c r="D25" s="30" t="n">
        <x:v>2019</x:v>
      </x:c>
      <x:c r="E25" s="24" t="str">
        <x:v>Oblada melanurus</x:v>
      </x:c>
      <x:c r="F25" s="24" t="str">
        <x:v>Saddled seabream</x:v>
      </x:c>
      <x:c r="G25" s="24" t="str">
        <x:v>Small benthopelagics (&lt;30 cm)</x:v>
      </x:c>
      <x:c r="H25" s="24" t="str">
        <x:v>Perch-likes</x:v>
      </x:c>
      <x:c r="I25" s="31" t="n">
        <x:v>865.0628822</x:v>
      </x:c>
      <x:c r="J25" s="31" t="n">
        <x:v>865.0628822</x:v>
      </x:c>
      <x:c r="K25" s="31" t="n">
        <x:v>0</x:v>
      </x:c>
      <x:c r="L25" s="31" t="n">
        <x:v>5.84028</x:v>
      </x:c>
      <x:c r="M25" s="31" t="n">
        <x:v>859.2226022</x:v>
      </x:c>
      <x:c r="N25" s="24" t="str">
        <x:v>oblada melanurus</x:v>
      </x:c>
      <x:c r="O25" s="32" t="n">
        <x:v>3.38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Oblada melanurus</x:v>
      </x:c>
      <x:c r="T25" s="32" t="n">
        <x:f>IF(O25="","",(1/'Metadata'!$B$5)^(O25-1))</x:f>
        <x:v>239.88329190194898</x:v>
      </x:c>
      <x:c r="U25" s="31" t="n">
        <x:f>IF(T25="","",I25*T25)</x:f>
        <x:v>207514.1318843239</x:v>
      </x:c>
    </x:row>
    <x:row r="26" ht="18" customHeight="1">
      <x:c r="A26" s="24" t="str">
        <x:v>EEZ_723</x:v>
      </x:c>
      <x:c r="B26" s="24" t="str">
        <x:v>Canary Isl. (Spain)</x:v>
      </x:c>
      <x:c r="C26" s="24" t="str">
        <x:v>EEZ</x:v>
      </x:c>
      <x:c r="D26" s="30" t="n">
        <x:v>2019</x:v>
      </x:c>
      <x:c r="E26" s="24" t="str">
        <x:v>Sparus aurata</x:v>
      </x:c>
      <x:c r="F26" s="24" t="str">
        <x:v>Gilthead seabream</x:v>
      </x:c>
      <x:c r="G26" s="24" t="str">
        <x:v>Medium demersals (30 - 89 cm)</x:v>
      </x:c>
      <x:c r="H26" s="24" t="str">
        <x:v>Perch-likes</x:v>
      </x:c>
      <x:c r="I26" s="31" t="n">
        <x:v>859.6897521999999</x:v>
      </x:c>
      <x:c r="J26" s="31" t="n">
        <x:v>859.6897521999999</x:v>
      </x:c>
      <x:c r="K26" s="31" t="n">
        <x:v>0</x:v>
      </x:c>
      <x:c r="L26" s="31" t="n">
        <x:v>0.46715</x:v>
      </x:c>
      <x:c r="M26" s="31" t="n">
        <x:v>859.2226022</x:v>
      </x:c>
      <x:c r="N26" s="24" t="str">
        <x:v>sparus aurata</x:v>
      </x:c>
      <x:c r="O26" s="32" t="n">
        <x:v>3.7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Sparus aurata</x:v>
      </x:c>
      <x:c r="T26" s="32" t="n">
        <x:f>IF(O26="","",(1/'Metadata'!$B$5)^(O26-1))</x:f>
        <x:v>501.18723362727246</x:v>
      </x:c>
      <x:c r="U26" s="31" t="n">
        <x:f>IF(T26="","",I26*T26)</x:f>
        <x:v>430865.52868283336</x:v>
      </x:c>
    </x:row>
    <x:row r="27" ht="18" customHeight="1">
      <x:c r="A27" s="24" t="str">
        <x:v>EEZ_723</x:v>
      </x:c>
      <x:c r="B27" s="24" t="str">
        <x:v>Canary Isl. (Spain)</x:v>
      </x:c>
      <x:c r="C27" s="24" t="str">
        <x:v>EEZ</x:v>
      </x:c>
      <x:c r="D27" s="30" t="n">
        <x:v>2019</x:v>
      </x:c>
      <x:c r="E27" s="24" t="str">
        <x:v>Sphyraena viridensis</x:v>
      </x:c>
      <x:c r="F27" s="24" t="str">
        <x:v>Yellowmouth barracuda</x:v>
      </x:c>
      <x:c r="G27" s="24" t="str">
        <x:v>Large pelagics (&gt;=90 cm)</x:v>
      </x:c>
      <x:c r="H27" s="24" t="str">
        <x:v>Perch-likes</x:v>
      </x:c>
      <x:c r="I27" s="31" t="n">
        <x:v>807.6243569242</x:v>
      </x:c>
      <x:c r="J27" s="31" t="n">
        <x:v>807.6243569242</x:v>
      </x:c>
      <x:c r="K27" s="31" t="n">
        <x:v>0</x:v>
      </x:c>
      <x:c r="L27" s="31" t="n">
        <x:v>29.64179</x:v>
      </x:c>
      <x:c r="M27" s="31" t="n">
        <x:v>777.9825669242</x:v>
      </x:c>
      <x:c r="N27" s="24" t="str">
        <x:v>sphyraena viridensis</x:v>
      </x:c>
      <x:c r="O27" s="32" t="n">
        <x:v>4.31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Sphyraena viridensis</x:v>
      </x:c>
      <x:c r="T27" s="32" t="n">
        <x:f>IF(O27="","",(1/'Metadata'!$B$5)^(O27-1))</x:f>
        <x:v>2041.7379446695275</x:v>
      </x:c>
      <x:c r="U27" s="31" t="n">
        <x:f>IF(T27="","",I27*T27)</x:f>
        <x:v>1648957.2945714649</x:v>
      </x:c>
    </x:row>
    <x:row r="28" ht="18" customHeight="1">
      <x:c r="A28" s="24" t="str">
        <x:v>EEZ_723</x:v>
      </x:c>
      <x:c r="B28" s="24" t="str">
        <x:v>Canary Isl. (Spain)</x:v>
      </x:c>
      <x:c r="C28" s="24" t="str">
        <x:v>EEZ</x:v>
      </x:c>
      <x:c r="D28" s="30" t="n">
        <x:v>2019</x:v>
      </x:c>
      <x:c r="E28" s="24" t="str">
        <x:v>Bodianus scrofa</x:v>
      </x:c>
      <x:c r="F28" s="24" t="str">
        <x:v>Barred hogfish</x:v>
      </x:c>
      <x:c r="G28" s="24" t="str">
        <x:v>Medium reef assoc. fish (30 - 89 cm)</x:v>
      </x:c>
      <x:c r="H28" s="24" t="str">
        <x:v>Perch-likes</x:v>
      </x:c>
      <x:c r="I28" s="31" t="n">
        <x:v>753.4817085998</x:v>
      </x:c>
      <x:c r="J28" s="31" t="n">
        <x:v>753.4817085998</x:v>
      </x:c>
      <x:c r="K28" s="31" t="n">
        <x:v>0</x:v>
      </x:c>
      <x:c r="L28" s="31" t="n">
        <x:v>8.8221199998</x:v>
      </x:c>
      <x:c r="M28" s="31" t="n">
        <x:v>744.6595886</x:v>
      </x:c>
      <x:c r="N28" s="24" t="str">
        <x:v>bodianus scrofa</x:v>
      </x:c>
      <x:c r="O28" s="32" t="n">
        <x:v>3.5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Bodianus scrofa</x:v>
      </x:c>
      <x:c r="T28" s="32" t="n">
        <x:f>IF(O28="","",(1/'Metadata'!$B$5)^(O28-1))</x:f>
        <x:v>316.22776601683796</x:v>
      </x:c>
      <x:c r="U28" s="31" t="n">
        <x:f>IF(T28="","",I28*T28)</x:f>
        <x:v>238271.83744506483</x:v>
      </x:c>
    </x:row>
    <x:row r="29" ht="18" customHeight="1">
      <x:c r="A29" s="24" t="str">
        <x:v>EEZ_723</x:v>
      </x:c>
      <x:c r="B29" s="24" t="str">
        <x:v>Canary Isl. (Spain)</x:v>
      </x:c>
      <x:c r="C29" s="24" t="str">
        <x:v>EEZ</x:v>
      </x:c>
      <x:c r="D29" s="30" t="n">
        <x:v>2019</x:v>
      </x:c>
      <x:c r="E29" s="24" t="str">
        <x:v>Balistes capriscus</x:v>
      </x:c>
      <x:c r="F29" s="24" t="str">
        <x:v>Grey triggerfish</x:v>
      </x:c>
      <x:c r="G29" s="24" t="str">
        <x:v>Medium benthopelagics (30 - 89 cm)</x:v>
      </x:c>
      <x:c r="H29" s="24" t="str">
        <x:v>Other fishes &amp; inverts</x:v>
      </x:c>
      <x:c r="I29" s="31" t="n">
        <x:v>697.4125282996999</x:v>
      </x:c>
      <x:c r="J29" s="31" t="n">
        <x:v>697.4125282996999</x:v>
      </x:c>
      <x:c r="K29" s="31" t="n">
        <x:v>0</x:v>
      </x:c>
      <x:c r="L29" s="31" t="n">
        <x:v>38.6751999997</x:v>
      </x:c>
      <x:c r="M29" s="31" t="n">
        <x:v>658.7373283</x:v>
      </x:c>
      <x:c r="N29" s="24" t="str">
        <x:v>balistes capriscus</x:v>
      </x:c>
      <x:c r="O29" s="32" t="n">
        <x:v>4.06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Balistes capriscus</x:v>
      </x:c>
      <x:c r="T29" s="32" t="n">
        <x:f>IF(O29="","",(1/'Metadata'!$B$5)^(O29-1))</x:f>
        <x:v>1148.1536214968817</x:v>
      </x:c>
      <x:c r="U29" s="31" t="n">
        <x:f>IF(T29="","",I29*T29)</x:f>
        <x:v>800736.7200445969</x:v>
      </x:c>
    </x:row>
    <x:row r="30" ht="18" customHeight="1">
      <x:c r="A30" s="24" t="str">
        <x:v>EEZ_723</x:v>
      </x:c>
      <x:c r="B30" s="24" t="str">
        <x:v>Canary Isl. (Spain)</x:v>
      </x:c>
      <x:c r="C30" s="24" t="str">
        <x:v>EEZ</x:v>
      </x:c>
      <x:c r="D30" s="30" t="n">
        <x:v>2019</x:v>
      </x:c>
      <x:c r="E30" s="24" t="str">
        <x:v>Atherina presbyter</x:v>
      </x:c>
      <x:c r="F30" s="24" t="str">
        <x:v>Sand smelt</x:v>
      </x:c>
      <x:c r="G30" s="24" t="str">
        <x:v>Small pelagics (&lt;30 cm)</x:v>
      </x:c>
      <x:c r="H30" s="24" t="str">
        <x:v>Other fishes &amp; inverts</x:v>
      </x:c>
      <x:c r="I30" s="31" t="n">
        <x:v>685.0289547218999</x:v>
      </x:c>
      <x:c r="J30" s="31" t="n">
        <x:v>685.0289547218999</x:v>
      </x:c>
      <x:c r="K30" s="31" t="n">
        <x:v>0</x:v>
      </x:c>
      <x:c r="L30" s="31" t="n">
        <x:v>0</x:v>
      </x:c>
      <x:c r="M30" s="31" t="n">
        <x:v>685.0289547218999</x:v>
      </x:c>
      <x:c r="N30" s="24" t="str">
        <x:v>atherina presbyter</x:v>
      </x:c>
      <x:c r="O30" s="32" t="n">
        <x:v>3.67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Atherina presbyter</x:v>
      </x:c>
      <x:c r="T30" s="32" t="n">
        <x:f>IF(O30="","",(1/'Metadata'!$B$5)^(O30-1))</x:f>
        <x:v>467.73514128719813</x:v>
      </x:c>
      <x:c r="U30" s="31" t="n">
        <x:f>IF(T30="","",I30*T30)</x:f>
        <x:v>320412.11492266954</x:v>
      </x:c>
    </x:row>
    <x:row r="31" ht="18" customHeight="1">
      <x:c r="A31" s="24" t="str">
        <x:v>EEZ_723</x:v>
      </x:c>
      <x:c r="B31" s="24" t="str">
        <x:v>Canary Isl. (Spain)</x:v>
      </x:c>
      <x:c r="C31" s="24" t="str">
        <x:v>EEZ</x:v>
      </x:c>
      <x:c r="D31" s="30" t="n">
        <x:v>2019</x:v>
      </x:c>
      <x:c r="E31" s="24" t="str">
        <x:v>Stephanolepis hispida</x:v>
      </x:c>
      <x:c r="F31" s="24" t="str">
        <x:v>Planehead filefish</x:v>
      </x:c>
      <x:c r="G31" s="24" t="str">
        <x:v>Small reef assoc. fish (&lt;30 cm)</x:v>
      </x:c>
      <x:c r="H31" s="24" t="str">
        <x:v>Other fishes &amp; inverts</x:v>
      </x:c>
      <x:c r="I31" s="31" t="n">
        <x:v>678.6094583001</x:v>
      </x:c>
      <x:c r="J31" s="31" t="n">
        <x:v>678.6094583001</x:v>
      </x:c>
      <x:c r="K31" s="31" t="n">
        <x:v>0</x:v>
      </x:c>
      <x:c r="L31" s="31" t="n">
        <x:v>19.8721300001</x:v>
      </x:c>
      <x:c r="M31" s="31" t="n">
        <x:v>658.7373283</x:v>
      </x:c>
      <x:c r="N31" s="24" t="str">
        <x:v>stephanolepis hispida</x:v>
      </x:c>
      <x:c r="O31" s="32" t="n">
        <x:v>2.6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Stephanolepis hispida</x:v>
      </x:c>
      <x:c r="T31" s="32" t="n">
        <x:f>IF(O31="","",(1/'Metadata'!$B$5)^(O31-1))</x:f>
        <x:v>39.810717055349734</x:v>
      </x:c>
      <x:c r="U31" s="31" t="n">
        <x:f>IF(T31="","",I31*T31)</x:f>
        <x:v>27015.929135469432</x:v>
      </x:c>
    </x:row>
    <x:row r="32" ht="18" customHeight="1">
      <x:c r="A32" s="24" t="str">
        <x:v>EEZ_723</x:v>
      </x:c>
      <x:c r="B32" s="24" t="str">
        <x:v>Canary Isl. (Spain)</x:v>
      </x:c>
      <x:c r="C32" s="24" t="str">
        <x:v>EEZ</x:v>
      </x:c>
      <x:c r="D32" s="30" t="n">
        <x:v>2019</x:v>
      </x:c>
      <x:c r="E32" s="24" t="str">
        <x:v>Helicolenus dactylopterus</x:v>
      </x:c>
      <x:c r="F32" s="24" t="str">
        <x:v>Blackbelly rosefish</x:v>
      </x:c>
      <x:c r="G32" s="24" t="str">
        <x:v>Medium bathydemersals (30 - 89 cm)</x:v>
      </x:c>
      <x:c r="H32" s="24" t="str">
        <x:v>Scorpionfishes</x:v>
      </x:c>
      <x:c r="I32" s="31" t="n">
        <x:v>664.6787349002</x:v>
      </x:c>
      <x:c r="J32" s="31" t="n">
        <x:v>664.6787349002</x:v>
      </x:c>
      <x:c r="K32" s="31" t="n">
        <x:v>0</x:v>
      </x:c>
      <x:c r="L32" s="31" t="n">
        <x:v>34.582160000200005</x:v>
      </x:c>
      <x:c r="M32" s="31" t="n">
        <x:v>630.0965749</x:v>
      </x:c>
      <x:c r="N32" s="24" t="str">
        <x:v>helicolenus dactylopterus</x:v>
      </x:c>
      <x:c r="O32" s="32" t="n">
        <x:v>3.54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Helicolenus dactylopterus</x:v>
      </x:c>
      <x:c r="T32" s="32" t="n">
        <x:f>IF(O32="","",(1/'Metadata'!$B$5)^(O32-1))</x:f>
        <x:v>346.73685045253166</x:v>
      </x:c>
      <x:c r="U32" s="31" t="n">
        <x:f>IF(T32="","",I32*T32)</x:f>
        <x:v>230468.61110206856</x:v>
      </x:c>
    </x:row>
    <x:row r="33" ht="18" customHeight="1">
      <x:c r="A33" s="24" t="str">
        <x:v>EEZ_723</x:v>
      </x:c>
      <x:c r="B33" s="24" t="str">
        <x:v>Canary Isl. (Spain)</x:v>
      </x:c>
      <x:c r="C33" s="24" t="str">
        <x:v>EEZ</x:v>
      </x:c>
      <x:c r="D33" s="30" t="n">
        <x:v>2019</x:v>
      </x:c>
      <x:c r="E33" s="24" t="str">
        <x:v>Thunnus thynnus</x:v>
      </x:c>
      <x:c r="F33" s="24" t="str">
        <x:v>Atlantic bluefin tuna</x:v>
      </x:c>
      <x:c r="G33" s="24" t="str">
        <x:v>Large pelagics (&gt;=90 cm)</x:v>
      </x:c>
      <x:c r="H33" s="24" t="str">
        <x:v>Tuna &amp; billfishes</x:v>
      </x:c>
      <x:c r="I33" s="31" t="n">
        <x:v>613.7137194526</x:v>
      </x:c>
      <x:c r="J33" s="31" t="n">
        <x:v>613.7137194526</x:v>
      </x:c>
      <x:c r="K33" s="31" t="n">
        <x:v>0</x:v>
      </x:c>
      <x:c r="L33" s="31" t="n">
        <x:v>555.7794724936</x:v>
      </x:c>
      <x:c r="M33" s="31" t="n">
        <x:v>57.934246959000006</x:v>
      </x:c>
      <x:c r="N33" s="24" t="str">
        <x:v>thunnus thynnus</x:v>
      </x:c>
      <x:c r="O33" s="32" t="n">
        <x:v>4.45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Thunnus thynnus</x:v>
      </x:c>
      <x:c r="T33" s="32" t="n">
        <x:f>IF(O33="","",(1/'Metadata'!$B$5)^(O33-1))</x:f>
        <x:v>2818.382931264455</x:v>
      </x:c>
      <x:c r="U33" s="31" t="n">
        <x:f>IF(T33="","",I33*T33)</x:f>
        <x:v>1729680.27158803</x:v>
      </x:c>
    </x:row>
    <x:row r="34" ht="18" customHeight="1">
      <x:c r="A34" s="24" t="str">
        <x:v>EEZ_723</x:v>
      </x:c>
      <x:c r="B34" s="24" t="str">
        <x:v>Canary Isl. (Spain)</x:v>
      </x:c>
      <x:c r="C34" s="24" t="str">
        <x:v>EEZ</x:v>
      </x:c>
      <x:c r="D34" s="30" t="n">
        <x:v>2019</x:v>
      </x:c>
      <x:c r="E34" s="24" t="str">
        <x:v>Chelon auratus</x:v>
      </x:c>
      <x:c r="F34" s="24" t="str">
        <x:v>Golden grey mullet</x:v>
      </x:c>
      <x:c r="G34" s="24" t="str">
        <x:v>Medium pelagics (30 - 89 cm)</x:v>
      </x:c>
      <x:c r="H34" s="24" t="str">
        <x:v>Other fishes &amp; inverts</x:v>
      </x:c>
      <x:c r="I34" s="31" t="n">
        <x:v>573.0365681001999</x:v>
      </x:c>
      <x:c r="J34" s="31" t="n">
        <x:v>573.0365681001999</x:v>
      </x:c>
      <x:c r="K34" s="31" t="n">
        <x:v>0</x:v>
      </x:c>
      <x:c r="L34" s="31" t="n">
        <x:v>0.2215000002</x:v>
      </x:c>
      <x:c r="M34" s="31" t="n">
        <x:v>572.8150681</x:v>
      </x:c>
      <x:c r="N34" s="24" t="str">
        <x:v>chelon auratus</x:v>
      </x:c>
      <x:c r="O34" s="32" t="n">
        <x:v>2.8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Chelon auratus</x:v>
      </x:c>
      <x:c r="T34" s="32" t="n">
        <x:f>IF(O34="","",(1/'Metadata'!$B$5)^(O34-1))</x:f>
        <x:v>63.0957344480193</x:v>
      </x:c>
      <x:c r="U34" s="31" t="n">
        <x:f>IF(T34="","",I34*T34)</x:f>
        <x:v>36156.16312985454</x:v>
      </x:c>
    </x:row>
    <x:row r="35" ht="18" customHeight="1">
      <x:c r="A35" s="24" t="str">
        <x:v>EEZ_723</x:v>
      </x:c>
      <x:c r="B35" s="24" t="str">
        <x:v>Canary Isl. (Spain)</x:v>
      </x:c>
      <x:c r="C35" s="24" t="str">
        <x:v>EEZ</x:v>
      </x:c>
      <x:c r="D35" s="30" t="n">
        <x:v>2019</x:v>
      </x:c>
      <x:c r="E35" s="24" t="str">
        <x:v>Beryx splendens</x:v>
      </x:c>
      <x:c r="F35" s="24" t="str">
        <x:v>Splendid alfonsino</x:v>
      </x:c>
      <x:c r="G35" s="24" t="str">
        <x:v>Medium benthopelagics (30 - 89 cm)</x:v>
      </x:c>
      <x:c r="H35" s="24" t="str">
        <x:v>Other fishes &amp; inverts</x:v>
      </x:c>
      <x:c r="I35" s="31" t="n">
        <x:v>520.2938742452</x:v>
      </x:c>
      <x:c r="J35" s="31" t="n">
        <x:v>520.2938742452</x:v>
      </x:c>
      <x:c r="K35" s="31" t="n">
        <x:v>0</x:v>
      </x:c>
      <x:c r="L35" s="31" t="n">
        <x:v>165.5212700002</x:v>
      </x:c>
      <x:c r="M35" s="31" t="n">
        <x:v>354.772604245</x:v>
      </x:c>
      <x:c r="N35" s="24" t="str">
        <x:v>beryx splendens</x:v>
      </x:c>
      <x:c r="O35" s="32" t="n">
        <x:v>4.27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Beryx splendens</x:v>
      </x:c>
      <x:c r="T35" s="32" t="n">
        <x:f>IF(O35="","",(1/'Metadata'!$B$5)^(O35-1))</x:f>
        <x:v>1862.0871366628655</x:v>
      </x:c>
      <x:c r="U35" s="31" t="n">
        <x:f>IF(T35="","",I35*T35)</x:f>
        <x:v>968832.5305164735</x:v>
      </x:c>
    </x:row>
    <x:row r="36" ht="18" customHeight="1">
      <x:c r="A36" s="24" t="str">
        <x:v>EEZ_723</x:v>
      </x:c>
      <x:c r="B36" s="24" t="str">
        <x:v>Canary Isl. (Spain)</x:v>
      </x:c>
      <x:c r="C36" s="24" t="str">
        <x:v>EEZ</x:v>
      </x:c>
      <x:c r="D36" s="30" t="n">
        <x:v>2019</x:v>
      </x:c>
      <x:c r="E36" s="24" t="str">
        <x:v>Dentex gibbosus</x:v>
      </x:c>
      <x:c r="F36" s="24" t="str">
        <x:v>Pink dentex</x:v>
      </x:c>
      <x:c r="G36" s="24" t="str">
        <x:v>Large benthopelagics (&gt;=90 cm)</x:v>
      </x:c>
      <x:c r="H36" s="24" t="str">
        <x:v>Perch-likes</x:v>
      </x:c>
      <x:c r="I36" s="31" t="n">
        <x:v>496.09922870030005</x:v>
      </x:c>
      <x:c r="J36" s="31" t="n">
        <x:v>496.09922870030005</x:v>
      </x:c>
      <x:c r="K36" s="31" t="n">
        <x:v>0</x:v>
      </x:c>
      <x:c r="L36" s="31" t="n">
        <x:v>134.62568</x:v>
      </x:c>
      <x:c r="M36" s="31" t="n">
        <x:v>361.4735487003</x:v>
      </x:c>
      <x:c r="N36" s="24" t="str">
        <x:v>dentex gibbosus</x:v>
      </x:c>
      <x:c r="O36" s="32" t="n">
        <x:v>4.14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Dentex gibbosus</x:v>
      </x:c>
      <x:c r="T36" s="32" t="n">
        <x:f>IF(O36="","",(1/'Metadata'!$B$5)^(O36-1))</x:f>
        <x:v>1380.3842646028838</x:v>
      </x:c>
      <x:c r="U36" s="31" t="n">
        <x:f>IF(T36="","",I36*T36)</x:f>
        <x:v>684807.5689795215</x:v>
      </x:c>
    </x:row>
    <x:row r="37" ht="18" customHeight="1">
      <x:c r="A37" s="24" t="str">
        <x:v>EEZ_723</x:v>
      </x:c>
      <x:c r="B37" s="24" t="str">
        <x:v>Canary Isl. (Spain)</x:v>
      </x:c>
      <x:c r="C37" s="24" t="str">
        <x:v>EEZ</x:v>
      </x:c>
      <x:c r="D37" s="30" t="n">
        <x:v>2019</x:v>
      </x:c>
      <x:c r="E37" s="24" t="str">
        <x:v>Lithognathus mormyrus</x:v>
      </x:c>
      <x:c r="F37" s="24" t="str">
        <x:v>Sand steenbras</x:v>
      </x:c>
      <x:c r="G37" s="24" t="str">
        <x:v>Medium benthopelagics (30 - 89 cm)</x:v>
      </x:c>
      <x:c r="H37" s="24" t="str">
        <x:v>Perch-likes</x:v>
      </x:c>
      <x:c r="I37" s="31" t="n">
        <x:v>464.1914645</x:v>
      </x:c>
      <x:c r="J37" s="31" t="n">
        <x:v>464.1914645</x:v>
      </x:c>
      <x:c r="K37" s="31" t="n">
        <x:v>0</x:v>
      </x:c>
      <x:c r="L37" s="31" t="n">
        <x:v>5.93941</x:v>
      </x:c>
      <x:c r="M37" s="31" t="n">
        <x:v>458.2520545</x:v>
      </x:c>
      <x:c r="N37" s="24" t="str">
        <x:v>lithognathus mormyrus</x:v>
      </x:c>
      <x:c r="O37" s="32" t="n">
        <x:v>3.42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Lithognathus mormyrus</x:v>
      </x:c>
      <x:c r="T37" s="32" t="n">
        <x:f>IF(O37="","",(1/'Metadata'!$B$5)^(O37-1))</x:f>
        <x:v>263.02679918953817</x:v>
      </x:c>
      <x:c r="U37" s="31" t="n">
        <x:f>IF(T37="","",I37*T37)</x:f>
        <x:v>122094.79511853913</x:v>
      </x:c>
    </x:row>
    <x:row r="38" ht="18" customHeight="1">
      <x:c r="A38" s="24" t="str">
        <x:v>EEZ_723</x:v>
      </x:c>
      <x:c r="B38" s="24" t="str">
        <x:v>Canary Isl. (Spain)</x:v>
      </x:c>
      <x:c r="C38" s="24" t="str">
        <x:v>EEZ</x:v>
      </x:c>
      <x:c r="D38" s="30" t="n">
        <x:v>2019</x:v>
      </x:c>
      <x:c r="E38" s="24" t="str">
        <x:v>Dicentrarchus labrax</x:v>
      </x:c>
      <x:c r="F38" s="24" t="str">
        <x:v>European seabass</x:v>
      </x:c>
      <x:c r="G38" s="24" t="str">
        <x:v>Large demersals (&gt;=90 cm)</x:v>
      </x:c>
      <x:c r="H38" s="24" t="str">
        <x:v>Perch-likes</x:v>
      </x:c>
      <x:c r="I38" s="31" t="n">
        <x:v>459.6464044997</x:v>
      </x:c>
      <x:c r="J38" s="31" t="n">
        <x:v>459.6464044997</x:v>
      </x:c>
      <x:c r="K38" s="31" t="n">
        <x:v>0</x:v>
      </x:c>
      <x:c r="L38" s="31" t="n">
        <x:v>1.3943499997</x:v>
      </x:c>
      <x:c r="M38" s="31" t="n">
        <x:v>458.2520545</x:v>
      </x:c>
      <x:c r="N38" s="24" t="str">
        <x:v>dicentrarchus labrax</x:v>
      </x:c>
      <x:c r="O38" s="32" t="n">
        <x:v>3.79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Dicentrarchus labrax</x:v>
      </x:c>
      <x:c r="T38" s="32" t="n">
        <x:f>IF(O38="","",(1/'Metadata'!$B$5)^(O38-1))</x:f>
        <x:v>616.5950018614822</x:v>
      </x:c>
      <x:c r="U38" s="31" t="n">
        <x:f>IF(T38="","",I38*T38)</x:f>
        <x:v>283415.6756381161</x:v>
      </x:c>
    </x:row>
    <x:row r="39" ht="18" customHeight="1">
      <x:c r="A39" s="24" t="str">
        <x:v>EEZ_723</x:v>
      </x:c>
      <x:c r="B39" s="24" t="str">
        <x:v>Canary Isl. (Spain)</x:v>
      </x:c>
      <x:c r="C39" s="24" t="str">
        <x:v>EEZ</x:v>
      </x:c>
      <x:c r="D39" s="30" t="n">
        <x:v>2019</x:v>
      </x:c>
      <x:c r="E39" s="24" t="str">
        <x:v>Sardinella aurita</x:v>
      </x:c>
      <x:c r="F39" s="24" t="str">
        <x:v>Round sardinella</x:v>
      </x:c>
      <x:c r="G39" s="24" t="str">
        <x:v>Small pelagics (&lt;30 cm)</x:v>
      </x:c>
      <x:c r="H39" s="24" t="str">
        <x:v>Herring-likes</x:v>
      </x:c>
      <x:c r="I39" s="31" t="n">
        <x:v>459.2441245771</x:v>
      </x:c>
      <x:c r="J39" s="31" t="n">
        <x:v>459.2441245771</x:v>
      </x:c>
      <x:c r="K39" s="31" t="n">
        <x:v>0</x:v>
      </x:c>
      <x:c r="L39" s="31" t="n">
        <x:v>86.37182</x:v>
      </x:c>
      <x:c r="M39" s="31" t="n">
        <x:v>372.8723045771</x:v>
      </x:c>
      <x:c r="N39" s="24" t="str">
        <x:v>sardinella aurita</x:v>
      </x:c>
      <x:c r="O39" s="32" t="n">
        <x:v>3.4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Sardinella aurita</x:v>
      </x:c>
      <x:c r="T39" s="32" t="n">
        <x:f>IF(O39="","",(1/'Metadata'!$B$5)^(O39-1))</x:f>
        <x:v>251.18864315095797</x:v>
      </x:c>
      <x:c r="U39" s="31" t="n">
        <x:f>IF(T39="","",I39*T39)</x:f>
        <x:v>115356.90852757127</x:v>
      </x:c>
    </x:row>
    <x:row r="40" ht="18" customHeight="1">
      <x:c r="A40" s="24" t="str">
        <x:v>EEZ_723</x:v>
      </x:c>
      <x:c r="B40" s="24" t="str">
        <x:v>Canary Isl. (Spain)</x:v>
      </x:c>
      <x:c r="C40" s="24" t="str">
        <x:v>EEZ</x:v>
      </x:c>
      <x:c r="D40" s="30" t="n">
        <x:v>2019</x:v>
      </x:c>
      <x:c r="E40" s="24" t="str">
        <x:v>Thunnus albacares</x:v>
      </x:c>
      <x:c r="F40" s="24" t="str">
        <x:v>Yellowfin tuna</x:v>
      </x:c>
      <x:c r="G40" s="24" t="str">
        <x:v>Large pelagics (&gt;=90 cm)</x:v>
      </x:c>
      <x:c r="H40" s="24" t="str">
        <x:v>Tuna &amp; billfishes</x:v>
      </x:c>
      <x:c r="I40" s="31" t="n">
        <x:v>424.6689011173</x:v>
      </x:c>
      <x:c r="J40" s="31" t="n">
        <x:v>424.6689011173</x:v>
      </x:c>
      <x:c r="K40" s="31" t="n">
        <x:v>0</x:v>
      </x:c>
      <x:c r="L40" s="31" t="n">
        <x:v>195.04255188870002</x:v>
      </x:c>
      <x:c r="M40" s="31" t="n">
        <x:v>229.62634922860002</x:v>
      </x:c>
      <x:c r="N40" s="24" t="str">
        <x:v>thunnus albacares</x:v>
      </x:c>
      <x:c r="O40" s="32" t="n">
        <x:v>4.41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Thunnus albacares</x:v>
      </x:c>
      <x:c r="T40" s="32" t="n">
        <x:f>IF(O40="","",(1/'Metadata'!$B$5)^(O40-1))</x:f>
        <x:v>2570.3957827688646</x:v>
      </x:c>
      <x:c r="U40" s="31" t="n">
        <x:f>IF(T40="","",I40*T40)</x:f>
        <x:v>1091567.152504996</x:v>
      </x:c>
    </x:row>
    <x:row r="41" ht="18" customHeight="1">
      <x:c r="A41" s="24" t="str">
        <x:v>EEZ_723</x:v>
      </x:c>
      <x:c r="B41" s="24" t="str">
        <x:v>Canary Isl. (Spain)</x:v>
      </x:c>
      <x:c r="C41" s="24" t="str">
        <x:v>EEZ</x:v>
      </x:c>
      <x:c r="D41" s="30" t="n">
        <x:v>2019</x:v>
      </x:c>
      <x:c r="E41" s="24" t="str">
        <x:v>Xiphias gladius</x:v>
      </x:c>
      <x:c r="F41" s="24" t="str">
        <x:v>Swordfish</x:v>
      </x:c>
      <x:c r="G41" s="24" t="str">
        <x:v>Large pelagics (&gt;=90 cm)</x:v>
      </x:c>
      <x:c r="H41" s="24" t="str">
        <x:v>Tuna &amp; billfishes</x:v>
      </x:c>
      <x:c r="I41" s="31" t="n">
        <x:v>413.6545620743</x:v>
      </x:c>
      <x:c r="J41" s="31" t="n">
        <x:v>413.6545620743</x:v>
      </x:c>
      <x:c r="K41" s="31" t="n">
        <x:v>0</x:v>
      </x:c>
      <x:c r="L41" s="31" t="n">
        <x:v>413.6545620743</x:v>
      </x:c>
      <x:c r="M41" s="31" t="n">
        <x:v>0</x:v>
      </x:c>
      <x:c r="N41" s="24" t="str">
        <x:v>xiphias gladius</x:v>
      </x:c>
      <x:c r="O41" s="32" t="n">
        <x:v>4.53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Xiphias gladius</x:v>
      </x:c>
      <x:c r="T41" s="32" t="n">
        <x:f>IF(O41="","",(1/'Metadata'!$B$5)^(O41-1))</x:f>
        <x:v>3388.4415613920273</x:v>
      </x:c>
      <x:c r="U41" s="31" t="n">
        <x:f>IF(T41="","",I41*T41)</x:f>
        <x:v>1401644.3101919764</x:v>
      </x:c>
    </x:row>
    <x:row r="42" ht="18" customHeight="1">
      <x:c r="A42" s="24" t="str">
        <x:v>EEZ_723</x:v>
      </x:c>
      <x:c r="B42" s="24" t="str">
        <x:v>Canary Isl. (Spain)</x:v>
      </x:c>
      <x:c r="C42" s="24" t="str">
        <x:v>EEZ</x:v>
      </x:c>
      <x:c r="D42" s="30" t="n">
        <x:v>2019</x:v>
      </x:c>
      <x:c r="E42" s="24" t="str">
        <x:v>Sardinella maderensis</x:v>
      </x:c>
      <x:c r="F42" s="24" t="str">
        <x:v>Madeiran sardinella</x:v>
      </x:c>
      <x:c r="G42" s="24" t="str">
        <x:v>Medium pelagics (30 - 89 cm)</x:v>
      </x:c>
      <x:c r="H42" s="24" t="str">
        <x:v>Herring-likes</x:v>
      </x:c>
      <x:c r="I42" s="31" t="n">
        <x:v>412.4067228677</x:v>
      </x:c>
      <x:c r="J42" s="31" t="n">
        <x:v>326.0528209256</x:v>
      </x:c>
      <x:c r="K42" s="31" t="n">
        <x:v>86.3539019421</x:v>
      </x:c>
      <x:c r="L42" s="31" t="n">
        <x:v>29.84585</x:v>
      </x:c>
      <x:c r="M42" s="31" t="n">
        <x:v>382.56087286769997</x:v>
      </x:c>
      <x:c r="N42" s="24" t="str">
        <x:v>sardinella maderensis</x:v>
      </x:c>
      <x:c r="O42" s="32" t="n">
        <x:v>3.2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Sardinella maderensis</x:v>
      </x:c>
      <x:c r="T42" s="32" t="n">
        <x:f>IF(O42="","",(1/'Metadata'!$B$5)^(O42-1))</x:f>
        <x:v>158.48931924611142</x:v>
      </x:c>
      <x:c r="U42" s="31" t="n">
        <x:f>IF(T42="","",I42*T42)</x:f>
        <x:v>65362.06075982151</x:v>
      </x:c>
    </x:row>
    <x:row r="43" ht="18" customHeight="1">
      <x:c r="A43" s="24" t="str">
        <x:v>EEZ_723</x:v>
      </x:c>
      <x:c r="B43" s="24" t="str">
        <x:v>Canary Isl. (Spain)</x:v>
      </x:c>
      <x:c r="C43" s="24" t="str">
        <x:v>EEZ</x:v>
      </x:c>
      <x:c r="D43" s="30" t="n">
        <x:v>2019</x:v>
      </x:c>
      <x:c r="E43" s="24" t="str">
        <x:v>Pomadasys incisus</x:v>
      </x:c>
      <x:c r="F43" s="24" t="str">
        <x:v>Bastard grunt</x:v>
      </x:c>
      <x:c r="G43" s="24" t="str">
        <x:v>Medium demersals (30 - 89 cm)</x:v>
      </x:c>
      <x:c r="H43" s="24" t="str">
        <x:v>Perch-likes</x:v>
      </x:c>
      <x:c r="I43" s="31" t="n">
        <x:v>403.2925677</x:v>
      </x:c>
      <x:c r="J43" s="31" t="n">
        <x:v>403.2925677</x:v>
      </x:c>
      <x:c r="K43" s="31" t="n">
        <x:v>0</x:v>
      </x:c>
      <x:c r="L43" s="31" t="n">
        <x:v>2.3220199999999998</x:v>
      </x:c>
      <x:c r="M43" s="31" t="n">
        <x:v>400.9705477</x:v>
      </x:c>
      <x:c r="N43" s="24" t="str">
        <x:v>pomadasys incisus</x:v>
      </x:c>
      <x:c r="O43" s="32" t="n">
        <x:v>3.8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Pomadasys incisus</x:v>
      </x:c>
      <x:c r="T43" s="32" t="n">
        <x:f>IF(O43="","",(1/'Metadata'!$B$5)^(O43-1))</x:f>
        <x:v>630.957344480193</x:v>
      </x:c>
      <x:c r="U43" s="31" t="n">
        <x:f>IF(T43="","",I43*T43)</x:f>
        <x:v>254460.40756459045</x:v>
      </x:c>
    </x:row>
    <x:row r="44" ht="18" customHeight="1">
      <x:c r="A44" s="24" t="str">
        <x:v>EEZ_723</x:v>
      </x:c>
      <x:c r="B44" s="24" t="str">
        <x:v>Canary Isl. (Spain)</x:v>
      </x:c>
      <x:c r="C44" s="24" t="str">
        <x:v>EEZ</x:v>
      </x:c>
      <x:c r="D44" s="30" t="n">
        <x:v>2019</x:v>
      </x:c>
      <x:c r="E44" s="24" t="str">
        <x:v>Mugil cephalus</x:v>
      </x:c>
      <x:c r="F44" s="24" t="str">
        <x:v>Flathead grey mullet</x:v>
      </x:c>
      <x:c r="G44" s="24" t="str">
        <x:v>Large benthopelagics (&gt;=90 cm)</x:v>
      </x:c>
      <x:c r="H44" s="24" t="str">
        <x:v>Perch-likes</x:v>
      </x:c>
      <x:c r="I44" s="31" t="n">
        <x:v>401.37205769999997</x:v>
      </x:c>
      <x:c r="J44" s="31" t="n">
        <x:v>401.37205769999997</x:v>
      </x:c>
      <x:c r="K44" s="31" t="n">
        <x:v>0</x:v>
      </x:c>
      <x:c r="L44" s="31" t="n">
        <x:v>0.40151</x:v>
      </x:c>
      <x:c r="M44" s="31" t="n">
        <x:v>400.9705477</x:v>
      </x:c>
      <x:c r="N44" s="24" t="str">
        <x:v>mugil cephalus</x:v>
      </x:c>
      <x:c r="O44" s="32" t="n">
        <x:v>2.14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Mugil cephalus</x:v>
      </x:c>
      <x:c r="T44" s="32" t="n">
        <x:f>IF(O44="","",(1/'Metadata'!$B$5)^(O44-1))</x:f>
        <x:v>13.803842646028853</x:v>
      </x:c>
      <x:c r="U44" s="31" t="n">
        <x:f>IF(T44="","",I44*T44)</x:f>
        <x:v>5540.476727003613</x:v>
      </x:c>
    </x:row>
    <x:row r="45" ht="18" customHeight="1">
      <x:c r="A45" s="24" t="str">
        <x:v>EEZ_723</x:v>
      </x:c>
      <x:c r="B45" s="24" t="str">
        <x:v>Canary Isl. (Spain)</x:v>
      </x:c>
      <x:c r="C45" s="24" t="str">
        <x:v>EEZ</x:v>
      </x:c>
      <x:c r="D45" s="30" t="n">
        <x:v>2019</x:v>
      </x:c>
      <x:c r="E45" s="24" t="str">
        <x:v>Sarda sarda</x:v>
      </x:c>
      <x:c r="F45" s="24" t="str">
        <x:v>Atlantic bonito</x:v>
      </x:c>
      <x:c r="G45" s="24" t="str">
        <x:v>Medium pelagics (30 - 89 cm)</x:v>
      </x:c>
      <x:c r="H45" s="24" t="str">
        <x:v>Tuna &amp; billfishes</x:v>
      </x:c>
      <x:c r="I45" s="31" t="n">
        <x:v>369.71373556820004</x:v>
      </x:c>
      <x:c r="J45" s="31" t="n">
        <x:v>369.71373556820004</x:v>
      </x:c>
      <x:c r="K45" s="31" t="n">
        <x:v>0</x:v>
      </x:c>
      <x:c r="L45" s="31" t="n">
        <x:v>26.024694668200002</x:v>
      </x:c>
      <x:c r="M45" s="31" t="n">
        <x:v>343.6890409</x:v>
      </x:c>
      <x:c r="N45" s="24" t="str">
        <x:v>sarda sarda</x:v>
      </x:c>
      <x:c r="O45" s="32" t="n">
        <x:v>4.5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Sarda sarda</x:v>
      </x:c>
      <x:c r="T45" s="32" t="n">
        <x:f>IF(O45="","",(1/'Metadata'!$B$5)^(O45-1))</x:f>
        <x:v>3162.2776601683795</x:v>
      </x:c>
      <x:c r="U45" s="31" t="n">
        <x:f>IF(T45="","",I45*T45)</x:f>
        <x:v>1169137.4866447186</x:v>
      </x:c>
    </x:row>
    <x:row r="46" ht="18" customHeight="1">
      <x:c r="A46" s="24" t="str">
        <x:v>EEZ_723</x:v>
      </x:c>
      <x:c r="B46" s="24" t="str">
        <x:v>Canary Isl. (Spain)</x:v>
      </x:c>
      <x:c r="C46" s="24" t="str">
        <x:v>EEZ</x:v>
      </x:c>
      <x:c r="D46" s="30" t="n">
        <x:v>2019</x:v>
      </x:c>
      <x:c r="E46" s="24" t="str">
        <x:v>Merluccius merluccius</x:v>
      </x:c>
      <x:c r="F46" s="24" t="str">
        <x:v>European hake</x:v>
      </x:c>
      <x:c r="G46" s="24" t="str">
        <x:v>Large demersals (&gt;=90 cm)</x:v>
      </x:c>
      <x:c r="H46" s="24" t="str">
        <x:v>Cod-likes</x:v>
      </x:c>
      <x:c r="I46" s="31" t="n">
        <x:v>350.26365365540005</x:v>
      </x:c>
      <x:c r="J46" s="31" t="n">
        <x:v>350.26365365540005</x:v>
      </x:c>
      <x:c r="K46" s="31" t="n">
        <x:v>0</x:v>
      </x:c>
      <x:c r="L46" s="31" t="n">
        <x:v>60.3343100002</x:v>
      </x:c>
      <x:c r="M46" s="31" t="n">
        <x:v>289.9293436552</x:v>
      </x:c>
      <x:c r="N46" s="24" t="str">
        <x:v>merluccius merluccius</x:v>
      </x:c>
      <x:c r="O46" s="32" t="n">
        <x:v>4.42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Merluccius merluccius</x:v>
      </x:c>
      <x:c r="T46" s="32" t="n">
        <x:f>IF(O46="","",(1/'Metadata'!$B$5)^(O46-1))</x:f>
        <x:v>2630.2679918953813</x:v>
      </x:c>
      <x:c r="U46" s="31" t="n">
        <x:f>IF(T46="","",I46*T46)</x:f>
        <x:v>921287.2769341284</x:v>
      </x:c>
    </x:row>
    <x:row r="47" ht="18" customHeight="1">
      <x:c r="A47" s="24" t="str">
        <x:v>EEZ_723</x:v>
      </x:c>
      <x:c r="B47" s="24" t="str">
        <x:v>Canary Isl. (Spain)</x:v>
      </x:c>
      <x:c r="C47" s="24" t="str">
        <x:v>EEZ</x:v>
      </x:c>
      <x:c r="D47" s="30" t="n">
        <x:v>2019</x:v>
      </x:c>
      <x:c r="E47" s="24" t="str">
        <x:v>Polyprion americanus</x:v>
      </x:c>
      <x:c r="F47" s="24" t="str">
        <x:v>Wreckfish</x:v>
      </x:c>
      <x:c r="G47" s="24" t="str">
        <x:v>Large bathydemersals (&gt;=90 cm)</x:v>
      </x:c>
      <x:c r="H47" s="24" t="str">
        <x:v>Perch-likes</x:v>
      </x:c>
      <x:c r="I47" s="31" t="n">
        <x:v>349.0860909002</x:v>
      </x:c>
      <x:c r="J47" s="31" t="n">
        <x:v>349.0860909002</x:v>
      </x:c>
      <x:c r="K47" s="31" t="n">
        <x:v>0</x:v>
      </x:c>
      <x:c r="L47" s="31" t="n">
        <x:v>5.3970500002</x:v>
      </x:c>
      <x:c r="M47" s="31" t="n">
        <x:v>343.6890409</x:v>
      </x:c>
      <x:c r="N47" s="24" t="str">
        <x:v>polyprion americanus</x:v>
      </x:c>
      <x:c r="O47" s="32" t="n">
        <x:v>4.14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Polyprion americanus</x:v>
      </x:c>
      <x:c r="T47" s="32" t="n">
        <x:f>IF(O47="","",(1/'Metadata'!$B$5)^(O47-1))</x:f>
        <x:v>1380.3842646028838</x:v>
      </x:c>
      <x:c r="U47" s="31" t="n">
        <x:f>IF(T47="","",I47*T47)</x:f>
        <x:v>481872.9468703681</x:v>
      </x:c>
    </x:row>
    <x:row r="48" ht="18" customHeight="1">
      <x:c r="A48" s="24" t="str">
        <x:v>EEZ_723</x:v>
      </x:c>
      <x:c r="B48" s="24" t="str">
        <x:v>Canary Isl. (Spain)</x:v>
      </x:c>
      <x:c r="C48" s="24" t="str">
        <x:v>EEZ</x:v>
      </x:c>
      <x:c r="D48" s="30" t="n">
        <x:v>2019</x:v>
      </x:c>
      <x:c r="E48" s="24" t="str">
        <x:v>Thalassoma pavo</x:v>
      </x:c>
      <x:c r="F48" s="24" t="str">
        <x:v>Ornate wrasse</x:v>
      </x:c>
      <x:c r="G48" s="24" t="str">
        <x:v>Small reef assoc. fish (&lt;30 cm)</x:v>
      </x:c>
      <x:c r="H48" s="24" t="str">
        <x:v>Perch-likes</x:v>
      </x:c>
      <x:c r="I48" s="31" t="n">
        <x:v>343.6890409</x:v>
      </x:c>
      <x:c r="J48" s="31" t="n">
        <x:v>343.6890409</x:v>
      </x:c>
      <x:c r="K48" s="31" t="n">
        <x:v>0</x:v>
      </x:c>
      <x:c r="L48" s="31" t="n">
        <x:v>0</x:v>
      </x:c>
      <x:c r="M48" s="31" t="n">
        <x:v>343.6890409</x:v>
      </x:c>
      <x:c r="N48" s="24" t="str">
        <x:v>thalassoma pavo</x:v>
      </x:c>
      <x:c r="O48" s="32" t="n">
        <x:v>3.5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Thalassoma pavo</x:v>
      </x:c>
      <x:c r="T48" s="32" t="n">
        <x:f>IF(O48="","",(1/'Metadata'!$B$5)^(O48-1))</x:f>
        <x:v>316.22776601683796</x:v>
      </x:c>
      <x:c r="U48" s="31" t="n">
        <x:f>IF(T48="","",I48*T48)</x:f>
        <x:v>108684.01760827666</x:v>
      </x:c>
    </x:row>
    <x:row r="49" ht="18" customHeight="1">
      <x:c r="A49" s="24" t="str">
        <x:v>EEZ_723</x:v>
      </x:c>
      <x:c r="B49" s="24" t="str">
        <x:v>Canary Isl. (Spain)</x:v>
      </x:c>
      <x:c r="C49" s="24" t="str">
        <x:v>EEZ</x:v>
      </x:c>
      <x:c r="D49" s="30" t="n">
        <x:v>2019</x:v>
      </x:c>
      <x:c r="E49" s="24" t="str">
        <x:v>Kajikia albida</x:v>
      </x:c>
      <x:c r="F49" s="24" t="str">
        <x:v>Atlantic white marlin</x:v>
      </x:c>
      <x:c r="G49" s="24" t="str">
        <x:v>Large pelagics (&gt;=90 cm)</x:v>
      </x:c>
      <x:c r="H49" s="24" t="str">
        <x:v>Tuna &amp; billfishes</x:v>
      </x:c>
      <x:c r="I49" s="31" t="n">
        <x:v>286.4075341</x:v>
      </x:c>
      <x:c r="J49" s="31" t="n">
        <x:v>286.4075341</x:v>
      </x:c>
      <x:c r="K49" s="31" t="n">
        <x:v>0</x:v>
      </x:c>
      <x:c r="L49" s="31" t="n">
        <x:v>0</x:v>
      </x:c>
      <x:c r="M49" s="31" t="n">
        <x:v>286.4075341</x:v>
      </x:c>
      <x:c r="N49" s="24" t="str">
        <x:v>kajikia albida</x:v>
      </x:c>
      <x:c r="O49" s="32" t="n">
        <x:v>4.49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Kajikia albida</x:v>
      </x:c>
      <x:c r="T49" s="32" t="n">
        <x:f>IF(O49="","",(1/'Metadata'!$B$5)^(O49-1))</x:f>
        <x:v>3090.295432513592</x:v>
      </x:c>
      <x:c r="U49" s="31" t="n">
        <x:f>IF(T49="","",I49*T49)</x:f>
        <x:v>885083.8944667109</x:v>
      </x:c>
    </x:row>
    <x:row r="50" ht="18" customHeight="1">
      <x:c r="A50" s="24" t="str">
        <x:v>EEZ_723</x:v>
      </x:c>
      <x:c r="B50" s="24" t="str">
        <x:v>Canary Isl. (Spain)</x:v>
      </x:c>
      <x:c r="C50" s="24" t="str">
        <x:v>EEZ</x:v>
      </x:c>
      <x:c r="D50" s="30" t="n">
        <x:v>2019</x:v>
      </x:c>
      <x:c r="E50" s="24" t="str">
        <x:v>Plectorhinchus mediterraneus</x:v>
      </x:c>
      <x:c r="F50" s="24" t="str">
        <x:v>Rubberlip grunt</x:v>
      </x:c>
      <x:c r="G50" s="24" t="str">
        <x:v>Medium demersals (30 - 89 cm)</x:v>
      </x:c>
      <x:c r="H50" s="24" t="str">
        <x:v>Perch-likes</x:v>
      </x:c>
      <x:c r="I50" s="31" t="n">
        <x:v>254.85036942140002</x:v>
      </x:c>
      <x:c r="J50" s="31" t="n">
        <x:v>254.85036942140002</x:v>
      </x:c>
      <x:c r="K50" s="31" t="n">
        <x:v>0</x:v>
      </x:c>
      <x:c r="L50" s="31" t="n">
        <x:v>9.69927</x:v>
      </x:c>
      <x:c r="M50" s="31" t="n">
        <x:v>245.1510994214</x:v>
      </x:c>
      <x:c r="N50" s="24" t="str">
        <x:v>plectorhinchus mediterraneus</x:v>
      </x:c>
      <x:c r="O50" s="32" t="n">
        <x:v>3.49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Plectorhinchus mediterraneus</x:v>
      </x:c>
      <x:c r="T50" s="32" t="n">
        <x:f>IF(O50="","",(1/'Metadata'!$B$5)^(O50-1))</x:f>
        <x:v>309.0295432513592</x:v>
      </x:c>
      <x:c r="U50" s="31" t="n">
        <x:f>IF(T50="","",I50*T50)</x:f>
        <x:v>78756.29325973541</x:v>
      </x:c>
    </x:row>
    <x:row r="51" ht="18" customHeight="1">
      <x:c r="A51" s="24" t="str">
        <x:v>EEZ_723</x:v>
      </x:c>
      <x:c r="B51" s="24" t="str">
        <x:v>Canary Isl. (Spain)</x:v>
      </x:c>
      <x:c r="C51" s="24" t="str">
        <x:v>EEZ</x:v>
      </x:c>
      <x:c r="D51" s="30" t="n">
        <x:v>2019</x:v>
      </x:c>
      <x:c r="E51" s="24" t="str">
        <x:v>Similiparma lurida</x:v>
      </x:c>
      <x:c r="F51" s="24" t="str">
        <x:v>Canary damsel</x:v>
      </x:c>
      <x:c r="G51" s="24" t="str">
        <x:v>Small reef assoc. fish (&lt;30 cm)</x:v>
      </x:c>
      <x:c r="H51" s="24" t="str">
        <x:v>Perch-likes</x:v>
      </x:c>
      <x:c r="I51" s="31" t="n">
        <x:v>231.54387450500002</x:v>
      </x:c>
      <x:c r="J51" s="31" t="n">
        <x:v>229.1300272002</x:v>
      </x:c>
      <x:c r="K51" s="31" t="n">
        <x:v>2.4138473048</x:v>
      </x:c>
      <x:c r="L51" s="31" t="n">
        <x:v>0.0040000002</x:v>
      </x:c>
      <x:c r="M51" s="31" t="n">
        <x:v>231.5398745048</x:v>
      </x:c>
      <x:c r="N51" s="24" t="str">
        <x:v>similiparma lurida</x:v>
      </x:c>
      <x:c r="O51" s="32" t="n">
        <x:v>3.5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Similiparma lurida</x:v>
      </x:c>
      <x:c r="T51" s="32" t="n">
        <x:f>IF(O51="","",(1/'Metadata'!$B$5)^(O51-1))</x:f>
        <x:v>316.22776601683796</x:v>
      </x:c>
      <x:c r="U51" s="31" t="n">
        <x:f>IF(T51="","",I51*T51)</x:f>
        <x:v>73220.60216959924</x:v>
      </x:c>
    </x:row>
    <x:row r="52" ht="18" customHeight="1">
      <x:c r="A52" s="24" t="str">
        <x:v>EEZ_723</x:v>
      </x:c>
      <x:c r="B52" s="24" t="str">
        <x:v>Canary Isl. (Spain)</x:v>
      </x:c>
      <x:c r="C52" s="24" t="str">
        <x:v>EEZ</x:v>
      </x:c>
      <x:c r="D52" s="30" t="n">
        <x:v>2019</x:v>
      </x:c>
      <x:c r="E52" s="24" t="str">
        <x:v>Sphoeroides marmoratus</x:v>
      </x:c>
      <x:c r="F52" s="24" t="str">
        <x:v>Guinean puffer</x:v>
      </x:c>
      <x:c r="G52" s="24" t="str">
        <x:v>Large reef assoc. fish (&gt;=90 cm)</x:v>
      </x:c>
      <x:c r="H52" s="24" t="str">
        <x:v>Other fishes &amp; inverts</x:v>
      </x:c>
      <x:c r="I52" s="31" t="n">
        <x:v>231.5398745049</x:v>
      </x:c>
      <x:c r="J52" s="31" t="n">
        <x:v>229.1260272</x:v>
      </x:c>
      <x:c r="K52" s="31" t="n">
        <x:v>2.4138473049</x:v>
      </x:c>
      <x:c r="L52" s="31" t="n">
        <x:v>0</x:v>
      </x:c>
      <x:c r="M52" s="31" t="n">
        <x:v>231.5398745049</x:v>
      </x:c>
      <x:c r="N52" s="24" t="str">
        <x:v>sphoeroides marmoratus</x:v>
      </x:c>
      <x:c r="O52" s="32" t="n">
        <x:v>3.4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Sphoeroides marmoratus</x:v>
      </x:c>
      <x:c r="T52" s="32" t="n">
        <x:f>IF(O52="","",(1/'Metadata'!$B$5)^(O52-1))</x:f>
        <x:v>251.18864315095797</x:v>
      </x:c>
      <x:c r="U52" s="31" t="n">
        <x:f>IF(T52="","",I52*T52)</x:f>
        <x:v>58160.18691222892</x:v>
      </x:c>
    </x:row>
    <x:row r="53" ht="18" customHeight="1">
      <x:c r="A53" s="24" t="str">
        <x:v>EEZ_723</x:v>
      </x:c>
      <x:c r="B53" s="24" t="str">
        <x:v>Canary Isl. (Spain)</x:v>
      </x:c>
      <x:c r="C53" s="24" t="str">
        <x:v>EEZ</x:v>
      </x:c>
      <x:c r="D53" s="30" t="n">
        <x:v>2019</x:v>
      </x:c>
      <x:c r="E53" s="24" t="str">
        <x:v>Belone belone</x:v>
      </x:c>
      <x:c r="F53" s="24" t="str">
        <x:v>Garfish</x:v>
      </x:c>
      <x:c r="G53" s="24" t="str">
        <x:v>Medium pelagics (30 - 89 cm)</x:v>
      </x:c>
      <x:c r="H53" s="24" t="str">
        <x:v>Other fishes &amp; inverts</x:v>
      </x:c>
      <x:c r="I53" s="31" t="n">
        <x:v>229.36157719980002</x:v>
      </x:c>
      <x:c r="J53" s="31" t="n">
        <x:v>229.36157719980002</x:v>
      </x:c>
      <x:c r="K53" s="31" t="n">
        <x:v>0</x:v>
      </x:c>
      <x:c r="L53" s="31" t="n">
        <x:v>0.2355499998</x:v>
      </x:c>
      <x:c r="M53" s="31" t="n">
        <x:v>229.1260272</x:v>
      </x:c>
      <x:c r="N53" s="24" t="str">
        <x:v>belone belone</x:v>
      </x:c>
      <x:c r="O53" s="32" t="n">
        <x:v>4.16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Belone belone</x:v>
      </x:c>
      <x:c r="T53" s="32" t="n">
        <x:f>IF(O53="","",(1/'Metadata'!$B$5)^(O53-1))</x:f>
        <x:v>1445.439770745928</x:v>
      </x:c>
      <x:c r="U53" s="31" t="n">
        <x:f>IF(T53="","",I53*T53)</x:f>
        <x:v>331528.3455656034</x:v>
      </x:c>
    </x:row>
    <x:row r="54" ht="18" customHeight="1">
      <x:c r="A54" s="24" t="str">
        <x:v>EEZ_723</x:v>
      </x:c>
      <x:c r="B54" s="24" t="str">
        <x:v>Canary Isl. (Spain)</x:v>
      </x:c>
      <x:c r="C54" s="24" t="str">
        <x:v>EEZ</x:v>
      </x:c>
      <x:c r="D54" s="30" t="n">
        <x:v>2019</x:v>
      </x:c>
      <x:c r="E54" s="24" t="str">
        <x:v>Mullus surmuletus</x:v>
      </x:c>
      <x:c r="F54" s="24" t="str">
        <x:v>Surmullet</x:v>
      </x:c>
      <x:c r="G54" s="24" t="str">
        <x:v>Medium demersals (30 - 89 cm)</x:v>
      </x:c>
      <x:c r="H54" s="24" t="str">
        <x:v>Perch-likes</x:v>
      </x:c>
      <x:c r="I54" s="31" t="n">
        <x:v>138.2984655631</x:v>
      </x:c>
      <x:c r="J54" s="31" t="n">
        <x:v>138.2984655631</x:v>
      </x:c>
      <x:c r="K54" s="31" t="n">
        <x:v>0</x:v>
      </x:c>
      <x:c r="L54" s="31" t="n">
        <x:v>21.438660000000002</x:v>
      </x:c>
      <x:c r="M54" s="31" t="n">
        <x:v>116.85980556310001</x:v>
      </x:c>
      <x:c r="N54" s="24" t="str">
        <x:v>mullus surmuletus</x:v>
      </x:c>
      <x:c r="O54" s="32" t="n">
        <x:v>3.45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Mullus surmuletus</x:v>
      </x:c>
      <x:c r="T54" s="32" t="n">
        <x:f>IF(O54="","",(1/'Metadata'!$B$5)^(O54-1))</x:f>
        <x:v>281.8382931264455</x:v>
      </x:c>
      <x:c r="U54" s="31" t="n">
        <x:f>IF(T54="","",I54*T54)</x:f>
        <x:v>38977.803476310604</x:v>
      </x:c>
    </x:row>
    <x:row r="55" ht="18" customHeight="1">
      <x:c r="A55" s="24" t="str">
        <x:v>EEZ_723</x:v>
      </x:c>
      <x:c r="B55" s="24" t="str">
        <x:v>Canary Isl. (Spain)</x:v>
      </x:c>
      <x:c r="C55" s="24" t="str">
        <x:v>EEZ</x:v>
      </x:c>
      <x:c r="D55" s="30" t="n">
        <x:v>2019</x:v>
      </x:c>
      <x:c r="E55" s="24" t="str">
        <x:v>Engraulis encrasicolus</x:v>
      </x:c>
      <x:c r="F55" s="24" t="str">
        <x:v>European anchovy</x:v>
      </x:c>
      <x:c r="G55" s="24" t="str">
        <x:v>Small pelagics (&lt;30 cm)</x:v>
      </x:c>
      <x:c r="H55" s="24" t="str">
        <x:v>Anchovies</x:v>
      </x:c>
      <x:c r="I55" s="31" t="n">
        <x:v>124.54966258370001</x:v>
      </x:c>
      <x:c r="J55" s="31" t="n">
        <x:v>124.54966258370001</x:v>
      </x:c>
      <x:c r="K55" s="31" t="n">
        <x:v>0</x:v>
      </x:c>
      <x:c r="L55" s="31" t="n">
        <x:v>13.03645</x:v>
      </x:c>
      <x:c r="M55" s="31" t="n">
        <x:v>111.51321258370001</x:v>
      </x:c>
      <x:c r="N55" s="24" t="str">
        <x:v>engraulis encrasicolus</x:v>
      </x:c>
      <x:c r="O55" s="32" t="n">
        <x:v>3.11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Engraulis encrasicolus</x:v>
      </x:c>
      <x:c r="T55" s="32" t="n">
        <x:f>IF(O55="","",(1/'Metadata'!$B$5)^(O55-1))</x:f>
        <x:v>128.82495516931337</x:v>
      </x:c>
      <x:c r="U55" s="31" t="n">
        <x:f>IF(T55="","",I55*T55)</x:f>
        <x:v>16045.10469869826</x:v>
      </x:c>
    </x:row>
    <x:row r="56" ht="18" customHeight="1">
      <x:c r="A56" s="24" t="str">
        <x:v>EEZ_723</x:v>
      </x:c>
      <x:c r="B56" s="24" t="str">
        <x:v>Canary Isl. (Spain)</x:v>
      </x:c>
      <x:c r="C56" s="24" t="str">
        <x:v>EEZ</x:v>
      </x:c>
      <x:c r="D56" s="30" t="n">
        <x:v>2019</x:v>
      </x:c>
      <x:c r="E56" s="24" t="str">
        <x:v>Conger conger</x:v>
      </x:c>
      <x:c r="F56" s="24" t="str">
        <x:v>European conger</x:v>
      </x:c>
      <x:c r="G56" s="24" t="str">
        <x:v>Large demersals (&gt;=90 cm)</x:v>
      </x:c>
      <x:c r="H56" s="24" t="str">
        <x:v>Other fishes &amp; inverts</x:v>
      </x:c>
      <x:c r="I56" s="31" t="n">
        <x:v>120.68633680990001</x:v>
      </x:c>
      <x:c r="J56" s="31" t="n">
        <x:v>120.68633680990001</x:v>
      </x:c>
      <x:c r="K56" s="31" t="n">
        <x:v>0</x:v>
      </x:c>
      <x:c r="L56" s="31" t="n">
        <x:v>63.4048299999</x:v>
      </x:c>
      <x:c r="M56" s="31" t="n">
        <x:v>57.28150681</x:v>
      </x:c>
      <x:c r="N56" s="24" t="str">
        <x:v>conger conger</x:v>
      </x:c>
      <x:c r="O56" s="32" t="n">
        <x:v>4.31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Conger conger</x:v>
      </x:c>
      <x:c r="T56" s="32" t="n">
        <x:f>IF(O56="","",(1/'Metadata'!$B$5)^(O56-1))</x:f>
        <x:v>2041.7379446695275</x:v>
      </x:c>
      <x:c r="U56" s="31" t="n">
        <x:f>IF(T56="","",I56*T56)</x:f>
        <x:v>246409.87326793958</x:v>
      </x:c>
    </x:row>
    <x:row r="57" ht="18" customHeight="1">
      <x:c r="A57" s="24" t="str">
        <x:v>EEZ_723</x:v>
      </x:c>
      <x:c r="B57" s="24" t="str">
        <x:v>Canary Isl. (Spain)</x:v>
      </x:c>
      <x:c r="C57" s="24" t="str">
        <x:v>EEZ</x:v>
      </x:c>
      <x:c r="D57" s="30" t="n">
        <x:v>2019</x:v>
      </x:c>
      <x:c r="E57" s="24" t="str">
        <x:v>Mora moro</x:v>
      </x:c>
      <x:c r="F57" s="24" t="str">
        <x:v>Common mora</x:v>
      </x:c>
      <x:c r="G57" s="24" t="str">
        <x:v>Medium bathypelagics (30 - 89 cm)</x:v>
      </x:c>
      <x:c r="H57" s="24" t="str">
        <x:v>Cod-likes</x:v>
      </x:c>
      <x:c r="I57" s="31" t="n">
        <x:v>118.7930436</x:v>
      </x:c>
      <x:c r="J57" s="31" t="n">
        <x:v>118.7930436</x:v>
      </x:c>
      <x:c r="K57" s="31" t="n">
        <x:v>0</x:v>
      </x:c>
      <x:c r="L57" s="31" t="n">
        <x:v>4.23003</x:v>
      </x:c>
      <x:c r="M57" s="31" t="n">
        <x:v>114.5630136</x:v>
      </x:c>
      <x:c r="N57" s="24" t="str">
        <x:v>mora moro</x:v>
      </x:c>
      <x:c r="O57" s="32" t="n">
        <x:v>3.75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Mora moro</x:v>
      </x:c>
      <x:c r="T57" s="32" t="n">
        <x:f>IF(O57="","",(1/'Metadata'!$B$5)^(O57-1))</x:f>
        <x:v>562.341325190349</x:v>
      </x:c>
      <x:c r="U57" s="31" t="n">
        <x:f>IF(T57="","",I57*T57)</x:f>
        <x:v>66802.23756141891</x:v>
      </x:c>
    </x:row>
    <x:row r="58" ht="18" customHeight="1">
      <x:c r="A58" s="24" t="str">
        <x:v>EEZ_723</x:v>
      </x:c>
      <x:c r="B58" s="24" t="str">
        <x:v>Canary Isl. (Spain)</x:v>
      </x:c>
      <x:c r="C58" s="24" t="str">
        <x:v>EEZ</x:v>
      </x:c>
      <x:c r="D58" s="30" t="n">
        <x:v>2019</x:v>
      </x:c>
      <x:c r="E58" s="24" t="str">
        <x:v>Prionace glauca</x:v>
      </x:c>
      <x:c r="F58" s="24" t="str">
        <x:v>Blue shark</x:v>
      </x:c>
      <x:c r="G58" s="24" t="str">
        <x:v>Large sharks (&gt;=90 cm)</x:v>
      </x:c>
      <x:c r="H58" s="24" t="str">
        <x:v>Sharks &amp; rays</x:v>
      </x:c>
      <x:c r="I58" s="31" t="n">
        <x:v>114.36881982519999</x:v>
      </x:c>
      <x:c r="J58" s="31" t="n">
        <x:v>114.36881982519999</x:v>
      </x:c>
      <x:c r="K58" s="31" t="n">
        <x:v>0</x:v>
      </x:c>
      <x:c r="L58" s="31" t="n">
        <x:v>114.36881982519999</x:v>
      </x:c>
      <x:c r="M58" s="31" t="n">
        <x:v>0</x:v>
      </x:c>
      <x:c r="N58" s="24" t="str">
        <x:v>prionace glauca</x:v>
      </x:c>
      <x:c r="O58" s="32" t="n">
        <x:v>4.35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Prionace glauca</x:v>
      </x:c>
      <x:c r="T58" s="32" t="n">
        <x:f>IF(O58="","",(1/'Metadata'!$B$5)^(O58-1))</x:f>
        <x:v>2238.7211385683377</x:v>
      </x:c>
      <x:c r="U58" s="31" t="n">
        <x:f>IF(T58="","",I58*T58)</x:f>
        <x:v>256039.8945357888</x:v>
      </x:c>
    </x:row>
    <x:row r="59" ht="18" customHeight="1">
      <x:c r="A59" s="24" t="str">
        <x:v>EEZ_723</x:v>
      </x:c>
      <x:c r="B59" s="24" t="str">
        <x:v>Canary Isl. (Spain)</x:v>
      </x:c>
      <x:c r="C59" s="24" t="str">
        <x:v>EEZ</x:v>
      </x:c>
      <x:c r="D59" s="30" t="n">
        <x:v>2019</x:v>
      </x:c>
      <x:c r="E59" s="24" t="str">
        <x:v>Sardinella</x:v>
      </x:c>
      <x:c r="F59" s="24" t="str">
        <x:v>Sardinellas</x:v>
      </x:c>
      <x:c r="G59" s="24" t="str">
        <x:v>Small pelagics (&lt;30 cm)</x:v>
      </x:c>
      <x:c r="H59" s="24" t="str">
        <x:v>Herring-likes</x:v>
      </x:c>
      <x:c r="I59" s="31" t="n">
        <x:v>112.2138866219</x:v>
      </x:c>
      <x:c r="J59" s="31" t="n">
        <x:v>112.2138866219</x:v>
      </x:c>
      <x:c r="K59" s="31" t="n">
        <x:v>0</x:v>
      </x:c>
      <x:c r="L59" s="31" t="n">
        <x:v>0</x:v>
      </x:c>
      <x:c r="M59" s="31" t="n">
        <x:v>112.2138866219</x:v>
      </x:c>
      <x:c r="N59" s="24" t="str">
        <x:v>sardinella</x:v>
      </x:c>
      <x:c r="O59" s="32" t="n">
        <x:v>2.77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Sardinella</x:v>
      </x:c>
      <x:c r="T59" s="32" t="n">
        <x:f>IF(O59="","",(1/'Metadata'!$B$5)^(O59-1))</x:f>
        <x:v>58.8843655355589</x:v>
      </x:c>
      <x:c r="U59" s="31" t="n">
        <x:f>IF(T59="","",I59*T59)</x:f>
        <x:v>6607.643518009722</x:v>
      </x:c>
    </x:row>
    <x:row r="60" ht="18" customHeight="1">
      <x:c r="A60" s="24" t="str">
        <x:v>EEZ_723</x:v>
      </x:c>
      <x:c r="B60" s="24" t="str">
        <x:v>Canary Isl. (Spain)</x:v>
      </x:c>
      <x:c r="C60" s="24" t="str">
        <x:v>EEZ</x:v>
      </x:c>
      <x:c r="D60" s="30" t="n">
        <x:v>2019</x:v>
      </x:c>
      <x:c r="E60" s="24" t="str">
        <x:v>Macroramphosus scolopax</x:v>
      </x:c>
      <x:c r="F60" s="24" t="str">
        <x:v>Longspine snipefish</x:v>
      </x:c>
      <x:c r="G60" s="24" t="str">
        <x:v>Small demersals (&lt;30 cm)</x:v>
      </x:c>
      <x:c r="H60" s="24" t="str">
        <x:v>Other fishes &amp; inverts</x:v>
      </x:c>
      <x:c r="I60" s="31" t="n">
        <x:v>112.2138866219</x:v>
      </x:c>
      <x:c r="J60" s="31" t="n">
        <x:v>112.2138866219</x:v>
      </x:c>
      <x:c r="K60" s="31" t="n">
        <x:v>0</x:v>
      </x:c>
      <x:c r="L60" s="31" t="n">
        <x:v>0</x:v>
      </x:c>
      <x:c r="M60" s="31" t="n">
        <x:v>112.2138866219</x:v>
      </x:c>
      <x:c r="N60" s="24" t="str">
        <x:v>macroramphosus scolopax</x:v>
      </x:c>
      <x:c r="O60" s="32" t="n">
        <x:v>3.47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Macroramphosus scolopax</x:v>
      </x:c>
      <x:c r="T60" s="32" t="n">
        <x:f>IF(O60="","",(1/'Metadata'!$B$5)^(O60-1))</x:f>
        <x:v>295.1209226666387</x:v>
      </x:c>
      <x:c r="U60" s="31" t="n">
        <x:f>IF(T60="","",I60*T60)</x:f>
        <x:v>33116.66575586471</x:v>
      </x:c>
    </x:row>
    <x:row r="61" ht="18" customHeight="1">
      <x:c r="A61" s="24" t="str">
        <x:v>EEZ_723</x:v>
      </x:c>
      <x:c r="B61" s="24" t="str">
        <x:v>Canary Isl. (Spain)</x:v>
      </x:c>
      <x:c r="C61" s="24" t="str">
        <x:v>EEZ</x:v>
      </x:c>
      <x:c r="D61" s="30" t="n">
        <x:v>2019</x:v>
      </x:c>
      <x:c r="E61" s="24" t="str">
        <x:v>Trachurus</x:v>
      </x:c>
      <x:c r="F61" s="24" t="str">
        <x:v>Jacks, horse mackerels</x:v>
      </x:c>
      <x:c r="G61" s="24" t="str">
        <x:v>Medium pelagics (30 - 89 cm)</x:v>
      </x:c>
      <x:c r="H61" s="24" t="str">
        <x:v>Perch-likes</x:v>
      </x:c>
      <x:c r="I61" s="31" t="n">
        <x:v>112.2138866217</x:v>
      </x:c>
      <x:c r="J61" s="31" t="n">
        <x:v>112.2138866217</x:v>
      </x:c>
      <x:c r="K61" s="31" t="n">
        <x:v>0</x:v>
      </x:c>
      <x:c r="L61" s="31" t="n">
        <x:v>0</x:v>
      </x:c>
      <x:c r="M61" s="31" t="n">
        <x:v>112.2138866217</x:v>
      </x:c>
      <x:c r="N61" s="24" t="str">
        <x:v>trachurus</x:v>
      </x:c>
      <x:c r="O61" s="32" t="n">
        <x:v>3.69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Trachurus</x:v>
      </x:c>
      <x:c r="T61" s="32" t="n">
        <x:f>IF(O61="","",(1/'Metadata'!$B$5)^(O61-1))</x:f>
        <x:v>489.77881936844614</x:v>
      </x:c>
      <x:c r="U61" s="31" t="n">
        <x:f>IF(T61="","",I61*T61)</x:f>
        <x:v>54959.9849063209</x:v>
      </x:c>
    </x:row>
    <x:row r="62" ht="18" customHeight="1">
      <x:c r="A62" s="24" t="str">
        <x:v>EEZ_723</x:v>
      </x:c>
      <x:c r="B62" s="24" t="str">
        <x:v>Canary Isl. (Spain)</x:v>
      </x:c>
      <x:c r="C62" s="24" t="str">
        <x:v>EEZ</x:v>
      </x:c>
      <x:c r="D62" s="30" t="n">
        <x:v>2019</x:v>
      </x:c>
      <x:c r="E62" s="24" t="str">
        <x:v>Engraulidae</x:v>
      </x:c>
      <x:c r="F62" s="24" t="str">
        <x:v>Anchovies, round herrings</x:v>
      </x:c>
      <x:c r="G62" s="24" t="str">
        <x:v>Small pelagics (&lt;30 cm)</x:v>
      </x:c>
      <x:c r="H62" s="24" t="str">
        <x:v>Anchovies</x:v>
      </x:c>
      <x:c r="I62" s="31" t="n">
        <x:v>112.2138866216</x:v>
      </x:c>
      <x:c r="J62" s="31" t="n">
        <x:v>112.2138866216</x:v>
      </x:c>
      <x:c r="K62" s="31" t="n">
        <x:v>0</x:v>
      </x:c>
      <x:c r="L62" s="31" t="n">
        <x:v>0</x:v>
      </x:c>
      <x:c r="M62" s="31" t="n">
        <x:v>112.2138866216</x:v>
      </x:c>
      <x:c r="N62" s="24" t="str">
        <x:v>engraulidae</x:v>
      </x:c>
      <x:c r="O62" s="32" t="n">
        <x:v>3.2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Engraulidae</x:v>
      </x:c>
      <x:c r="T62" s="32" t="n">
        <x:f>IF(O62="","",(1/'Metadata'!$B$5)^(O62-1))</x:f>
        <x:v>158.48931924611142</x:v>
      </x:c>
      <x:c r="U62" s="31" t="n">
        <x:f>IF(T62="","",I62*T62)</x:f>
        <x:v>17784.702500617714</x:v>
      </x:c>
    </x:row>
    <x:row r="63" ht="18" customHeight="1">
      <x:c r="A63" s="24" t="str">
        <x:v>EEZ_723</x:v>
      </x:c>
      <x:c r="B63" s="24" t="str">
        <x:v>Canary Isl. (Spain)</x:v>
      </x:c>
      <x:c r="C63" s="24" t="str">
        <x:v>EEZ</x:v>
      </x:c>
      <x:c r="D63" s="30" t="n">
        <x:v>2019</x:v>
      </x:c>
      <x:c r="E63" s="24" t="str">
        <x:v>Pseudocaranx dentex</x:v>
      </x:c>
      <x:c r="F63" s="24" t="str">
        <x:v>White trevally</x:v>
      </x:c>
      <x:c r="G63" s="24" t="str">
        <x:v>Large reef assoc. fish (&gt;=90 cm)</x:v>
      </x:c>
      <x:c r="H63" s="24" t="str">
        <x:v>Perch-likes</x:v>
      </x:c>
      <x:c r="I63" s="31" t="n">
        <x:v>101.1359768259</x:v>
      </x:c>
      <x:c r="J63" s="31" t="n">
        <x:v>101.1359768259</x:v>
      </x:c>
      <x:c r="K63" s="31" t="n">
        <x:v>0</x:v>
      </x:c>
      <x:c r="L63" s="31" t="n">
        <x:v>62.803310000100005</x:v>
      </x:c>
      <x:c r="M63" s="31" t="n">
        <x:v>38.3326668258</x:v>
      </x:c>
      <x:c r="N63" s="24" t="str">
        <x:v>pseudocaranx dentex</x:v>
      </x:c>
      <x:c r="O63" s="32" t="n">
        <x:v>3.92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Pseudocaranx dentex</x:v>
      </x:c>
      <x:c r="T63" s="32" t="n">
        <x:f>IF(O63="","",(1/'Metadata'!$B$5)^(O63-1))</x:f>
        <x:v>831.7637711026708</x:v>
      </x:c>
      <x:c r="U63" s="31" t="n">
        <x:f>IF(T63="","",I63*T63)</x:f>
        <x:v>84121.24147886291</x:v>
      </x:c>
    </x:row>
    <x:row r="64" ht="18" customHeight="1">
      <x:c r="A64" s="24" t="str">
        <x:v>EEZ_723</x:v>
      </x:c>
      <x:c r="B64" s="24" t="str">
        <x:v>Canary Isl. (Spain)</x:v>
      </x:c>
      <x:c r="C64" s="24" t="str">
        <x:v>EEZ</x:v>
      </x:c>
      <x:c r="D64" s="30" t="n">
        <x:v>2019</x:v>
      </x:c>
      <x:c r="E64" s="24" t="str">
        <x:v>Dentex macrophthalmus</x:v>
      </x:c>
      <x:c r="F64" s="24" t="str">
        <x:v>Large-eye dentex</x:v>
      </x:c>
      <x:c r="G64" s="24" t="str">
        <x:v>Medium benthopelagics (30 - 89 cm)</x:v>
      </x:c>
      <x:c r="H64" s="24" t="str">
        <x:v>Perch-likes</x:v>
      </x:c>
      <x:c r="I64" s="31" t="n">
        <x:v>96.39769681000001</x:v>
      </x:c>
      <x:c r="J64" s="31" t="n">
        <x:v>96.39769681000001</x:v>
      </x:c>
      <x:c r="K64" s="31" t="n">
        <x:v>0</x:v>
      </x:c>
      <x:c r="L64" s="31" t="n">
        <x:v>39.11619</x:v>
      </x:c>
      <x:c r="M64" s="31" t="n">
        <x:v>57.28150681</x:v>
      </x:c>
      <x:c r="N64" s="24" t="str">
        <x:v>dentex macrophthalmus</x:v>
      </x:c>
      <x:c r="O64" s="32" t="n">
        <x:v>3.52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Dentex macrophthalmus</x:v>
      </x:c>
      <x:c r="T64" s="32" t="n">
        <x:f>IF(O64="","",(1/'Metadata'!$B$5)^(O64-1))</x:f>
        <x:v>331.1311214825911</x:v>
      </x:c>
      <x:c r="U64" s="31" t="n">
        <x:f>IF(T64="","",I64*T64)</x:f>
        <x:v>31920.277453034098</x:v>
      </x:c>
    </x:row>
    <x:row r="65" ht="18" customHeight="1">
      <x:c r="A65" s="24" t="str">
        <x:v>EEZ_723</x:v>
      </x:c>
      <x:c r="B65" s="24" t="str">
        <x:v>Canary Isl. (Spain)</x:v>
      </x:c>
      <x:c r="C65" s="24" t="str">
        <x:v>EEZ</x:v>
      </x:c>
      <x:c r="D65" s="30" t="n">
        <x:v>2019</x:v>
      </x:c>
      <x:c r="E65" s="24" t="str">
        <x:v>Epinephelus marginatus</x:v>
      </x:c>
      <x:c r="F65" s="24" t="str">
        <x:v>Dusky grouper</x:v>
      </x:c>
      <x:c r="G65" s="24" t="str">
        <x:v>Large reef assoc. fish (&gt;=90 cm)</x:v>
      </x:c>
      <x:c r="H65" s="24" t="str">
        <x:v>Perch-likes</x:v>
      </x:c>
      <x:c r="I65" s="31" t="n">
        <x:v>87.68997681</x:v>
      </x:c>
      <x:c r="J65" s="31" t="n">
        <x:v>87.68997681</x:v>
      </x:c>
      <x:c r="K65" s="31" t="n">
        <x:v>0</x:v>
      </x:c>
      <x:c r="L65" s="31" t="n">
        <x:v>30.408469999999998</x:v>
      </x:c>
      <x:c r="M65" s="31" t="n">
        <x:v>57.28150681</x:v>
      </x:c>
      <x:c r="N65" s="24" t="str">
        <x:v>epinephelus marginatus</x:v>
      </x:c>
      <x:c r="O65" s="32" t="n">
        <x:v>4.43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Epinephelus marginatus</x:v>
      </x:c>
      <x:c r="T65" s="32" t="n">
        <x:f>IF(O65="","",(1/'Metadata'!$B$5)^(O65-1))</x:f>
        <x:v>2691.534803926914</x:v>
      </x:c>
      <x:c r="U65" s="31" t="n">
        <x:f>IF(T65="","",I65*T65)</x:f>
        <x:v>236020.62453965898</x:v>
      </x:c>
    </x:row>
    <x:row r="66" ht="18" customHeight="1">
      <x:c r="A66" s="24" t="str">
        <x:v>EEZ_723</x:v>
      </x:c>
      <x:c r="B66" s="24" t="str">
        <x:v>Canary Isl. (Spain)</x:v>
      </x:c>
      <x:c r="C66" s="24" t="str">
        <x:v>EEZ</x:v>
      </x:c>
      <x:c r="D66" s="30" t="n">
        <x:v>2019</x:v>
      </x:c>
      <x:c r="E66" s="24" t="str">
        <x:v>Octopus vulgaris</x:v>
      </x:c>
      <x:c r="F66" s="24" t="str">
        <x:v>Common octopus</x:v>
      </x:c>
      <x:c r="G66" s="24" t="str">
        <x:v>Cephalopods</x:v>
      </x:c>
      <x:c r="H66" s="24" t="str">
        <x:v>Other fishes &amp; inverts</x:v>
      </x:c>
      <x:c r="I66" s="31" t="n">
        <x:v>82.98163700020001</x:v>
      </x:c>
      <x:c r="J66" s="31" t="n">
        <x:v>82.98163700020001</x:v>
      </x:c>
      <x:c r="K66" s="31" t="n">
        <x:v>0</x:v>
      </x:c>
      <x:c r="L66" s="31" t="n">
        <x:v>21.62203</x:v>
      </x:c>
      <x:c r="M66" s="31" t="n">
        <x:v>61.3596070002</x:v>
      </x:c>
      <x:c r="N66" s="24" t="str">
        <x:v>octopus vulgaris</x:v>
      </x:c>
      <x:c r="O66" s="32" t="n">
        <x:v>3.6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Octopus vulgaris</x:v>
      </x:c>
      <x:c r="T66" s="32" t="n">
        <x:f>IF(O66="","",(1/'Metadata'!$B$5)^(O66-1))</x:f>
        <x:v>398.1071705534973</x:v>
      </x:c>
      <x:c r="U66" s="31" t="n">
        <x:f>IF(T66="","",I66*T66)</x:f>
        <x:v>33035.58471404703</x:v>
      </x:c>
    </x:row>
    <x:row r="67" ht="18" customHeight="1">
      <x:c r="A67" s="24" t="str">
        <x:v>EEZ_723</x:v>
      </x:c>
      <x:c r="B67" s="24" t="str">
        <x:v>Canary Isl. (Spain)</x:v>
      </x:c>
      <x:c r="C67" s="24" t="str">
        <x:v>EEZ</x:v>
      </x:c>
      <x:c r="D67" s="30" t="n">
        <x:v>2019</x:v>
      </x:c>
      <x:c r="E67" s="24" t="str">
        <x:v>Pagrus auriga</x:v>
      </x:c>
      <x:c r="F67" s="24" t="str">
        <x:v>Redbanded seabream</x:v>
      </x:c>
      <x:c r="G67" s="24" t="str">
        <x:v>Medium benthopelagics (30 - 89 cm)</x:v>
      </x:c>
      <x:c r="H67" s="24" t="str">
        <x:v>Perch-likes</x:v>
      </x:c>
      <x:c r="I67" s="31" t="n">
        <x:v>78.4487968101</x:v>
      </x:c>
      <x:c r="J67" s="31" t="n">
        <x:v>78.4487968101</x:v>
      </x:c>
      <x:c r="K67" s="31" t="n">
        <x:v>0</x:v>
      </x:c>
      <x:c r="L67" s="31" t="n">
        <x:v>21.1672900001</x:v>
      </x:c>
      <x:c r="M67" s="31" t="n">
        <x:v>57.28150681</x:v>
      </x:c>
      <x:c r="N67" s="24" t="str">
        <x:v>pagrus auriga</x:v>
      </x:c>
      <x:c r="O67" s="32" t="n">
        <x:v>3.84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Pagrus auriga</x:v>
      </x:c>
      <x:c r="T67" s="32" t="n">
        <x:f>IF(O67="","",(1/'Metadata'!$B$5)^(O67-1))</x:f>
        <x:v>691.8309709189363</x:v>
      </x:c>
      <x:c r="U67" s="31" t="n">
        <x:f>IF(T67="","",I67*T67)</x:f>
        <x:v>54273.307264553834</x:v>
      </x:c>
    </x:row>
    <x:row r="68" ht="18" customHeight="1">
      <x:c r="A68" s="24" t="str">
        <x:v>EEZ_723</x:v>
      </x:c>
      <x:c r="B68" s="24" t="str">
        <x:v>Canary Isl. (Spain)</x:v>
      </x:c>
      <x:c r="C68" s="24" t="str">
        <x:v>EEZ</x:v>
      </x:c>
      <x:c r="D68" s="30" t="n">
        <x:v>2019</x:v>
      </x:c>
      <x:c r="E68" s="24" t="str">
        <x:v>Beryx decadactylus</x:v>
      </x:c>
      <x:c r="F68" s="24" t="str">
        <x:v>Alfonsino</x:v>
      </x:c>
      <x:c r="G68" s="24" t="str">
        <x:v>Medium bathydemersals (30 - 89 cm)</x:v>
      </x:c>
      <x:c r="H68" s="24" t="str">
        <x:v>Other fishes &amp; inverts</x:v>
      </x:c>
      <x:c r="I68" s="31" t="n">
        <x:v>75.50352681000001</x:v>
      </x:c>
      <x:c r="J68" s="31" t="n">
        <x:v>75.50352681000001</x:v>
      </x:c>
      <x:c r="K68" s="31" t="n">
        <x:v>0</x:v>
      </x:c>
      <x:c r="L68" s="31" t="n">
        <x:v>18.22202</x:v>
      </x:c>
      <x:c r="M68" s="31" t="n">
        <x:v>57.28150681</x:v>
      </x:c>
      <x:c r="N68" s="24" t="str">
        <x:v>beryx decadactylus</x:v>
      </x:c>
      <x:c r="O68" s="32" t="n">
        <x:v>4.13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Beryx decadactylus</x:v>
      </x:c>
      <x:c r="T68" s="32" t="n">
        <x:f>IF(O68="","",(1/'Metadata'!$B$5)^(O68-1))</x:f>
        <x:v>1348.9628825916532</x:v>
      </x:c>
      <x:c r="U68" s="31" t="n">
        <x:f>IF(T68="","",I68*T68)</x:f>
        <x:v>101851.45517145378</x:v>
      </x:c>
    </x:row>
    <x:row r="69" ht="18" customHeight="1">
      <x:c r="A69" s="24" t="str">
        <x:v>EEZ_723</x:v>
      </x:c>
      <x:c r="B69" s="24" t="str">
        <x:v>Canary Isl. (Spain)</x:v>
      </x:c>
      <x:c r="C69" s="24" t="str">
        <x:v>EEZ</x:v>
      </x:c>
      <x:c r="D69" s="30" t="n">
        <x:v>2019</x:v>
      </x:c>
      <x:c r="E69" s="24" t="str">
        <x:v>Schedophilus ovalis</x:v>
      </x:c>
      <x:c r="F69" s="24" t="str">
        <x:v>Imperial blackfish</x:v>
      </x:c>
      <x:c r="G69" s="24" t="str">
        <x:v>Medium demersals (30 - 89 cm)</x:v>
      </x:c>
      <x:c r="H69" s="24" t="str">
        <x:v>Perch-likes</x:v>
      </x:c>
      <x:c r="I69" s="31" t="n">
        <x:v>61.5750868104</x:v>
      </x:c>
      <x:c r="J69" s="31" t="n">
        <x:v>61.5750868104</x:v>
      </x:c>
      <x:c r="K69" s="31" t="n">
        <x:v>0</x:v>
      </x:c>
      <x:c r="L69" s="31" t="n">
        <x:v>4.2935800003999995</x:v>
      </x:c>
      <x:c r="M69" s="31" t="n">
        <x:v>57.28150681</x:v>
      </x:c>
      <x:c r="N69" s="24" t="str">
        <x:v>schedophilus ovalis</x:v>
      </x:c>
      <x:c r="O69" s="32" t="n">
        <x:v>3.54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Schedophilus ovalis</x:v>
      </x:c>
      <x:c r="T69" s="32" t="n">
        <x:f>IF(O69="","",(1/'Metadata'!$B$5)^(O69-1))</x:f>
        <x:v>346.73685045253166</x:v>
      </x:c>
      <x:c r="U69" s="31" t="n">
        <x:f>IF(T69="","",I69*T69)</x:f>
        <x:v>21350.35166697932</x:v>
      </x:c>
    </x:row>
    <x:row r="70" ht="18" customHeight="1">
      <x:c r="A70" s="24" t="str">
        <x:v>EEZ_723</x:v>
      </x:c>
      <x:c r="B70" s="24" t="str">
        <x:v>Canary Isl. (Spain)</x:v>
      </x:c>
      <x:c r="C70" s="24" t="str">
        <x:v>EEZ</x:v>
      </x:c>
      <x:c r="D70" s="30" t="n">
        <x:v>2019</x:v>
      </x:c>
      <x:c r="E70" s="24" t="str">
        <x:v>Promethichthys prometheus</x:v>
      </x:c>
      <x:c r="F70" s="24" t="str">
        <x:v>Roudi escolar</x:v>
      </x:c>
      <x:c r="G70" s="24" t="str">
        <x:v>Large benthopelagics (&gt;=90 cm)</x:v>
      </x:c>
      <x:c r="H70" s="24" t="str">
        <x:v>Perch-likes</x:v>
      </x:c>
      <x:c r="I70" s="31" t="n">
        <x:v>61.0678568099</x:v>
      </x:c>
      <x:c r="J70" s="31" t="n">
        <x:v>61.0678568099</x:v>
      </x:c>
      <x:c r="K70" s="31" t="n">
        <x:v>0</x:v>
      </x:c>
      <x:c r="L70" s="31" t="n">
        <x:v>3.7863499999</x:v>
      </x:c>
      <x:c r="M70" s="31" t="n">
        <x:v>57.28150681</x:v>
      </x:c>
      <x:c r="N70" s="24" t="str">
        <x:v>promethichthys prometheus</x:v>
      </x:c>
      <x:c r="O70" s="32" t="n">
        <x:v>4.18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Promethichthys prometheus</x:v>
      </x:c>
      <x:c r="T70" s="32" t="n">
        <x:f>IF(O70="","",(1/'Metadata'!$B$5)^(O70-1))</x:f>
        <x:v>1513.5612484362073</x:v>
      </x:c>
      <x:c r="U70" s="31" t="n">
        <x:f>IF(T70="","",I70*T70)</x:f>
        <x:v>92429.94159251578</x:v>
      </x:c>
    </x:row>
    <x:row r="71" ht="18" customHeight="1">
      <x:c r="A71" s="24" t="str">
        <x:v>EEZ_723</x:v>
      </x:c>
      <x:c r="B71" s="24" t="str">
        <x:v>Canary Isl. (Spain)</x:v>
      </x:c>
      <x:c r="C71" s="24" t="str">
        <x:v>EEZ</x:v>
      </x:c>
      <x:c r="D71" s="30" t="n">
        <x:v>2019</x:v>
      </x:c>
      <x:c r="E71" s="24" t="str">
        <x:v>Heteropriacanthus cruentatus</x:v>
      </x:c>
      <x:c r="F71" s="24" t="str">
        <x:v>Glasseye</x:v>
      </x:c>
      <x:c r="G71" s="24" t="str">
        <x:v>Medium reef assoc. fish (30 - 89 cm)</x:v>
      </x:c>
      <x:c r="H71" s="24" t="str">
        <x:v>Perch-likes</x:v>
      </x:c>
      <x:c r="I71" s="31" t="n">
        <x:v>60.489126810100004</x:v>
      </x:c>
      <x:c r="J71" s="31" t="n">
        <x:v>60.489126810100004</x:v>
      </x:c>
      <x:c r="K71" s="31" t="n">
        <x:v>0</x:v>
      </x:c>
      <x:c r="L71" s="31" t="n">
        <x:v>3.2076200001</x:v>
      </x:c>
      <x:c r="M71" s="31" t="n">
        <x:v>57.28150681</x:v>
      </x:c>
      <x:c r="N71" s="24" t="str">
        <x:v>heteropriacanthus cruentatus</x:v>
      </x:c>
      <x:c r="O71" s="32" t="n">
        <x:v>3.61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Heteropriacanthus cruentatus</x:v>
      </x:c>
      <x:c r="T71" s="32" t="n">
        <x:f>IF(O71="","",(1/'Metadata'!$B$5)^(O71-1))</x:f>
        <x:v>407.3802778041126</x:v>
      </x:c>
      <x:c r="U71" s="31" t="n">
        <x:f>IF(T71="","",I71*T71)</x:f>
        <x:v>24642.077284026735</x:v>
      </x:c>
    </x:row>
    <x:row r="72" ht="18" customHeight="1">
      <x:c r="A72" s="24" t="str">
        <x:v>EEZ_723</x:v>
      </x:c>
      <x:c r="B72" s="24" t="str">
        <x:v>Canary Isl. (Spain)</x:v>
      </x:c>
      <x:c r="C72" s="24" t="str">
        <x:v>EEZ</x:v>
      </x:c>
      <x:c r="D72" s="30" t="n">
        <x:v>2019</x:v>
      </x:c>
      <x:c r="E72" s="24" t="str">
        <x:v>Mustelus mustelus</x:v>
      </x:c>
      <x:c r="F72" s="24" t="str">
        <x:v>Smooth-hound</x:v>
      </x:c>
      <x:c r="G72" s="24" t="str">
        <x:v>Large sharks (&gt;=90 cm)</x:v>
      </x:c>
      <x:c r="H72" s="24" t="str">
        <x:v>Sharks &amp; rays</x:v>
      </x:c>
      <x:c r="I72" s="31" t="n">
        <x:v>59.9286468098</x:v>
      </x:c>
      <x:c r="J72" s="31" t="n">
        <x:v>59.9286468098</x:v>
      </x:c>
      <x:c r="K72" s="31" t="n">
        <x:v>0</x:v>
      </x:c>
      <x:c r="L72" s="31" t="n">
        <x:v>2.6471399998</x:v>
      </x:c>
      <x:c r="M72" s="31" t="n">
        <x:v>57.28150681</x:v>
      </x:c>
      <x:c r="N72" s="24" t="str">
        <x:v>mustelus mustelus</x:v>
      </x:c>
      <x:c r="O72" s="32" t="n">
        <x:v>3.75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Mustelus mustelus</x:v>
      </x:c>
      <x:c r="T72" s="32" t="n">
        <x:f>IF(O72="","",(1/'Metadata'!$B$5)^(O72-1))</x:f>
        <x:v>562.341325190349</x:v>
      </x:c>
      <x:c r="U72" s="31" t="n">
        <x:f>IF(T72="","",I72*T72)</x:f>
        <x:v>33700.354663887316</x:v>
      </x:c>
    </x:row>
    <x:row r="73" ht="18" customHeight="1">
      <x:c r="A73" s="24" t="str">
        <x:v>EEZ_723</x:v>
      </x:c>
      <x:c r="B73" s="24" t="str">
        <x:v>Canary Isl. (Spain)</x:v>
      </x:c>
      <x:c r="C73" s="24" t="str">
        <x:v>EEZ</x:v>
      </x:c>
      <x:c r="D73" s="30" t="n">
        <x:v>2019</x:v>
      </x:c>
      <x:c r="E73" s="24" t="str">
        <x:v>Pontinus kuhlii</x:v>
      </x:c>
      <x:c r="F73" s="24" t="str">
        <x:v>Offshore rockfish</x:v>
      </x:c>
      <x:c r="G73" s="24" t="str">
        <x:v>Medium bathydemersals (30 - 89 cm)</x:v>
      </x:c>
      <x:c r="H73" s="24" t="str">
        <x:v>Scorpionfishes</x:v>
      </x:c>
      <x:c r="I73" s="31" t="n">
        <x:v>59.209276810000006</x:v>
      </x:c>
      <x:c r="J73" s="31" t="n">
        <x:v>59.209276810000006</x:v>
      </x:c>
      <x:c r="K73" s="31" t="n">
        <x:v>0</x:v>
      </x:c>
      <x:c r="L73" s="31" t="n">
        <x:v>1.92777</x:v>
      </x:c>
      <x:c r="M73" s="31" t="n">
        <x:v>57.28150681</x:v>
      </x:c>
      <x:c r="N73" s="24" t="str">
        <x:v>pontinus kuhlii</x:v>
      </x:c>
      <x:c r="O73" s="32" t="n">
        <x:v>4.05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Pontinus kuhlii</x:v>
      </x:c>
      <x:c r="T73" s="32" t="n">
        <x:f>IF(O73="","",(1/'Metadata'!$B$5)^(O73-1))</x:f>
        <x:v>1122.018454301963</x:v>
      </x:c>
      <x:c r="U73" s="31" t="n">
        <x:f>IF(T73="","",I73*T73)</x:f>
        <x:v>66433.90124669326</x:v>
      </x:c>
    </x:row>
    <x:row r="74" ht="18" customHeight="1">
      <x:c r="A74" s="24" t="str">
        <x:v>EEZ_723</x:v>
      </x:c>
      <x:c r="B74" s="24" t="str">
        <x:v>Canary Isl. (Spain)</x:v>
      </x:c>
      <x:c r="C74" s="24" t="str">
        <x:v>EEZ</x:v>
      </x:c>
      <x:c r="D74" s="30" t="n">
        <x:v>2019</x:v>
      </x:c>
      <x:c r="E74" s="24" t="str">
        <x:v>Dentex dentex</x:v>
      </x:c>
      <x:c r="F74" s="24" t="str">
        <x:v>Common dentex</x:v>
      </x:c>
      <x:c r="G74" s="24" t="str">
        <x:v>Large benthopelagics (&gt;=90 cm)</x:v>
      </x:c>
      <x:c r="H74" s="24" t="str">
        <x:v>Perch-likes</x:v>
      </x:c>
      <x:c r="I74" s="31" t="n">
        <x:v>58.87813681</x:v>
      </x:c>
      <x:c r="J74" s="31" t="n">
        <x:v>58.87813681</x:v>
      </x:c>
      <x:c r="K74" s="31" t="n">
        <x:v>0</x:v>
      </x:c>
      <x:c r="L74" s="31" t="n">
        <x:v>1.59663</x:v>
      </x:c>
      <x:c r="M74" s="31" t="n">
        <x:v>57.28150681</x:v>
      </x:c>
      <x:c r="N74" s="24" t="str">
        <x:v>dentex dentex</x:v>
      </x:c>
      <x:c r="O74" s="32" t="n">
        <x:v>4.53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Dentex dentex</x:v>
      </x:c>
      <x:c r="T74" s="32" t="n">
        <x:f>IF(O74="","",(1/'Metadata'!$B$5)^(O74-1))</x:f>
        <x:v>3388.4415613920273</x:v>
      </x:c>
      <x:c r="U74" s="31" t="n">
        <x:f>IF(T74="","",I74*T74)</x:f>
        <x:v>199505.1258243298</x:v>
      </x:c>
    </x:row>
    <x:row r="75" ht="18" customHeight="1">
      <x:c r="A75" s="24" t="str">
        <x:v>EEZ_723</x:v>
      </x:c>
      <x:c r="B75" s="24" t="str">
        <x:v>Canary Isl. (Spain)</x:v>
      </x:c>
      <x:c r="C75" s="24" t="str">
        <x:v>EEZ</x:v>
      </x:c>
      <x:c r="D75" s="30" t="n">
        <x:v>2019</x:v>
      </x:c>
      <x:c r="E75" s="24" t="str">
        <x:v>Ommastrephes bartramii</x:v>
      </x:c>
      <x:c r="F75" s="24" t="str">
        <x:v>Neon flying squid</x:v>
      </x:c>
      <x:c r="G75" s="24" t="str">
        <x:v>Cephalopods</x:v>
      </x:c>
      <x:c r="H75" s="24" t="str">
        <x:v>Other fishes &amp; inverts</x:v>
      </x:c>
      <x:c r="I75" s="31" t="n">
        <x:v>58.310506810300005</x:v>
      </x:c>
      <x:c r="J75" s="31" t="n">
        <x:v>58.310506810300005</x:v>
      </x:c>
      <x:c r="K75" s="31" t="n">
        <x:v>0</x:v>
      </x:c>
      <x:c r="L75" s="31" t="n">
        <x:v>1.0290000003</x:v>
      </x:c>
      <x:c r="M75" s="31" t="n">
        <x:v>57.28150681</x:v>
      </x:c>
      <x:c r="N75" s="24" t="str">
        <x:v>ommastrephes bartramii</x:v>
      </x:c>
      <x:c r="O75" s="32" t="n">
        <x:v>4.37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Ommastrephes bartramii</x:v>
      </x:c>
      <x:c r="T75" s="32" t="n">
        <x:f>IF(O75="","",(1/'Metadata'!$B$5)^(O75-1))</x:f>
        <x:v>2344.228815319923</x:v>
      </x:c>
      <x:c r="U75" s="31" t="n">
        <x:f>IF(T75="","",I75*T75)</x:f>
        <x:v>136693.17030061389</x:v>
      </x:c>
    </x:row>
    <x:row r="76" ht="18" customHeight="1">
      <x:c r="A76" s="24" t="str">
        <x:v>EEZ_723</x:v>
      </x:c>
      <x:c r="B76" s="24" t="str">
        <x:v>Canary Isl. (Spain)</x:v>
      </x:c>
      <x:c r="C76" s="24" t="str">
        <x:v>EEZ</x:v>
      </x:c>
      <x:c r="D76" s="30" t="n">
        <x:v>2019</x:v>
      </x:c>
      <x:c r="E76" s="24" t="str">
        <x:v>Sepia officinalis</x:v>
      </x:c>
      <x:c r="F76" s="24" t="str">
        <x:v>Common cuttlefish</x:v>
      </x:c>
      <x:c r="G76" s="24" t="str">
        <x:v>Cephalopods</x:v>
      </x:c>
      <x:c r="H76" s="24" t="str">
        <x:v>Other fishes &amp; inverts</x:v>
      </x:c>
      <x:c r="I76" s="31" t="n">
        <x:v>58.10639681000001</x:v>
      </x:c>
      <x:c r="J76" s="31" t="n">
        <x:v>58.10639681000001</x:v>
      </x:c>
      <x:c r="K76" s="31" t="n">
        <x:v>0</x:v>
      </x:c>
      <x:c r="L76" s="31" t="n">
        <x:v>0.82489</x:v>
      </x:c>
      <x:c r="M76" s="31" t="n">
        <x:v>57.28150681</x:v>
      </x:c>
      <x:c r="N76" s="24" t="str">
        <x:v>sepia officinalis</x:v>
      </x:c>
      <x:c r="O76" s="32" t="n">
        <x:v>4.27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Sepia officinalis</x:v>
      </x:c>
      <x:c r="T76" s="32" t="n">
        <x:f>IF(O76="","",(1/'Metadata'!$B$5)^(O76-1))</x:f>
        <x:v>1862.0871366628655</x:v>
      </x:c>
      <x:c r="U76" s="31" t="n">
        <x:f>IF(T76="","",I76*T76)</x:f>
        <x:v>108199.17405772918</x:v>
      </x:c>
    </x:row>
    <x:row r="77" ht="18" customHeight="1">
      <x:c r="A77" s="24" t="str">
        <x:v>EEZ_723</x:v>
      </x:c>
      <x:c r="B77" s="24" t="str">
        <x:v>Canary Isl. (Spain)</x:v>
      </x:c>
      <x:c r="C77" s="24" t="str">
        <x:v>EEZ</x:v>
      </x:c>
      <x:c r="D77" s="30" t="n">
        <x:v>2019</x:v>
      </x:c>
      <x:c r="E77" s="24" t="str">
        <x:v>Brama brama</x:v>
      </x:c>
      <x:c r="F77" s="24" t="str">
        <x:v>Atlantic pomfret</x:v>
      </x:c>
      <x:c r="G77" s="24" t="str">
        <x:v>Medium bathypelagics (30 - 89 cm)</x:v>
      </x:c>
      <x:c r="H77" s="24" t="str">
        <x:v>Perch-likes</x:v>
      </x:c>
      <x:c r="I77" s="31" t="n">
        <x:v>57.5532513465</x:v>
      </x:c>
      <x:c r="J77" s="31" t="n">
        <x:v>57.5532513465</x:v>
      </x:c>
      <x:c r="K77" s="31" t="n">
        <x:v>0</x:v>
      </x:c>
      <x:c r="L77" s="31" t="n">
        <x:v>0.2717445365</x:v>
      </x:c>
      <x:c r="M77" s="31" t="n">
        <x:v>57.28150681</x:v>
      </x:c>
      <x:c r="N77" s="24" t="str">
        <x:v>brama brama</x:v>
      </x:c>
      <x:c r="O77" s="32" t="n">
        <x:v>4.08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Brama brama</x:v>
      </x:c>
      <x:c r="T77" s="32" t="n">
        <x:f>IF(O77="","",(1/'Metadata'!$B$5)^(O77-1))</x:f>
        <x:v>1202.2644346174131</x:v>
      </x:c>
      <x:c r="U77" s="31" t="n">
        <x:f>IF(T77="","",I77*T77)</x:f>
        <x:v>69194.2271904937</x:v>
      </x:c>
    </x:row>
    <x:row r="78" ht="18" customHeight="1">
      <x:c r="A78" s="24" t="str">
        <x:v>EEZ_723</x:v>
      </x:c>
      <x:c r="B78" s="24" t="str">
        <x:v>Canary Isl. (Spain)</x:v>
      </x:c>
      <x:c r="C78" s="24" t="str">
        <x:v>EEZ</x:v>
      </x:c>
      <x:c r="D78" s="30" t="n">
        <x:v>2019</x:v>
      </x:c>
      <x:c r="E78" s="24" t="str">
        <x:v>Diplodus annularis</x:v>
      </x:c>
      <x:c r="F78" s="24" t="str">
        <x:v>Annular seabream</x:v>
      </x:c>
      <x:c r="G78" s="24" t="str">
        <x:v>Small benthopelagics (&lt;30 cm)</x:v>
      </x:c>
      <x:c r="H78" s="24" t="str">
        <x:v>Perch-likes</x:v>
      </x:c>
      <x:c r="I78" s="31" t="n">
        <x:v>57.3765068099</x:v>
      </x:c>
      <x:c r="J78" s="31" t="n">
        <x:v>57.3765068099</x:v>
      </x:c>
      <x:c r="K78" s="31" t="n">
        <x:v>0</x:v>
      </x:c>
      <x:c r="L78" s="31" t="n">
        <x:v>0.0949999999</x:v>
      </x:c>
      <x:c r="M78" s="31" t="n">
        <x:v>57.28150681</x:v>
      </x:c>
      <x:c r="N78" s="24" t="str">
        <x:v>diplodus annularis</x:v>
      </x:c>
      <x:c r="O78" s="32" t="n">
        <x:v>3.64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Diplodus annularis</x:v>
      </x:c>
      <x:c r="T78" s="32" t="n">
        <x:f>IF(O78="","",(1/'Metadata'!$B$5)^(O78-1))</x:f>
        <x:v>436.5158322401661</x:v>
      </x:c>
      <x:c r="U78" s="31" t="n">
        <x:f>IF(T78="","",I78*T78)</x:f>
        <x:v>25045.753621157055</x:v>
      </x:c>
    </x:row>
    <x:row r="79" ht="18" customHeight="1">
      <x:c r="A79" s="24" t="str">
        <x:v>EEZ_723</x:v>
      </x:c>
      <x:c r="B79" s="24" t="str">
        <x:v>Canary Isl. (Spain)</x:v>
      </x:c>
      <x:c r="C79" s="24" t="str">
        <x:v>EEZ</x:v>
      </x:c>
      <x:c r="D79" s="30" t="n">
        <x:v>2019</x:v>
      </x:c>
      <x:c r="E79" s="24" t="str">
        <x:v>Dicentrarchus punctatus</x:v>
      </x:c>
      <x:c r="F79" s="24" t="str">
        <x:v>Spotted seabass</x:v>
      </x:c>
      <x:c r="G79" s="24" t="str">
        <x:v>Medium pelagics (30 - 89 cm)</x:v>
      </x:c>
      <x:c r="H79" s="24" t="str">
        <x:v>Perch-likes</x:v>
      </x:c>
      <x:c r="I79" s="31" t="n">
        <x:v>57.32315681</x:v>
      </x:c>
      <x:c r="J79" s="31" t="n">
        <x:v>57.32315681</x:v>
      </x:c>
      <x:c r="K79" s="31" t="n">
        <x:v>0</x:v>
      </x:c>
      <x:c r="L79" s="31" t="n">
        <x:v>0.04165</x:v>
      </x:c>
      <x:c r="M79" s="31" t="n">
        <x:v>57.28150681</x:v>
      </x:c>
      <x:c r="N79" s="24" t="str">
        <x:v>dicentrarchus punctatus</x:v>
      </x:c>
      <x:c r="O79" s="32" t="n">
        <x:v>3.94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Dicentrarchus punctatus</x:v>
      </x:c>
      <x:c r="T79" s="32" t="n">
        <x:f>IF(O79="","",(1/'Metadata'!$B$5)^(O79-1))</x:f>
        <x:v>870.9635899560806</x:v>
      </x:c>
      <x:c r="U79" s="31" t="n">
        <x:f>IF(T79="","",I79*T79)</x:f>
        <x:v>49926.38244285295</x:v>
      </x:c>
    </x:row>
    <x:row r="80" ht="18" customHeight="1">
      <x:c r="A80" s="24" t="str">
        <x:v>EEZ_723</x:v>
      </x:c>
      <x:c r="B80" s="24" t="str">
        <x:v>Canary Isl. (Spain)</x:v>
      </x:c>
      <x:c r="C80" s="24" t="str">
        <x:v>EEZ</x:v>
      </x:c>
      <x:c r="D80" s="30" t="n">
        <x:v>2019</x:v>
      </x:c>
      <x:c r="E80" s="24" t="str">
        <x:v>Labridae</x:v>
      </x:c>
      <x:c r="F80" s="24" t="str">
        <x:v>Wrasses, gropers, tuskfishes</x:v>
      </x:c>
      <x:c r="G80" s="24" t="str">
        <x:v>Medium reef assoc. fish (30 - 89 cm)</x:v>
      </x:c>
      <x:c r="H80" s="24" t="str">
        <x:v>Perch-likes</x:v>
      </x:c>
      <x:c r="I80" s="31" t="n">
        <x:v>57.282746810000006</x:v>
      </x:c>
      <x:c r="J80" s="31" t="n">
        <x:v>57.282746810000006</x:v>
      </x:c>
      <x:c r="K80" s="31" t="n">
        <x:v>0</x:v>
      </x:c>
      <x:c r="L80" s="31" t="n">
        <x:v>0.00124</x:v>
      </x:c>
      <x:c r="M80" s="31" t="n">
        <x:v>57.28150681</x:v>
      </x:c>
      <x:c r="N80" s="24" t="str">
        <x:v>labridae</x:v>
      </x:c>
      <x:c r="O80" s="32" t="n">
        <x:v>3.46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Labridae</x:v>
      </x:c>
      <x:c r="T80" s="32" t="n">
        <x:f>IF(O80="","",(1/'Metadata'!$B$5)^(O80-1))</x:f>
        <x:v>288.40315031266056</x:v>
      </x:c>
      <x:c r="U80" s="31" t="n">
        <x:f>IF(T80="","",I80*T80)</x:f>
        <x:v>16520.52463856651</x:v>
      </x:c>
    </x:row>
    <x:row r="81" ht="18" customHeight="1">
      <x:c r="A81" s="24" t="str">
        <x:v>EEZ_723</x:v>
      </x:c>
      <x:c r="B81" s="24" t="str">
        <x:v>Canary Isl. (Spain)</x:v>
      </x:c>
      <x:c r="C81" s="24" t="str">
        <x:v>EEZ</x:v>
      </x:c>
      <x:c r="D81" s="30" t="n">
        <x:v>2019</x:v>
      </x:c>
      <x:c r="E81" s="24" t="str">
        <x:v>Dasyatis pastinaca</x:v>
      </x:c>
      <x:c r="F81" s="24" t="str">
        <x:v>Common stingray</x:v>
      </x:c>
      <x:c r="G81" s="24" t="str">
        <x:v>Large rays (&gt;=90 cm)</x:v>
      </x:c>
      <x:c r="H81" s="24" t="str">
        <x:v>Sharks &amp; rays</x:v>
      </x:c>
      <x:c r="I81" s="31" t="n">
        <x:v>57.28150681</x:v>
      </x:c>
      <x:c r="J81" s="31" t="n">
        <x:v>57.28150681</x:v>
      </x:c>
      <x:c r="K81" s="31" t="n">
        <x:v>0</x:v>
      </x:c>
      <x:c r="L81" s="31" t="n">
        <x:v>0</x:v>
      </x:c>
      <x:c r="M81" s="31" t="n">
        <x:v>57.28150681</x:v>
      </x:c>
      <x:c r="N81" s="24" t="str">
        <x:v>dasyatis pastinaca</x:v>
      </x:c>
      <x:c r="O81" s="32" t="n">
        <x:v>4.05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Dasyatis pastinaca</x:v>
      </x:c>
      <x:c r="T81" s="32" t="n">
        <x:f>IF(O81="","",(1/'Metadata'!$B$5)^(O81-1))</x:f>
        <x:v>1122.018454301963</x:v>
      </x:c>
      <x:c r="U81" s="31" t="n">
        <x:f>IF(T81="","",I81*T81)</x:f>
        <x:v>64270.90773104357</x:v>
      </x:c>
    </x:row>
    <x:row r="82" ht="18" customHeight="1">
      <x:c r="A82" s="24" t="str">
        <x:v>EEZ_723</x:v>
      </x:c>
      <x:c r="B82" s="24" t="str">
        <x:v>Canary Isl. (Spain)</x:v>
      </x:c>
      <x:c r="C82" s="24" t="str">
        <x:v>EEZ</x:v>
      </x:c>
      <x:c r="D82" s="30" t="n">
        <x:v>2019</x:v>
      </x:c>
      <x:c r="E82" s="24" t="str">
        <x:v>Merluccius</x:v>
      </x:c>
      <x:c r="F82" s="24" t="str">
        <x:v>Hakes</x:v>
      </x:c>
      <x:c r="G82" s="24" t="str">
        <x:v>Medium bathydemersals (30 - 89 cm)</x:v>
      </x:c>
      <x:c r="H82" s="24" t="str">
        <x:v>Cod-likes</x:v>
      </x:c>
      <x:c r="I82" s="31" t="n">
        <x:v>39.778450000199996</x:v>
      </x:c>
      <x:c r="J82" s="31" t="n">
        <x:v>39.778450000199996</x:v>
      </x:c>
      <x:c r="K82" s="31" t="n">
        <x:v>0</x:v>
      </x:c>
      <x:c r="L82" s="31" t="n">
        <x:v>39.778450000199996</x:v>
      </x:c>
      <x:c r="M82" s="31" t="n">
        <x:v>0</x:v>
      </x:c>
      <x:c r="N82" s="24" t="str">
        <x:v>merluccius</x:v>
      </x:c>
      <x:c r="O82" s="32" t="n">
        <x:v>4.27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Merluccius</x:v>
      </x:c>
      <x:c r="T82" s="32" t="n">
        <x:f>IF(O82="","",(1/'Metadata'!$B$5)^(O82-1))</x:f>
        <x:v>1862.0871366628655</x:v>
      </x:c>
      <x:c r="U82" s="31" t="n">
        <x:f>IF(T82="","",I82*T82)</x:f>
        <x:v>74070.94006175938</x:v>
      </x:c>
    </x:row>
    <x:row r="83" ht="18" customHeight="1">
      <x:c r="A83" s="24" t="str">
        <x:v>EEZ_723</x:v>
      </x:c>
      <x:c r="B83" s="24" t="str">
        <x:v>Canary Isl. (Spain)</x:v>
      </x:c>
      <x:c r="C83" s="24" t="str">
        <x:v>EEZ</x:v>
      </x:c>
      <x:c r="D83" s="30" t="n">
        <x:v>2019</x:v>
      </x:c>
      <x:c r="E83" s="24" t="str">
        <x:v>Patella</x:v>
      </x:c>
      <x:c r="F83" s="24" t="str">
        <x:v>Limpets</x:v>
      </x:c>
      <x:c r="G83" s="24" t="str">
        <x:v>Other demersal invertebrates</x:v>
      </x:c>
      <x:c r="H83" s="24" t="str">
        <x:v>Molluscs</x:v>
      </x:c>
      <x:c r="I83" s="31" t="n">
        <x:v>37.4288399999</x:v>
      </x:c>
      <x:c r="J83" s="31" t="n">
        <x:v>37.4288399999</x:v>
      </x:c>
      <x:c r="K83" s="31" t="n">
        <x:v>0</x:v>
      </x:c>
      <x:c r="L83" s="31" t="n">
        <x:v>37.4288399999</x:v>
      </x:c>
      <x:c r="M83" s="31" t="n">
        <x:v>0</x:v>
      </x:c>
      <x:c r="N83" s="24" t="str">
        <x:v>patella</x:v>
      </x:c>
      <x:c r="O83" s="32" t="n">
        <x:v>2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Patella</x:v>
      </x:c>
      <x:c r="T83" s="32" t="n">
        <x:f>IF(O83="","",(1/'Metadata'!$B$5)^(O83-1))</x:f>
        <x:v>10</x:v>
      </x:c>
      <x:c r="U83" s="31" t="n">
        <x:f>IF(T83="","",I83*T83)</x:f>
        <x:v>374.288399999</x:v>
      </x:c>
    </x:row>
    <x:row r="84" ht="18" customHeight="1">
      <x:c r="A84" s="24" t="str">
        <x:v>EEZ_723</x:v>
      </x:c>
      <x:c r="B84" s="24" t="str">
        <x:v>Canary Isl. (Spain)</x:v>
      </x:c>
      <x:c r="C84" s="24" t="str">
        <x:v>EEZ</x:v>
      </x:c>
      <x:c r="D84" s="30" t="n">
        <x:v>2019</x:v>
      </x:c>
      <x:c r="E84" s="24" t="str">
        <x:v>Trachurus trachurus</x:v>
      </x:c>
      <x:c r="F84" s="24" t="str">
        <x:v>Atlantic horse mackerel</x:v>
      </x:c>
      <x:c r="G84" s="24" t="str">
        <x:v>Medium pelagics (30 - 89 cm)</x:v>
      </x:c>
      <x:c r="H84" s="24" t="str">
        <x:v>Perch-likes</x:v>
      </x:c>
      <x:c r="I84" s="31" t="n">
        <x:v>34.1676252528</x:v>
      </x:c>
      <x:c r="J84" s="31" t="n">
        <x:v>34.1676252528</x:v>
      </x:c>
      <x:c r="K84" s="31" t="n">
        <x:v>0</x:v>
      </x:c>
      <x:c r="L84" s="31" t="n">
        <x:v>9.7741100001</x:v>
      </x:c>
      <x:c r="M84" s="31" t="n">
        <x:v>24.3935152527</x:v>
      </x:c>
      <x:c r="N84" s="24" t="str">
        <x:v>trachurus trachurus</x:v>
      </x:c>
      <x:c r="O84" s="32" t="n">
        <x:v>3.71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Trachurus trachurus</x:v>
      </x:c>
      <x:c r="T84" s="32" t="n">
        <x:f>IF(O84="","",(1/'Metadata'!$B$5)^(O84-1))</x:f>
        <x:v>512.8613839913648</x:v>
      </x:c>
      <x:c r="U84" s="31" t="n">
        <x:f>IF(T84="","",I84*T84)</x:f>
        <x:v>17523.255574849314</x:v>
      </x:c>
    </x:row>
    <x:row r="85" ht="18" customHeight="1">
      <x:c r="A85" s="24" t="str">
        <x:v>EEZ_723</x:v>
      </x:c>
      <x:c r="B85" s="24" t="str">
        <x:v>Canary Isl. (Spain)</x:v>
      </x:c>
      <x:c r="C85" s="24" t="str">
        <x:v>EEZ</x:v>
      </x:c>
      <x:c r="D85" s="30" t="n">
        <x:v>2019</x:v>
      </x:c>
      <x:c r="E85" s="24" t="str">
        <x:v>Teuthida</x:v>
      </x:c>
      <x:c r="F85" s="24" t="str">
        <x:v>Squids</x:v>
      </x:c>
      <x:c r="G85" s="24" t="str">
        <x:v>Cephalopods</x:v>
      </x:c>
      <x:c r="H85" s="24" t="str">
        <x:v>Other fishes &amp; inverts</x:v>
      </x:c>
      <x:c r="I85" s="31" t="n">
        <x:v>28.0534716554</x:v>
      </x:c>
      <x:c r="J85" s="31" t="n">
        <x:v>28.0534716554</x:v>
      </x:c>
      <x:c r="K85" s="31" t="n">
        <x:v>0</x:v>
      </x:c>
      <x:c r="L85" s="31" t="n">
        <x:v>0</x:v>
      </x:c>
      <x:c r="M85" s="31" t="n">
        <x:v>28.0534716554</x:v>
      </x:c>
      <x:c r="N85" s="24" t="str">
        <x:v>teuthida</x:v>
      </x:c>
      <x:c r="O85" s="32" t="n">
        <x:v>4.13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Teuthida</x:v>
      </x:c>
      <x:c r="T85" s="32" t="n">
        <x:f>IF(O85="","",(1/'Metadata'!$B$5)^(O85-1))</x:f>
        <x:v>1348.9628825916532</x:v>
      </x:c>
      <x:c r="U85" s="31" t="n">
        <x:f>IF(T85="","",I85*T85)</x:f>
        <x:v>37843.09199097162</x:v>
      </x:c>
    </x:row>
    <x:row r="86" ht="18" customHeight="1">
      <x:c r="A86" s="24" t="str">
        <x:v>EEZ_723</x:v>
      </x:c>
      <x:c r="B86" s="24" t="str">
        <x:v>Canary Isl. (Spain)</x:v>
      </x:c>
      <x:c r="C86" s="24" t="str">
        <x:v>EEZ</x:v>
      </x:c>
      <x:c r="D86" s="30" t="n">
        <x:v>2019</x:v>
      </x:c>
      <x:c r="E86" s="24" t="str">
        <x:v>Muraena helena</x:v>
      </x:c>
      <x:c r="F86" s="24" t="str">
        <x:v>Mediterranean moray</x:v>
      </x:c>
      <x:c r="G86" s="24" t="str">
        <x:v>Large reef assoc. fish (&gt;=90 cm)</x:v>
      </x:c>
      <x:c r="H86" s="24" t="str">
        <x:v>Other fishes &amp; inverts</x:v>
      </x:c>
      <x:c r="I86" s="31" t="n">
        <x:v>25.2992199999</x:v>
      </x:c>
      <x:c r="J86" s="31" t="n">
        <x:v>25.2992199999</x:v>
      </x:c>
      <x:c r="K86" s="31" t="n">
        <x:v>0</x:v>
      </x:c>
      <x:c r="L86" s="31" t="n">
        <x:v>25.2992199999</x:v>
      </x:c>
      <x:c r="M86" s="31" t="n">
        <x:v>0</x:v>
      </x:c>
      <x:c r="N86" s="24" t="str">
        <x:v>muraena helena</x:v>
      </x:c>
      <x:c r="O86" s="32" t="n">
        <x:v>4.18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Muraena helena</x:v>
      </x:c>
      <x:c r="T86" s="32" t="n">
        <x:f>IF(O86="","",(1/'Metadata'!$B$5)^(O86-1))</x:f>
        <x:v>1513.5612484362073</x:v>
      </x:c>
      <x:c r="U86" s="31" t="n">
        <x:f>IF(T86="","",I86*T86)</x:f>
        <x:v>38291.91900751091</x:v>
      </x:c>
    </x:row>
    <x:row r="87" ht="18" customHeight="1">
      <x:c r="A87" s="24" t="str">
        <x:v>EEZ_723</x:v>
      </x:c>
      <x:c r="B87" s="24" t="str">
        <x:v>Canary Isl. (Spain)</x:v>
      </x:c>
      <x:c r="C87" s="24" t="str">
        <x:v>EEZ</x:v>
      </x:c>
      <x:c r="D87" s="30" t="n">
        <x:v>2019</x:v>
      </x:c>
      <x:c r="E87" s="24" t="str">
        <x:v>Serranus cabrilla</x:v>
      </x:c>
      <x:c r="F87" s="24" t="str">
        <x:v>Comber</x:v>
      </x:c>
      <x:c r="G87" s="24" t="str">
        <x:v>Medium bathydemersals (30 - 89 cm)</x:v>
      </x:c>
      <x:c r="H87" s="24" t="str">
        <x:v>Perch-likes</x:v>
      </x:c>
      <x:c r="I87" s="31" t="n">
        <x:v>24.3061399998</x:v>
      </x:c>
      <x:c r="J87" s="31" t="n">
        <x:v>24.3061399998</x:v>
      </x:c>
      <x:c r="K87" s="31" t="n">
        <x:v>0</x:v>
      </x:c>
      <x:c r="L87" s="31" t="n">
        <x:v>24.3061399998</x:v>
      </x:c>
      <x:c r="M87" s="31" t="n">
        <x:v>0</x:v>
      </x:c>
      <x:c r="N87" s="24" t="str">
        <x:v>serranus cabrilla</x:v>
      </x:c>
      <x:c r="O87" s="32" t="n">
        <x:v>3.35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Serranus cabrilla</x:v>
      </x:c>
      <x:c r="T87" s="32" t="n">
        <x:f>IF(O87="","",(1/'Metadata'!$B$5)^(O87-1))</x:f>
        <x:v>223.872113856834</x:v>
      </x:c>
      <x:c r="U87" s="31" t="n">
        <x:f>IF(T87="","",I87*T87)</x:f>
        <x:v>5441.466941455373</x:v>
      </x:c>
    </x:row>
    <x:row r="88" ht="18" customHeight="1">
      <x:c r="A88" s="24" t="str">
        <x:v>EEZ_723</x:v>
      </x:c>
      <x:c r="B88" s="24" t="str">
        <x:v>Canary Isl. (Spain)</x:v>
      </x:c>
      <x:c r="C88" s="24" t="str">
        <x:v>EEZ</x:v>
      </x:c>
      <x:c r="D88" s="30" t="n">
        <x:v>2019</x:v>
      </x:c>
      <x:c r="E88" s="24" t="str">
        <x:v>Phycis phycis</x:v>
      </x:c>
      <x:c r="F88" s="24" t="str">
        <x:v>Forkbeard</x:v>
      </x:c>
      <x:c r="G88" s="24" t="str">
        <x:v>Medium benthopelagics (30 - 89 cm)</x:v>
      </x:c>
      <x:c r="H88" s="24" t="str">
        <x:v>Cod-likes</x:v>
      </x:c>
      <x:c r="I88" s="31" t="n">
        <x:v>24.090180000100002</x:v>
      </x:c>
      <x:c r="J88" s="31" t="n">
        <x:v>24.090180000100002</x:v>
      </x:c>
      <x:c r="K88" s="31" t="n">
        <x:v>0</x:v>
      </x:c>
      <x:c r="L88" s="31" t="n">
        <x:v>24.090180000100002</x:v>
      </x:c>
      <x:c r="M88" s="31" t="n">
        <x:v>0</x:v>
      </x:c>
      <x:c r="N88" s="24" t="str">
        <x:v>phycis phycis</x:v>
      </x:c>
      <x:c r="O88" s="32" t="n">
        <x:v>4.25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Phycis phycis</x:v>
      </x:c>
      <x:c r="T88" s="32" t="n">
        <x:f>IF(O88="","",(1/'Metadata'!$B$5)^(O88-1))</x:f>
        <x:v>1778.2794100389228</x:v>
      </x:c>
      <x:c r="U88" s="31" t="n">
        <x:f>IF(T88="","",I88*T88)</x:f>
        <x:v>42839.07107830929</x:v>
      </x:c>
    </x:row>
    <x:row r="89" ht="18" customHeight="1">
      <x:c r="A89" s="24" t="str">
        <x:v>EEZ_723</x:v>
      </x:c>
      <x:c r="B89" s="24" t="str">
        <x:v>Canary Isl. (Spain)</x:v>
      </x:c>
      <x:c r="C89" s="24" t="str">
        <x:v>EEZ</x:v>
      </x:c>
      <x:c r="D89" s="30" t="n">
        <x:v>2019</x:v>
      </x:c>
      <x:c r="E89" s="24" t="str">
        <x:v>Dentex</x:v>
      </x:c>
      <x:c r="F89" s="24" t="str">
        <x:v>Toothed seabreams</x:v>
      </x:c>
      <x:c r="G89" s="24" t="str">
        <x:v>Large benthopelagics (&gt;=90 cm)</x:v>
      </x:c>
      <x:c r="H89" s="24" t="str">
        <x:v>Perch-likes</x:v>
      </x:c>
      <x:c r="I89" s="31" t="n">
        <x:v>19.8056185971</x:v>
      </x:c>
      <x:c r="J89" s="31" t="n">
        <x:v>19.8056185971</x:v>
      </x:c>
      <x:c r="K89" s="31" t="n">
        <x:v>0</x:v>
      </x:c>
      <x:c r="L89" s="31" t="n">
        <x:v>14.776069999900002</x:v>
      </x:c>
      <x:c r="M89" s="31" t="n">
        <x:v>5.0295485972</x:v>
      </x:c>
      <x:c r="N89" s="24" t="str">
        <x:v>dentex</x:v>
      </x:c>
      <x:c r="O89" s="32" t="n">
        <x:v>3.96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Dentex</x:v>
      </x:c>
      <x:c r="T89" s="32" t="n">
        <x:f>IF(O89="","",(1/'Metadata'!$B$5)^(O89-1))</x:f>
        <x:v>912.0108393559096</x:v>
      </x:c>
      <x:c r="U89" s="31" t="n">
        <x:f>IF(T89="","",I89*T89)</x:f>
        <x:v>18062.938840704184</x:v>
      </x:c>
    </x:row>
    <x:row r="90" ht="18" customHeight="1">
      <x:c r="A90" s="24" t="str">
        <x:v>EEZ_723</x:v>
      </x:c>
      <x:c r="B90" s="24" t="str">
        <x:v>Canary Isl. (Spain)</x:v>
      </x:c>
      <x:c r="C90" s="24" t="str">
        <x:v>EEZ</x:v>
      </x:c>
      <x:c r="D90" s="30" t="n">
        <x:v>2019</x:v>
      </x:c>
      <x:c r="E90" s="24" t="str">
        <x:v>Gymnothorax polygonius</x:v>
      </x:c>
      <x:c r="F90" s="24" t="str">
        <x:v>Polygon moray</x:v>
      </x:c>
      <x:c r="G90" s="24" t="str">
        <x:v>Large demersals (&gt;=90 cm)</x:v>
      </x:c>
      <x:c r="H90" s="24" t="str">
        <x:v>Other fishes &amp; inverts</x:v>
      </x:c>
      <x:c r="I90" s="31" t="n">
        <x:v>13.6185300001</x:v>
      </x:c>
      <x:c r="J90" s="31" t="n">
        <x:v>13.6185300001</x:v>
      </x:c>
      <x:c r="K90" s="31" t="n">
        <x:v>0</x:v>
      </x:c>
      <x:c r="L90" s="31" t="n">
        <x:v>13.6185300001</x:v>
      </x:c>
      <x:c r="M90" s="31" t="n">
        <x:v>0</x:v>
      </x:c>
      <x:c r="N90" s="24" t="str">
        <x:v>gymnothorax polygonius</x:v>
      </x:c>
      <x:c r="O90" s="32" t="n">
        <x:v>4.5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Gymnothorax polygonius</x:v>
      </x:c>
      <x:c r="T90" s="32" t="n">
        <x:f>IF(O90="","",(1/'Metadata'!$B$5)^(O90-1))</x:f>
        <x:v>3162.2776601683795</x:v>
      </x:c>
      <x:c r="U90" s="31" t="n">
        <x:f>IF(T90="","",I90*T90)</x:f>
        <x:v>43065.57318364911</x:v>
      </x:c>
    </x:row>
    <x:row r="91" ht="18" customHeight="1">
      <x:c r="A91" s="24" t="str">
        <x:v>EEZ_723</x:v>
      </x:c>
      <x:c r="B91" s="24" t="str">
        <x:v>Canary Isl. (Spain)</x:v>
      </x:c>
      <x:c r="C91" s="24" t="str">
        <x:v>EEZ</x:v>
      </x:c>
      <x:c r="D91" s="30" t="n">
        <x:v>2019</x:v>
      </x:c>
      <x:c r="E91" s="24" t="str">
        <x:v>Istiophorus albicans</x:v>
      </x:c>
      <x:c r="F91" s="24" t="str">
        <x:v>Atlantic sailfish</x:v>
      </x:c>
      <x:c r="G91" s="24" t="str">
        <x:v>Large pelagics (&gt;=90 cm)</x:v>
      </x:c>
      <x:c r="H91" s="24" t="str">
        <x:v>Tuna &amp; billfishes</x:v>
      </x:c>
      <x:c r="I91" s="31" t="n">
        <x:v>13.4422053504</x:v>
      </x:c>
      <x:c r="J91" s="31" t="n">
        <x:v>13.4422053504</x:v>
      </x:c>
      <x:c r="K91" s="31" t="n">
        <x:v>0</x:v>
      </x:c>
      <x:c r="L91" s="31" t="n">
        <x:v>13.4422053504</x:v>
      </x:c>
      <x:c r="M91" s="31" t="n">
        <x:v>0</x:v>
      </x:c>
      <x:c r="N91" s="24" t="str">
        <x:v>istiophorus albicans</x:v>
      </x:c>
      <x:c r="O91" s="32" t="n">
        <x:v>4.5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Istiophorus albicans</x:v>
      </x:c>
      <x:c r="T91" s="32" t="n">
        <x:f>IF(O91="","",(1/'Metadata'!$B$5)^(O91-1))</x:f>
        <x:v>3162.2776601683795</x:v>
      </x:c>
      <x:c r="U91" s="31" t="n">
        <x:f>IF(T91="","",I91*T91)</x:f>
        <x:v>42507.98568296579</x:v>
      </x:c>
    </x:row>
    <x:row r="92" ht="18" customHeight="1">
      <x:c r="A92" s="24" t="str">
        <x:v>EEZ_723</x:v>
      </x:c>
      <x:c r="B92" s="24" t="str">
        <x:v>Canary Isl. (Spain)</x:v>
      </x:c>
      <x:c r="C92" s="24" t="str">
        <x:v>EEZ</x:v>
      </x:c>
      <x:c r="D92" s="30" t="n">
        <x:v>2019</x:v>
      </x:c>
      <x:c r="E92" s="24" t="str">
        <x:v>Parapristipoma octolineatum</x:v>
      </x:c>
      <x:c r="F92" s="24" t="str">
        <x:v>African striped grunt</x:v>
      </x:c>
      <x:c r="G92" s="24" t="str">
        <x:v>Medium demersals (30 - 89 cm)</x:v>
      </x:c>
      <x:c r="H92" s="24" t="str">
        <x:v>Perch-likes</x:v>
      </x:c>
      <x:c r="I92" s="31" t="n">
        <x:v>12.77119</x:v>
      </x:c>
      <x:c r="J92" s="31" t="n">
        <x:v>12.77119</x:v>
      </x:c>
      <x:c r="K92" s="31" t="n">
        <x:v>0</x:v>
      </x:c>
      <x:c r="L92" s="31" t="n">
        <x:v>12.77119</x:v>
      </x:c>
      <x:c r="M92" s="31" t="n">
        <x:v>0</x:v>
      </x:c>
      <x:c r="N92" s="24" t="str">
        <x:v>parapristipoma octolineatum</x:v>
      </x:c>
      <x:c r="O92" s="32" t="n">
        <x:v>3.55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Parapristipoma octolineatum</x:v>
      </x:c>
      <x:c r="T92" s="32" t="n">
        <x:f>IF(O92="","",(1/'Metadata'!$B$5)^(O92-1))</x:f>
        <x:v>354.8133892335753</x:v>
      </x:c>
      <x:c r="U92" s="31" t="n">
        <x:f>IF(T92="","",I92*T92)</x:f>
        <x:v>4531.389208445945</x:v>
      </x:c>
    </x:row>
    <x:row r="93" ht="18" customHeight="1">
      <x:c r="A93" s="24" t="str">
        <x:v>EEZ_723</x:v>
      </x:c>
      <x:c r="B93" s="24" t="str">
        <x:v>Canary Isl. (Spain)</x:v>
      </x:c>
      <x:c r="C93" s="24" t="str">
        <x:v>EEZ</x:v>
      </x:c>
      <x:c r="D93" s="30" t="n">
        <x:v>2019</x:v>
      </x:c>
      <x:c r="E93" s="24" t="str">
        <x:v>Seriola rivoliana</x:v>
      </x:c>
      <x:c r="F93" s="24" t="str">
        <x:v>Longfin yellowtail</x:v>
      </x:c>
      <x:c r="G93" s="24" t="str">
        <x:v>Large benthopelagics (&gt;=90 cm)</x:v>
      </x:c>
      <x:c r="H93" s="24" t="str">
        <x:v>Perch-likes</x:v>
      </x:c>
      <x:c r="I93" s="31" t="n">
        <x:v>11.963470000200001</x:v>
      </x:c>
      <x:c r="J93" s="31" t="n">
        <x:v>11.963470000200001</x:v>
      </x:c>
      <x:c r="K93" s="31" t="n">
        <x:v>0</x:v>
      </x:c>
      <x:c r="L93" s="31" t="n">
        <x:v>11.963470000200001</x:v>
      </x:c>
      <x:c r="M93" s="31" t="n">
        <x:v>0</x:v>
      </x:c>
      <x:c r="N93" s="24" t="str">
        <x:v>seriola rivoliana</x:v>
      </x:c>
      <x:c r="O93" s="32" t="n">
        <x:v>4.45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Seriola rivoliana</x:v>
      </x:c>
      <x:c r="T93" s="32" t="n">
        <x:f>IF(O93="","",(1/'Metadata'!$B$5)^(O93-1))</x:f>
        <x:v>2818.382931264455</x:v>
      </x:c>
      <x:c r="U93" s="31" t="n">
        <x:f>IF(T93="","",I93*T93)</x:f>
        <x:v>33717.639647258045</x:v>
      </x:c>
    </x:row>
    <x:row r="94" ht="18" customHeight="1">
      <x:c r="A94" s="24" t="str">
        <x:v>EEZ_723</x:v>
      </x:c>
      <x:c r="B94" s="24" t="str">
        <x:v>Canary Isl. (Spain)</x:v>
      </x:c>
      <x:c r="C94" s="24" t="str">
        <x:v>EEZ</x:v>
      </x:c>
      <x:c r="D94" s="30" t="n">
        <x:v>2019</x:v>
      </x:c>
      <x:c r="E94" s="24" t="str">
        <x:v>Malacostraca</x:v>
      </x:c>
      <x:c r="F94" s="24" t="str">
        <x:v>Lobsters, crabs, shrimps, krill</x:v>
      </x:c>
      <x:c r="G94" s="24" t="str">
        <x:v>Shrimps</x:v>
      </x:c>
      <x:c r="H94" s="24" t="str">
        <x:v>Crustaceans</x:v>
      </x:c>
      <x:c r="I94" s="31" t="n">
        <x:v>9.9159992692</x:v>
      </x:c>
      <x:c r="J94" s="31" t="n">
        <x:v>9.9159992692</x:v>
      </x:c>
      <x:c r="K94" s="31" t="n">
        <x:v>0</x:v>
      </x:c>
      <x:c r="L94" s="31" t="n">
        <x:v>0</x:v>
      </x:c>
      <x:c r="M94" s="31" t="n">
        <x:v>9.9159992692</x:v>
      </x:c>
      <x:c r="N94" s="24" t="str">
        <x:v>malacostraca</x:v>
      </x:c>
      <x:c r="O94" s="32" t="n">
        <x:v>3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Malacostraca</x:v>
      </x:c>
      <x:c r="T94" s="32" t="n">
        <x:f>IF(O94="","",(1/'Metadata'!$B$5)^(O94-1))</x:f>
        <x:v>100</x:v>
      </x:c>
      <x:c r="U94" s="31" t="n">
        <x:f>IF(T94="","",I94*T94)</x:f>
        <x:v>991.59992692</x:v>
      </x:c>
    </x:row>
    <x:row r="95" ht="18" customHeight="1">
      <x:c r="A95" s="24" t="str">
        <x:v>EEZ_723</x:v>
      </x:c>
      <x:c r="B95" s="24" t="str">
        <x:v>Canary Isl. (Spain)</x:v>
      </x:c>
      <x:c r="C95" s="24" t="str">
        <x:v>EEZ</x:v>
      </x:c>
      <x:c r="D95" s="30" t="n">
        <x:v>2019</x:v>
      </x:c>
      <x:c r="E95" s="24" t="str">
        <x:v>Ruvettus pretiosus</x:v>
      </x:c>
      <x:c r="F95" s="24" t="str">
        <x:v>Oilfish</x:v>
      </x:c>
      <x:c r="G95" s="24" t="str">
        <x:v>Large benthopelagics (&gt;=90 cm)</x:v>
      </x:c>
      <x:c r="H95" s="24" t="str">
        <x:v>Perch-likes</x:v>
      </x:c>
      <x:c r="I95" s="31" t="n">
        <x:v>9.1001113448</x:v>
      </x:c>
      <x:c r="J95" s="31" t="n">
        <x:v>9.1001113448</x:v>
      </x:c>
      <x:c r="K95" s="31" t="n">
        <x:v>0</x:v>
      </x:c>
      <x:c r="L95" s="31" t="n">
        <x:v>9.1001113448</x:v>
      </x:c>
      <x:c r="M95" s="31" t="n">
        <x:v>0</x:v>
      </x:c>
      <x:c r="N95" s="24" t="str">
        <x:v>ruvettus pretiosus</x:v>
      </x:c>
      <x:c r="O95" s="32" t="n">
        <x:v>4.18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Ruvettus pretiosus</x:v>
      </x:c>
      <x:c r="T95" s="32" t="n">
        <x:f>IF(O95="","",(1/'Metadata'!$B$5)^(O95-1))</x:f>
        <x:v>1513.5612484362073</x:v>
      </x:c>
      <x:c r="U95" s="31" t="n">
        <x:f>IF(T95="","",I95*T95)</x:f>
        <x:v>13773.575887943982</x:v>
      </x:c>
    </x:row>
    <x:row r="96" ht="18" customHeight="1">
      <x:c r="A96" s="24" t="str">
        <x:v>EEZ_723</x:v>
      </x:c>
      <x:c r="B96" s="24" t="str">
        <x:v>Canary Isl. (Spain)</x:v>
      </x:c>
      <x:c r="C96" s="24" t="str">
        <x:v>EEZ</x:v>
      </x:c>
      <x:c r="D96" s="30" t="n">
        <x:v>2019</x:v>
      </x:c>
      <x:c r="E96" s="24" t="str">
        <x:v>Isurus oxyrinchus</x:v>
      </x:c>
      <x:c r="F96" s="24" t="str">
        <x:v>Shortfin mako</x:v>
      </x:c>
      <x:c r="G96" s="24" t="str">
        <x:v>Large sharks (&gt;=90 cm)</x:v>
      </x:c>
      <x:c r="H96" s="24" t="str">
        <x:v>Sharks &amp; rays</x:v>
      </x:c>
      <x:c r="I96" s="31" t="n">
        <x:v>8.9787314152</x:v>
      </x:c>
      <x:c r="J96" s="31" t="n">
        <x:v>8.9787314152</x:v>
      </x:c>
      <x:c r="K96" s="31" t="n">
        <x:v>0</x:v>
      </x:c>
      <x:c r="L96" s="31" t="n">
        <x:v>8.9787314152</x:v>
      </x:c>
      <x:c r="M96" s="31" t="n">
        <x:v>0</x:v>
      </x:c>
      <x:c r="N96" s="24" t="str">
        <x:v>isurus oxyrinchus</x:v>
      </x:c>
      <x:c r="O96" s="32" t="n">
        <x:v>4.5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Isurus oxyrinchus</x:v>
      </x:c>
      <x:c r="T96" s="32" t="n">
        <x:f>IF(O96="","",(1/'Metadata'!$B$5)^(O96-1))</x:f>
        <x:v>3162.2776601683795</x:v>
      </x:c>
      <x:c r="U96" s="31" t="n">
        <x:f>IF(T96="","",I96*T96)</x:f>
        <x:v>28393.24177093898</x:v>
      </x:c>
    </x:row>
    <x:row r="97" ht="18" customHeight="1">
      <x:c r="A97" s="24" t="str">
        <x:v>EEZ_723</x:v>
      </x:c>
      <x:c r="B97" s="24" t="str">
        <x:v>Canary Isl. (Spain)</x:v>
      </x:c>
      <x:c r="C97" s="24" t="str">
        <x:v>EEZ</x:v>
      </x:c>
      <x:c r="D97" s="30" t="n">
        <x:v>2019</x:v>
      </x:c>
      <x:c r="E97" s="24" t="str">
        <x:v>Polymixia nobilis</x:v>
      </x:c>
      <x:c r="F97" s="24" t="str">
        <x:v>Stout beardfish</x:v>
      </x:c>
      <x:c r="G97" s="24" t="str">
        <x:v>Medium bathydemersals (30 - 89 cm)</x:v>
      </x:c>
      <x:c r="H97" s="24" t="str">
        <x:v>Other fishes &amp; inverts</x:v>
      </x:c>
      <x:c r="I97" s="31" t="n">
        <x:v>7.99807</x:v>
      </x:c>
      <x:c r="J97" s="31" t="n">
        <x:v>7.99807</x:v>
      </x:c>
      <x:c r="K97" s="31" t="n">
        <x:v>0</x:v>
      </x:c>
      <x:c r="L97" s="31" t="n">
        <x:v>7.99807</x:v>
      </x:c>
      <x:c r="M97" s="31" t="n">
        <x:v>0</x:v>
      </x:c>
      <x:c r="N97" s="24" t="str">
        <x:v>polymixia nobilis</x:v>
      </x:c>
      <x:c r="O97" s="32" t="n">
        <x:v>4.2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Polymixia nobilis</x:v>
      </x:c>
      <x:c r="T97" s="32" t="n">
        <x:f>IF(O97="","",(1/'Metadata'!$B$5)^(O97-1))</x:f>
        <x:v>1584.893192461114</x:v>
      </x:c>
      <x:c r="U97" s="31" t="n">
        <x:f>IF(T97="","",I97*T97)</x:f>
        <x:v>12676.086695827462</x:v>
      </x:c>
    </x:row>
    <x:row r="98" ht="18" customHeight="1">
      <x:c r="A98" s="24" t="str">
        <x:v>EEZ_723</x:v>
      </x:c>
      <x:c r="B98" s="24" t="str">
        <x:v>Canary Isl. (Spain)</x:v>
      </x:c>
      <x:c r="C98" s="24" t="str">
        <x:v>EEZ</x:v>
      </x:c>
      <x:c r="D98" s="30" t="n">
        <x:v>2019</x:v>
      </x:c>
      <x:c r="E98" s="24" t="str">
        <x:v>Lepidocybium flavobrunneum</x:v>
      </x:c>
      <x:c r="F98" s="24" t="str">
        <x:v>Escolar</x:v>
      </x:c>
      <x:c r="G98" s="24" t="str">
        <x:v>Large bathypelagics (&gt;=90 cm)</x:v>
      </x:c>
      <x:c r="H98" s="24" t="str">
        <x:v>Perch-likes</x:v>
      </x:c>
      <x:c r="I98" s="31" t="n">
        <x:v>7.683136702600001</x:v>
      </x:c>
      <x:c r="J98" s="31" t="n">
        <x:v>7.683136702600001</x:v>
      </x:c>
      <x:c r="K98" s="31" t="n">
        <x:v>0</x:v>
      </x:c>
      <x:c r="L98" s="31" t="n">
        <x:v>7.683136702600001</x:v>
      </x:c>
      <x:c r="M98" s="31" t="n">
        <x:v>0</x:v>
      </x:c>
      <x:c r="N98" s="24" t="str">
        <x:v>lepidocybium flavobrunneum</x:v>
      </x:c>
      <x:c r="O98" s="32" t="n">
        <x:v>4.34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Lepidocybium flavobrunneum</x:v>
      </x:c>
      <x:c r="T98" s="32" t="n">
        <x:f>IF(O98="","",(1/'Metadata'!$B$5)^(O98-1))</x:f>
        <x:v>2187.761623949552</x:v>
      </x:c>
      <x:c r="U98" s="31" t="n">
        <x:f>IF(T98="","",I98*T98)</x:f>
        <x:v>16808.871629506582</x:v>
      </x:c>
    </x:row>
    <x:row r="99" ht="18" customHeight="1">
      <x:c r="A99" s="24" t="str">
        <x:v>EEZ_723</x:v>
      </x:c>
      <x:c r="B99" s="24" t="str">
        <x:v>Canary Isl. (Spain)</x:v>
      </x:c>
      <x:c r="C99" s="24" t="str">
        <x:v>EEZ</x:v>
      </x:c>
      <x:c r="D99" s="30" t="n">
        <x:v>2019</x:v>
      </x:c>
      <x:c r="E99" s="24" t="str">
        <x:v>Gymnothorax unicolor</x:v>
      </x:c>
      <x:c r="F99" s="24" t="str">
        <x:v>Brown moray</x:v>
      </x:c>
      <x:c r="G99" s="24" t="str">
        <x:v>Medium demersals (30 - 89 cm)</x:v>
      </x:c>
      <x:c r="H99" s="24" t="str">
        <x:v>Other fishes &amp; inverts</x:v>
      </x:c>
      <x:c r="I99" s="31" t="n">
        <x:v>6.8740899997</x:v>
      </x:c>
      <x:c r="J99" s="31" t="n">
        <x:v>6.8740899997</x:v>
      </x:c>
      <x:c r="K99" s="31" t="n">
        <x:v>0</x:v>
      </x:c>
      <x:c r="L99" s="31" t="n">
        <x:v>6.8740899997</x:v>
      </x:c>
      <x:c r="M99" s="31" t="n">
        <x:v>0</x:v>
      </x:c>
      <x:c r="N99" s="24" t="str">
        <x:v>gymnothorax unicolor</x:v>
      </x:c>
      <x:c r="O99" s="32" t="n">
        <x:v>3.44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Gymnothorax unicolor</x:v>
      </x:c>
      <x:c r="T99" s="32" t="n">
        <x:f>IF(O99="","",(1/'Metadata'!$B$5)^(O99-1))</x:f>
        <x:v>275.4228703338166</x:v>
      </x:c>
      <x:c r="U99" s="31" t="n">
        <x:f>IF(T99="","",I99*T99)</x:f>
        <x:v>1893.2815986503585</x:v>
      </x:c>
    </x:row>
    <x:row r="100" ht="18" customHeight="1">
      <x:c r="A100" s="24" t="str">
        <x:v>EEZ_723</x:v>
      </x:c>
      <x:c r="B100" s="24" t="str">
        <x:v>Canary Isl. (Spain)</x:v>
      </x:c>
      <x:c r="C100" s="24" t="str">
        <x:v>EEZ</x:v>
      </x:c>
      <x:c r="D100" s="30" t="n">
        <x:v>2019</x:v>
      </x:c>
      <x:c r="E100" s="24" t="str">
        <x:v>Auxis</x:v>
      </x:c>
      <x:c r="F100" s="24" t="str">
        <x:v>Bullet and frigate tunas</x:v>
      </x:c>
      <x:c r="G100" s="24" t="str">
        <x:v>Medium pelagics (30 - 89 cm)</x:v>
      </x:c>
      <x:c r="H100" s="24" t="str">
        <x:v>Tuna &amp; billfishes</x:v>
      </x:c>
      <x:c r="I100" s="31" t="n">
        <x:v>5.218999999999999</x:v>
      </x:c>
      <x:c r="J100" s="31" t="n">
        <x:v>5.218999999999999</x:v>
      </x:c>
      <x:c r="K100" s="31" t="n">
        <x:v>0</x:v>
      </x:c>
      <x:c r="L100" s="31" t="n">
        <x:v>5.218999999999999</x:v>
      </x:c>
      <x:c r="M100" s="31" t="n">
        <x:v>0</x:v>
      </x:c>
      <x:c r="N100" s="24" t="str">
        <x:v>auxis</x:v>
      </x:c>
      <x:c r="O100" s="32" t="n">
        <x:v>4.24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Auxis</x:v>
      </x:c>
      <x:c r="T100" s="32" t="n">
        <x:f>IF(O100="","",(1/'Metadata'!$B$5)^(O100-1))</x:f>
        <x:v>1737.8008287493763</x:v>
      </x:c>
      <x:c r="U100" s="31" t="n">
        <x:f>IF(T100="","",I100*T100)</x:f>
        <x:v>9069.582525242993</x:v>
      </x:c>
    </x:row>
    <x:row r="101" ht="18" customHeight="1">
      <x:c r="A101" s="24" t="str">
        <x:v>EEZ_723</x:v>
      </x:c>
      <x:c r="B101" s="24" t="str">
        <x:v>Canary Isl. (Spain)</x:v>
      </x:c>
      <x:c r="C101" s="24" t="str">
        <x:v>EEZ</x:v>
      </x:c>
      <x:c r="D101" s="30" t="n">
        <x:v>2019</x:v>
      </x:c>
      <x:c r="E101" s="24" t="str">
        <x:v>Zenopsis conchifer</x:v>
      </x:c>
      <x:c r="F101" s="24" t="str">
        <x:v>Silvery John dory</x:v>
      </x:c>
      <x:c r="G101" s="24" t="str">
        <x:v>Medium benthopelagics (30 - 89 cm)</x:v>
      </x:c>
      <x:c r="H101" s="24" t="str">
        <x:v>Other fishes &amp; inverts</x:v>
      </x:c>
      <x:c r="I101" s="31" t="n">
        <x:v>4.8495</x:v>
      </x:c>
      <x:c r="J101" s="31" t="n">
        <x:v>4.8495</x:v>
      </x:c>
      <x:c r="K101" s="31" t="n">
        <x:v>0</x:v>
      </x:c>
      <x:c r="L101" s="31" t="n">
        <x:v>4.8495</x:v>
      </x:c>
      <x:c r="M101" s="31" t="n">
        <x:v>0</x:v>
      </x:c>
      <x:c r="N101" s="24" t="str">
        <x:v>zenopsis conchifer</x:v>
      </x:c>
      <x:c r="O101" s="32" t="n">
        <x:v>4.5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Zenopsis conchifer</x:v>
      </x:c>
      <x:c r="T101" s="32" t="n">
        <x:f>IF(O101="","",(1/'Metadata'!$B$5)^(O101-1))</x:f>
        <x:v>3162.2776601683795</x:v>
      </x:c>
      <x:c r="U101" s="31" t="n">
        <x:f>IF(T101="","",I101*T101)</x:f>
        <x:v>15335.465512986557</x:v>
      </x:c>
    </x:row>
    <x:row r="102" ht="18" customHeight="1">
      <x:c r="A102" s="24" t="str">
        <x:v>EEZ_723</x:v>
      </x:c>
      <x:c r="B102" s="24" t="str">
        <x:v>Canary Isl. (Spain)</x:v>
      </x:c>
      <x:c r="C102" s="24" t="str">
        <x:v>EEZ</x:v>
      </x:c>
      <x:c r="D102" s="30" t="n">
        <x:v>2019</x:v>
      </x:c>
      <x:c r="E102" s="24" t="str">
        <x:v>Tetraodontidae</x:v>
      </x:c>
      <x:c r="F102" s="24" t="str">
        <x:v>Puffers, tobies</x:v>
      </x:c>
      <x:c r="G102" s="24" t="str">
        <x:v>Large reef assoc. fish (&gt;=90 cm)</x:v>
      </x:c>
      <x:c r="H102" s="24" t="str">
        <x:v>Other fishes &amp; inverts</x:v>
      </x:c>
      <x:c r="I102" s="31" t="n">
        <x:v>4.8276946099</x:v>
      </x:c>
      <x:c r="J102" s="31" t="n">
        <x:v>0</x:v>
      </x:c>
      <x:c r="K102" s="31" t="n">
        <x:v>4.8276946099</x:v>
      </x:c>
      <x:c r="L102" s="31" t="n">
        <x:v>0</x:v>
      </x:c>
      <x:c r="M102" s="31" t="n">
        <x:v>4.8276946099</x:v>
      </x:c>
      <x:c r="N102" s="24" t="str">
        <x:v>tetraodontidae</x:v>
      </x:c>
      <x:c r="O102" s="32" t="n">
        <x:v>3.5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Tetraodontidae</x:v>
      </x:c>
      <x:c r="T102" s="32" t="n">
        <x:f>IF(O102="","",(1/'Metadata'!$B$5)^(O102-1))</x:f>
        <x:v>316.22776601683796</x:v>
      </x:c>
      <x:c r="U102" s="31" t="n">
        <x:f>IF(T102="","",I102*T102)</x:f>
        <x:v>1526.651081500207</x:v>
      </x:c>
    </x:row>
    <x:row r="103" ht="18" customHeight="1">
      <x:c r="A103" s="24" t="str">
        <x:v>EEZ_723</x:v>
      </x:c>
      <x:c r="B103" s="24" t="str">
        <x:v>Canary Isl. (Spain)</x:v>
      </x:c>
      <x:c r="C103" s="24" t="str">
        <x:v>EEZ</x:v>
      </x:c>
      <x:c r="D103" s="30" t="n">
        <x:v>2019</x:v>
      </x:c>
      <x:c r="E103" s="24" t="str">
        <x:v>Muraenidae</x:v>
      </x:c>
      <x:c r="F103" s="24" t="str">
        <x:v>Moray eels</x:v>
      </x:c>
      <x:c r="G103" s="24" t="str">
        <x:v>Large reef assoc. fish (&gt;=90 cm)</x:v>
      </x:c>
      <x:c r="H103" s="24" t="str">
        <x:v>Other fishes &amp; inverts</x:v>
      </x:c>
      <x:c r="I103" s="31" t="n">
        <x:v>4.7657099998</x:v>
      </x:c>
      <x:c r="J103" s="31" t="n">
        <x:v>4.7657099998</x:v>
      </x:c>
      <x:c r="K103" s="31" t="n">
        <x:v>0</x:v>
      </x:c>
      <x:c r="L103" s="31" t="n">
        <x:v>4.7657099998</x:v>
      </x:c>
      <x:c r="M103" s="31" t="n">
        <x:v>0</x:v>
      </x:c>
      <x:c r="N103" s="24" t="str">
        <x:v>muraenidae</x:v>
      </x:c>
      <x:c r="O103" s="32" t="n">
        <x:v>4.07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Muraenidae</x:v>
      </x:c>
      <x:c r="T103" s="32" t="n">
        <x:f>IF(O103="","",(1/'Metadata'!$B$5)^(O103-1))</x:f>
        <x:v>1174.8975549395302</x:v>
      </x:c>
      <x:c r="U103" s="31" t="n">
        <x:f>IF(T103="","",I103*T103)</x:f>
        <x:v>5599.2210263158895</x:v>
      </x:c>
    </x:row>
    <x:row r="104" ht="18" customHeight="1">
      <x:c r="A104" s="24" t="str">
        <x:v>EEZ_723</x:v>
      </x:c>
      <x:c r="B104" s="24" t="str">
        <x:v>Canary Isl. (Spain)</x:v>
      </x:c>
      <x:c r="C104" s="24" t="str">
        <x:v>EEZ</x:v>
      </x:c>
      <x:c r="D104" s="30" t="n">
        <x:v>2019</x:v>
      </x:c>
      <x:c r="E104" s="24" t="str">
        <x:v>Scorpaena scrofa</x:v>
      </x:c>
      <x:c r="F104" s="24" t="str">
        <x:v>Red scorpionfish</x:v>
      </x:c>
      <x:c r="G104" s="24" t="str">
        <x:v>Medium demersals (30 - 89 cm)</x:v>
      </x:c>
      <x:c r="H104" s="24" t="str">
        <x:v>Scorpionfishes</x:v>
      </x:c>
      <x:c r="I104" s="31" t="n">
        <x:v>4.60469</x:v>
      </x:c>
      <x:c r="J104" s="31" t="n">
        <x:v>4.60469</x:v>
      </x:c>
      <x:c r="K104" s="31" t="n">
        <x:v>0</x:v>
      </x:c>
      <x:c r="L104" s="31" t="n">
        <x:v>4.60469</x:v>
      </x:c>
      <x:c r="M104" s="31" t="n">
        <x:v>0</x:v>
      </x:c>
      <x:c r="N104" s="24" t="str">
        <x:v>scorpaena scrofa</x:v>
      </x:c>
      <x:c r="O104" s="32" t="n">
        <x:v>4.25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Scorpaena scrofa</x:v>
      </x:c>
      <x:c r="T104" s="32" t="n">
        <x:f>IF(O104="","",(1/'Metadata'!$B$5)^(O104-1))</x:f>
        <x:v>1778.2794100389228</x:v>
      </x:c>
      <x:c r="U104" s="31" t="n">
        <x:f>IF(T104="","",I104*T104)</x:f>
        <x:v>8188.425416612127</x:v>
      </x:c>
    </x:row>
    <x:row r="105" ht="18" customHeight="1">
      <x:c r="A105" s="24" t="str">
        <x:v>EEZ_723</x:v>
      </x:c>
      <x:c r="B105" s="24" t="str">
        <x:v>Canary Isl. (Spain)</x:v>
      </x:c>
      <x:c r="C105" s="24" t="str">
        <x:v>EEZ</x:v>
      </x:c>
      <x:c r="D105" s="30" t="n">
        <x:v>2019</x:v>
      </x:c>
      <x:c r="E105" s="24" t="str">
        <x:v>Lepidopus caudatus</x:v>
      </x:c>
      <x:c r="F105" s="24" t="str">
        <x:v>Silver scabbardfish</x:v>
      </x:c>
      <x:c r="G105" s="24" t="str">
        <x:v>Large bathydemersals (&gt;=90 cm)</x:v>
      </x:c>
      <x:c r="H105" s="24" t="str">
        <x:v>Perch-likes</x:v>
      </x:c>
      <x:c r="I105" s="31" t="n">
        <x:v>4.2329499996</x:v>
      </x:c>
      <x:c r="J105" s="31" t="n">
        <x:v>4.2329499996</x:v>
      </x:c>
      <x:c r="K105" s="31" t="n">
        <x:v>0</x:v>
      </x:c>
      <x:c r="L105" s="31" t="n">
        <x:v>4.2329499996</x:v>
      </x:c>
      <x:c r="M105" s="31" t="n">
        <x:v>0</x:v>
      </x:c>
      <x:c r="N105" s="24" t="str">
        <x:v>lepidopus caudatus</x:v>
      </x:c>
      <x:c r="O105" s="32" t="n">
        <x:v>3.82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Lepidopus caudatus</x:v>
      </x:c>
      <x:c r="T105" s="32" t="n">
        <x:f>IF(O105="","",(1/'Metadata'!$B$5)^(O105-1))</x:f>
        <x:v>660.6934480075957</x:v>
      </x:c>
      <x:c r="U105" s="31" t="n">
        <x:f>IF(T105="","",I105*T105)</x:f>
        <x:v>2796.682330479475</x:v>
      </x:c>
    </x:row>
    <x:row r="106" ht="18" customHeight="1">
      <x:c r="A106" s="24" t="str">
        <x:v>EEZ_723</x:v>
      </x:c>
      <x:c r="B106" s="24" t="str">
        <x:v>Canary Isl. (Spain)</x:v>
      </x:c>
      <x:c r="C106" s="24" t="str">
        <x:v>EEZ</x:v>
      </x:c>
      <x:c r="D106" s="30" t="n">
        <x:v>2019</x:v>
      </x:c>
      <x:c r="E106" s="24" t="str">
        <x:v>Diplodus puntazzo</x:v>
      </x:c>
      <x:c r="F106" s="24" t="str">
        <x:v>Sharpsnout seabream</x:v>
      </x:c>
      <x:c r="G106" s="24" t="str">
        <x:v>Medium benthopelagics (30 - 89 cm)</x:v>
      </x:c>
      <x:c r="H106" s="24" t="str">
        <x:v>Perch-likes</x:v>
      </x:c>
      <x:c r="I106" s="31" t="n">
        <x:v>4.2160400002000005</x:v>
      </x:c>
      <x:c r="J106" s="31" t="n">
        <x:v>4.2160400002000005</x:v>
      </x:c>
      <x:c r="K106" s="31" t="n">
        <x:v>0</x:v>
      </x:c>
      <x:c r="L106" s="31" t="n">
        <x:v>4.2160400002000005</x:v>
      </x:c>
      <x:c r="M106" s="31" t="n">
        <x:v>0</x:v>
      </x:c>
      <x:c r="N106" s="24" t="str">
        <x:v>diplodus puntazzo</x:v>
      </x:c>
      <x:c r="O106" s="32" t="n">
        <x:v>3.22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Diplodus puntazzo</x:v>
      </x:c>
      <x:c r="T106" s="32" t="n">
        <x:f>IF(O106="","",(1/'Metadata'!$B$5)^(O106-1))</x:f>
        <x:v>165.95869074375614</x:v>
      </x:c>
      <x:c r="U106" s="31" t="n">
        <x:f>IF(T106="","",I106*T106)</x:f>
        <x:v>699.6884785564974</x:v>
      </x:c>
    </x:row>
    <x:row r="107" ht="18" customHeight="1">
      <x:c r="A107" s="24" t="str">
        <x:v>EEZ_723</x:v>
      </x:c>
      <x:c r="B107" s="24" t="str">
        <x:v>Canary Isl. (Spain)</x:v>
      </x:c>
      <x:c r="C107" s="24" t="str">
        <x:v>EEZ</x:v>
      </x:c>
      <x:c r="D107" s="30" t="n">
        <x:v>2019</x:v>
      </x:c>
      <x:c r="E107" s="24" t="str">
        <x:v>Chromis limbata</x:v>
      </x:c>
      <x:c r="F107" s="24" t="str">
        <x:v>Azores chromis</x:v>
      </x:c>
      <x:c r="G107" s="24" t="str">
        <x:v>Small reef assoc. fish (&lt;30 cm)</x:v>
      </x:c>
      <x:c r="H107" s="24" t="str">
        <x:v>Perch-likes</x:v>
      </x:c>
      <x:c r="I107" s="31" t="n">
        <x:v>4.148337305</x:v>
      </x:c>
      <x:c r="J107" s="31" t="n">
        <x:v>1.7344900001999999</x:v>
      </x:c>
      <x:c r="K107" s="31" t="n">
        <x:v>2.4138473048</x:v>
      </x:c>
      <x:c r="L107" s="31" t="n">
        <x:v>1.7344900001999999</x:v>
      </x:c>
      <x:c r="M107" s="31" t="n">
        <x:v>2.4138473048</x:v>
      </x:c>
      <x:c r="N107" s="24" t="str">
        <x:v>chromis limbata</x:v>
      </x:c>
      <x:c r="O107" s="32" t="n">
        <x:v>3.4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Chromis limbata</x:v>
      </x:c>
      <x:c r="T107" s="32" t="n">
        <x:f>IF(O107="","",(1/'Metadata'!$B$5)^(O107-1))</x:f>
        <x:v>251.18864315095797</x:v>
      </x:c>
      <x:c r="U107" s="31" t="n">
        <x:f>IF(T107="","",I107*T107)</x:f>
        <x:v>1042.0152189754517</x:v>
      </x:c>
    </x:row>
    <x:row r="108" ht="18" customHeight="1">
      <x:c r="A108" s="24" t="str">
        <x:v>EEZ_723</x:v>
      </x:c>
      <x:c r="B108" s="24" t="str">
        <x:v>Canary Isl. (Spain)</x:v>
      </x:c>
      <x:c r="C108" s="24" t="str">
        <x:v>EEZ</x:v>
      </x:c>
      <x:c r="D108" s="30" t="n">
        <x:v>2019</x:v>
      </x:c>
      <x:c r="E108" s="24" t="str">
        <x:v>Epigonus telescopus</x:v>
      </x:c>
      <x:c r="F108" s="24" t="str">
        <x:v>Black cardinal fish</x:v>
      </x:c>
      <x:c r="G108" s="24" t="str">
        <x:v>Medium bathydemersals (30 - 89 cm)</x:v>
      </x:c>
      <x:c r="H108" s="24" t="str">
        <x:v>Perch-likes</x:v>
      </x:c>
      <x:c r="I108" s="31" t="n">
        <x:v>4.01026</x:v>
      </x:c>
      <x:c r="J108" s="31" t="n">
        <x:v>4.01026</x:v>
      </x:c>
      <x:c r="K108" s="31" t="n">
        <x:v>0</x:v>
      </x:c>
      <x:c r="L108" s="31" t="n">
        <x:v>4.01026</x:v>
      </x:c>
      <x:c r="M108" s="31" t="n">
        <x:v>0</x:v>
      </x:c>
      <x:c r="N108" s="24" t="str">
        <x:v>epigonus telescopus</x:v>
      </x:c>
      <x:c r="O108" s="32" t="n">
        <x:v>3.59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Epigonus telescopus</x:v>
      </x:c>
      <x:c r="T108" s="32" t="n">
        <x:f>IF(O108="","",(1/'Metadata'!$B$5)^(O108-1))</x:f>
        <x:v>389.04514499428046</x:v>
      </x:c>
      <x:c r="U108" s="31" t="n">
        <x:f>IF(T108="","",I108*T108)</x:f>
        <x:v>1560.172183164763</x:v>
      </x:c>
    </x:row>
    <x:row r="109" ht="18" customHeight="1">
      <x:c r="A109" s="24" t="str">
        <x:v>EEZ_723</x:v>
      </x:c>
      <x:c r="B109" s="24" t="str">
        <x:v>Canary Isl. (Spain)</x:v>
      </x:c>
      <x:c r="C109" s="24" t="str">
        <x:v>EEZ</x:v>
      </x:c>
      <x:c r="D109" s="30" t="n">
        <x:v>2019</x:v>
      </x:c>
      <x:c r="E109" s="24" t="str">
        <x:v>Coryphaena</x:v>
      </x:c>
      <x:c r="F109" s="24" t="str">
        <x:v>Dolphinfishes</x:v>
      </x:c>
      <x:c r="G109" s="24" t="str">
        <x:v>Large pelagics (&gt;=90 cm)</x:v>
      </x:c>
      <x:c r="H109" s="24" t="str">
        <x:v>Perch-likes</x:v>
      </x:c>
      <x:c r="I109" s="31" t="n">
        <x:v>3.9400500000000003</x:v>
      </x:c>
      <x:c r="J109" s="31" t="n">
        <x:v>3.9400500000000003</x:v>
      </x:c>
      <x:c r="K109" s="31" t="n">
        <x:v>0</x:v>
      </x:c>
      <x:c r="L109" s="31" t="n">
        <x:v>3.9400500000000003</x:v>
      </x:c>
      <x:c r="M109" s="31" t="n">
        <x:v>0</x:v>
      </x:c>
      <x:c r="N109" s="24" t="str">
        <x:v>coryphaena</x:v>
      </x:c>
      <x:c r="O109" s="32" t="n">
        <x:v>4.49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Coryphaena</x:v>
      </x:c>
      <x:c r="T109" s="32" t="n">
        <x:f>IF(O109="","",(1/'Metadata'!$B$5)^(O109-1))</x:f>
        <x:v>3090.295432513592</x:v>
      </x:c>
      <x:c r="U109" s="31" t="n">
        <x:f>IF(T109="","",I109*T109)</x:f>
        <x:v>12175.91851887518</x:v>
      </x:c>
    </x:row>
    <x:row r="110" ht="18" customHeight="1">
      <x:c r="A110" s="24" t="str">
        <x:v>EEZ_723</x:v>
      </x:c>
      <x:c r="B110" s="24" t="str">
        <x:v>Canary Isl. (Spain)</x:v>
      </x:c>
      <x:c r="C110" s="24" t="str">
        <x:v>EEZ</x:v>
      </x:c>
      <x:c r="D110" s="30" t="n">
        <x:v>2019</x:v>
      </x:c>
      <x:c r="E110" s="24" t="str">
        <x:v>Umbrina canariensis</x:v>
      </x:c>
      <x:c r="F110" s="24" t="str">
        <x:v>Canary drum</x:v>
      </x:c>
      <x:c r="G110" s="24" t="str">
        <x:v>Medium demersals (30 - 89 cm)</x:v>
      </x:c>
      <x:c r="H110" s="24" t="str">
        <x:v>Perch-likes</x:v>
      </x:c>
      <x:c r="I110" s="31" t="n">
        <x:v>3.4127199996</x:v>
      </x:c>
      <x:c r="J110" s="31" t="n">
        <x:v>3.4127199996</x:v>
      </x:c>
      <x:c r="K110" s="31" t="n">
        <x:v>0</x:v>
      </x:c>
      <x:c r="L110" s="31" t="n">
        <x:v>3.4127199996</x:v>
      </x:c>
      <x:c r="M110" s="31" t="n">
        <x:v>0</x:v>
      </x:c>
      <x:c r="N110" s="24" t="str">
        <x:v>umbrina canariensis</x:v>
      </x:c>
      <x:c r="O110" s="32" t="n">
        <x:v>3.37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Umbrina canariensis</x:v>
      </x:c>
      <x:c r="T110" s="32" t="n">
        <x:f>IF(O110="","",(1/'Metadata'!$B$5)^(O110-1))</x:f>
        <x:v>234.42288153199226</x:v>
      </x:c>
      <x:c r="U110" s="31" t="n">
        <x:f>IF(T110="","",I110*T110)</x:f>
        <x:v>800.0196561680915</x:v>
      </x:c>
    </x:row>
    <x:row r="111" ht="18" customHeight="1">
      <x:c r="A111" s="24" t="str">
        <x:v>EEZ_723</x:v>
      </x:c>
      <x:c r="B111" s="24" t="str">
        <x:v>Canary Isl. (Spain)</x:v>
      </x:c>
      <x:c r="C111" s="24" t="str">
        <x:v>EEZ</x:v>
      </x:c>
      <x:c r="D111" s="30" t="n">
        <x:v>2019</x:v>
      </x:c>
      <x:c r="E111" s="24" t="str">
        <x:v>Pomatomus saltatrix</x:v>
      </x:c>
      <x:c r="F111" s="24" t="str">
        <x:v>Bluefish</x:v>
      </x:c>
      <x:c r="G111" s="24" t="str">
        <x:v>Large pelagics (&gt;=90 cm)</x:v>
      </x:c>
      <x:c r="H111" s="24" t="str">
        <x:v>Perch-likes</x:v>
      </x:c>
      <x:c r="I111" s="31" t="n">
        <x:v>3.2969500000000003</x:v>
      </x:c>
      <x:c r="J111" s="31" t="n">
        <x:v>3.2969500000000003</x:v>
      </x:c>
      <x:c r="K111" s="31" t="n">
        <x:v>0</x:v>
      </x:c>
      <x:c r="L111" s="31" t="n">
        <x:v>3.2969500000000003</x:v>
      </x:c>
      <x:c r="M111" s="31" t="n">
        <x:v>0</x:v>
      </x:c>
      <x:c r="N111" s="24" t="str">
        <x:v>pomatomus saltatrix</x:v>
      </x:c>
      <x:c r="O111" s="32" t="n">
        <x:v>4.53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Pomatomus saltatrix</x:v>
      </x:c>
      <x:c r="T111" s="32" t="n">
        <x:f>IF(O111="","",(1/'Metadata'!$B$5)^(O111-1))</x:f>
        <x:v>3388.4415613920273</x:v>
      </x:c>
      <x:c r="U111" s="31" t="n">
        <x:f>IF(T111="","",I111*T111)</x:f>
        <x:v>11171.522405831445</x:v>
      </x:c>
    </x:row>
    <x:row r="112" ht="18" customHeight="1">
      <x:c r="A112" s="24" t="str">
        <x:v>EEZ_723</x:v>
      </x:c>
      <x:c r="B112" s="24" t="str">
        <x:v>Canary Isl. (Spain)</x:v>
      </x:c>
      <x:c r="C112" s="24" t="str">
        <x:v>EEZ</x:v>
      </x:c>
      <x:c r="D112" s="30" t="n">
        <x:v>2019</x:v>
      </x:c>
      <x:c r="E112" s="24" t="str">
        <x:v>Marine pelagic fishes not identified</x:v>
      </x:c>
      <x:c r="F112" s="24" t="str">
        <x:v>Pelagic fishes</x:v>
      </x:c>
      <x:c r="G112" s="24" t="str">
        <x:v>Medium pelagics (30 - 89 cm)</x:v>
      </x:c>
      <x:c r="H112" s="24" t="str">
        <x:v>Other fishes &amp; inverts</x:v>
      </x:c>
      <x:c r="I112" s="31" t="n">
        <x:v>3.2327815105</x:v>
      </x:c>
      <x:c r="J112" s="31" t="n">
        <x:v>3.2327815105</x:v>
      </x:c>
      <x:c r="K112" s="31" t="n">
        <x:v>0</x:v>
      </x:c>
      <x:c r="L112" s="31" t="n">
        <x:v>3.2327815105</x:v>
      </x:c>
      <x:c r="M112" s="31" t="n">
        <x:v>0</x:v>
      </x:c>
      <x:c r="N112" s="24" t="str">
        <x:v>marine pelagic fishes not identified</x:v>
      </x:c>
      <x:c r="O112" s="32" t="n">
        <x:v>3.35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Marine pelagic fishes not identified</x:v>
      </x:c>
      <x:c r="T112" s="32" t="n">
        <x:f>IF(O112="","",(1/'Metadata'!$B$5)^(O112-1))</x:f>
        <x:v>223.872113856834</x:v>
      </x:c>
      <x:c r="U112" s="31" t="n">
        <x:f>IF(T112="","",I112*T112)</x:f>
        <x:v>723.7296303929238</x:v>
      </x:c>
    </x:row>
    <x:row r="113" ht="18" customHeight="1">
      <x:c r="A113" s="24" t="str">
        <x:v>EEZ_723</x:v>
      </x:c>
      <x:c r="B113" s="24" t="str">
        <x:v>Canary Isl. (Spain)</x:v>
      </x:c>
      <x:c r="C113" s="24" t="str">
        <x:v>EEZ</x:v>
      </x:c>
      <x:c r="D113" s="30" t="n">
        <x:v>2019</x:v>
      </x:c>
      <x:c r="E113" s="24" t="str">
        <x:v>Pagellus bellottii</x:v>
      </x:c>
      <x:c r="F113" s="24" t="str">
        <x:v>Red pandora</x:v>
      </x:c>
      <x:c r="G113" s="24" t="str">
        <x:v>Medium demersals (30 - 89 cm)</x:v>
      </x:c>
      <x:c r="H113" s="24" t="str">
        <x:v>Perch-likes</x:v>
      </x:c>
      <x:c r="I113" s="31" t="n">
        <x:v>3.1730599999</x:v>
      </x:c>
      <x:c r="J113" s="31" t="n">
        <x:v>3.1730599999</x:v>
      </x:c>
      <x:c r="K113" s="31" t="n">
        <x:v>0</x:v>
      </x:c>
      <x:c r="L113" s="31" t="n">
        <x:v>3.1730599999</x:v>
      </x:c>
      <x:c r="M113" s="31" t="n">
        <x:v>0</x:v>
      </x:c>
      <x:c r="N113" s="24" t="str">
        <x:v>pagellus bellottii</x:v>
      </x:c>
      <x:c r="O113" s="32" t="n">
        <x:v>3.6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Pagellus bellottii</x:v>
      </x:c>
      <x:c r="T113" s="32" t="n">
        <x:f>IF(O113="","",(1/'Metadata'!$B$5)^(O113-1))</x:f>
        <x:v>398.1071705534973</x:v>
      </x:c>
      <x:c r="U113" s="31" t="n">
        <x:f>IF(T113="","",I113*T113)</x:f>
        <x:v>1263.2179385566694</x:v>
      </x:c>
    </x:row>
    <x:row r="114" ht="18" customHeight="1">
      <x:c r="A114" s="24" t="str">
        <x:v>EEZ_723</x:v>
      </x:c>
      <x:c r="B114" s="24" t="str">
        <x:v>Canary Isl. (Spain)</x:v>
      </x:c>
      <x:c r="C114" s="24" t="str">
        <x:v>EEZ</x:v>
      </x:c>
      <x:c r="D114" s="30" t="n">
        <x:v>2019</x:v>
      </x:c>
      <x:c r="E114" s="24" t="str">
        <x:v>Pomacentridae</x:v>
      </x:c>
      <x:c r="F114" s="24" t="str">
        <x:v>Damselfishes</x:v>
      </x:c>
      <x:c r="G114" s="24" t="str">
        <x:v>Small reef assoc. fish (&lt;30 cm)</x:v>
      </x:c>
      <x:c r="H114" s="24" t="str">
        <x:v>Perch-likes</x:v>
      </x:c>
      <x:c r="I114" s="31" t="n">
        <x:v>2.4138473048</x:v>
      </x:c>
      <x:c r="J114" s="31" t="n">
        <x:v>0</x:v>
      </x:c>
      <x:c r="K114" s="31" t="n">
        <x:v>2.4138473048</x:v>
      </x:c>
      <x:c r="L114" s="31" t="n">
        <x:v>0</x:v>
      </x:c>
      <x:c r="M114" s="31" t="n">
        <x:v>2.4138473048</x:v>
      </x:c>
      <x:c r="N114" s="24" t="str">
        <x:v>pomacentridae</x:v>
      </x:c>
      <x:c r="O114" s="32" t="n">
        <x:v>2.57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Pomacentridae</x:v>
      </x:c>
      <x:c r="T114" s="32" t="n">
        <x:f>IF(O114="","",(1/'Metadata'!$B$5)^(O114-1))</x:f>
        <x:v>37.15352290971724</x:v>
      </x:c>
      <x:c r="U114" s="31" t="n">
        <x:f>IF(T114="","",I114*T114)</x:f>
        <x:v>89.68293113944601</x:v>
      </x:c>
    </x:row>
    <x:row r="115" ht="18" customHeight="1">
      <x:c r="A115" s="24" t="str">
        <x:v>EEZ_723</x:v>
      </x:c>
      <x:c r="B115" s="24" t="str">
        <x:v>Canary Isl. (Spain)</x:v>
      </x:c>
      <x:c r="C115" s="24" t="str">
        <x:v>EEZ</x:v>
      </x:c>
      <x:c r="D115" s="30" t="n">
        <x:v>2019</x:v>
      </x:c>
      <x:c r="E115" s="24" t="str">
        <x:v>Serranus scriba</x:v>
      </x:c>
      <x:c r="F115" s="24" t="str">
        <x:v>Painted comber</x:v>
      </x:c>
      <x:c r="G115" s="24" t="str">
        <x:v>Medium demersals (30 - 89 cm)</x:v>
      </x:c>
      <x:c r="H115" s="24" t="str">
        <x:v>Perch-likes</x:v>
      </x:c>
      <x:c r="I115" s="31" t="n">
        <x:v>2.3770500002</x:v>
      </x:c>
      <x:c r="J115" s="31" t="n">
        <x:v>2.3770500002</x:v>
      </x:c>
      <x:c r="K115" s="31" t="n">
        <x:v>0</x:v>
      </x:c>
      <x:c r="L115" s="31" t="n">
        <x:v>2.3770500002</x:v>
      </x:c>
      <x:c r="M115" s="31" t="n">
        <x:v>0</x:v>
      </x:c>
      <x:c r="N115" s="24" t="str">
        <x:v>serranus scriba</x:v>
      </x:c>
      <x:c r="O115" s="32" t="n">
        <x:v>3.82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Serranus scriba</x:v>
      </x:c>
      <x:c r="T115" s="32" t="n">
        <x:f>IF(O115="","",(1/'Metadata'!$B$5)^(O115-1))</x:f>
        <x:v>660.6934480075957</x:v>
      </x:c>
      <x:c r="U115" s="31" t="n">
        <x:f>IF(T115="","",I115*T115)</x:f>
        <x:v>1570.5013607185942</x:v>
      </x:c>
    </x:row>
    <x:row r="116" ht="18" customHeight="1">
      <x:c r="A116" s="24" t="str">
        <x:v>EEZ_723</x:v>
      </x:c>
      <x:c r="B116" s="24" t="str">
        <x:v>Canary Isl. (Spain)</x:v>
      </x:c>
      <x:c r="C116" s="24" t="str">
        <x:v>EEZ</x:v>
      </x:c>
      <x:c r="D116" s="30" t="n">
        <x:v>2019</x:v>
      </x:c>
      <x:c r="E116" s="24" t="str">
        <x:v>Gymnothorax maderensis</x:v>
      </x:c>
      <x:c r="F116" s="24" t="str">
        <x:v>Sharktooth moray</x:v>
      </x:c>
      <x:c r="G116" s="24" t="str">
        <x:v>Medium demersals (30 - 89 cm)</x:v>
      </x:c>
      <x:c r="H116" s="24" t="str">
        <x:v>Other fishes &amp; inverts</x:v>
      </x:c>
      <x:c r="I116" s="31" t="n">
        <x:v>2.31765</x:v>
      </x:c>
      <x:c r="J116" s="31" t="n">
        <x:v>2.31765</x:v>
      </x:c>
      <x:c r="K116" s="31" t="n">
        <x:v>0</x:v>
      </x:c>
      <x:c r="L116" s="31" t="n">
        <x:v>2.31765</x:v>
      </x:c>
      <x:c r="M116" s="31" t="n">
        <x:v>0</x:v>
      </x:c>
      <x:c r="N116" s="24" t="str">
        <x:v>gymnothorax maderensis</x:v>
      </x:c>
      <x:c r="O116" s="32" t="n">
        <x:v>4.1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Gymnothorax maderensis</x:v>
      </x:c>
      <x:c r="T116" s="32" t="n">
        <x:f>IF(O116="","",(1/'Metadata'!$B$5)^(O116-1))</x:f>
        <x:v>1258.9254117941662</x:v>
      </x:c>
      <x:c r="U116" s="31" t="n">
        <x:f>IF(T116="","",I116*T116)</x:f>
        <x:v>2917.748480644749</x:v>
      </x:c>
    </x:row>
    <x:row r="117" ht="18" customHeight="1">
      <x:c r="A117" s="24" t="str">
        <x:v>EEZ_723</x:v>
      </x:c>
      <x:c r="B117" s="24" t="str">
        <x:v>Canary Isl. (Spain)</x:v>
      </x:c>
      <x:c r="C117" s="24" t="str">
        <x:v>EEZ</x:v>
      </x:c>
      <x:c r="D117" s="30" t="n">
        <x:v>2019</x:v>
      </x:c>
      <x:c r="E117" s="24" t="str">
        <x:v>Isurus paucus</x:v>
      </x:c>
      <x:c r="F117" s="24" t="str">
        <x:v>Longfin mako</x:v>
      </x:c>
      <x:c r="G117" s="24" t="str">
        <x:v>Large sharks (&gt;=90 cm)</x:v>
      </x:c>
      <x:c r="H117" s="24" t="str">
        <x:v>Sharks &amp; rays</x:v>
      </x:c>
      <x:c r="I117" s="31" t="n">
        <x:v>2.2953504122</x:v>
      </x:c>
      <x:c r="J117" s="31" t="n">
        <x:v>2.2953504122</x:v>
      </x:c>
      <x:c r="K117" s="31" t="n">
        <x:v>0</x:v>
      </x:c>
      <x:c r="L117" s="31" t="n">
        <x:v>2.2953504122</x:v>
      </x:c>
      <x:c r="M117" s="31" t="n">
        <x:v>0</x:v>
      </x:c>
      <x:c r="N117" s="24" t="str">
        <x:v>isurus paucus</x:v>
      </x:c>
      <x:c r="O117" s="32" t="n">
        <x:v>4.51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Isurus paucus</x:v>
      </x:c>
      <x:c r="T117" s="32" t="n">
        <x:f>IF(O117="","",(1/'Metadata'!$B$5)^(O117-1))</x:f>
        <x:v>3235.936569296281</x:v>
      </x:c>
      <x:c r="U117" s="31" t="n">
        <x:f>IF(T117="","",I117*T117)</x:f>
        <x:v>7427.608338187272</x:v>
      </x:c>
    </x:row>
    <x:row r="118" ht="18" customHeight="1">
      <x:c r="A118" s="24" t="str">
        <x:v>EEZ_723</x:v>
      </x:c>
      <x:c r="B118" s="24" t="str">
        <x:v>Canary Isl. (Spain)</x:v>
      </x:c>
      <x:c r="C118" s="24" t="str">
        <x:v>EEZ</x:v>
      </x:c>
      <x:c r="D118" s="30" t="n">
        <x:v>2019</x:v>
      </x:c>
      <x:c r="E118" s="24" t="str">
        <x:v>Galeorhinus galeus</x:v>
      </x:c>
      <x:c r="F118" s="24" t="str">
        <x:v>Tope shark</x:v>
      </x:c>
      <x:c r="G118" s="24" t="str">
        <x:v>Large sharks (&gt;=90 cm)</x:v>
      </x:c>
      <x:c r="H118" s="24" t="str">
        <x:v>Sharks &amp; rays</x:v>
      </x:c>
      <x:c r="I118" s="31" t="n">
        <x:v>1.9346700001000001</x:v>
      </x:c>
      <x:c r="J118" s="31" t="n">
        <x:v>1.9346700001000001</x:v>
      </x:c>
      <x:c r="K118" s="31" t="n">
        <x:v>0</x:v>
      </x:c>
      <x:c r="L118" s="31" t="n">
        <x:v>1.9346700001000001</x:v>
      </x:c>
      <x:c r="M118" s="31" t="n">
        <x:v>0</x:v>
      </x:c>
      <x:c r="N118" s="24" t="str">
        <x:v>galeorhinus galeus</x:v>
      </x:c>
      <x:c r="O118" s="32" t="n">
        <x:v>4.34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Galeorhinus galeus</x:v>
      </x:c>
      <x:c r="T118" s="32" t="n">
        <x:f>IF(O118="","",(1/'Metadata'!$B$5)^(O118-1))</x:f>
        <x:v>2187.761623949552</x:v>
      </x:c>
      <x:c r="U118" s="31" t="n">
        <x:f>IF(T118="","",I118*T118)</x:f>
        <x:v>4232.596781225256</x:v>
      </x:c>
    </x:row>
    <x:row r="119" ht="18" customHeight="1">
      <x:c r="A119" s="24" t="str">
        <x:v>EEZ_723</x:v>
      </x:c>
      <x:c r="B119" s="24" t="str">
        <x:v>Canary Isl. (Spain)</x:v>
      </x:c>
      <x:c r="C119" s="24" t="str">
        <x:v>EEZ</x:v>
      </x:c>
      <x:c r="D119" s="30" t="n">
        <x:v>2019</x:v>
      </x:c>
      <x:c r="E119" s="24" t="str">
        <x:v>Dentex maroccanus</x:v>
      </x:c>
      <x:c r="F119" s="24" t="str">
        <x:v>Morocco dentex</x:v>
      </x:c>
      <x:c r="G119" s="24" t="str">
        <x:v>Medium demersals (30 - 89 cm)</x:v>
      </x:c>
      <x:c r="H119" s="24" t="str">
        <x:v>Perch-likes</x:v>
      </x:c>
      <x:c r="I119" s="31" t="n">
        <x:v>1.7438499998</x:v>
      </x:c>
      <x:c r="J119" s="31" t="n">
        <x:v>1.7438499998</x:v>
      </x:c>
      <x:c r="K119" s="31" t="n">
        <x:v>0</x:v>
      </x:c>
      <x:c r="L119" s="31" t="n">
        <x:v>1.7438499998</x:v>
      </x:c>
      <x:c r="M119" s="31" t="n">
        <x:v>0</x:v>
      </x:c>
      <x:c r="N119" s="24" t="str">
        <x:v>dentex maroccanus</x:v>
      </x:c>
      <x:c r="O119" s="32" t="n">
        <x:v>3.85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Dentex maroccanus</x:v>
      </x:c>
      <x:c r="T119" s="32" t="n">
        <x:f>IF(O119="","",(1/'Metadata'!$B$5)^(O119-1))</x:f>
        <x:v>707.945784384138</x:v>
      </x:c>
      <x:c r="U119" s="31" t="n">
        <x:f>IF(T119="","",I119*T119)</x:f>
        <x:v>1234.55125595669</x:v>
      </x:c>
    </x:row>
    <x:row r="120" ht="18" customHeight="1">
      <x:c r="A120" s="24" t="str">
        <x:v>EEZ_723</x:v>
      </x:c>
      <x:c r="B120" s="24" t="str">
        <x:v>Canary Isl. (Spain)</x:v>
      </x:c>
      <x:c r="C120" s="24" t="str">
        <x:v>EEZ</x:v>
      </x:c>
      <x:c r="D120" s="30" t="n">
        <x:v>2019</x:v>
      </x:c>
      <x:c r="E120" s="24" t="str">
        <x:v>Aristaeopsis edwardsiana</x:v>
      </x:c>
      <x:c r="F120" s="24" t="str">
        <x:v>Scarlet shrimp</x:v>
      </x:c>
      <x:c r="G120" s="24" t="str">
        <x:v>Shrimps</x:v>
      </x:c>
      <x:c r="H120" s="24" t="str">
        <x:v>Crustaceans</x:v>
      </x:c>
      <x:c r="I120" s="31" t="n">
        <x:v>1.5935599997</x:v>
      </x:c>
      <x:c r="J120" s="31" t="n">
        <x:v>1.5935599997</x:v>
      </x:c>
      <x:c r="K120" s="31" t="n">
        <x:v>0</x:v>
      </x:c>
      <x:c r="L120" s="31" t="n">
        <x:v>1.5935599997</x:v>
      </x:c>
      <x:c r="M120" s="31" t="n">
        <x:v>0</x:v>
      </x:c>
      <x:c r="N120" s="24" t="str">
        <x:v>aristaeopsis edwardsiana</x:v>
      </x:c>
      <x:c r="O120" s="32" t="n">
        <x:v>2.3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Aristaeopsis edwardsiana</x:v>
      </x:c>
      <x:c r="T120" s="32" t="n">
        <x:f>IF(O120="","",(1/'Metadata'!$B$5)^(O120-1))</x:f>
        <x:v>19.952623149688787</x:v>
      </x:c>
      <x:c r="U120" s="31" t="n">
        <x:f>IF(T120="","",I120*T120)</x:f>
        <x:v>31.795702140432276</x:v>
      </x:c>
    </x:row>
    <x:row r="121" ht="18" customHeight="1">
      <x:c r="A121" s="24" t="str">
        <x:v>EEZ_723</x:v>
      </x:c>
      <x:c r="B121" s="24" t="str">
        <x:v>Canary Isl. (Spain)</x:v>
      </x:c>
      <x:c r="C121" s="24" t="str">
        <x:v>EEZ</x:v>
      </x:c>
      <x:c r="D121" s="30" t="n">
        <x:v>2019</x:v>
      </x:c>
      <x:c r="E121" s="24" t="str">
        <x:v>Pagellus bogaraveo</x:v>
      </x:c>
      <x:c r="F121" s="24" t="str">
        <x:v>Blackspot seabream</x:v>
      </x:c>
      <x:c r="G121" s="24" t="str">
        <x:v>Medium benthopelagics (30 - 89 cm)</x:v>
      </x:c>
      <x:c r="H121" s="24" t="str">
        <x:v>Perch-likes</x:v>
      </x:c>
      <x:c r="I121" s="31" t="n">
        <x:v>1.4001399998</x:v>
      </x:c>
      <x:c r="J121" s="31" t="n">
        <x:v>1.4001399998</x:v>
      </x:c>
      <x:c r="K121" s="31" t="n">
        <x:v>0</x:v>
      </x:c>
      <x:c r="L121" s="31" t="n">
        <x:v>1.4001399998</x:v>
      </x:c>
      <x:c r="M121" s="31" t="n">
        <x:v>0</x:v>
      </x:c>
      <x:c r="N121" s="24" t="str">
        <x:v>pagellus bogaraveo</x:v>
      </x:c>
      <x:c r="O121" s="32" t="n">
        <x:v>4.21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Pagellus bogaraveo</x:v>
      </x:c>
      <x:c r="T121" s="32" t="n">
        <x:f>IF(O121="","",(1/'Metadata'!$B$5)^(O121-1))</x:f>
        <x:v>1621.8100973589299</x:v>
      </x:c>
      <x:c r="U121" s="31" t="n">
        <x:f>IF(T121="","",I121*T121)</x:f>
        <x:v>2270.7611893917697</x:v>
      </x:c>
    </x:row>
    <x:row r="122" ht="18" customHeight="1">
      <x:c r="A122" s="24" t="str">
        <x:v>EEZ_723</x:v>
      </x:c>
      <x:c r="B122" s="24" t="str">
        <x:v>Canary Isl. (Spain)</x:v>
      </x:c>
      <x:c r="C122" s="24" t="str">
        <x:v>EEZ</x:v>
      </x:c>
      <x:c r="D122" s="30" t="n">
        <x:v>2019</x:v>
      </x:c>
      <x:c r="E122" s="24" t="str">
        <x:v>Chelon labrosus</x:v>
      </x:c>
      <x:c r="F122" s="24" t="str">
        <x:v>Thicklip grey mullet</x:v>
      </x:c>
      <x:c r="G122" s="24" t="str">
        <x:v>Medium demersals (30 - 89 cm)</x:v>
      </x:c>
      <x:c r="H122" s="24" t="str">
        <x:v>Perch-likes</x:v>
      </x:c>
      <x:c r="I122" s="31" t="n">
        <x:v>1.2035299998</x:v>
      </x:c>
      <x:c r="J122" s="31" t="n">
        <x:v>1.2035299998</x:v>
      </x:c>
      <x:c r="K122" s="31" t="n">
        <x:v>0</x:v>
      </x:c>
      <x:c r="L122" s="31" t="n">
        <x:v>1.2035299998</x:v>
      </x:c>
      <x:c r="M122" s="31" t="n">
        <x:v>0</x:v>
      </x:c>
      <x:c r="N122" s="24" t="str">
        <x:v>chelon labrosus</x:v>
      </x:c>
      <x:c r="O122" s="32" t="n">
        <x:v>2.59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Chelon labrosus</x:v>
      </x:c>
      <x:c r="T122" s="32" t="n">
        <x:f>IF(O122="","",(1/'Metadata'!$B$5)^(O122-1))</x:f>
        <x:v>38.904514499428046</x:v>
      </x:c>
      <x:c r="U122" s="31" t="n">
        <x:f>IF(T122="","",I122*T122)</x:f>
        <x:v>46.82275032771573</x:v>
      </x:c>
    </x:row>
    <x:row r="123" ht="18" customHeight="1">
      <x:c r="A123" s="24" t="str">
        <x:v>EEZ_723</x:v>
      </x:c>
      <x:c r="B123" s="24" t="str">
        <x:v>Canary Isl. (Spain)</x:v>
      </x:c>
      <x:c r="C123" s="24" t="str">
        <x:v>EEZ</x:v>
      </x:c>
      <x:c r="D123" s="30" t="n">
        <x:v>2019</x:v>
      </x:c>
      <x:c r="E123" s="24" t="str">
        <x:v>Umbrina ronchus</x:v>
      </x:c>
      <x:c r="F123" s="24" t="str">
        <x:v>Fusca drum</x:v>
      </x:c>
      <x:c r="G123" s="24" t="str">
        <x:v>Large demersals (&gt;=90 cm)</x:v>
      </x:c>
      <x:c r="H123" s="24" t="str">
        <x:v>Perch-likes</x:v>
      </x:c>
      <x:c r="I123" s="31" t="n">
        <x:v>1.0525400001</x:v>
      </x:c>
      <x:c r="J123" s="31" t="n">
        <x:v>1.0525400001</x:v>
      </x:c>
      <x:c r="K123" s="31" t="n">
        <x:v>0</x:v>
      </x:c>
      <x:c r="L123" s="31" t="n">
        <x:v>1.0525400001</x:v>
      </x:c>
      <x:c r="M123" s="31" t="n">
        <x:v>0</x:v>
      </x:c>
      <x:c r="N123" s="24" t="str">
        <x:v>umbrina ronchus</x:v>
      </x:c>
      <x:c r="O123" s="32" t="n">
        <x:v>3.38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Umbrina ronchus</x:v>
      </x:c>
      <x:c r="T123" s="32" t="n">
        <x:f>IF(O123="","",(1/'Metadata'!$B$5)^(O123-1))</x:f>
        <x:v>239.88329190194898</x:v>
      </x:c>
      <x:c r="U123" s="31" t="n">
        <x:f>IF(T123="","",I123*T123)</x:f>
        <x:v>252.4867600824657</x:v>
      </x:c>
    </x:row>
    <x:row r="124" ht="18" customHeight="1">
      <x:c r="A124" s="24" t="str">
        <x:v>EEZ_723</x:v>
      </x:c>
      <x:c r="B124" s="24" t="str">
        <x:v>Canary Isl. (Spain)</x:v>
      </x:c>
      <x:c r="C124" s="24" t="str">
        <x:v>EEZ</x:v>
      </x:c>
      <x:c r="D124" s="30" t="n">
        <x:v>2019</x:v>
      </x:c>
      <x:c r="E124" s="24" t="str">
        <x:v>Kyphosus sectatrix</x:v>
      </x:c>
      <x:c r="F124" s="24" t="str">
        <x:v>Bermuda sea chub</x:v>
      </x:c>
      <x:c r="G124" s="24" t="str">
        <x:v>Medium reef assoc. fish (30 - 89 cm)</x:v>
      </x:c>
      <x:c r="H124" s="24" t="str">
        <x:v>Perch-likes</x:v>
      </x:c>
      <x:c r="I124" s="31" t="n">
        <x:v>1.0052000001</x:v>
      </x:c>
      <x:c r="J124" s="31" t="n">
        <x:v>1.0052000001</x:v>
      </x:c>
      <x:c r="K124" s="31" t="n">
        <x:v>0</x:v>
      </x:c>
      <x:c r="L124" s="31" t="n">
        <x:v>1.0052000001</x:v>
      </x:c>
      <x:c r="M124" s="31" t="n">
        <x:v>0</x:v>
      </x:c>
      <x:c r="N124" s="24" t="str">
        <x:v>kyphosus sectatrix</x:v>
      </x:c>
      <x:c r="O124" s="32" t="n">
        <x:v>2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Kyphosus sectatrix</x:v>
      </x:c>
      <x:c r="T124" s="32" t="n">
        <x:f>IF(O124="","",(1/'Metadata'!$B$5)^(O124-1))</x:f>
        <x:v>10</x:v>
      </x:c>
      <x:c r="U124" s="31" t="n">
        <x:f>IF(T124="","",I124*T124)</x:f>
        <x:v>10.052000001000001</x:v>
      </x:c>
    </x:row>
    <x:row r="125" ht="18" customHeight="1">
      <x:c r="A125" s="24" t="str">
        <x:v>EEZ_723</x:v>
      </x:c>
      <x:c r="B125" s="24" t="str">
        <x:v>Canary Isl. (Spain)</x:v>
      </x:c>
      <x:c r="C125" s="24" t="str">
        <x:v>EEZ</x:v>
      </x:c>
      <x:c r="D125" s="30" t="n">
        <x:v>2019</x:v>
      </x:c>
      <x:c r="E125" s="24" t="str">
        <x:v>Ommastrephidae</x:v>
      </x:c>
      <x:c r="F125" s="24" t="str">
        <x:v>Arrow squids</x:v>
      </x:c>
      <x:c r="G125" s="24" t="str">
        <x:v>Cephalopods</x:v>
      </x:c>
      <x:c r="H125" s="24" t="str">
        <x:v>Other fishes &amp; inverts</x:v>
      </x:c>
      <x:c r="I125" s="31" t="n">
        <x:v>0.9437699999</x:v>
      </x:c>
      <x:c r="J125" s="31" t="n">
        <x:v>0.9437699999</x:v>
      </x:c>
      <x:c r="K125" s="31" t="n">
        <x:v>0</x:v>
      </x:c>
      <x:c r="L125" s="31" t="n">
        <x:v>0.9437699999</x:v>
      </x:c>
      <x:c r="M125" s="31" t="n">
        <x:v>0</x:v>
      </x:c>
      <x:c r="N125" s="24" t="str">
        <x:v>ommastrephidae</x:v>
      </x:c>
      <x:c r="O125" s="32" t="n">
        <x:v>4.09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Ommastrephidae</x:v>
      </x:c>
      <x:c r="T125" s="32" t="n">
        <x:f>IF(O125="","",(1/'Metadata'!$B$5)^(O125-1))</x:f>
        <x:v>1230.268770812381</x:v>
      </x:c>
      <x:c r="U125" s="31" t="n">
        <x:f>IF(T125="","",I125*T125)</x:f>
        <x:v>1161.0907577065739</x:v>
      </x:c>
    </x:row>
    <x:row r="126" ht="18" customHeight="1">
      <x:c r="A126" s="24" t="str">
        <x:v>EEZ_723</x:v>
      </x:c>
      <x:c r="B126" s="24" t="str">
        <x:v>Canary Isl. (Spain)</x:v>
      </x:c>
      <x:c r="C126" s="24" t="str">
        <x:v>EEZ</x:v>
      </x:c>
      <x:c r="D126" s="30" t="n">
        <x:v>2019</x:v>
      </x:c>
      <x:c r="E126" s="24" t="str">
        <x:v>Tetrapturus pfluegeri</x:v>
      </x:c>
      <x:c r="F126" s="24" t="str">
        <x:v>Longbill spearfish</x:v>
      </x:c>
      <x:c r="G126" s="24" t="str">
        <x:v>Large pelagics (&gt;=90 cm)</x:v>
      </x:c>
      <x:c r="H126" s="24" t="str">
        <x:v>Tuna &amp; billfishes</x:v>
      </x:c>
      <x:c r="I126" s="31" t="n">
        <x:v>0.8160446382</x:v>
      </x:c>
      <x:c r="J126" s="31" t="n">
        <x:v>0.8160446382</x:v>
      </x:c>
      <x:c r="K126" s="31" t="n">
        <x:v>0</x:v>
      </x:c>
      <x:c r="L126" s="31" t="n">
        <x:v>0.8160446382</x:v>
      </x:c>
      <x:c r="M126" s="31" t="n">
        <x:v>0</x:v>
      </x:c>
      <x:c r="N126" s="24" t="str">
        <x:v>tetrapturus pfluegeri</x:v>
      </x:c>
      <x:c r="O126" s="32" t="n">
        <x:v>4.4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Tetrapturus pfluegeri</x:v>
      </x:c>
      <x:c r="T126" s="32" t="n">
        <x:f>IF(O126="","",(1/'Metadata'!$B$5)^(O126-1))</x:f>
        <x:v>2511.886431509582</x:v>
      </x:c>
      <x:c r="U126" s="31" t="n">
        <x:f>IF(T126="","",I126*T126)</x:f>
        <x:v>2049.8114542007256</x:v>
      </x:c>
    </x:row>
    <x:row r="127" ht="18" customHeight="1">
      <x:c r="A127" s="24" t="str">
        <x:v>EEZ_723</x:v>
      </x:c>
      <x:c r="B127" s="24" t="str">
        <x:v>Canary Isl. (Spain)</x:v>
      </x:c>
      <x:c r="C127" s="24" t="str">
        <x:v>EEZ</x:v>
      </x:c>
      <x:c r="D127" s="30" t="n">
        <x:v>2019</x:v>
      </x:c>
      <x:c r="E127" s="24" t="str">
        <x:v>Scorpaena porcus</x:v>
      </x:c>
      <x:c r="F127" s="24" t="str">
        <x:v>Black scorpionfish</x:v>
      </x:c>
      <x:c r="G127" s="24" t="str">
        <x:v>Small demersals (&lt;30 cm)</x:v>
      </x:c>
      <x:c r="H127" s="24" t="str">
        <x:v>Scorpionfishes</x:v>
      </x:c>
      <x:c r="I127" s="31" t="n">
        <x:v>0.71867</x:v>
      </x:c>
      <x:c r="J127" s="31" t="n">
        <x:v>0.71867</x:v>
      </x:c>
      <x:c r="K127" s="31" t="n">
        <x:v>0</x:v>
      </x:c>
      <x:c r="L127" s="31" t="n">
        <x:v>0.71867</x:v>
      </x:c>
      <x:c r="M127" s="31" t="n">
        <x:v>0</x:v>
      </x:c>
      <x:c r="N127" s="24" t="str">
        <x:v>scorpaena porcus</x:v>
      </x:c>
      <x:c r="O127" s="32" t="n">
        <x:v>3.92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Scorpaena porcus</x:v>
      </x:c>
      <x:c r="T127" s="32" t="n">
        <x:f>IF(O127="","",(1/'Metadata'!$B$5)^(O127-1))</x:f>
        <x:v>831.7637711026708</x:v>
      </x:c>
      <x:c r="U127" s="31" t="n">
        <x:f>IF(T127="","",I127*T127)</x:f>
        <x:v>597.7636693783564</x:v>
      </x:c>
    </x:row>
    <x:row r="128" ht="18" customHeight="1">
      <x:c r="A128" s="24" t="str">
        <x:v>EEZ_723</x:v>
      </x:c>
      <x:c r="B128" s="24" t="str">
        <x:v>Canary Isl. (Spain)</x:v>
      </x:c>
      <x:c r="C128" s="24" t="str">
        <x:v>EEZ</x:v>
      </x:c>
      <x:c r="D128" s="30" t="n">
        <x:v>2019</x:v>
      </x:c>
      <x:c r="E128" s="24" t="str">
        <x:v>Stromateus fiatola</x:v>
      </x:c>
      <x:c r="F128" s="24" t="str">
        <x:v>Blue butterfish</x:v>
      </x:c>
      <x:c r="G128" s="24" t="str">
        <x:v>Medium benthopelagics (30 - 89 cm)</x:v>
      </x:c>
      <x:c r="H128" s="24" t="str">
        <x:v>Perch-likes</x:v>
      </x:c>
      <x:c r="I128" s="31" t="n">
        <x:v>0.6912499999</x:v>
      </x:c>
      <x:c r="J128" s="31" t="n">
        <x:v>0.6912499999</x:v>
      </x:c>
      <x:c r="K128" s="31" t="n">
        <x:v>0</x:v>
      </x:c>
      <x:c r="L128" s="31" t="n">
        <x:v>0.6912499999</x:v>
      </x:c>
      <x:c r="M128" s="31" t="n">
        <x:v>0</x:v>
      </x:c>
      <x:c r="N128" s="24" t="str">
        <x:v>stromateus fiatola</x:v>
      </x:c>
      <x:c r="O128" s="32" t="n">
        <x:v>4.03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Stromateus fiatola</x:v>
      </x:c>
      <x:c r="T128" s="32" t="n">
        <x:f>IF(O128="","",(1/'Metadata'!$B$5)^(O128-1))</x:f>
        <x:v>1071.519305237607</x:v>
      </x:c>
      <x:c r="U128" s="31" t="n">
        <x:f>IF(T128="","",I128*T128)</x:f>
        <x:v>740.687719638344</x:v>
      </x:c>
    </x:row>
    <x:row r="129" ht="18" customHeight="1">
      <x:c r="A129" s="24" t="str">
        <x:v>EEZ_723</x:v>
      </x:c>
      <x:c r="B129" s="24" t="str">
        <x:v>Canary Isl. (Spain)</x:v>
      </x:c>
      <x:c r="C129" s="24" t="str">
        <x:v>EEZ</x:v>
      </x:c>
      <x:c r="D129" s="30" t="n">
        <x:v>2019</x:v>
      </x:c>
      <x:c r="E129" s="24" t="str">
        <x:v>Myliobatis aquila</x:v>
      </x:c>
      <x:c r="F129" s="24" t="str">
        <x:v>Common eagle ray</x:v>
      </x:c>
      <x:c r="G129" s="24" t="str">
        <x:v>Large rays (&gt;=90 cm)</x:v>
      </x:c>
      <x:c r="H129" s="24" t="str">
        <x:v>Sharks &amp; rays</x:v>
      </x:c>
      <x:c r="I129" s="31" t="n">
        <x:v>0.6896706586</x:v>
      </x:c>
      <x:c r="J129" s="31" t="n">
        <x:v>0</x:v>
      </x:c>
      <x:c r="K129" s="31" t="n">
        <x:v>0.6896706586</x:v>
      </x:c>
      <x:c r="L129" s="31" t="n">
        <x:v>0</x:v>
      </x:c>
      <x:c r="M129" s="31" t="n">
        <x:v>0.6896706586</x:v>
      </x:c>
      <x:c r="N129" s="24" t="str">
        <x:v>myliobatis aquila</x:v>
      </x:c>
      <x:c r="O129" s="32" t="n">
        <x:v>3.61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Myliobatis aquila</x:v>
      </x:c>
      <x:c r="T129" s="32" t="n">
        <x:f>IF(O129="","",(1/'Metadata'!$B$5)^(O129-1))</x:f>
        <x:v>407.3802778041126</x:v>
      </x:c>
      <x:c r="U129" s="31" t="n">
        <x:f>IF(T129="","",I129*T129)</x:f>
        <x:v>280.9582244938133</x:v>
      </x:c>
    </x:row>
    <x:row r="130" ht="18" customHeight="1">
      <x:c r="A130" s="24" t="str">
        <x:v>EEZ_723</x:v>
      </x:c>
      <x:c r="B130" s="24" t="str">
        <x:v>Canary Isl. (Spain)</x:v>
      </x:c>
      <x:c r="C130" s="24" t="str">
        <x:v>EEZ</x:v>
      </x:c>
      <x:c r="D130" s="30" t="n">
        <x:v>2019</x:v>
      </x:c>
      <x:c r="E130" s="24" t="str">
        <x:v>Squatina squatina</x:v>
      </x:c>
      <x:c r="F130" s="24" t="str">
        <x:v>Angelshark</x:v>
      </x:c>
      <x:c r="G130" s="24" t="str">
        <x:v>Large sharks (&gt;=90 cm)</x:v>
      </x:c>
      <x:c r="H130" s="24" t="str">
        <x:v>Sharks &amp; rays</x:v>
      </x:c>
      <x:c r="I130" s="31" t="n">
        <x:v>0.6896706586</x:v>
      </x:c>
      <x:c r="J130" s="31" t="n">
        <x:v>0</x:v>
      </x:c>
      <x:c r="K130" s="31" t="n">
        <x:v>0.6896706586</x:v>
      </x:c>
      <x:c r="L130" s="31" t="n">
        <x:v>0</x:v>
      </x:c>
      <x:c r="M130" s="31" t="n">
        <x:v>0.6896706586</x:v>
      </x:c>
      <x:c r="N130" s="24" t="str">
        <x:v>squatina squatina</x:v>
      </x:c>
      <x:c r="O130" s="32" t="n">
        <x:v>4.05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Squatina squatina</x:v>
      </x:c>
      <x:c r="T130" s="32" t="n">
        <x:f>IF(O130="","",(1/'Metadata'!$B$5)^(O130-1))</x:f>
        <x:v>1122.018454301963</x:v>
      </x:c>
      <x:c r="U130" s="31" t="n">
        <x:f>IF(T130="","",I130*T130)</x:f>
        <x:v>773.8232063397887</x:v>
      </x:c>
    </x:row>
    <x:row r="131" ht="18" customHeight="1">
      <x:c r="A131" s="24" t="str">
        <x:v>EEZ_723</x:v>
      </x:c>
      <x:c r="B131" s="24" t="str">
        <x:v>Canary Isl. (Spain)</x:v>
      </x:c>
      <x:c r="C131" s="24" t="str">
        <x:v>EEZ</x:v>
      </x:c>
      <x:c r="D131" s="30" t="n">
        <x:v>2019</x:v>
      </x:c>
      <x:c r="E131" s="24" t="str">
        <x:v>Dasyatidae</x:v>
      </x:c>
      <x:c r="F131" s="24" t="str">
        <x:v>Whiptail stingrays</x:v>
      </x:c>
      <x:c r="G131" s="24" t="str">
        <x:v>Large rays (&gt;=90 cm)</x:v>
      </x:c>
      <x:c r="H131" s="24" t="str">
        <x:v>Sharks &amp; rays</x:v>
      </x:c>
      <x:c r="I131" s="31" t="n">
        <x:v>0.6896706585</x:v>
      </x:c>
      <x:c r="J131" s="31" t="n">
        <x:v>0</x:v>
      </x:c>
      <x:c r="K131" s="31" t="n">
        <x:v>0.6896706585</x:v>
      </x:c>
      <x:c r="L131" s="31" t="n">
        <x:v>0</x:v>
      </x:c>
      <x:c r="M131" s="31" t="n">
        <x:v>0.6896706585</x:v>
      </x:c>
      <x:c r="N131" s="24" t="str">
        <x:v>dasyatidae</x:v>
      </x:c>
      <x:c r="O131" s="32" t="n">
        <x:v>3.38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Dasyatidae</x:v>
      </x:c>
      <x:c r="T131" s="32" t="n">
        <x:f>IF(O131="","",(1/'Metadata'!$B$5)^(O131-1))</x:f>
        <x:v>239.88329190194898</x:v>
      </x:c>
      <x:c r="U131" s="31" t="n">
        <x:f>IF(T131="","",I131*T131)</x:f>
        <x:v>165.44046788916486</x:v>
      </x:c>
    </x:row>
    <x:row r="132" ht="18" customHeight="1">
      <x:c r="A132" s="24" t="str">
        <x:v>EEZ_723</x:v>
      </x:c>
      <x:c r="B132" s="24" t="str">
        <x:v>Canary Isl. (Spain)</x:v>
      </x:c>
      <x:c r="C132" s="24" t="str">
        <x:v>EEZ</x:v>
      </x:c>
      <x:c r="D132" s="30" t="n">
        <x:v>2019</x:v>
      </x:c>
      <x:c r="E132" s="24" t="str">
        <x:v>Dasyatis</x:v>
      </x:c>
      <x:c r="F132" s="24" t="str">
        <x:v>Rough whip stingrays</x:v>
      </x:c>
      <x:c r="G132" s="24" t="str">
        <x:v>Large rays (&gt;=90 cm)</x:v>
      </x:c>
      <x:c r="H132" s="24" t="str">
        <x:v>Sharks &amp; rays</x:v>
      </x:c>
      <x:c r="I132" s="31" t="n">
        <x:v>0.6896706585</x:v>
      </x:c>
      <x:c r="J132" s="31" t="n">
        <x:v>0</x:v>
      </x:c>
      <x:c r="K132" s="31" t="n">
        <x:v>0.6896706585</x:v>
      </x:c>
      <x:c r="L132" s="31" t="n">
        <x:v>0</x:v>
      </x:c>
      <x:c r="M132" s="31" t="n">
        <x:v>0.6896706585</x:v>
      </x:c>
      <x:c r="N132" s="24" t="str">
        <x:v>dasyatis</x:v>
      </x:c>
      <x:c r="O132" s="32" t="n">
        <x:v>3.28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Dasyatis</x:v>
      </x:c>
      <x:c r="T132" s="32" t="n">
        <x:f>IF(O132="","",(1/'Metadata'!$B$5)^(O132-1))</x:f>
        <x:v>190.54607179632464</x:v>
      </x:c>
      <x:c r="U132" s="31" t="n">
        <x:f>IF(T132="","",I132*T132)</x:f>
        <x:v>131.41403481035948</x:v>
      </x:c>
    </x:row>
    <x:row r="133" ht="18" customHeight="1">
      <x:c r="A133" s="24" t="str">
        <x:v>EEZ_723</x:v>
      </x:c>
      <x:c r="B133" s="24" t="str">
        <x:v>Canary Isl. (Spain)</x:v>
      </x:c>
      <x:c r="C133" s="24" t="str">
        <x:v>EEZ</x:v>
      </x:c>
      <x:c r="D133" s="30" t="n">
        <x:v>2019</x:v>
      </x:c>
      <x:c r="E133" s="24" t="str">
        <x:v>Holothuroidea</x:v>
      </x:c>
      <x:c r="F133" s="24" t="str">
        <x:v>Sea cucumbers</x:v>
      </x:c>
      <x:c r="G133" s="24" t="str">
        <x:v>Other demersal invertebrates</x:v>
      </x:c>
      <x:c r="H133" s="24" t="str">
        <x:v>Other fishes &amp; inverts</x:v>
      </x:c>
      <x:c r="I133" s="31" t="n">
        <x:v>0.6896706585</x:v>
      </x:c>
      <x:c r="J133" s="31" t="n">
        <x:v>0</x:v>
      </x:c>
      <x:c r="K133" s="31" t="n">
        <x:v>0.6896706585</x:v>
      </x:c>
      <x:c r="L133" s="31" t="n">
        <x:v>0</x:v>
      </x:c>
      <x:c r="M133" s="31" t="n">
        <x:v>0.6896706585</x:v>
      </x:c>
      <x:c r="N133" s="24" t="str">
        <x:v>holothuroidea</x:v>
      </x:c>
      <x:c r="O133" s="32" t="n">
        <x:v>2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Holothuroidea</x:v>
      </x:c>
      <x:c r="T133" s="32" t="n">
        <x:f>IF(O133="","",(1/'Metadata'!$B$5)^(O133-1))</x:f>
        <x:v>10</x:v>
      </x:c>
      <x:c r="U133" s="31" t="n">
        <x:f>IF(T133="","",I133*T133)</x:f>
        <x:v>6.896706585</x:v>
      </x:c>
    </x:row>
    <x:row r="134" ht="18" customHeight="1">
      <x:c r="A134" s="24" t="str">
        <x:v>EEZ_723</x:v>
      </x:c>
      <x:c r="B134" s="24" t="str">
        <x:v>Canary Isl. (Spain)</x:v>
      </x:c>
      <x:c r="C134" s="24" t="str">
        <x:v>EEZ</x:v>
      </x:c>
      <x:c r="D134" s="30" t="n">
        <x:v>2019</x:v>
      </x:c>
      <x:c r="E134" s="24" t="str">
        <x:v>Echinoidea</x:v>
      </x:c>
      <x:c r="F134" s="24" t="str">
        <x:v>Sea urchins, sea hedgehogs</x:v>
      </x:c>
      <x:c r="G134" s="24" t="str">
        <x:v>Other demersal invertebrates</x:v>
      </x:c>
      <x:c r="H134" s="24" t="str">
        <x:v>Other fishes &amp; inverts</x:v>
      </x:c>
      <x:c r="I134" s="31" t="n">
        <x:v>0.6896706584</x:v>
      </x:c>
      <x:c r="J134" s="31" t="n">
        <x:v>0</x:v>
      </x:c>
      <x:c r="K134" s="31" t="n">
        <x:v>0.6896706584</x:v>
      </x:c>
      <x:c r="L134" s="31" t="n">
        <x:v>0</x:v>
      </x:c>
      <x:c r="M134" s="31" t="n">
        <x:v>0.6896706584</x:v>
      </x:c>
      <x:c r="N134" s="24" t="str">
        <x:v>echinoidea</x:v>
      </x:c>
      <x:c r="O134" s="32" t="n">
        <x:v>2.51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Echinoidea</x:v>
      </x:c>
      <x:c r="T134" s="32" t="n">
        <x:f>IF(O134="","",(1/'Metadata'!$B$5)^(O134-1))</x:f>
        <x:v>32.35936569296281</x:v>
      </x:c>
      <x:c r="U134" s="31" t="n">
        <x:f>IF(T134="","",I134*T134)</x:f>
        <x:v>22.317305042872032</x:v>
      </x:c>
    </x:row>
    <x:row r="135" ht="18" customHeight="1">
      <x:c r="A135" s="24" t="str">
        <x:v>EEZ_723</x:v>
      </x:c>
      <x:c r="B135" s="24" t="str">
        <x:v>Canary Isl. (Spain)</x:v>
      </x:c>
      <x:c r="C135" s="24" t="str">
        <x:v>EEZ</x:v>
      </x:c>
      <x:c r="D135" s="30" t="n">
        <x:v>2019</x:v>
      </x:c>
      <x:c r="E135" s="24" t="str">
        <x:v>Miscellaneous aquatic invertebrates</x:v>
      </x:c>
      <x:c r="F135" s="24" t="str">
        <x:v>Aquatic invertebrates</x:v>
      </x:c>
      <x:c r="G135" s="24" t="str">
        <x:v>Other demersal invertebrates</x:v>
      </x:c>
      <x:c r="H135" s="24" t="str">
        <x:v>Other fishes &amp; inverts</x:v>
      </x:c>
      <x:c r="I135" s="31" t="n">
        <x:v>0.6896706584</x:v>
      </x:c>
      <x:c r="J135" s="31" t="n">
        <x:v>0</x:v>
      </x:c>
      <x:c r="K135" s="31" t="n">
        <x:v>0.6896706584</x:v>
      </x:c>
      <x:c r="L135" s="31" t="n">
        <x:v>0</x:v>
      </x:c>
      <x:c r="M135" s="31" t="n">
        <x:v>0.6896706584</x:v>
      </x:c>
      <x:c r="N135" s="24" t="str">
        <x:v>miscellaneous aquatic invertebrates</x:v>
      </x:c>
      <x:c r="O135" s="32" t="n">
        <x:v>2.43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Miscellaneous aquatic invertebrates</x:v>
      </x:c>
      <x:c r="T135" s="32" t="n">
        <x:f>IF(O135="","",(1/'Metadata'!$B$5)^(O135-1))</x:f>
        <x:v>26.915348039269166</x:v>
      </x:c>
      <x:c r="U135" s="31" t="n">
        <x:f>IF(T135="","",I135*T135)</x:f>
        <x:v>18.562725803307913</x:v>
      </x:c>
    </x:row>
    <x:row r="136" ht="18" customHeight="1">
      <x:c r="A136" s="24" t="str">
        <x:v>EEZ_723</x:v>
      </x:c>
      <x:c r="B136" s="24" t="str">
        <x:v>Canary Isl. (Spain)</x:v>
      </x:c>
      <x:c r="C136" s="24" t="str">
        <x:v>EEZ</x:v>
      </x:c>
      <x:c r="D136" s="30" t="n">
        <x:v>2019</x:v>
      </x:c>
      <x:c r="E136" s="24" t="str">
        <x:v>Zeus faber</x:v>
      </x:c>
      <x:c r="F136" s="24" t="str">
        <x:v>John dory</x:v>
      </x:c>
      <x:c r="G136" s="24" t="str">
        <x:v>Medium benthopelagics (30 - 89 cm)</x:v>
      </x:c>
      <x:c r="H136" s="24" t="str">
        <x:v>Other fishes &amp; inverts</x:v>
      </x:c>
      <x:c r="I136" s="31" t="n">
        <x:v>0.5878399999999999</x:v>
      </x:c>
      <x:c r="J136" s="31" t="n">
        <x:v>0.5878399999999999</x:v>
      </x:c>
      <x:c r="K136" s="31" t="n">
        <x:v>0</x:v>
      </x:c>
      <x:c r="L136" s="31" t="n">
        <x:v>0.5878399999999999</x:v>
      </x:c>
      <x:c r="M136" s="31" t="n">
        <x:v>0</x:v>
      </x:c>
      <x:c r="N136" s="24" t="str">
        <x:v>zeus faber</x:v>
      </x:c>
      <x:c r="O136" s="32" t="n">
        <x:v>4.5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Zeus faber</x:v>
      </x:c>
      <x:c r="T136" s="32" t="n">
        <x:f>IF(O136="","",(1/'Metadata'!$B$5)^(O136-1))</x:f>
        <x:v>3162.2776601683795</x:v>
      </x:c>
      <x:c r="U136" s="31" t="n">
        <x:f>IF(T136="","",I136*T136)</x:f>
        <x:v>1858.91329975338</x:v>
      </x:c>
    </x:row>
    <x:row r="137" ht="18" customHeight="1">
      <x:c r="A137" s="24" t="str">
        <x:v>EEZ_723</x:v>
      </x:c>
      <x:c r="B137" s="24" t="str">
        <x:v>Canary Isl. (Spain)</x:v>
      </x:c>
      <x:c r="C137" s="24" t="str">
        <x:v>EEZ</x:v>
      </x:c>
      <x:c r="D137" s="30" t="n">
        <x:v>2019</x:v>
      </x:c>
      <x:c r="E137" s="24" t="str">
        <x:v>Istiophoridae</x:v>
      </x:c>
      <x:c r="F137" s="24" t="str">
        <x:v>Billfishes</x:v>
      </x:c>
      <x:c r="G137" s="24" t="str">
        <x:v>Large pelagics (&gt;=90 cm)</x:v>
      </x:c>
      <x:c r="H137" s="24" t="str">
        <x:v>Tuna &amp; billfishes</x:v>
      </x:c>
      <x:c r="I137" s="31" t="n">
        <x:v>0.5295021982</x:v>
      </x:c>
      <x:c r="J137" s="31" t="n">
        <x:v>0.5295021982</x:v>
      </x:c>
      <x:c r="K137" s="31" t="n">
        <x:v>0</x:v>
      </x:c>
      <x:c r="L137" s="31" t="n">
        <x:v>0.5295021982</x:v>
      </x:c>
      <x:c r="M137" s="31" t="n">
        <x:v>0</x:v>
      </x:c>
      <x:c r="N137" s="24" t="str">
        <x:v>istiophoridae</x:v>
      </x:c>
      <x:c r="O137" s="32" t="n">
        <x:v>4.48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Istiophoridae</x:v>
      </x:c>
      <x:c r="T137" s="32" t="n">
        <x:f>IF(O137="","",(1/'Metadata'!$B$5)^(O137-1))</x:f>
        <x:v>3019.951720402019</x:v>
      </x:c>
      <x:c r="U137" s="31" t="n">
        <x:f>IF(T137="","",I137*T137)</x:f>
        <x:v>1599.0710744107407</x:v>
      </x:c>
    </x:row>
    <x:row r="138" ht="18" customHeight="1">
      <x:c r="A138" s="24" t="str">
        <x:v>EEZ_723</x:v>
      </x:c>
      <x:c r="B138" s="24" t="str">
        <x:v>Canary Isl. (Spain)</x:v>
      </x:c>
      <x:c r="C138" s="24" t="str">
        <x:v>EEZ</x:v>
      </x:c>
      <x:c r="D138" s="30" t="n">
        <x:v>2019</x:v>
      </x:c>
      <x:c r="E138" s="24" t="str">
        <x:v>Chaceon affinis</x:v>
      </x:c>
      <x:c r="F138" s="24" t="str">
        <x:v>Deepsea red crab</x:v>
      </x:c>
      <x:c r="G138" s="24" t="str">
        <x:v>Lobsters, crabs</x:v>
      </x:c>
      <x:c r="H138" s="24" t="str">
        <x:v>Crustaceans</x:v>
      </x:c>
      <x:c r="I138" s="31" t="n">
        <x:v>0.48053999989999996</x:v>
      </x:c>
      <x:c r="J138" s="31" t="n">
        <x:v>0.48053999989999996</x:v>
      </x:c>
      <x:c r="K138" s="31" t="n">
        <x:v>0</x:v>
      </x:c>
      <x:c r="L138" s="31" t="n">
        <x:v>0.48053999989999996</x:v>
      </x:c>
      <x:c r="M138" s="31" t="n">
        <x:v>0</x:v>
      </x:c>
      <x:c r="N138" s="24" t="str">
        <x:v>chaceon affinis</x:v>
      </x:c>
      <x:c r="O138" s="32" t="n">
        <x:v>3.1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Chaceon affinis</x:v>
      </x:c>
      <x:c r="T138" s="32" t="n">
        <x:f>IF(O138="","",(1/'Metadata'!$B$5)^(O138-1))</x:f>
        <x:v>125.89254117941675</x:v>
      </x:c>
      <x:c r="U138" s="31" t="n">
        <x:f>IF(T138="","",I138*T138)</x:f>
        <x:v>60.49640172576767</x:v>
      </x:c>
    </x:row>
    <x:row r="139" ht="18" customHeight="1">
      <x:c r="A139" s="24" t="str">
        <x:v>EEZ_723</x:v>
      </x:c>
      <x:c r="B139" s="24" t="str">
        <x:v>Canary Isl. (Spain)</x:v>
      </x:c>
      <x:c r="C139" s="24" t="str">
        <x:v>EEZ</x:v>
      </x:c>
      <x:c r="D139" s="30" t="n">
        <x:v>2019</x:v>
      </x:c>
      <x:c r="E139" s="24" t="str">
        <x:v>Decapterus macarellus</x:v>
      </x:c>
      <x:c r="F139" s="24" t="str">
        <x:v>Mackerel scad</x:v>
      </x:c>
      <x:c r="G139" s="24" t="str">
        <x:v>Medium pelagics (30 - 89 cm)</x:v>
      </x:c>
      <x:c r="H139" s="24" t="str">
        <x:v>Perch-likes</x:v>
      </x:c>
      <x:c r="I139" s="31" t="n">
        <x:v>0.429</x:v>
      </x:c>
      <x:c r="J139" s="31" t="n">
        <x:v>0.429</x:v>
      </x:c>
      <x:c r="K139" s="31" t="n">
        <x:v>0</x:v>
      </x:c>
      <x:c r="L139" s="31" t="n">
        <x:v>0.429</x:v>
      </x:c>
      <x:c r="M139" s="31" t="n">
        <x:v>0</x:v>
      </x:c>
      <x:c r="N139" s="24" t="str">
        <x:v>decapterus macarellus</x:v>
      </x:c>
      <x:c r="O139" s="32" t="n">
        <x:v>3.96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Decapterus macarellus</x:v>
      </x:c>
      <x:c r="T139" s="32" t="n">
        <x:f>IF(O139="","",(1/'Metadata'!$B$5)^(O139-1))</x:f>
        <x:v>912.0108393559096</x:v>
      </x:c>
      <x:c r="U139" s="31" t="n">
        <x:f>IF(T139="","",I139*T139)</x:f>
        <x:v>391.25265008368524</x:v>
      </x:c>
    </x:row>
    <x:row r="140" ht="18" customHeight="1">
      <x:c r="A140" s="24" t="str">
        <x:v>EEZ_723</x:v>
      </x:c>
      <x:c r="B140" s="24" t="str">
        <x:v>Canary Isl. (Spain)</x:v>
      </x:c>
      <x:c r="C140" s="24" t="str">
        <x:v>EEZ</x:v>
      </x:c>
      <x:c r="D140" s="30" t="n">
        <x:v>2019</x:v>
      </x:c>
      <x:c r="E140" s="24" t="str">
        <x:v>Maja squinado</x:v>
      </x:c>
      <x:c r="F140" s="24" t="str">
        <x:v>Spinous spider crab</x:v>
      </x:c>
      <x:c r="G140" s="24" t="str">
        <x:v>Lobsters, crabs</x:v>
      </x:c>
      <x:c r="H140" s="24" t="str">
        <x:v>Crustaceans</x:v>
      </x:c>
      <x:c r="I140" s="31" t="n">
        <x:v>0.29764999999999997</x:v>
      </x:c>
      <x:c r="J140" s="31" t="n">
        <x:v>0.29764999999999997</x:v>
      </x:c>
      <x:c r="K140" s="31" t="n">
        <x:v>0</x:v>
      </x:c>
      <x:c r="L140" s="31" t="n">
        <x:v>0.29764999999999997</x:v>
      </x:c>
      <x:c r="M140" s="31" t="n">
        <x:v>0</x:v>
      </x:c>
      <x:c r="N140" s="24" t="str">
        <x:v>maja squinado</x:v>
      </x:c>
      <x:c r="O140" s="32" t="n">
        <x:v>2.94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Maja squinado</x:v>
      </x:c>
      <x:c r="T140" s="32" t="n">
        <x:f>IF(O140="","",(1/'Metadata'!$B$5)^(O140-1))</x:f>
        <x:v>87.09635899560806</x:v>
      </x:c>
      <x:c r="U140" s="31" t="n">
        <x:f>IF(T140="","",I140*T140)</x:f>
        <x:v>25.924231255042734</x:v>
      </x:c>
    </x:row>
    <x:row r="141" ht="18" customHeight="1">
      <x:c r="A141" s="24" t="str">
        <x:v>EEZ_723</x:v>
      </x:c>
      <x:c r="B141" s="24" t="str">
        <x:v>Canary Isl. (Spain)</x:v>
      </x:c>
      <x:c r="C141" s="24" t="str">
        <x:v>EEZ</x:v>
      </x:c>
      <x:c r="D141" s="30" t="n">
        <x:v>2019</x:v>
      </x:c>
      <x:c r="E141" s="24" t="str">
        <x:v>Solea solea</x:v>
      </x:c>
      <x:c r="F141" s="24" t="str">
        <x:v>Common sole</x:v>
      </x:c>
      <x:c r="G141" s="24" t="str">
        <x:v>Small to medium flatfishes (&lt;90 cm)</x:v>
      </x:c>
      <x:c r="H141" s="24" t="str">
        <x:v>Flatfishes</x:v>
      </x:c>
      <x:c r="I141" s="31" t="n">
        <x:v>0.2603800002</x:v>
      </x:c>
      <x:c r="J141" s="31" t="n">
        <x:v>0.2603800002</x:v>
      </x:c>
      <x:c r="K141" s="31" t="n">
        <x:v>0</x:v>
      </x:c>
      <x:c r="L141" s="31" t="n">
        <x:v>0.2603800002</x:v>
      </x:c>
      <x:c r="M141" s="31" t="n">
        <x:v>0</x:v>
      </x:c>
      <x:c r="N141" s="24" t="str">
        <x:v>solea solea</x:v>
      </x:c>
      <x:c r="O141" s="32" t="n">
        <x:v>3.21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Solea solea</x:v>
      </x:c>
      <x:c r="T141" s="32" t="n">
        <x:f>IF(O141="","",(1/'Metadata'!$B$5)^(O141-1))</x:f>
        <x:v>162.18100973589299</x:v>
      </x:c>
      <x:c r="U141" s="31" t="n">
        <x:f>IF(T141="","",I141*T141)</x:f>
        <x:v>42.22869134746802</x:v>
      </x:c>
    </x:row>
    <x:row r="142" ht="18" customHeight="1">
      <x:c r="A142" s="24" t="str">
        <x:v>EEZ_723</x:v>
      </x:c>
      <x:c r="B142" s="24" t="str">
        <x:v>Canary Isl. (Spain)</x:v>
      </x:c>
      <x:c r="C142" s="24" t="str">
        <x:v>EEZ</x:v>
      </x:c>
      <x:c r="D142" s="30" t="n">
        <x:v>2019</x:v>
      </x:c>
      <x:c r="E142" s="24" t="str">
        <x:v>Antimora rostrata</x:v>
      </x:c>
      <x:c r="F142" s="24" t="str">
        <x:v>Blue antimora</x:v>
      </x:c>
      <x:c r="G142" s="24" t="str">
        <x:v>Medium bathypelagics (30 - 89 cm)</x:v>
      </x:c>
      <x:c r="H142" s="24" t="str">
        <x:v>Cod-likes</x:v>
      </x:c>
      <x:c r="I142" s="31" t="n">
        <x:v>0.24069999990000002</x:v>
      </x:c>
      <x:c r="J142" s="31" t="n">
        <x:v>0.24069999990000002</x:v>
      </x:c>
      <x:c r="K142" s="31" t="n">
        <x:v>0</x:v>
      </x:c>
      <x:c r="L142" s="31" t="n">
        <x:v>0.24069999990000002</x:v>
      </x:c>
      <x:c r="M142" s="31" t="n">
        <x:v>0</x:v>
      </x:c>
      <x:c r="N142" s="24" t="str">
        <x:v>antimora rostrata</x:v>
      </x:c>
      <x:c r="O142" s="32" t="n">
        <x:v>3.58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Antimora rostrata</x:v>
      </x:c>
      <x:c r="T142" s="32" t="n">
        <x:f>IF(O142="","",(1/'Metadata'!$B$5)^(O142-1))</x:f>
        <x:v>380.1893963205613</x:v>
      </x:c>
      <x:c r="U142" s="31" t="n">
        <x:f>IF(T142="","",I142*T142)</x:f>
        <x:v>91.51158765634017</x:v>
      </x:c>
    </x:row>
    <x:row r="143" ht="18" customHeight="1">
      <x:c r="A143" s="24" t="str">
        <x:v>EEZ_723</x:v>
      </x:c>
      <x:c r="B143" s="24" t="str">
        <x:v>Canary Isl. (Spain)</x:v>
      </x:c>
      <x:c r="C143" s="24" t="str">
        <x:v>EEZ</x:v>
      </x:c>
      <x:c r="D143" s="30" t="n">
        <x:v>2019</x:v>
      </x:c>
      <x:c r="E143" s="24" t="str">
        <x:v>Gastropoda</x:v>
      </x:c>
      <x:c r="F143" s="24" t="str">
        <x:v>Sea snails</x:v>
      </x:c>
      <x:c r="G143" s="24" t="str">
        <x:v>Other demersal invertebrates</x:v>
      </x:c>
      <x:c r="H143" s="24" t="str">
        <x:v>Molluscs</x:v>
      </x:c>
      <x:c r="I143" s="31" t="n">
        <x:v>0.2284000005</x:v>
      </x:c>
      <x:c r="J143" s="31" t="n">
        <x:v>0.2284000005</x:v>
      </x:c>
      <x:c r="K143" s="31" t="n">
        <x:v>0</x:v>
      </x:c>
      <x:c r="L143" s="31" t="n">
        <x:v>0.2284000005</x:v>
      </x:c>
      <x:c r="M143" s="31" t="n">
        <x:v>0</x:v>
      </x:c>
      <x:c r="N143" s="24" t="str">
        <x:v>gastropoda</x:v>
      </x:c>
      <x:c r="O143" s="32" t="n">
        <x:v>3.06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Gastropoda</x:v>
      </x:c>
      <x:c r="T143" s="32" t="n">
        <x:f>IF(O143="","",(1/'Metadata'!$B$5)^(O143-1))</x:f>
        <x:v>114.81536214968828</x:v>
      </x:c>
      <x:c r="U143" s="31" t="n">
        <x:f>IF(T143="","",I143*T143)</x:f>
        <x:v>26.223828772396487</x:v>
      </x:c>
    </x:row>
    <x:row r="144" ht="18" customHeight="1">
      <x:c r="A144" s="24" t="str">
        <x:v>EEZ_723</x:v>
      </x:c>
      <x:c r="B144" s="24" t="str">
        <x:v>Canary Isl. (Spain)</x:v>
      </x:c>
      <x:c r="C144" s="24" t="str">
        <x:v>EEZ</x:v>
      </x:c>
      <x:c r="D144" s="30" t="n">
        <x:v>2019</x:v>
      </x:c>
      <x:c r="E144" s="24" t="str">
        <x:v>Paromola cuvieri</x:v>
      </x:c>
      <x:c r="F144" s="24" t="str">
        <x:v>Paromola</x:v>
      </x:c>
      <x:c r="G144" s="24" t="str">
        <x:v>Lobsters, crabs</x:v>
      </x:c>
      <x:c r="H144" s="24" t="str">
        <x:v>Crustaceans</x:v>
      </x:c>
      <x:c r="I144" s="31" t="n">
        <x:v>0.21508</x:v>
      </x:c>
      <x:c r="J144" s="31" t="n">
        <x:v>0.21508</x:v>
      </x:c>
      <x:c r="K144" s="31" t="n">
        <x:v>0</x:v>
      </x:c>
      <x:c r="L144" s="31" t="n">
        <x:v>0.21508</x:v>
      </x:c>
      <x:c r="M144" s="31" t="n">
        <x:v>0</x:v>
      </x:c>
      <x:c r="N144" s="24" t="str">
        <x:v>paromola cuvieri</x:v>
      </x:c>
      <x:c r="O144" s="32" t="n">
        <x:v>3.42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Paromola cuvieri</x:v>
      </x:c>
      <x:c r="T144" s="32" t="n">
        <x:f>IF(O144="","",(1/'Metadata'!$B$5)^(O144-1))</x:f>
        <x:v>263.02679918953817</x:v>
      </x:c>
      <x:c r="U144" s="31" t="n">
        <x:f>IF(T144="","",I144*T144)</x:f>
        <x:v>56.57180396968587</x:v>
      </x:c>
    </x:row>
    <x:row r="145" ht="18" customHeight="1">
      <x:c r="A145" s="24" t="str">
        <x:v>EEZ_723</x:v>
      </x:c>
      <x:c r="B145" s="24" t="str">
        <x:v>Canary Isl. (Spain)</x:v>
      </x:c>
      <x:c r="C145" s="24" t="str">
        <x:v>EEZ</x:v>
      </x:c>
      <x:c r="D145" s="30" t="n">
        <x:v>2019</x:v>
      </x:c>
      <x:c r="E145" s="24" t="str">
        <x:v>Squaliformes</x:v>
      </x:c>
      <x:c r="F145" s="24" t="str">
        <x:v>Bramble, sleeper, dogfish sharks</x:v>
      </x:c>
      <x:c r="G145" s="24" t="str">
        <x:v>Large sharks (&gt;=90 cm)</x:v>
      </x:c>
      <x:c r="H145" s="24" t="str">
        <x:v>Sharks &amp; rays</x:v>
      </x:c>
      <x:c r="I145" s="31" t="n">
        <x:v>0.1878500001</x:v>
      </x:c>
      <x:c r="J145" s="31" t="n">
        <x:v>0.1878500001</x:v>
      </x:c>
      <x:c r="K145" s="31" t="n">
        <x:v>0</x:v>
      </x:c>
      <x:c r="L145" s="31" t="n">
        <x:v>0.1878500001</x:v>
      </x:c>
      <x:c r="M145" s="31" t="n">
        <x:v>0</x:v>
      </x:c>
      <x:c r="N145" s="24" t="str">
        <x:v>squaliformes</x:v>
      </x:c>
      <x:c r="O145" s="32" t="n">
        <x:v>4.19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Squaliformes</x:v>
      </x:c>
      <x:c r="T145" s="32" t="n">
        <x:f>IF(O145="","",(1/'Metadata'!$B$5)^(O145-1))</x:f>
        <x:v>1548.8166189124827</x:v>
      </x:c>
      <x:c r="U145" s="31" t="n">
        <x:f>IF(T145="","",I145*T145)</x:f>
        <x:v>290.94520201759155</x:v>
      </x:c>
    </x:row>
    <x:row r="146" ht="18" customHeight="1">
      <x:c r="A146" s="24" t="str">
        <x:v>EEZ_723</x:v>
      </x:c>
      <x:c r="B146" s="24" t="str">
        <x:v>Canary Isl. (Spain)</x:v>
      </x:c>
      <x:c r="C146" s="24" t="str">
        <x:v>EEZ</x:v>
      </x:c>
      <x:c r="D146" s="30" t="n">
        <x:v>2019</x:v>
      </x:c>
      <x:c r="E146" s="24" t="str">
        <x:v>Bramidae</x:v>
      </x:c>
      <x:c r="F146" s="24" t="str">
        <x:v>Pomfrets</x:v>
      </x:c>
      <x:c r="G146" s="24" t="str">
        <x:v>Medium pelagics (30 - 89 cm)</x:v>
      </x:c>
      <x:c r="H146" s="24" t="str">
        <x:v>Perch-likes</x:v>
      </x:c>
      <x:c r="I146" s="31" t="n">
        <x:v>0.1520500001</x:v>
      </x:c>
      <x:c r="J146" s="31" t="n">
        <x:v>0.1520500001</x:v>
      </x:c>
      <x:c r="K146" s="31" t="n">
        <x:v>0</x:v>
      </x:c>
      <x:c r="L146" s="31" t="n">
        <x:v>0.1520500001</x:v>
      </x:c>
      <x:c r="M146" s="31" t="n">
        <x:v>0</x:v>
      </x:c>
      <x:c r="N146" s="24" t="str">
        <x:v>bramidae</x:v>
      </x:c>
      <x:c r="O146" s="32" t="n">
        <x:v>4.14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Bramidae</x:v>
      </x:c>
      <x:c r="T146" s="32" t="n">
        <x:f>IF(O146="","",(1/'Metadata'!$B$5)^(O146-1))</x:f>
        <x:v>1380.3842646028838</x:v>
      </x:c>
      <x:c r="U146" s="31" t="n">
        <x:f>IF(T146="","",I146*T146)</x:f>
        <x:v>209.8874275709069</x:v>
      </x:c>
    </x:row>
    <x:row r="147" ht="18" customHeight="1">
      <x:c r="A147" s="24" t="str">
        <x:v>EEZ_723</x:v>
      </x:c>
      <x:c r="B147" s="24" t="str">
        <x:v>Canary Isl. (Spain)</x:v>
      </x:c>
      <x:c r="C147" s="24" t="str">
        <x:v>EEZ</x:v>
      </x:c>
      <x:c r="D147" s="30" t="n">
        <x:v>2019</x:v>
      </x:c>
      <x:c r="E147" s="24" t="str">
        <x:v>Carcharhinidae</x:v>
      </x:c>
      <x:c r="F147" s="24" t="str">
        <x:v>Requiem sharks</x:v>
      </x:c>
      <x:c r="G147" s="24" t="str">
        <x:v>Large sharks (&gt;=90 cm)</x:v>
      </x:c>
      <x:c r="H147" s="24" t="str">
        <x:v>Sharks &amp; rays</x:v>
      </x:c>
      <x:c r="I147" s="31" t="n">
        <x:v>0.1357737529</x:v>
      </x:c>
      <x:c r="J147" s="31" t="n">
        <x:v>0.1357737529</x:v>
      </x:c>
      <x:c r="K147" s="31" t="n">
        <x:v>0</x:v>
      </x:c>
      <x:c r="L147" s="31" t="n">
        <x:v>0.1357737529</x:v>
      </x:c>
      <x:c r="M147" s="31" t="n">
        <x:v>0</x:v>
      </x:c>
      <x:c r="N147" s="24" t="str">
        <x:v>carcharhinidae</x:v>
      </x:c>
      <x:c r="O147" s="32" t="n">
        <x:v>4.24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Carcharhinidae</x:v>
      </x:c>
      <x:c r="T147" s="32" t="n">
        <x:f>IF(O147="","",(1/'Metadata'!$B$5)^(O147-1))</x:f>
        <x:v>1737.8008287493763</x:v>
      </x:c>
      <x:c r="U147" s="31" t="n">
        <x:f>IF(T147="","",I147*T147)</x:f>
        <x:v>235.947740312033</x:v>
      </x:c>
    </x:row>
    <x:row r="148" ht="18" customHeight="1">
      <x:c r="A148" s="24" t="str">
        <x:v>EEZ_723</x:v>
      </x:c>
      <x:c r="B148" s="24" t="str">
        <x:v>Canary Isl. (Spain)</x:v>
      </x:c>
      <x:c r="C148" s="24" t="str">
        <x:v>EEZ</x:v>
      </x:c>
      <x:c r="D148" s="30" t="n">
        <x:v>2019</x:v>
      </x:c>
      <x:c r="E148" s="24" t="str">
        <x:v>Sepia</x:v>
      </x:c>
      <x:c r="F148" s="24" t="str">
        <x:v>Sepia cuttlefishes</x:v>
      </x:c>
      <x:c r="G148" s="24" t="str">
        <x:v>Cephalopods</x:v>
      </x:c>
      <x:c r="H148" s="24" t="str">
        <x:v>Other fishes &amp; inverts</x:v>
      </x:c>
      <x:c r="I148" s="31" t="n">
        <x:v>0.1346999999</x:v>
      </x:c>
      <x:c r="J148" s="31" t="n">
        <x:v>0.1346999999</x:v>
      </x:c>
      <x:c r="K148" s="31" t="n">
        <x:v>0</x:v>
      </x:c>
      <x:c r="L148" s="31" t="n">
        <x:v>0.1346999999</x:v>
      </x:c>
      <x:c r="M148" s="31" t="n">
        <x:v>0</x:v>
      </x:c>
      <x:c r="N148" s="24" t="str">
        <x:v>sepia</x:v>
      </x:c>
      <x:c r="O148" s="32" t="n">
        <x:v>3.69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Sepia</x:v>
      </x:c>
      <x:c r="T148" s="32" t="n">
        <x:f>IF(O148="","",(1/'Metadata'!$B$5)^(O148-1))</x:f>
        <x:v>489.77881936844614</x:v>
      </x:c>
      <x:c r="U148" s="31" t="n">
        <x:f>IF(T148="","",I148*T148)</x:f>
        <x:v>65.97320691995182</x:v>
      </x:c>
    </x:row>
    <x:row r="149" ht="18" customHeight="1">
      <x:c r="A149" s="24" t="str">
        <x:v>EEZ_723</x:v>
      </x:c>
      <x:c r="B149" s="24" t="str">
        <x:v>Canary Isl. (Spain)</x:v>
      </x:c>
      <x:c r="C149" s="24" t="str">
        <x:v>EEZ</x:v>
      </x:c>
      <x:c r="D149" s="30" t="n">
        <x:v>2019</x:v>
      </x:c>
      <x:c r="E149" s="24" t="str">
        <x:v>Illex coindetii</x:v>
      </x:c>
      <x:c r="F149" s="24" t="str">
        <x:v>Broadtail shortfin squid</x:v>
      </x:c>
      <x:c r="G149" s="24" t="str">
        <x:v>Cephalopods</x:v>
      </x:c>
      <x:c r="H149" s="24" t="str">
        <x:v>Other fishes &amp; inverts</x:v>
      </x:c>
      <x:c r="I149" s="31" t="n">
        <x:v>0.1232000004</x:v>
      </x:c>
      <x:c r="J149" s="31" t="n">
        <x:v>0.1232000004</x:v>
      </x:c>
      <x:c r="K149" s="31" t="n">
        <x:v>0</x:v>
      </x:c>
      <x:c r="L149" s="31" t="n">
        <x:v>0.1232000004</x:v>
      </x:c>
      <x:c r="M149" s="31" t="n">
        <x:v>0</x:v>
      </x:c>
      <x:c r="N149" s="24" t="str">
        <x:v>illex coindetii</x:v>
      </x:c>
      <x:c r="O149" s="32" t="n">
        <x:v>4.11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Illex coindetii</x:v>
      </x:c>
      <x:c r="T149" s="32" t="n">
        <x:f>IF(O149="","",(1/'Metadata'!$B$5)^(O149-1))</x:f>
        <x:v>1288.249551693135</x:v>
      </x:c>
      <x:c r="U149" s="31" t="n">
        <x:f>IF(T149="","",I149*T149)</x:f>
        <x:v>158.71234528389402</x:v>
      </x:c>
    </x:row>
    <x:row r="150" ht="18" customHeight="1">
      <x:c r="A150" s="24" t="str">
        <x:v>EEZ_723</x:v>
      </x:c>
      <x:c r="B150" s="24" t="str">
        <x:v>Canary Isl. (Spain)</x:v>
      </x:c>
      <x:c r="C150" s="24" t="str">
        <x:v>EEZ</x:v>
      </x:c>
      <x:c r="D150" s="30" t="n">
        <x:v>2019</x:v>
      </x:c>
      <x:c r="E150" s="24" t="str">
        <x:v>Scorpaena notata</x:v>
      </x:c>
      <x:c r="F150" s="24" t="str">
        <x:v>Small red scorpionfish</x:v>
      </x:c>
      <x:c r="G150" s="24" t="str">
        <x:v>Large reef assoc. fish (&gt;=90 cm)</x:v>
      </x:c>
      <x:c r="H150" s="24" t="str">
        <x:v>Scorpionfishes</x:v>
      </x:c>
      <x:c r="I150" s="31" t="n">
        <x:v>0.1154200002</x:v>
      </x:c>
      <x:c r="J150" s="31" t="n">
        <x:v>0.1154200002</x:v>
      </x:c>
      <x:c r="K150" s="31" t="n">
        <x:v>0</x:v>
      </x:c>
      <x:c r="L150" s="31" t="n">
        <x:v>0.1154200002</x:v>
      </x:c>
      <x:c r="M150" s="31" t="n">
        <x:v>0</x:v>
      </x:c>
      <x:c r="N150" s="24" t="str">
        <x:v>scorpaena notata</x:v>
      </x:c>
      <x:c r="O150" s="32" t="n">
        <x:v>3.7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Scorpaena notata</x:v>
      </x:c>
      <x:c r="T150" s="32" t="n">
        <x:f>IF(O150="","",(1/'Metadata'!$B$5)^(O150-1))</x:f>
        <x:v>501.18723362727246</x:v>
      </x:c>
      <x:c r="U150" s="31" t="n">
        <x:f>IF(T150="","",I150*T150)</x:f>
        <x:v>57.84703060549723</x:v>
      </x:c>
    </x:row>
    <x:row r="151" ht="18" customHeight="1">
      <x:c r="A151" s="24" t="str">
        <x:v>EEZ_723</x:v>
      </x:c>
      <x:c r="B151" s="24" t="str">
        <x:v>Canary Isl. (Spain)</x:v>
      </x:c>
      <x:c r="C151" s="24" t="str">
        <x:v>EEZ</x:v>
      </x:c>
      <x:c r="D151" s="30" t="n">
        <x:v>2019</x:v>
      </x:c>
      <x:c r="E151" s="24" t="str">
        <x:v>Mollusca</x:v>
      </x:c>
      <x:c r="F151" s="24" t="str">
        <x:v>Clams, seasnails, squids, octopuses</x:v>
      </x:c>
      <x:c r="G151" s="24" t="str">
        <x:v>Other demersal invertebrates</x:v>
      </x:c>
      <x:c r="H151" s="24" t="str">
        <x:v>Molluscs</x:v>
      </x:c>
      <x:c r="I151" s="31" t="n">
        <x:v>0.1090925788</x:v>
      </x:c>
      <x:c r="J151" s="31" t="n">
        <x:v>0.1090925788</x:v>
      </x:c>
      <x:c r="K151" s="31" t="n">
        <x:v>0</x:v>
      </x:c>
      <x:c r="L151" s="31" t="n">
        <x:v>0</x:v>
      </x:c>
      <x:c r="M151" s="31" t="n">
        <x:v>0.1090925788</x:v>
      </x:c>
      <x:c r="N151" s="24" t="str">
        <x:v>mollusca</x:v>
      </x:c>
      <x:c r="O151" s="32" t="n">
        <x:v>2.1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Mollusca</x:v>
      </x:c>
      <x:c r="T151" s="32" t="n">
        <x:f>IF(O151="","",(1/'Metadata'!$B$5)^(O151-1))</x:f>
        <x:v>12.589254117941675</x:v>
      </x:c>
      <x:c r="U151" s="31" t="n">
        <x:f>IF(T151="","",I151*T151)</x:f>
        <x:v>1.3733941968947767</x:v>
      </x:c>
    </x:row>
    <x:row r="152" ht="18" customHeight="1">
      <x:c r="A152" s="24" t="str">
        <x:v>EEZ_723</x:v>
      </x:c>
      <x:c r="B152" s="24" t="str">
        <x:v>Canary Isl. (Spain)</x:v>
      </x:c>
      <x:c r="C152" s="24" t="str">
        <x:v>EEZ</x:v>
      </x:c>
      <x:c r="D152" s="30" t="n">
        <x:v>2019</x:v>
      </x:c>
      <x:c r="E152" s="24" t="str">
        <x:v>Scombridae</x:v>
      </x:c>
      <x:c r="F152" s="24" t="str">
        <x:v>Mackerels, tunas, bonitos</x:v>
      </x:c>
      <x:c r="G152" s="24" t="str">
        <x:v>Medium pelagics (30 - 89 cm)</x:v>
      </x:c>
      <x:c r="H152" s="24" t="str">
        <x:v>Perch-likes</x:v>
      </x:c>
      <x:c r="I152" s="31" t="n">
        <x:v>0.074984729</x:v>
      </x:c>
      <x:c r="J152" s="31" t="n">
        <x:v>0.074984729</x:v>
      </x:c>
      <x:c r="K152" s="31" t="n">
        <x:v>0</x:v>
      </x:c>
      <x:c r="L152" s="31" t="n">
        <x:v>0.074984729</x:v>
      </x:c>
      <x:c r="M152" s="31" t="n">
        <x:v>0</x:v>
      </x:c>
      <x:c r="N152" s="24" t="str">
        <x:v>scombridae</x:v>
      </x:c>
      <x:c r="O152" s="32" t="n">
        <x:v>4.26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Scombridae</x:v>
      </x:c>
      <x:c r="T152" s="32" t="n">
        <x:f>IF(O152="","",(1/'Metadata'!$B$5)^(O152-1))</x:f>
        <x:v>1819.7008586099826</x:v>
      </x:c>
      <x:c r="U152" s="31" t="n">
        <x:f>IF(T152="","",I152*T152)</x:f>
        <x:v>136.44977574393687</x:v>
      </x:c>
    </x:row>
    <x:row r="153" ht="18" customHeight="1">
      <x:c r="A153" s="24" t="str">
        <x:v>EEZ_723</x:v>
      </x:c>
      <x:c r="B153" s="24" t="str">
        <x:v>Canary Isl. (Spain)</x:v>
      </x:c>
      <x:c r="C153" s="24" t="str">
        <x:v>EEZ</x:v>
      </x:c>
      <x:c r="D153" s="30" t="n">
        <x:v>2019</x:v>
      </x:c>
      <x:c r="E153" s="24" t="str">
        <x:v>Epinephelus caninus</x:v>
      </x:c>
      <x:c r="F153" s="24" t="str">
        <x:v>Dogtooth grouper</x:v>
      </x:c>
      <x:c r="G153" s="24" t="str">
        <x:v>Large demersals (&gt;=90 cm)</x:v>
      </x:c>
      <x:c r="H153" s="24" t="str">
        <x:v>Perch-likes</x:v>
      </x:c>
      <x:c r="I153" s="31" t="n">
        <x:v>0.07313</x:v>
      </x:c>
      <x:c r="J153" s="31" t="n">
        <x:v>0.07313</x:v>
      </x:c>
      <x:c r="K153" s="31" t="n">
        <x:v>0</x:v>
      </x:c>
      <x:c r="L153" s="31" t="n">
        <x:v>0.07313</x:v>
      </x:c>
      <x:c r="M153" s="31" t="n">
        <x:v>0</x:v>
      </x:c>
      <x:c r="N153" s="24" t="str">
        <x:v>epinephelus caninus</x:v>
      </x:c>
      <x:c r="O153" s="32" t="n">
        <x:v>3.77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Epinephelus caninus</x:v>
      </x:c>
      <x:c r="T153" s="32" t="n">
        <x:f>IF(O153="","",(1/'Metadata'!$B$5)^(O153-1))</x:f>
        <x:v>588.843655355589</x:v>
      </x:c>
      <x:c r="U153" s="31" t="n">
        <x:f>IF(T153="","",I153*T153)</x:f>
        <x:v>43.062136516154226</x:v>
      </x:c>
    </x:row>
    <x:row r="154" ht="18" customHeight="1">
      <x:c r="A154" s="24" t="str">
        <x:v>EEZ_723</x:v>
      </x:c>
      <x:c r="B154" s="24" t="str">
        <x:v>Canary Isl. (Spain)</x:v>
      </x:c>
      <x:c r="C154" s="24" t="str">
        <x:v>EEZ</x:v>
      </x:c>
      <x:c r="D154" s="30" t="n">
        <x:v>2019</x:v>
      </x:c>
      <x:c r="E154" s="24" t="str">
        <x:v>Ommastrephes</x:v>
      </x:c>
      <x:c r="F154" s="24" t="str">
        <x:v>Flying squids</x:v>
      </x:c>
      <x:c r="G154" s="24" t="str">
        <x:v>Cephalopods</x:v>
      </x:c>
      <x:c r="H154" s="24" t="str">
        <x:v>Other fishes &amp; inverts</x:v>
      </x:c>
      <x:c r="I154" s="31" t="n">
        <x:v>0.0705000002</x:v>
      </x:c>
      <x:c r="J154" s="31" t="n">
        <x:v>0.0705000002</x:v>
      </x:c>
      <x:c r="K154" s="31" t="n">
        <x:v>0</x:v>
      </x:c>
      <x:c r="L154" s="31" t="n">
        <x:v>0.0705000002</x:v>
      </x:c>
      <x:c r="M154" s="31" t="n">
        <x:v>0</x:v>
      </x:c>
      <x:c r="N154" s="24" t="str">
        <x:v>ommastrephes</x:v>
      </x:c>
      <x:c r="O154" s="32" t="n">
        <x:v>4.21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Ommastrephes</x:v>
      </x:c>
      <x:c r="T154" s="32" t="n">
        <x:f>IF(O154="","",(1/'Metadata'!$B$5)^(O154-1))</x:f>
        <x:v>1621.8100973589299</x:v>
      </x:c>
      <x:c r="U154" s="31" t="n">
        <x:f>IF(T154="","",I154*T154)</x:f>
        <x:v>114.33761218816657</x:v>
      </x:c>
    </x:row>
    <x:row r="155" ht="18" customHeight="1">
      <x:c r="A155" s="24" t="str">
        <x:v>EEZ_723</x:v>
      </x:c>
      <x:c r="B155" s="24" t="str">
        <x:v>Canary Isl. (Spain)</x:v>
      </x:c>
      <x:c r="C155" s="24" t="str">
        <x:v>EEZ</x:v>
      </x:c>
      <x:c r="D155" s="30" t="n">
        <x:v>2019</x:v>
      </x:c>
      <x:c r="E155" s="24" t="str">
        <x:v>Paracentrotus lividus</x:v>
      </x:c>
      <x:c r="F155" s="24" t="str">
        <x:v>Stony sea urchin</x:v>
      </x:c>
      <x:c r="G155" s="24" t="str">
        <x:v>Other demersal invertebrates</x:v>
      </x:c>
      <x:c r="H155" s="24" t="str">
        <x:v>Other fishes &amp; inverts</x:v>
      </x:c>
      <x:c r="I155" s="31" t="n">
        <x:v>0.0613999997</x:v>
      </x:c>
      <x:c r="J155" s="31" t="n">
        <x:v>0.0613999997</x:v>
      </x:c>
      <x:c r="K155" s="31" t="n">
        <x:v>0</x:v>
      </x:c>
      <x:c r="L155" s="31" t="n">
        <x:v>0.0613999997</x:v>
      </x:c>
      <x:c r="M155" s="31" t="n">
        <x:v>0</x:v>
      </x:c>
      <x:c r="N155" s="24" t="str">
        <x:v>paracentrotus lividus</x:v>
      </x:c>
      <x:c r="O155" s="32" t="n">
        <x:v>2.3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Paracentrotus lividus</x:v>
      </x:c>
      <x:c r="T155" s="32" t="n">
        <x:f>IF(O155="","",(1/'Metadata'!$B$5)^(O155-1))</x:f>
        <x:v>19.952623149688787</x:v>
      </x:c>
      <x:c r="U155" s="31" t="n">
        <x:f>IF(T155="","",I155*T155)</x:f>
        <x:v>1.2250910554051044</x:v>
      </x:c>
    </x:row>
    <x:row r="156" ht="18" customHeight="1">
      <x:c r="A156" s="24" t="str">
        <x:v>EEZ_723</x:v>
      </x:c>
      <x:c r="B156" s="24" t="str">
        <x:v>Canary Isl. (Spain)</x:v>
      </x:c>
      <x:c r="C156" s="24" t="str">
        <x:v>EEZ</x:v>
      </x:c>
      <x:c r="D156" s="30" t="n">
        <x:v>2019</x:v>
      </x:c>
      <x:c r="E156" s="24" t="str">
        <x:v>Argyrosomus regius</x:v>
      </x:c>
      <x:c r="F156" s="24" t="str">
        <x:v>Meagre</x:v>
      </x:c>
      <x:c r="G156" s="24" t="str">
        <x:v>Large benthopelagics (&gt;=90 cm)</x:v>
      </x:c>
      <x:c r="H156" s="24" t="str">
        <x:v>Perch-likes</x:v>
      </x:c>
      <x:c r="I156" s="31" t="n">
        <x:v>0.056160000099999996</x:v>
      </x:c>
      <x:c r="J156" s="31" t="n">
        <x:v>0.056160000099999996</x:v>
      </x:c>
      <x:c r="K156" s="31" t="n">
        <x:v>0</x:v>
      </x:c>
      <x:c r="L156" s="31" t="n">
        <x:v>0.056160000099999996</x:v>
      </x:c>
      <x:c r="M156" s="31" t="n">
        <x:v>0</x:v>
      </x:c>
      <x:c r="N156" s="24" t="str">
        <x:v>argyrosomus regius</x:v>
      </x:c>
      <x:c r="O156" s="32" t="n">
        <x:v>4.29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Argyrosomus regius</x:v>
      </x:c>
      <x:c r="T156" s="32" t="n">
        <x:f>IF(O156="","",(1/'Metadata'!$B$5)^(O156-1))</x:f>
        <x:v>1949.8445997580454</x:v>
      </x:c>
      <x:c r="U156" s="31" t="n">
        <x:f>IF(T156="","",I156*T156)</x:f>
        <x:v>109.50327291739629</x:v>
      </x:c>
    </x:row>
    <x:row r="157" ht="18" customHeight="1">
      <x:c r="A157" s="24" t="str">
        <x:v>EEZ_723</x:v>
      </x:c>
      <x:c r="B157" s="24" t="str">
        <x:v>Canary Isl. (Spain)</x:v>
      </x:c>
      <x:c r="C157" s="24" t="str">
        <x:v>EEZ</x:v>
      </x:c>
      <x:c r="D157" s="30" t="n">
        <x:v>2019</x:v>
      </x:c>
      <x:c r="E157" s="24" t="str">
        <x:v>Elasmobranchii</x:v>
      </x:c>
      <x:c r="F157" s="24" t="str">
        <x:v>Sharks, rays, skates</x:v>
      </x:c>
      <x:c r="G157" s="24" t="str">
        <x:v>Large sharks (&gt;=90 cm)</x:v>
      </x:c>
      <x:c r="H157" s="24" t="str">
        <x:v>Sharks &amp; rays</x:v>
      </x:c>
      <x:c r="I157" s="31" t="n">
        <x:v>0.0481900001</x:v>
      </x:c>
      <x:c r="J157" s="31" t="n">
        <x:v>0.0481900001</x:v>
      </x:c>
      <x:c r="K157" s="31" t="n">
        <x:v>0</x:v>
      </x:c>
      <x:c r="L157" s="31" t="n">
        <x:v>0.0481900001</x:v>
      </x:c>
      <x:c r="M157" s="31" t="n">
        <x:v>0</x:v>
      </x:c>
      <x:c r="N157" s="24" t="str">
        <x:v>elasmobranchii</x:v>
      </x:c>
      <x:c r="O157" s="32" t="n">
        <x:v>4.05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Elasmobranchii</x:v>
      </x:c>
      <x:c r="T157" s="32" t="n">
        <x:f>IF(O157="","",(1/'Metadata'!$B$5)^(O157-1))</x:f>
        <x:v>1122.018454301963</x:v>
      </x:c>
      <x:c r="U157" s="31" t="n">
        <x:f>IF(T157="","",I157*T157)</x:f>
        <x:v>54.070069425013436</x:v>
      </x:c>
    </x:row>
    <x:row r="158" ht="18" customHeight="1">
      <x:c r="A158" s="24" t="str">
        <x:v>EEZ_723</x:v>
      </x:c>
      <x:c r="B158" s="24" t="str">
        <x:v>Canary Isl. (Spain)</x:v>
      </x:c>
      <x:c r="C158" s="24" t="str">
        <x:v>EEZ</x:v>
      </x:c>
      <x:c r="D158" s="30" t="n">
        <x:v>2019</x:v>
      </x:c>
      <x:c r="E158" s="24" t="str">
        <x:v>Aristaeomorpha foliacea</x:v>
      </x:c>
      <x:c r="F158" s="24" t="str">
        <x:v>Giant red shrimp</x:v>
      </x:c>
      <x:c r="G158" s="24" t="str">
        <x:v>Shrimps</x:v>
      </x:c>
      <x:c r="H158" s="24" t="str">
        <x:v>Crustaceans</x:v>
      </x:c>
      <x:c r="I158" s="31" t="n">
        <x:v>0.0352</x:v>
      </x:c>
      <x:c r="J158" s="31" t="n">
        <x:v>0.0352</x:v>
      </x:c>
      <x:c r="K158" s="31" t="n">
        <x:v>0</x:v>
      </x:c>
      <x:c r="L158" s="31" t="n">
        <x:v>0.0352</x:v>
      </x:c>
      <x:c r="M158" s="31" t="n">
        <x:v>0</x:v>
      </x:c>
      <x:c r="N158" s="24" t="str">
        <x:v>aristaeomorpha foliacea</x:v>
      </x:c>
      <x:c r="O158" s="32" t="n">
        <x:v>3.71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Aristaeomorpha foliacea</x:v>
      </x:c>
      <x:c r="T158" s="32" t="n">
        <x:f>IF(O158="","",(1/'Metadata'!$B$5)^(O158-1))</x:f>
        <x:v>512.8613839913648</x:v>
      </x:c>
      <x:c r="U158" s="31" t="n">
        <x:f>IF(T158="","",I158*T158)</x:f>
        <x:v>18.052720716496044</x:v>
      </x:c>
    </x:row>
    <x:row r="159" ht="18" customHeight="1">
      <x:c r="A159" s="24" t="str">
        <x:v>EEZ_723</x:v>
      </x:c>
      <x:c r="B159" s="24" t="str">
        <x:v>Canary Isl. (Spain)</x:v>
      </x:c>
      <x:c r="C159" s="24" t="str">
        <x:v>EEZ</x:v>
      </x:c>
      <x:c r="D159" s="30" t="n">
        <x:v>2019</x:v>
      </x:c>
      <x:c r="E159" s="24" t="str">
        <x:v>Monacanthidae</x:v>
      </x:c>
      <x:c r="F159" s="24" t="str">
        <x:v>Filefishes</x:v>
      </x:c>
      <x:c r="G159" s="24" t="str">
        <x:v>Medium reef assoc. fish (30 - 89 cm)</x:v>
      </x:c>
      <x:c r="H159" s="24" t="str">
        <x:v>Other fishes &amp; inverts</x:v>
      </x:c>
      <x:c r="I159" s="31" t="n">
        <x:v>0.0318000003</x:v>
      </x:c>
      <x:c r="J159" s="31" t="n">
        <x:v>0.0318000003</x:v>
      </x:c>
      <x:c r="K159" s="31" t="n">
        <x:v>0</x:v>
      </x:c>
      <x:c r="L159" s="31" t="n">
        <x:v>0.0318000003</x:v>
      </x:c>
      <x:c r="M159" s="31" t="n">
        <x:v>0</x:v>
      </x:c>
      <x:c r="N159" s="24" t="str">
        <x:v>monacanthidae</x:v>
      </x:c>
      <x:c r="O159" s="32" t="n">
        <x:v>3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Monacanthidae</x:v>
      </x:c>
      <x:c r="T159" s="32" t="n">
        <x:f>IF(O159="","",(1/'Metadata'!$B$5)^(O159-1))</x:f>
        <x:v>100</x:v>
      </x:c>
      <x:c r="U159" s="31" t="n">
        <x:f>IF(T159="","",I159*T159)</x:f>
        <x:v>3.18000003</x:v>
      </x:c>
    </x:row>
    <x:row r="160" ht="18" customHeight="1">
      <x:c r="A160" s="24" t="str">
        <x:v>EEZ_723</x:v>
      </x:c>
      <x:c r="B160" s="24" t="str">
        <x:v>Canary Isl. (Spain)</x:v>
      </x:c>
      <x:c r="C160" s="24" t="str">
        <x:v>EEZ</x:v>
      </x:c>
      <x:c r="D160" s="30" t="n">
        <x:v>2019</x:v>
      </x:c>
      <x:c r="E160" s="24" t="str">
        <x:v>Loligo forbesii</x:v>
      </x:c>
      <x:c r="F160" s="24" t="str">
        <x:v>Veined squid</x:v>
      </x:c>
      <x:c r="G160" s="24" t="str">
        <x:v>Cephalopods</x:v>
      </x:c>
      <x:c r="H160" s="24" t="str">
        <x:v>Other fishes &amp; inverts</x:v>
      </x:c>
      <x:c r="I160" s="31" t="n">
        <x:v>0.0298999998</x:v>
      </x:c>
      <x:c r="J160" s="31" t="n">
        <x:v>0.0298999998</x:v>
      </x:c>
      <x:c r="K160" s="31" t="n">
        <x:v>0</x:v>
      </x:c>
      <x:c r="L160" s="31" t="n">
        <x:v>0.0298999998</x:v>
      </x:c>
      <x:c r="M160" s="31" t="n">
        <x:v>0</x:v>
      </x:c>
      <x:c r="N160" s="24" t="str">
        <x:v>loligo forbesii</x:v>
      </x:c>
      <x:c r="O160" s="32" t="n">
        <x:v>4.29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Loligo forbesii</x:v>
      </x:c>
      <x:c r="T160" s="32" t="n">
        <x:f>IF(O160="","",(1/'Metadata'!$B$5)^(O160-1))</x:f>
        <x:v>1949.8445997580454</x:v>
      </x:c>
      <x:c r="U160" s="31" t="n">
        <x:f>IF(T160="","",I160*T160)</x:f>
        <x:v>58.30035314279664</x:v>
      </x:c>
    </x:row>
    <x:row r="161" ht="18" customHeight="1">
      <x:c r="A161" s="24" t="str">
        <x:v>EEZ_723</x:v>
      </x:c>
      <x:c r="B161" s="24" t="str">
        <x:v>Canary Isl. (Spain)</x:v>
      </x:c>
      <x:c r="C161" s="24" t="str">
        <x:v>EEZ</x:v>
      </x:c>
      <x:c r="D161" s="30" t="n">
        <x:v>2019</x:v>
      </x:c>
      <x:c r="E161" s="24" t="str">
        <x:v>Anthias anthias</x:v>
      </x:c>
      <x:c r="F161" s="24" t="str">
        <x:v>Swallowtail seaperch</x:v>
      </x:c>
      <x:c r="G161" s="24" t="str">
        <x:v>Small reef assoc. fish (&lt;30 cm)</x:v>
      </x:c>
      <x:c r="H161" s="24" t="str">
        <x:v>Perch-likes</x:v>
      </x:c>
      <x:c r="I161" s="31" t="n">
        <x:v>0.0149599998</x:v>
      </x:c>
      <x:c r="J161" s="31" t="n">
        <x:v>0.0149599998</x:v>
      </x:c>
      <x:c r="K161" s="31" t="n">
        <x:v>0</x:v>
      </x:c>
      <x:c r="L161" s="31" t="n">
        <x:v>0.0149599998</x:v>
      </x:c>
      <x:c r="M161" s="31" t="n">
        <x:v>0</x:v>
      </x:c>
      <x:c r="N161" s="24" t="str">
        <x:v>anthias anthias</x:v>
      </x:c>
      <x:c r="O161" s="32" t="n">
        <x:v>3.75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Anthias anthias</x:v>
      </x:c>
      <x:c r="T161" s="32" t="n">
        <x:f>IF(O161="","",(1/'Metadata'!$B$5)^(O161-1))</x:f>
        <x:v>562.341325190349</x:v>
      </x:c>
      <x:c r="U161" s="31" t="n">
        <x:f>IF(T161="","",I161*T161)</x:f>
        <x:v>8.412626112379357</x:v>
      </x:c>
    </x:row>
    <x:row r="162" ht="18" customHeight="1">
      <x:c r="A162" s="24" t="str">
        <x:v>EEZ_723</x:v>
      </x:c>
      <x:c r="B162" s="24" t="str">
        <x:v>Canary Isl. (Spain)</x:v>
      </x:c>
      <x:c r="C162" s="24" t="str">
        <x:v>EEZ</x:v>
      </x:c>
      <x:c r="D162" s="30" t="n">
        <x:v>2019</x:v>
      </x:c>
      <x:c r="E162" s="24" t="str">
        <x:v>Anguilliformes</x:v>
      </x:c>
      <x:c r="F162" s="24" t="str">
        <x:v>Eels, morays</x:v>
      </x:c>
      <x:c r="G162" s="24" t="str">
        <x:v>Large demersals (&gt;=90 cm)</x:v>
      </x:c>
      <x:c r="H162" s="24" t="str">
        <x:v>Other fishes &amp; inverts</x:v>
      </x:c>
      <x:c r="I162" s="31" t="n">
        <x:v>0.0139800001</x:v>
      </x:c>
      <x:c r="J162" s="31" t="n">
        <x:v>0.0139800001</x:v>
      </x:c>
      <x:c r="K162" s="31" t="n">
        <x:v>0</x:v>
      </x:c>
      <x:c r="L162" s="31" t="n">
        <x:v>0.0139800001</x:v>
      </x:c>
      <x:c r="M162" s="31" t="n">
        <x:v>0</x:v>
      </x:c>
      <x:c r="N162" s="24" t="str">
        <x:v>anguilliformes</x:v>
      </x:c>
      <x:c r="O162" s="32" t="n">
        <x:v>3.89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Anguilliformes</x:v>
      </x:c>
      <x:c r="T162" s="32" t="n">
        <x:f>IF(O162="","",(1/'Metadata'!$B$5)^(O162-1))</x:f>
        <x:v>776.247116628692</x:v>
      </x:c>
      <x:c r="U162" s="31" t="n">
        <x:f>IF(T162="","",I162*T162)</x:f>
        <x:v>10.851934768093827</x:v>
      </x:c>
    </x:row>
    <x:row r="163" ht="18" customHeight="1">
      <x:c r="A163" s="24" t="str">
        <x:v>EEZ_723</x:v>
      </x:c>
      <x:c r="B163" s="24" t="str">
        <x:v>Canary Isl. (Spain)</x:v>
      </x:c>
      <x:c r="C163" s="24" t="str">
        <x:v>EEZ</x:v>
      </x:c>
      <x:c r="D163" s="30" t="n">
        <x:v>2019</x:v>
      </x:c>
      <x:c r="E163" s="24" t="str">
        <x:v>Epinephelus aeneus</x:v>
      </x:c>
      <x:c r="F163" s="24" t="str">
        <x:v>White grouper</x:v>
      </x:c>
      <x:c r="G163" s="24" t="str">
        <x:v>Large demersals (&gt;=90 cm)</x:v>
      </x:c>
      <x:c r="H163" s="24" t="str">
        <x:v>Perch-likes</x:v>
      </x:c>
      <x:c r="I163" s="31" t="n">
        <x:v>0.0134999998</x:v>
      </x:c>
      <x:c r="J163" s="31" t="n">
        <x:v>0.0134999998</x:v>
      </x:c>
      <x:c r="K163" s="31" t="n">
        <x:v>0</x:v>
      </x:c>
      <x:c r="L163" s="31" t="n">
        <x:v>0.0134999998</x:v>
      </x:c>
      <x:c r="M163" s="31" t="n">
        <x:v>0</x:v>
      </x:c>
      <x:c r="N163" s="24" t="str">
        <x:v>epinephelus aeneus</x:v>
      </x:c>
      <x:c r="O163" s="32" t="n">
        <x:v>4.02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Epinephelus aeneus</x:v>
      </x:c>
      <x:c r="T163" s="32" t="n">
        <x:f>IF(O163="","",(1/'Metadata'!$B$5)^(O163-1))</x:f>
        <x:v>1047.1285480508984</x:v>
      </x:c>
      <x:c r="U163" s="31" t="n">
        <x:f>IF(T163="","",I163*T163)</x:f>
        <x:v>14.13623518926142</x:v>
      </x:c>
    </x:row>
    <x:row r="164" ht="18" customHeight="1">
      <x:c r="A164" s="24" t="str">
        <x:v>EEZ_723</x:v>
      </x:c>
      <x:c r="B164" s="24" t="str">
        <x:v>Canary Isl. (Spain)</x:v>
      </x:c>
      <x:c r="C164" s="24" t="str">
        <x:v>EEZ</x:v>
      </x:c>
      <x:c r="D164" s="30" t="n">
        <x:v>2019</x:v>
      </x:c>
      <x:c r="E164" s="24" t="str">
        <x:v>Campogramma glaycos</x:v>
      </x:c>
      <x:c r="F164" s="24" t="str">
        <x:v>Vadigo</x:v>
      </x:c>
      <x:c r="G164" s="24" t="str">
        <x:v>Medium benthopelagics (30 - 89 cm)</x:v>
      </x:c>
      <x:c r="H164" s="24" t="str">
        <x:v>Perch-likes</x:v>
      </x:c>
      <x:c r="I164" s="31" t="n">
        <x:v>0.0055600001</x:v>
      </x:c>
      <x:c r="J164" s="31" t="n">
        <x:v>0.0055600001</x:v>
      </x:c>
      <x:c r="K164" s="31" t="n">
        <x:v>0</x:v>
      </x:c>
      <x:c r="L164" s="31" t="n">
        <x:v>0.0055600001</x:v>
      </x:c>
      <x:c r="M164" s="31" t="n">
        <x:v>0</x:v>
      </x:c>
      <x:c r="N164" s="24" t="str">
        <x:v>campogramma glaycos</x:v>
      </x:c>
      <x:c r="O164" s="32" t="n">
        <x:v>4.5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Campogramma glaycos</x:v>
      </x:c>
      <x:c r="T164" s="32" t="n">
        <x:f>IF(O164="","",(1/'Metadata'!$B$5)^(O164-1))</x:f>
        <x:v>3162.2776601683795</x:v>
      </x:c>
      <x:c r="U164" s="31" t="n">
        <x:f>IF(T164="","",I164*T164)</x:f>
        <x:v>17.582264106763958</x:v>
      </x:c>
    </x:row>
    <x:row r="165" ht="18" customHeight="1">
      <x:c r="A165" s="24" t="str">
        <x:v>EEZ_723</x:v>
      </x:c>
      <x:c r="B165" s="24" t="str">
        <x:v>Canary Isl. (Spain)</x:v>
      </x:c>
      <x:c r="C165" s="24" t="str">
        <x:v>EEZ</x:v>
      </x:c>
      <x:c r="D165" s="30" t="n">
        <x:v>2019</x:v>
      </x:c>
      <x:c r="E165" s="24" t="str">
        <x:v>Hoplostethus atlanticus</x:v>
      </x:c>
      <x:c r="F165" s="24" t="str">
        <x:v>Orange roughy</x:v>
      </x:c>
      <x:c r="G165" s="24" t="str">
        <x:v>Medium bathypelagics (30 - 89 cm)</x:v>
      </x:c>
      <x:c r="H165" s="24" t="str">
        <x:v>Other fishes &amp; inverts</x:v>
      </x:c>
      <x:c r="I165" s="31" t="n">
        <x:v>0.0044999999</x:v>
      </x:c>
      <x:c r="J165" s="31" t="n">
        <x:v>0.0044999999</x:v>
      </x:c>
      <x:c r="K165" s="31" t="n">
        <x:v>0</x:v>
      </x:c>
      <x:c r="L165" s="31" t="n">
        <x:v>0.0044999999</x:v>
      </x:c>
      <x:c r="M165" s="31" t="n">
        <x:v>0</x:v>
      </x:c>
      <x:c r="N165" s="24" t="str">
        <x:v>hoplostethus atlanticus</x:v>
      </x:c>
      <x:c r="O165" s="32" t="n">
        <x:v>4.25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Hoplostethus atlanticus</x:v>
      </x:c>
      <x:c r="T165" s="32" t="n">
        <x:f>IF(O165="","",(1/'Metadata'!$B$5)^(O165-1))</x:f>
        <x:v>1778.2794100389228</x:v>
      </x:c>
      <x:c r="U165" s="31" t="n">
        <x:f>IF(T165="","",I165*T165)</x:f>
        <x:v>8.002257167347212</x:v>
      </x:c>
    </x:row>
    <x:row r="166" ht="18" customHeight="1">
      <x:c r="A166" s="24" t="str">
        <x:v>EEZ_723</x:v>
      </x:c>
      <x:c r="B166" s="24" t="str">
        <x:v>Canary Isl. (Spain)</x:v>
      </x:c>
      <x:c r="C166" s="24" t="str">
        <x:v>EEZ</x:v>
      </x:c>
      <x:c r="D166" s="30" t="n">
        <x:v>2019</x:v>
      </x:c>
      <x:c r="E166" s="24" t="str">
        <x:v>Trachinus radiatus</x:v>
      </x:c>
      <x:c r="F166" s="24" t="str">
        <x:v>Starry weever</x:v>
      </x:c>
      <x:c r="G166" s="24" t="str">
        <x:v>Medium demersals (30 - 89 cm)</x:v>
      </x:c>
      <x:c r="H166" s="24" t="str">
        <x:v>Perch-likes</x:v>
      </x:c>
      <x:c r="I166" s="31" t="n">
        <x:v>0.0029</x:v>
      </x:c>
      <x:c r="J166" s="31" t="n">
        <x:v>0.0029</x:v>
      </x:c>
      <x:c r="K166" s="31" t="n">
        <x:v>0</x:v>
      </x:c>
      <x:c r="L166" s="31" t="n">
        <x:v>0.0029</x:v>
      </x:c>
      <x:c r="M166" s="31" t="n">
        <x:v>0</x:v>
      </x:c>
      <x:c r="N166" s="24" t="str">
        <x:v>trachinus radiatus</x:v>
      </x:c>
      <x:c r="O166" s="32" t="n">
        <x:v>4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Trachinus radiatus</x:v>
      </x:c>
      <x:c r="T166" s="32" t="n">
        <x:f>IF(O166="","",(1/'Metadata'!$B$5)^(O166-1))</x:f>
        <x:v>1000</x:v>
      </x:c>
      <x:c r="U166" s="31" t="n">
        <x:f>IF(T166="","",I166*T166)</x:f>
        <x:v>2.9</x:v>
      </x:c>
    </x:row>
    <x:row r="167" ht="18" customHeight="1">
      <x:c r="A167" s="24" t="str">
        <x:v>EEZ_723</x:v>
      </x:c>
      <x:c r="B167" s="24" t="str">
        <x:v>Canary Isl. (Spain)</x:v>
      </x:c>
      <x:c r="C167" s="24" t="str">
        <x:v>EEZ</x:v>
      </x:c>
      <x:c r="D167" s="30" t="n">
        <x:v>2019</x:v>
      </x:c>
      <x:c r="E167" s="24" t="str">
        <x:v>Dalatias licha</x:v>
      </x:c>
      <x:c r="F167" s="24" t="str">
        <x:v>Kitefin shark</x:v>
      </x:c>
      <x:c r="G167" s="24" t="str">
        <x:v>Large sharks (&gt;=90 cm)</x:v>
      </x:c>
      <x:c r="H167" s="24" t="str">
        <x:v>Sharks &amp; rays</x:v>
      </x:c>
      <x:c r="I167" s="31" t="n">
        <x:v>0.0025000002999999997</x:v>
      </x:c>
      <x:c r="J167" s="31" t="n">
        <x:v>0.0025000002999999997</x:v>
      </x:c>
      <x:c r="K167" s="31" t="n">
        <x:v>0</x:v>
      </x:c>
      <x:c r="L167" s="31" t="n">
        <x:v>0.0025000002999999997</x:v>
      </x:c>
      <x:c r="M167" s="31" t="n">
        <x:v>0</x:v>
      </x:c>
      <x:c r="N167" s="24" t="str">
        <x:v>dalatias licha</x:v>
      </x:c>
      <x:c r="O167" s="32" t="n">
        <x:v>4.23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Dalatias licha</x:v>
      </x:c>
      <x:c r="T167" s="32" t="n">
        <x:f>IF(O167="","",(1/'Metadata'!$B$5)^(O167-1))</x:f>
        <x:v>1698.243652461746</x:v>
      </x:c>
      <x:c r="U167" s="31" t="n">
        <x:f>IF(T167="","",I167*T167)</x:f>
        <x:v>4.24560964062746</x:v>
      </x:c>
    </x:row>
    <x:row r="168" ht="18" customHeight="1">
      <x:c r="A168" s="24" t="str">
        <x:v>EEZ_723</x:v>
      </x:c>
      <x:c r="B168" s="24" t="str">
        <x:v>Canary Isl. (Spain)</x:v>
      </x:c>
      <x:c r="C168" s="24" t="str">
        <x:v>EEZ</x:v>
      </x:c>
      <x:c r="D168" s="30" t="n">
        <x:v>2019</x:v>
      </x:c>
      <x:c r="E168" s="24" t="str">
        <x:v>Chelidonichthys lastoviza</x:v>
      </x:c>
      <x:c r="F168" s="24" t="str">
        <x:v>Streaked gurnard</x:v>
      </x:c>
      <x:c r="G168" s="24" t="str">
        <x:v>Medium demersals (30 - 89 cm)</x:v>
      </x:c>
      <x:c r="H168" s="24" t="str">
        <x:v>Scorpionfishes</x:v>
      </x:c>
      <x:c r="I168" s="31" t="n">
        <x:v>0.0015</x:v>
      </x:c>
      <x:c r="J168" s="31" t="n">
        <x:v>0.0015</x:v>
      </x:c>
      <x:c r="K168" s="31" t="n">
        <x:v>0</x:v>
      </x:c>
      <x:c r="L168" s="31" t="n">
        <x:v>0.0015</x:v>
      </x:c>
      <x:c r="M168" s="31" t="n">
        <x:v>0</x:v>
      </x:c>
      <x:c r="N168" s="24" t="str">
        <x:v>chelidonichthys lastoviza</x:v>
      </x:c>
      <x:c r="O168" s="32" t="n">
        <x:v>3.49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Chelidonichthys lastoviza</x:v>
      </x:c>
      <x:c r="T168" s="32" t="n">
        <x:f>IF(O168="","",(1/'Metadata'!$B$5)^(O168-1))</x:f>
        <x:v>309.0295432513592</x:v>
      </x:c>
      <x:c r="U168" s="31" t="n">
        <x:f>IF(T168="","",I168*T168)</x:f>
        <x:v>0.4635443148770388</x:v>
      </x:c>
    </x:row>
    <x:row r="169" ht="18" customHeight="1">
      <x:c r="A169" s="24" t="str">
        <x:v>EEZ_723</x:v>
      </x:c>
      <x:c r="B169" s="24" t="str">
        <x:v>Canary Isl. (Spain)</x:v>
      </x:c>
      <x:c r="C169" s="24" t="str">
        <x:v>EEZ</x:v>
      </x:c>
      <x:c r="D169" s="30" t="n">
        <x:v>2019</x:v>
      </x:c>
      <x:c r="E169" s="24" t="str">
        <x:v>Microchirus</x:v>
      </x:c>
      <x:c r="F169" s="24" t="str">
        <x:v>Soles</x:v>
      </x:c>
      <x:c r="G169" s="24" t="str">
        <x:v>Small to medium flatfishes (&lt;90 cm)</x:v>
      </x:c>
      <x:c r="H169" s="24" t="str">
        <x:v>Flatfishes</x:v>
      </x:c>
      <x:c r="I169" s="31" t="n">
        <x:v>0.0012999999</x:v>
      </x:c>
      <x:c r="J169" s="31" t="n">
        <x:v>0.0012999999</x:v>
      </x:c>
      <x:c r="K169" s="31" t="n">
        <x:v>0</x:v>
      </x:c>
      <x:c r="L169" s="31" t="n">
        <x:v>0.0012999999</x:v>
      </x:c>
      <x:c r="M169" s="31" t="n">
        <x:v>0</x:v>
      </x:c>
      <x:c r="N169" s="24" t="str">
        <x:v>microchirus</x:v>
      </x:c>
      <x:c r="O169" s="32" t="n">
        <x:v>3.28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Microchirus</x:v>
      </x:c>
      <x:c r="T169" s="32" t="n">
        <x:f>IF(O169="","",(1/'Metadata'!$B$5)^(O169-1))</x:f>
        <x:v>190.54607179632464</x:v>
      </x:c>
      <x:c r="U169" s="31" t="n">
        <x:f>IF(T169="","",I169*T169)</x:f>
        <x:v>0.24770987428061483</x:v>
      </x:c>
    </x:row>
    <x:row r="170" ht="18" customHeight="1">
      <x:c r="A170" s="24" t="str">
        <x:v>EEZ_723</x:v>
      </x:c>
      <x:c r="B170" s="24" t="str">
        <x:v>Canary Isl. (Spain)</x:v>
      </x:c>
      <x:c r="C170" s="24" t="str">
        <x:v>EEZ</x:v>
      </x:c>
      <x:c r="D170" s="30" t="n">
        <x:v>2019</x:v>
      </x:c>
      <x:c r="E170" s="24" t="str">
        <x:v>Bothus podas</x:v>
      </x:c>
      <x:c r="F170" s="24" t="str">
        <x:v>Wide-eyed flounder</x:v>
      </x:c>
      <x:c r="G170" s="24" t="str">
        <x:v>Small to medium flatfishes (&lt;90 cm)</x:v>
      </x:c>
      <x:c r="H170" s="24" t="str">
        <x:v>Flatfishes</x:v>
      </x:c>
      <x:c r="I170" s="31" t="n">
        <x:v>0.00108</x:v>
      </x:c>
      <x:c r="J170" s="31" t="n">
        <x:v>0.00108</x:v>
      </x:c>
      <x:c r="K170" s="31" t="n">
        <x:v>0</x:v>
      </x:c>
      <x:c r="L170" s="31" t="n">
        <x:v>0.00108</x:v>
      </x:c>
      <x:c r="M170" s="31" t="n">
        <x:v>0</x:v>
      </x:c>
      <x:c r="N170" s="24" t="str">
        <x:v>bothus podas</x:v>
      </x:c>
      <x:c r="O170" s="32" t="n">
        <x:v>3.37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Bothus podas</x:v>
      </x:c>
      <x:c r="T170" s="32" t="n">
        <x:f>IF(O170="","",(1/'Metadata'!$B$5)^(O170-1))</x:f>
        <x:v>234.42288153199226</x:v>
      </x:c>
      <x:c r="U170" s="31" t="n">
        <x:f>IF(T170="","",I170*T170)</x:f>
        <x:v>0.25317671205455167</x:v>
      </x:c>
    </x:row>
    <x:row r="171" ht="18" customHeight="1">
      <x:c r="A171" s="24" t="str">
        <x:v>EEZ_723</x:v>
      </x:c>
      <x:c r="B171" s="24" t="str">
        <x:v>Canary Isl. (Spain)</x:v>
      </x:c>
      <x:c r="C171" s="24" t="str">
        <x:v>EEZ</x:v>
      </x:c>
      <x:c r="D171" s="30" t="n">
        <x:v>2019</x:v>
      </x:c>
      <x:c r="E171" s="24" t="str">
        <x:v>Mullus</x:v>
      </x:c>
      <x:c r="F171" s="24" t="str">
        <x:v>Atlantic goatfishes</x:v>
      </x:c>
      <x:c r="G171" s="24" t="str">
        <x:v>Medium demersals (30 - 89 cm)</x:v>
      </x:c>
      <x:c r="H171" s="24" t="str">
        <x:v>Perch-likes</x:v>
      </x:c>
      <x:c r="I171" s="31" t="n">
        <x:v>0.001</x:v>
      </x:c>
      <x:c r="J171" s="31" t="n">
        <x:v>0.001</x:v>
      </x:c>
      <x:c r="K171" s="31" t="n">
        <x:v>0</x:v>
      </x:c>
      <x:c r="L171" s="31" t="n">
        <x:v>0.001</x:v>
      </x:c>
      <x:c r="M171" s="31" t="n">
        <x:v>0</x:v>
      </x:c>
      <x:c r="N171" s="24" t="str">
        <x:v>mullus</x:v>
      </x:c>
      <x:c r="O171" s="32" t="n">
        <x:v>3.29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Mullus</x:v>
      </x:c>
      <x:c r="T171" s="32" t="n">
        <x:f>IF(O171="","",(1/'Metadata'!$B$5)^(O171-1))</x:f>
        <x:v>194.98445997580455</x:v>
      </x:c>
      <x:c r="U171" s="31" t="n">
        <x:f>IF(T171="","",I171*T171)</x:f>
        <x:v>0.19498445997580455</x:v>
      </x:c>
    </x:row>
    <x:row r="172" ht="18" customHeight="1">
      <x:c r="A172" s="24" t="str">
        <x:v>EEZ_723</x:v>
      </x:c>
      <x:c r="B172" s="24" t="str">
        <x:v>Canary Isl. (Spain)</x:v>
      </x:c>
      <x:c r="C172" s="24" t="str">
        <x:v>EEZ</x:v>
      </x:c>
      <x:c r="D172" s="30" t="n">
        <x:v>2019</x:v>
      </x:c>
      <x:c r="E172" s="24" t="str">
        <x:v>Carcharias taurus</x:v>
      </x:c>
      <x:c r="F172" s="24" t="str">
        <x:v>Sand tiger shark</x:v>
      </x:c>
      <x:c r="G172" s="24" t="str">
        <x:v>Large sharks (&gt;=90 cm)</x:v>
      </x:c>
      <x:c r="H172" s="24" t="str">
        <x:v>Sharks &amp; rays</x:v>
      </x:c>
      <x:c r="I172" s="31" t="n">
        <x:v>0.0008999998</x:v>
      </x:c>
      <x:c r="J172" s="31" t="n">
        <x:v>0.0008999998</x:v>
      </x:c>
      <x:c r="K172" s="31" t="n">
        <x:v>0</x:v>
      </x:c>
      <x:c r="L172" s="31" t="n">
        <x:v>0.0008999998</x:v>
      </x:c>
      <x:c r="M172" s="31" t="n">
        <x:v>0</x:v>
      </x:c>
      <x:c r="N172" s="24" t="str">
        <x:v>carcharias taurus</x:v>
      </x:c>
      <x:c r="O172" s="32" t="n">
        <x:v>4.5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Carcharias taurus</x:v>
      </x:c>
      <x:c r="T172" s="32" t="n">
        <x:f>IF(O172="","",(1/'Metadata'!$B$5)^(O172-1))</x:f>
        <x:v>3162.2776601683795</x:v>
      </x:c>
      <x:c r="U172" s="31" t="n">
        <x:f>IF(T172="","",I172*T172)</x:f>
        <x:v>2.8460492616960096</x:v>
      </x:c>
    </x:row>
    <x:row r="173" ht="18" customHeight="1">
      <x:c r="A173" s="24" t="str">
        <x:v>EEZ_723</x:v>
      </x:c>
      <x:c r="B173" s="24" t="str">
        <x:v>Canary Isl. (Spain)</x:v>
      </x:c>
      <x:c r="C173" s="24" t="str">
        <x:v>EEZ</x:v>
      </x:c>
      <x:c r="D173" s="30" t="n">
        <x:v>2019</x:v>
      </x:c>
      <x:c r="E173" s="24" t="str">
        <x:v>Decapoda</x:v>
      </x:c>
      <x:c r="F173" s="24" t="str">
        <x:v>Crabs, lobsters, shrimps</x:v>
      </x:c>
      <x:c r="G173" s="24" t="str">
        <x:v>Lobsters, crabs</x:v>
      </x:c>
      <x:c r="H173" s="24" t="str">
        <x:v>Crustaceans</x:v>
      </x:c>
      <x:c r="I173" s="31" t="n">
        <x:v>0.0006000000000000001</x:v>
      </x:c>
      <x:c r="J173" s="31" t="n">
        <x:v>0.0006000000000000001</x:v>
      </x:c>
      <x:c r="K173" s="31" t="n">
        <x:v>0</x:v>
      </x:c>
      <x:c r="L173" s="31" t="n">
        <x:v>0.0006000000000000001</x:v>
      </x:c>
      <x:c r="M173" s="31" t="n">
        <x:v>0</x:v>
      </x:c>
      <x:c r="N173" s="24" t="str">
        <x:v>decapoda</x:v>
      </x:c>
      <x:c r="O173" s="32" t="n">
        <x:v>3.43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Decapoda</x:v>
      </x:c>
      <x:c r="T173" s="32" t="n">
        <x:f>IF(O173="","",(1/'Metadata'!$B$5)^(O173-1))</x:f>
        <x:v>269.1534803926917</x:v>
      </x:c>
      <x:c r="U173" s="31" t="n">
        <x:f>IF(T173="","",I173*T173)</x:f>
        <x:v>0.16149208823561503</x:v>
      </x:c>
    </x:row>
    <x:row r="174" ht="18" customHeight="1">
      <x:c r="A174" s="24" t="str">
        <x:v>EEZ_723</x:v>
      </x:c>
      <x:c r="B174" s="24" t="str">
        <x:v>Canary Isl. (Spain)</x:v>
      </x:c>
      <x:c r="C174" s="24" t="str">
        <x:v>EEZ</x:v>
      </x:c>
      <x:c r="D174" s="30" t="n">
        <x:v>2019</x:v>
      </x:c>
      <x:c r="E174" s="24" t="str">
        <x:v>Chelidonichthys lucerna</x:v>
      </x:c>
      <x:c r="F174" s="24" t="str">
        <x:v>Tub gurnard</x:v>
      </x:c>
      <x:c r="G174" s="24" t="str">
        <x:v>Medium demersals (30 - 89 cm)</x:v>
      </x:c>
      <x:c r="H174" s="24" t="str">
        <x:v>Scorpionfishes</x:v>
      </x:c>
      <x:c r="I174" s="31" t="n">
        <x:v>0.0004000001</x:v>
      </x:c>
      <x:c r="J174" s="31" t="n">
        <x:v>0.0004000001</x:v>
      </x:c>
      <x:c r="K174" s="31" t="n">
        <x:v>0</x:v>
      </x:c>
      <x:c r="L174" s="31" t="n">
        <x:v>0.0004000001</x:v>
      </x:c>
      <x:c r="M174" s="31" t="n">
        <x:v>0</x:v>
      </x:c>
      <x:c r="N174" s="24" t="str">
        <x:v>chelidonichthys lucerna</x:v>
      </x:c>
      <x:c r="O174" s="32" t="n">
        <x:v>3.98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Chelidonichthys lucerna</x:v>
      </x:c>
      <x:c r="T174" s="32" t="n">
        <x:f>IF(O174="","",(1/'Metadata'!$B$5)^(O174-1))</x:f>
        <x:v>954.992586021436</x:v>
      </x:c>
      <x:c r="U174" s="31" t="n">
        <x:f>IF(T174="","",I174*T174)</x:f>
        <x:v>0.38199712990783297</x:v>
      </x:c>
    </x:row>
    <x:row r="175" ht="18" customHeight="1">
      <x:c r="A175" s="24" t="str">
        <x:v>EEZ_723</x:v>
      </x:c>
      <x:c r="B175" s="24" t="str">
        <x:v>Canary Isl. (Spain)</x:v>
      </x:c>
      <x:c r="C175" s="24" t="str">
        <x:v>EEZ</x:v>
      </x:c>
      <x:c r="D175" s="30" t="n">
        <x:v>2019</x:v>
      </x:c>
      <x:c r="E175" s="24" t="str">
        <x:v>Symphodus</x:v>
      </x:c>
      <x:c r="F175" s="24" t="str">
        <x:v>Eastern Atlantic wrasses</x:v>
      </x:c>
      <x:c r="G175" s="24" t="str">
        <x:v>Small reef assoc. fish (&lt;30 cm)</x:v>
      </x:c>
      <x:c r="H175" s="24" t="str">
        <x:v>Perch-likes</x:v>
      </x:c>
      <x:c r="I175" s="31" t="n">
        <x:v>0.0001999996</x:v>
      </x:c>
      <x:c r="J175" s="31" t="n">
        <x:v>0.0001999996</x:v>
      </x:c>
      <x:c r="K175" s="31" t="n">
        <x:v>0</x:v>
      </x:c>
      <x:c r="L175" s="31" t="n">
        <x:v>0.0001999996</x:v>
      </x:c>
      <x:c r="M175" s="31" t="n">
        <x:v>0</x:v>
      </x:c>
      <x:c r="N175" s="24" t="str">
        <x:v>symphodus</x:v>
      </x:c>
      <x:c r="O175" s="32" t="n">
        <x:v>3.39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Symphodus</x:v>
      </x:c>
      <x:c r="T175" s="32" t="n">
        <x:f>IF(O175="","",(1/'Metadata'!$B$5)^(O175-1))</x:f>
        <x:v>245.4708915685031</x:v>
      </x:c>
      <x:c r="U175" s="31" t="n">
        <x:f>IF(T175="","",I175*T175)</x:f>
        <x:v>0.049094080125344</x:v>
      </x:c>
    </x:row>
  </x:sheetData>
  <x:conditionalFormatting sqref="R2:R17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c8e7877bde840d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236.76354920530002</x:v>
      </x:c>
      <x:c r="C2" s="32" t="n">
        <x:v>3.1526554249158805</x:v>
      </x:c>
      <x:c r="D2" s="32" t="n">
        <x:f>IF(C2="","",(1/'Metadata'!$B$5)^(C2-1))</x:f>
        <x:v>142.12007398928915</x:v>
      </x:c>
      <x:c r="E2" s="31" t="n">
        <x:f>IF(B2=0,"",B2*D2)</x:f>
        <x:v>33648.85313102394</x:v>
      </x:c>
    </x:row>
    <x:row r="3" ht="18" customHeight="1">
      <x:c r="A3" s="24" t="str">
        <x:v>Cod-likes</x:v>
      </x:c>
      <x:c r="B3" s="31" t="n">
        <x:v>533.1660272556</x:v>
      </x:c>
      <x:c r="C3" s="32" t="n">
        <x:v>4.251467834185755</x:v>
      </x:c>
      <x:c r="D3" s="32" t="n">
        <x:f>IF(C3="","",(1/'Metadata'!$B$5)^(C3-1))</x:f>
        <x:v>1784.2998303280162</x:v>
      </x:c>
      <x:c r="E3" s="31" t="n">
        <x:f>IF(B3=0,"",B3*D3)</x:f>
        <x:v>951328.0519688297</x:v>
      </x:c>
    </x:row>
    <x:row r="4" ht="18" customHeight="1">
      <x:c r="A4" s="24" t="str">
        <x:v>Crustaceans</x:v>
      </x:c>
      <x:c r="B4" s="31" t="n">
        <x:v>12.5386292688</x:v>
      </x:c>
      <x:c r="C4" s="32" t="n">
        <x:v>2.9226619290664453</x:v>
      </x:c>
      <x:c r="D4" s="32" t="n">
        <x:f>IF(C4="","",(1/'Metadata'!$B$5)^(C4-1))</x:f>
        <x:v>83.6877571958651</x:v>
      </x:c>
      <x:c r="E4" s="31" t="n">
        <x:f>IF(B4=0,"",B4*D4)</x:f>
        <x:v>1049.329761816302</x:v>
      </x:c>
    </x:row>
    <x:row r="5" ht="18" customHeight="1">
      <x:c r="A5" s="24" t="str">
        <x:v>Flatfishes</x:v>
      </x:c>
      <x:c r="B5" s="31" t="n">
        <x:v>0.26276000010000006</x:v>
      </x:c>
      <x:c r="C5" s="32" t="n">
        <x:v>3.211003957957449</x:v>
      </x:c>
      <x:c r="D5" s="32" t="n">
        <x:f>IF(C5="","",(1/'Metadata'!$B$5)^(C5-1))</x:f>
        <x:v>162.5563570311554</x:v>
      </x:c>
      <x:c r="E5" s="31" t="n">
        <x:f>IF(B5=0,"",B5*D5)</x:f>
        <x:v>42.713308389762034</x:v>
      </x:c>
    </x:row>
    <x:row r="6" ht="18" customHeight="1">
      <x:c r="A6" s="24" t="str">
        <x:v>Herring-likes</x:v>
      </x:c>
      <x:c r="B6" s="31" t="n">
        <x:v>2339.4635702059004</x:v>
      </x:c>
      <x:c r="C6" s="32" t="n">
        <x:v>3.1375126053454134</x:v>
      </x:c>
      <x:c r="D6" s="32" t="n">
        <x:f>IF(C6="","",(1/'Metadata'!$B$5)^(C6-1))</x:f>
        <x:v>137.25007971009813</x:v>
      </x:c>
      <x:c r="E6" s="31" t="n">
        <x:f>IF(B6=0,"",B6*D6)</x:f>
        <x:v>321091.5614896306</x:v>
      </x:c>
    </x:row>
    <x:row r="7" ht="18" customHeight="1">
      <x:c r="A7" s="24" t="str">
        <x:v>Molluscs</x:v>
      </x:c>
      <x:c r="B7" s="31" t="n">
        <x:v>37.766332579200004</x:v>
      </x:c>
      <x:c r="C7" s="32" t="n">
        <x:v>2.0066994394512467</x:v>
      </x:c>
      <x:c r="D7" s="32" t="n">
        <x:f>IF(C7="","",(1/'Metadata'!$B$5)^(C7-1))</x:f>
        <x:v>10.155456247727377</x:v>
      </x:c>
      <x:c r="E7" s="31" t="n">
        <x:f>IF(B7=0,"",B7*D7)</x:f>
        <x:v>383.53433814518667</x:v>
      </x:c>
    </x:row>
    <x:row r="8" ht="18" customHeight="1">
      <x:c r="A8" s="24" t="str">
        <x:v>Other fishes &amp; inverts</x:v>
      </x:c>
      <x:c r="B8" s="31" t="n">
        <x:v>11253.844207102002</x:v>
      </x:c>
      <x:c r="C8" s="32" t="n">
        <x:v>3.4776449268315184</x:v>
      </x:c>
      <x:c r="D8" s="32" t="n">
        <x:f>IF(C8="","",(1/'Metadata'!$B$5)^(C8-1))</x:f>
        <x:v>300.3619580600988</x:v>
      </x:c>
      <x:c r="E8" s="31" t="n">
        <x:f>IF(B8=0,"",B8*D8)</x:f>
        <x:v>3380226.6817484573</x:v>
      </x:c>
    </x:row>
    <x:row r="9" ht="18" customHeight="1">
      <x:c r="A9" s="24" t="str">
        <x:v>Perch-likes</x:v>
      </x:c>
      <x:c r="B9" s="31" t="n">
        <x:v>51477.811037198386</x:v>
      </x:c>
      <x:c r="C9" s="32" t="n">
        <x:v>3.3593249446668945</x:v>
      </x:c>
      <x:c r="D9" s="32" t="n">
        <x:f>IF(C9="","",(1/'Metadata'!$B$5)^(C9-1))</x:f>
        <x:v>228.7309557456642</x:v>
      </x:c>
      <x:c r="E9" s="31" t="n">
        <x:f>IF(B9=0,"",B9*D9)</x:f>
        <x:v>11774568.91823309</x:v>
      </x:c>
    </x:row>
    <x:row r="10" ht="18" customHeight="1">
      <x:c r="A10" s="24" t="str">
        <x:v>Scorpionfishes</x:v>
      </x:c>
      <x:c r="B10" s="31" t="n">
        <x:v>729.3286917104998</x:v>
      </x:c>
      <x:c r="C10" s="32" t="n">
        <x:v>3.5862860220047077</x:v>
      </x:c>
      <x:c r="D10" s="32" t="n">
        <x:f>IF(C10="","",(1/'Metadata'!$B$5)^(C10-1))</x:f>
        <x:v>385.73231347620754</x:v>
      </x:c>
      <x:c r="E10" s="31" t="n">
        <x:f>IF(B10=0,"",B10*D10)</x:f>
        <x:v>281325.6435380668</x:v>
      </x:c>
    </x:row>
    <x:row r="11" ht="18" customHeight="1">
      <x:c r="A11" s="24" t="str">
        <x:v>Sharks &amp; rays</x:v>
      </x:c>
      <x:c r="B11" s="31" t="n">
        <x:v>247.92162165989998</x:v>
      </x:c>
      <x:c r="C11" s="32" t="n">
        <x:v>4.133678731073182</x:v>
      </x:c>
      <x:c r="D11" s="32" t="n">
        <x:f>IF(C11="","",(1/'Metadata'!$B$5)^(C11-1))</x:f>
        <x:v>1360.4379274856499</x:v>
      </x:c>
      <x:c r="E11" s="31" t="n">
        <x:f>IF(B11=0,"",B11*D11)</x:f>
        <x:v>337281.9771498757</x:v>
      </x:c>
    </x:row>
    <x:row r="12" ht="18" customHeight="1">
      <x:c r="A12" s="24" t="str">
        <x:v>Tuna &amp; billfishes</x:v>
      </x:c>
      <x:c r="B12" s="31" t="n">
        <x:v>25957.598633539495</x:v>
      </x:c>
      <x:c r="C12" s="32" t="n">
        <x:v>4.401021078347967</x:v>
      </x:c>
      <x:c r="D12" s="32" t="n">
        <x:f>IF(C12="","",(1/'Metadata'!$B$5)^(C12-1))</x:f>
        <x:v>2517.7991253929854</x:v>
      </x:c>
      <x:c r="E12" s="31" t="n">
        <x:f>IF(B12=0,"",B12*D12)</x:f>
        <x:v>65356019.13682789</x:v>
      </x:c>
    </x:row>
  </x:sheetData>
  <x:pageMargins left="0.7" right="0.7" top="0.75" bottom="0.75" header="0.3" footer="0.3"/>
  <x:tableParts count="1">
    <x:tablePart xmlns:r="http://schemas.openxmlformats.org/officeDocument/2006/relationships" r:id="R47c201c2028c45b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228.7540822761</x:v>
      </x:c>
      <x:c r="C2" s="32" t="n">
        <x:v>4.034089540156363</x:v>
      </x:c>
      <x:c r="D2" s="32" t="n">
        <x:f>IF(C2="","",(1/'Metadata'!$B$5)^(C2-1))</x:f>
        <x:v>1081.6569376629616</x:v>
      </x:c>
      <x:c r="E2" s="31" t="n">
        <x:f>IF(B2=0,"",B2*D2)</x:f>
        <x:v>247433.44011266748</x:v>
      </x:c>
    </x:row>
    <x:row r="3" ht="18" customHeight="1">
      <x:c r="A3" s="24" t="str">
        <x:v>Large bathydemersals (&gt;=90 cm)</x:v>
      </x:c>
      <x:c r="B3" s="31" t="n">
        <x:v>353.31904089980003</x:v>
      </x:c>
      <x:c r="C3" s="32" t="n">
        <x:v>4.136166229828931</x:v>
      </x:c>
      <x:c r="D3" s="32" t="n">
        <x:f>IF(C3="","",(1/'Metadata'!$B$5)^(C3-1))</x:f>
        <x:v>1368.252435393316</x:v>
      </x:c>
      <x:c r="E3" s="31" t="n">
        <x:f>IF(B3=0,"",B3*D3)</x:f>
        <x:v>483429.63818198204</x:v>
      </x:c>
    </x:row>
    <x:row r="4" ht="18" customHeight="1">
      <x:c r="A4" s="24" t="str">
        <x:v>Large bathypelagics (&gt;=90 cm)</x:v>
      </x:c>
      <x:c r="B4" s="31" t="n">
        <x:v>7.683136702600001</x:v>
      </x:c>
      <x:c r="C4" s="32" t="n">
        <x:v>4.340000000000001</x:v>
      </x:c>
      <x:c r="D4" s="32" t="n">
        <x:f>IF(C4="","",(1/'Metadata'!$B$5)^(C4-1))</x:f>
        <x:v>2187.7616239495565</x:v>
      </x:c>
      <x:c r="E4" s="31" t="n">
        <x:f>IF(B4=0,"",B4*D4)</x:f>
        <x:v>16808.87162950662</x:v>
      </x:c>
    </x:row>
    <x:row r="5" ht="18" customHeight="1">
      <x:c r="A5" s="24" t="str">
        <x:v>Large benthopelagics (&gt;=90 cm)</x:v>
      </x:c>
      <x:c r="B5" s="31" t="n">
        <x:v>1058.3426399624</x:v>
      </x:c>
      <x:c r="C5" s="32" t="n">
        <x:v>3.4060006262311124</x:v>
      </x:c>
      <x:c r="D5" s="32" t="n">
        <x:f>IF(C5="","",(1/'Metadata'!$B$5)^(C5-1))</x:f>
        <x:v>254.6833924990652</x:v>
      </x:c>
      <x:c r="E5" s="31" t="n">
        <x:f>IF(B5=0,"",B5*D5)</x:f>
        <x:v>269542.29397204076</x:v>
      </x:c>
    </x:row>
    <x:row r="6" ht="18" customHeight="1">
      <x:c r="A6" s="24" t="str">
        <x:v>Large demersals (&gt;=90 cm)</x:v>
      </x:c>
      <x:c r="B6" s="31" t="n">
        <x:v>2283.2021319650003</x:v>
      </x:c>
      <x:c r="C6" s="32" t="n">
        <x:v>4.041229970480255</x:v>
      </x:c>
      <x:c r="D6" s="32" t="n">
        <x:f>IF(C6="","",(1/'Metadata'!$B$5)^(C6-1))</x:f>
        <x:v>1099.5879463646363</x:v>
      </x:c>
      <x:c r="E6" s="31" t="n">
        <x:f>IF(B6=0,"",B6*D6)</x:f>
        <x:v>2510581.543422754</x:v>
      </x:c>
    </x:row>
    <x:row r="7" ht="18" customHeight="1">
      <x:c r="A7" s="24" t="str">
        <x:v>Large pelagics (&gt;=90 cm)</x:v>
      </x:c>
      <x:c r="B7" s="31" t="n">
        <x:v>27316.273995886393</x:v>
      </x:c>
      <x:c r="C7" s="32" t="n">
        <x:v>4.396006154499833</x:v>
      </x:c>
      <x:c r="D7" s="32" t="n">
        <x:f>IF(C7="","",(1/'Metadata'!$B$5)^(C7-1))</x:f>
        <x:v>2488.8925887753962</x:v>
      </x:c>
      <x:c r="E7" s="31" t="n">
        <x:f>IF(B7=0,"",B7*D7)</x:f>
        <x:v>67987271.90131973</x:v>
      </x:c>
    </x:row>
    <x:row r="8" ht="18" customHeight="1">
      <x:c r="A8" s="24" t="str">
        <x:v>Large rays (&gt;=90 cm)</x:v>
      </x:c>
      <x:c r="B8" s="31" t="n">
        <x:v>59.3505187856</x:v>
      </x:c>
      <x:c r="C8" s="32" t="n">
        <x:v>4.028153841540833</x:v>
      </x:c>
      <x:c r="D8" s="32" t="n">
        <x:f>IF(C8="","",(1/'Metadata'!$B$5)^(C8-1))</x:f>
        <x:v>1066.9740119553414</x:v>
      </x:c>
      <x:c r="E8" s="31" t="n">
        <x:f>IF(B8=0,"",B8*D8)</x:f>
        <x:v>63325.46114030249</x:v>
      </x:c>
    </x:row>
    <x:row r="9" ht="18" customHeight="1">
      <x:c r="A9" s="24" t="str">
        <x:v>Large reef assoc. fish (&gt;=90 cm)</x:v>
      </x:c>
      <x:c r="B9" s="31" t="n">
        <x:v>3909.5267671627</x:v>
      </x:c>
      <x:c r="C9" s="32" t="n">
        <x:v>4.29066810303617</x:v>
      </x:c>
      <x:c r="D9" s="32" t="n">
        <x:f>IF(C9="","",(1/'Metadata'!$B$5)^(C9-1))</x:f>
        <x:v>1952.84647907431</x:v>
      </x:c>
      <x:c r="E9" s="31" t="n">
        <x:f>IF(B9=0,"",B9*D9)</x:f>
        <x:v>7634705.582100448</x:v>
      </x:c>
    </x:row>
    <x:row r="10" ht="18" customHeight="1">
      <x:c r="A10" s="24" t="str">
        <x:v>Large sharks (&gt;=90 cm)</x:v>
      </x:c>
      <x:c r="B10" s="31" t="n">
        <x:v>188.57110287429998</x:v>
      </x:c>
      <x:c r="C10" s="32" t="n">
        <x:v>4.1668914388692055</x:v>
      </x:c>
      <x:c r="D10" s="32" t="n">
        <x:f>IF(C10="","",(1/'Metadata'!$B$5)^(C10-1))</x:f>
        <x:v>1468.5591342082137</x:v>
      </x:c>
      <x:c r="E10" s="31" t="n">
        <x:f>IF(B10=0,"",B10*D10)</x:f>
        <x:v>276927.81557376997</x:v>
      </x:c>
    </x:row>
    <x:row r="11" ht="18" customHeight="1">
      <x:c r="A11" s="24" t="str">
        <x:v>Lobsters, crabs</x:v>
      </x:c>
      <x:c r="B11" s="31" t="n">
        <x:v>0.9938699998999999</x:v>
      </x:c>
      <x:c r="C11" s="32" t="n">
        <x:v>3.1215315886405195</x:v>
      </x:c>
      <x:c r="D11" s="32" t="n">
        <x:f>IF(C11="","",(1/'Metadata'!$B$5)^(C11-1))</x:f>
        <x:v>132.29139273599225</x:v>
      </x:c>
      <x:c r="E11" s="31" t="n">
        <x:f>IF(B11=0,"",B11*D11)</x:f>
        <x:v>131.48044648529145</x:v>
      </x:c>
    </x:row>
    <x:row r="12" ht="18" customHeight="1">
      <x:c r="A12" s="24" t="str">
        <x:v>Medium bathydemersals (30 - 89 cm)</x:v>
      </x:c>
      <x:c r="B12" s="31" t="n">
        <x:v>875.4844585202001</x:v>
      </x:c>
      <x:c r="C12" s="32" t="n">
        <x:v>3.6595259973752805</x:v>
      </x:c>
      <x:c r="D12" s="32" t="n">
        <x:f>IF(C12="","",(1/'Metadata'!$B$5)^(C12-1))</x:f>
        <x:v>456.5895813701823</x:v>
      </x:c>
      <x:c r="E12" s="31" t="n">
        <x:f>IF(B12=0,"",B12*D12)</x:f>
        <x:v>399737.08241183887</x:v>
      </x:c>
    </x:row>
    <x:row r="13" ht="18" customHeight="1">
      <x:c r="A13" s="24" t="str">
        <x:v>Medium bathypelagics (30 - 89 cm)</x:v>
      </x:c>
      <x:c r="B13" s="31" t="n">
        <x:v>176.59149494629997</x:v>
      </x:c>
      <x:c r="C13" s="32" t="n">
        <x:v>3.857331918505338</x:v>
      </x:c>
      <x:c r="D13" s="32" t="n">
        <x:f>IF(C13="","",(1/'Metadata'!$B$5)^(C13-1))</x:f>
        <x:v>719.9990418796219</x:v>
      </x:c>
      <x:c r="E13" s="31" t="n">
        <x:f>IF(B13=0,"",B13*D13)</x:f>
        <x:v>127145.70716542608</x:v>
      </x:c>
    </x:row>
    <x:row r="14" ht="18" customHeight="1">
      <x:c r="A14" s="24" t="str">
        <x:v>Medium benthopelagics (30 - 89 cm)</x:v>
      </x:c>
      <x:c r="B14" s="31" t="n">
        <x:v>18875.917099458304</x:v>
      </x:c>
      <x:c r="C14" s="32" t="n">
        <x:v>3.1306397888914965</x:v>
      </x:c>
      <x:c r="D14" s="32" t="n">
        <x:f>IF(C14="","",(1/'Metadata'!$B$5)^(C14-1))</x:f>
        <x:v>135.09515965303657</x:v>
      </x:c>
      <x:c r="E14" s="31" t="n">
        <x:f>IF(B14=0,"",B14*D14)</x:f>
        <x:v>2550045.0341488025</x:v>
      </x:c>
    </x:row>
    <x:row r="15" ht="18" customHeight="1">
      <x:c r="A15" s="24" t="str">
        <x:v>Medium demersals (30 - 89 cm)</x:v>
      </x:c>
      <x:c r="B15" s="31" t="n">
        <x:v>12918.678544912102</x:v>
      </x:c>
      <x:c r="C15" s="32" t="n">
        <x:v>3.1247617829746006</x:v>
      </x:c>
      <x:c r="D15" s="32" t="n">
        <x:f>IF(C15="","",(1/'Metadata'!$B$5)^(C15-1))</x:f>
        <x:v>133.27901762635958</x:v>
      </x:c>
      <x:c r="E15" s="31" t="n">
        <x:f>IF(B15=0,"",B15*D15)</x:f>
        <x:v>1721788.7854966132</x:v>
      </x:c>
    </x:row>
    <x:row r="16" ht="18" customHeight="1">
      <x:c r="A16" s="24" t="str">
        <x:v>Medium pelagics (30 - 89 cm)</x:v>
      </x:c>
      <x:c r="B16" s="31" t="n">
        <x:v>7609.723921802799</x:v>
      </x:c>
      <x:c r="C16" s="32" t="n">
        <x:v>3.7847624446709154</x:v>
      </x:c>
      <x:c r="D16" s="32" t="n">
        <x:f>IF(C16="","",(1/'Metadata'!$B$5)^(C16-1))</x:f>
        <x:v>609.2035769940334</x:v>
      </x:c>
      <x:c r="E16" s="31" t="n">
        <x:f>IF(B16=0,"",B16*D16)</x:f>
        <x:v>4635871.033099329</x:v>
      </x:c>
    </x:row>
    <x:row r="17" ht="18" customHeight="1">
      <x:c r="A17" s="24" t="str">
        <x:v>Medium reef assoc. fish (30 - 89 cm)</x:v>
      </x:c>
      <x:c r="B17" s="31" t="n">
        <x:v>6943.5033625363</x:v>
      </x:c>
      <x:c r="C17" s="32" t="n">
        <x:v>2.940810037440875</x:v>
      </x:c>
      <x:c r="D17" s="32" t="n">
        <x:f>IF(C17="","",(1/'Metadata'!$B$5)^(C17-1))</x:f>
        <x:v>87.2589609881993</x:v>
      </x:c>
      <x:c r="E17" s="31" t="n">
        <x:f>IF(B17=0,"",B17*D17)</x:f>
        <x:v>605882.8890329858</x:v>
      </x:c>
    </x:row>
    <x:row r="18" ht="18" customHeight="1">
      <x:c r="A18" s="24" t="str">
        <x:v>Other demersal invertebrates</x:v>
      </x:c>
      <x:c r="B18" s="31" t="n">
        <x:v>39.8967445542</x:v>
      </x:c>
      <x:c r="C18" s="32" t="n">
        <x:v>2.023052599591592</x:v>
      </x:c>
      <x:c r="D18" s="32" t="n">
        <x:f>IF(C18="","",(1/'Metadata'!$B$5)^(C18-1))</x:f>
        <x:v>10.545146062312774</x:v>
      </x:c>
      <x:c r="E18" s="31" t="n">
        <x:f>IF(B18=0,"",B18*D18)</x:f>
        <x:v>420.7169987348207</x:v>
      </x:c>
    </x:row>
    <x:row r="19" ht="18" customHeight="1">
      <x:c r="A19" s="24" t="str">
        <x:v>Shrimps</x:v>
      </x:c>
      <x:c r="B19" s="31" t="n">
        <x:v>11.5447592689</x:v>
      </x:c>
      <x:c r="C19" s="32" t="n">
        <x:v>2.9055415557492257</x:v>
      </x:c>
      <x:c r="D19" s="32" t="n">
        <x:f>IF(C19="","",(1/'Metadata'!$B$5)^(C19-1))</x:f>
        <x:v>80.4528726722331</x:v>
      </x:c>
      <x:c r="E19" s="31" t="n">
        <x:f>IF(B19=0,"",B19*D19)</x:f>
        <x:v>928.8090474923946</x:v>
      </x:c>
    </x:row>
    <x:row r="20" ht="18" customHeight="1">
      <x:c r="A20" s="24" t="str">
        <x:v>Small benthopelagics (&lt;30 cm)</x:v>
      </x:c>
      <x:c r="B20" s="31" t="n">
        <x:v>922.4393890099</x:v>
      </x:c>
      <x:c r="C20" s="32" t="n">
        <x:v>3.3961722189536876</x:v>
      </x:c>
      <x:c r="D20" s="32" t="n">
        <x:f>IF(C20="","",(1/'Metadata'!$B$5)^(C20-1))</x:f>
        <x:v>248.98444673675618</x:v>
      </x:c>
      <x:c r="E20" s="31" t="n">
        <x:f>IF(B20=0,"",B20*D20)</x:f>
        <x:v>229673.06092082136</x:v>
      </x:c>
    </x:row>
    <x:row r="21" ht="18" customHeight="1">
      <x:c r="A21" s="24" t="str">
        <x:v>Small demersals (&lt;30 cm)</x:v>
      </x:c>
      <x:c r="B21" s="31" t="n">
        <x:v>112.9325566219</x:v>
      </x:c>
      <x:c r="C21" s="32" t="n">
        <x:v>3.47286366934101</x:v>
      </x:c>
      <x:c r="D21" s="32" t="n">
        <x:f>IF(C21="","",(1/'Metadata'!$B$5)^(C21-1))</x:f>
        <x:v>297.07333337087186</x:v>
      </x:c>
      <x:c r="E21" s="31" t="n">
        <x:f>IF(B21=0,"",B21*D21)</x:f>
        <x:v>33549.25104176256</x:v>
      </x:c>
    </x:row>
    <x:row r="22" ht="18" customHeight="1">
      <x:c r="A22" s="24" t="str">
        <x:v>Small pelagics (&lt;30 cm)</x:v>
      </x:c>
      <x:c r="B22" s="31" t="n">
        <x:v>2848.8493512654004</x:v>
      </x:c>
      <x:c r="C22" s="32" t="n">
        <x:v>3.2577661839585086</x:v>
      </x:c>
      <x:c r="D22" s="32" t="n">
        <x:f>IF(C22="","",(1/'Metadata'!$B$5)^(C22-1))</x:f>
        <x:v>181.03651633938796</x:v>
      </x:c>
      <x:c r="E22" s="31" t="n">
        <x:f>IF(B22=0,"",B22*D22)</x:f>
        <x:v>515745.7621288134</x:v>
      </x:c>
    </x:row>
    <x:row r="23" ht="18" customHeight="1">
      <x:c r="A23" s="24" t="str">
        <x:v>Small reef assoc. fish (&lt;30 cm)</x:v>
      </x:c>
      <x:c r="B23" s="31" t="n">
        <x:v>6084.623330313999</x:v>
      </x:c>
      <x:c r="C23" s="32" t="n">
        <x:v>3.581543638386613</x:v>
      </x:c>
      <x:c r="D23" s="32" t="n">
        <x:f>IF(C23="","",(1/'Metadata'!$B$5)^(C23-1))</x:f>
        <x:v>381.5431302262362</x:v>
      </x:c>
      <x:c r="E23" s="31" t="n">
        <x:f>IF(B23=0,"",B23*D23)</x:f>
        <x:v>2321546.231695589</x:v>
      </x:c>
    </x:row>
    <x:row r="24" ht="18" customHeight="1">
      <x:c r="A24" s="24" t="str">
        <x:v>Small to medium flatfishes (&lt;90 cm)</x:v>
      </x:c>
      <x:c r="B24" s="31" t="n">
        <x:v>0.26276000010000006</x:v>
      </x:c>
      <x:c r="C24" s="32" t="n">
        <x:v>3.211003957957449</x:v>
      </x:c>
      <x:c r="D24" s="32" t="n">
        <x:f>IF(C24="","",(1/'Metadata'!$B$5)^(C24-1))</x:f>
        <x:v>162.5563570311554</x:v>
      </x:c>
      <x:c r="E24" s="31" t="n">
        <x:f>IF(B24=0,"",B24*D24)</x:f>
        <x:v>42.713308389762034</x:v>
      </x:c>
    </x:row>
  </x:sheetData>
  <x:pageMargins left="0.7" right="0.7" top="0.75" bottom="0.75" header="0.3" footer="0.3"/>
  <x:tableParts count="1">
    <x:tablePart xmlns:r="http://schemas.openxmlformats.org/officeDocument/2006/relationships" r:id="Rf1082393996b4c0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EEZ_723</x:v>
      </x:c>
      <x:c r="B2" s="24" t="str">
        <x:v>raw_filtered_tonnes</x:v>
      </x:c>
      <x:c r="C2" s="24" t="n">
        <x:v>92826.4650597252</x:v>
      </x:c>
      <x:c r="D2" s="24" t="str">
        <x:v>tonnes</x:v>
      </x:c>
    </x:row>
    <x:row r="3" ht="18" customHeight="1">
      <x:c r="A3" s="24" t="str">
        <x:v>EEZ_723</x:v>
      </x:c>
      <x:c r="B3" s="24" t="str">
        <x:v>species_catch_tonnes</x:v>
      </x:c>
      <x:c r="C3" s="24" t="n">
        <x:v>92826.4650597252</x:v>
      </x:c>
      <x:c r="D3" s="24" t="str">
        <x:v>tonnes</x:v>
      </x:c>
    </x:row>
    <x:row r="4" ht="18" customHeight="1">
      <x:c r="A4" s="24" t="str">
        <x:v>EEZ_723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EEZ_723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EEZ_723</x:v>
      </x:c>
      <x:c r="B6" s="24" t="str">
        <x:v>matched_catch_tonnes</x:v>
      </x:c>
      <x:c r="C6" s="24" t="n">
        <x:v>92826.4650597252</x:v>
      </x:c>
      <x:c r="D6" s="24" t="str">
        <x:v>tonnes</x:v>
      </x:c>
    </x:row>
    <x:row r="7" ht="18" customHeight="1">
      <x:c r="A7" s="24" t="str">
        <x:v>EEZ_723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EEZ_723</x:v>
      </x:c>
      <x:c r="B8" s="24" t="str">
        <x:v>taxa_count</x:v>
      </x:c>
      <x:c r="C8" s="24" t="n">
        <x:v>174</x:v>
      </x:c>
      <x:c r="D8" s="24" t="str">
        <x:v>count</x:v>
      </x:c>
    </x:row>
    <x:row r="9" ht="18" customHeight="1">
      <x:c r="A9" s="24" t="str">
        <x:v>EEZ_723</x:v>
      </x:c>
      <x:c r="B9" s="24" t="str">
        <x:v>matched_taxa_count</x:v>
      </x:c>
      <x:c r="C9" s="24" t="n">
        <x:v>174</x:v>
      </x:c>
      <x:c r="D9" s="24" t="str">
        <x:v>count</x:v>
      </x:c>
    </x:row>
    <x:row r="10" ht="18" customHeight="1">
      <x:c r="A10" s="24" t="str">
        <x:v>EEZ_723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EEZ_723</x:v>
      </x:c>
      <x:c r="B11" s="24" t="str">
        <x:v>species_ppr</x:v>
      </x:c>
      <x:c r="C11" s="24" t="n">
        <x:v>101920689.58241549</x:v>
      </x:c>
      <x:c r="D11" s="24" t="str">
        <x:v>tonnes_primary_production_equivalent</x:v>
      </x:c>
    </x:row>
    <x:row r="12" ht="18" customHeight="1">
      <x:c r="A12" s="24" t="str">
        <x:v>EEZ_723</x:v>
      </x:c>
      <x:c r="B12" s="24" t="str">
        <x:v>commercial_ppr</x:v>
      </x:c>
      <x:c r="C12" s="24" t="n">
        <x:v>82436966.40149522</x:v>
      </x:c>
      <x:c r="D12" s="24" t="str">
        <x:v>tonnes_primary_production_equivalent</x:v>
      </x:c>
    </x:row>
    <x:row r="13" ht="18" customHeight="1">
      <x:c r="A13" s="24" t="str">
        <x:v>EEZ_723</x:v>
      </x:c>
      <x:c r="B13" s="24" t="str">
        <x:v>functional_ppr</x:v>
      </x:c>
      <x:c r="C13" s="24" t="n">
        <x:v>92632535.1043963</x:v>
      </x:c>
      <x:c r="D13" s="24" t="str">
        <x:v>tonnes_primary_production_equivalent</x:v>
      </x:c>
    </x:row>
    <x:row r="14" ht="18" customHeight="1">
      <x:c r="A14" s="24" t="str">
        <x:v>EEZ_723</x:v>
      </x:c>
      <x:c r="B14" s="24" t="str">
        <x:v>commercial_ppr_difference</x:v>
      </x:c>
      <x:c r="C14" s="24" t="n">
        <x:v>-19483723.180920273</x:v>
      </x:c>
      <x:c r="D14" s="24" t="str">
        <x:v>tonnes_primary_production_equivalent</x:v>
      </x:c>
    </x:row>
    <x:row r="15" ht="18" customHeight="1">
      <x:c r="A15" s="24" t="str">
        <x:v>EEZ_723</x:v>
      </x:c>
      <x:c r="B15" s="24" t="str">
        <x:v>functional_ppr_difference</x:v>
      </x:c>
      <x:c r="C15" s="24" t="n">
        <x:v>-9288154.478019193</x:v>
      </x:c>
      <x:c r="D15" s="24" t="str">
        <x:v>tonnes_primary_production_equivalent</x:v>
      </x:c>
    </x:row>
    <x:row r="16" ht="18" customHeight="1">
      <x:c r="A16" s="24" t="str">
        <x:v>EEZ_723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EEZ_723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72f9a6eefbd0490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EEZ_723 - Canary Isl. (Spain)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EEZ_723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raw_data/SAU_downloads/EEZ_723-catch.zip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