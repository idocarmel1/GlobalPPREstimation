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893ef7e95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d30fb7430eb4605"/>
    <x:sheet xmlns:r="http://schemas.openxmlformats.org/officeDocument/2006/relationships" name="Commercial" sheetId="2" r:id="Rde4cfd4f07e2444c"/>
    <x:sheet xmlns:r="http://schemas.openxmlformats.org/officeDocument/2006/relationships" name="Functional" sheetId="3" r:id="R24a91948c82e4543"/>
    <x:sheet xmlns:r="http://schemas.openxmlformats.org/officeDocument/2006/relationships" name="Missing TL" sheetId="4" r:id="Re2800d3b548b4f59"/>
    <x:sheet xmlns:r="http://schemas.openxmlformats.org/officeDocument/2006/relationships" name="Validation" sheetId="5" r:id="Rce7d1c1e5afd4d56"/>
    <x:sheet xmlns:r="http://schemas.openxmlformats.org/officeDocument/2006/relationships" name="Metadata" sheetId="6" r:id="R3abd26d43cb9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57cd725414a67" /><Relationship Type="http://schemas.openxmlformats.org/officeDocument/2006/relationships/theme" Target="/xl/theme/theme1.xml" Id="R45ecaa24c00c43c3" /><Relationship Type="http://schemas.microsoft.com/office/2022/11/relationships/FeaturePropertyBag" Target="/xl/featurePropertyBag/featurePropertyBag.xml" Id="Rd85f246e9e61464d" /><Relationship Type="http://schemas.openxmlformats.org/officeDocument/2006/relationships/sharedStrings" Target="/xl/sharedStrings.xml" Id="R62b181eb272b4832" /><Relationship Type="http://schemas.openxmlformats.org/officeDocument/2006/relationships/worksheet" Target="/xl/worksheets/sheet1.xml" Id="R5d30fb7430eb4605" /><Relationship Type="http://schemas.openxmlformats.org/officeDocument/2006/relationships/worksheet" Target="/xl/worksheets/sheet2.xml" Id="Rde4cfd4f07e2444c" /><Relationship Type="http://schemas.openxmlformats.org/officeDocument/2006/relationships/worksheet" Target="/xl/worksheets/sheet3.xml" Id="R24a91948c82e4543" /><Relationship Type="http://schemas.openxmlformats.org/officeDocument/2006/relationships/worksheet" Target="/xl/worksheets/sheet4.xml" Id="Re2800d3b548b4f59" /><Relationship Type="http://schemas.openxmlformats.org/officeDocument/2006/relationships/worksheet" Target="/xl/worksheets/sheet5.xml" Id="Rce7d1c1e5afd4d56" /><Relationship Type="http://schemas.openxmlformats.org/officeDocument/2006/relationships/worksheet" Target="/xl/worksheets/sheet6.xml" Id="R3abd26d43cb946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2SpeciesTable" displayName="EEZ462SpeciesTable" ref="A1:U73" headerRowCount="1" totalsRowCount="0" totalsRowShown="0">
  <x:autoFilter ref="A1:U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2CommercialTable" displayName="EEZ462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2FunctionalTable" displayName="EEZ462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2ValidationTable" displayName="EEZ46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fe0965080d4c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68ea43b8b9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fad8511a1848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d0709f078546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EEZ_462</x:v>
      </x:c>
      <x:c r="B2" s="24" t="str">
        <x:v>Maldives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23950.3521764146</x:v>
      </x:c>
      <x:c r="J2" s="31" t="n">
        <x:v>23950.3521764146</x:v>
      </x:c>
      <x:c r="K2" s="31" t="n">
        <x:v>0</x:v>
      </x:c>
      <x:c r="L2" s="31" t="n">
        <x:v>17882.943948714597</x:v>
      </x:c>
      <x:c r="M2" s="31" t="n">
        <x:v>6067.4082277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64463206.4491266</x:v>
      </x:c>
    </x:row>
    <x:row r="3" ht="18" customHeight="1">
      <x:c r="A3" s="24" t="str">
        <x:v>EEZ_462</x:v>
      </x:c>
      <x:c r="B3" s="24" t="str">
        <x:v>Maldives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15038.550545968501</x:v>
      </x:c>
      <x:c r="J3" s="31" t="n">
        <x:v>15038.550545968501</x:v>
      </x:c>
      <x:c r="K3" s="31" t="n">
        <x:v>0</x:v>
      </x:c>
      <x:c r="L3" s="31" t="n">
        <x:v>11099.7948656685</x:v>
      </x:c>
      <x:c r="M3" s="31" t="n">
        <x:v>3938.7556803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38655026.90231384</x:v>
      </x:c>
    </x:row>
    <x:row r="4" ht="18" customHeight="1">
      <x:c r="A4" s="24" t="str">
        <x:v>EEZ_462</x:v>
      </x:c>
      <x:c r="B4" s="24" t="str">
        <x:v>Maldives</x:v>
      </x:c>
      <x:c r="C4" s="24" t="str">
        <x:v>EEZ</x:v>
      </x:c>
      <x:c r="D4" s="30" t="n">
        <x:v>2019</x:v>
      </x:c>
      <x:c r="E4" s="24" t="str">
        <x:v>Sphyraenidae</x:v>
      </x:c>
      <x:c r="F4" s="24" t="str">
        <x:v>Barracudas</x:v>
      </x:c>
      <x:c r="G4" s="24" t="str">
        <x:v>Medium reef assoc. fish (30 - 89 cm)</x:v>
      </x:c>
      <x:c r="H4" s="24" t="str">
        <x:v>Perch-likes</x:v>
      </x:c>
      <x:c r="I4" s="31" t="n">
        <x:v>797.9898161799999</x:v>
      </x:c>
      <x:c r="J4" s="31" t="n">
        <x:v>797.9898161799999</x:v>
      </x:c>
      <x:c r="K4" s="31" t="n">
        <x:v>0</x:v>
      </x:c>
      <x:c r="L4" s="31" t="n">
        <x:v>93.38556068</x:v>
      </x:c>
      <x:c r="M4" s="31" t="n">
        <x:v>704.6042555</x:v>
      </x:c>
      <x:c r="N4" s="24" t="str">
        <x:v>sphyraenidae</x:v>
      </x:c>
      <x:c r="O4" s="32" t="n">
        <x:v>4.4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Sphyraenidae</x:v>
      </x:c>
      <x:c r="T4" s="32" t="n">
        <x:f>IF(O4="","",(1/'Metadata'!$B$5)^(O4-1))</x:f>
        <x:v>2511.886431509582</x:v>
      </x:c>
      <x:c r="U4" s="31" t="n">
        <x:f>IF(T4="","",I4*T4)</x:f>
        <x:v>2004459.7917453675</x:v>
      </x:c>
    </x:row>
    <x:row r="5" ht="18" customHeight="1">
      <x:c r="A5" s="24" t="str">
        <x:v>EEZ_462</x:v>
      </x:c>
      <x:c r="B5" s="24" t="str">
        <x:v>Maldives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794.8561528900001</x:v>
      </x:c>
      <x:c r="J5" s="31" t="n">
        <x:v>794.8561528900001</x:v>
      </x:c>
      <x:c r="K5" s="31" t="n">
        <x:v>0</x:v>
      </x:c>
      <x:c r="L5" s="31" t="n">
        <x:v>55.02168459</x:v>
      </x:c>
      <x:c r="M5" s="31" t="n">
        <x:v>739.8344683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891843.2720580426</x:v>
      </x:c>
    </x:row>
    <x:row r="6" ht="18" customHeight="1">
      <x:c r="A6" s="24" t="str">
        <x:v>EEZ_462</x:v>
      </x:c>
      <x:c r="B6" s="24" t="str">
        <x:v>Maldives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767.413060137</x:v>
      </x:c>
      <x:c r="J6" s="31" t="n">
        <x:v>664.2707054978</x:v>
      </x:c>
      <x:c r="K6" s="31" t="n">
        <x:v>103.1423546392</x:v>
      </x:c>
      <x:c r="L6" s="31" t="n">
        <x:v>102.54432021779999</x:v>
      </x:c>
      <x:c r="M6" s="31" t="n">
        <x:v>664.8687399191999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146227.544054302</x:v>
      </x:c>
    </x:row>
    <x:row r="7" ht="18" customHeight="1">
      <x:c r="A7" s="24" t="str">
        <x:v>EEZ_462</x:v>
      </x:c>
      <x:c r="B7" s="24" t="str">
        <x:v>Maldives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756.7821852387999</x:v>
      </x:c>
      <x:c r="J7" s="31" t="n">
        <x:v>756.7821852387999</x:v>
      </x:c>
      <x:c r="K7" s="31" t="n">
        <x:v>0</x:v>
      </x:c>
      <x:c r="L7" s="31" t="n">
        <x:v>707.3530684018</x:v>
      </x:c>
      <x:c r="M7" s="31" t="n">
        <x:v>49.429116837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2338680.5304511185</x:v>
      </x:c>
    </x:row>
    <x:row r="8" ht="18" customHeight="1">
      <x:c r="A8" s="24" t="str">
        <x:v>EEZ_462</x:v>
      </x:c>
      <x:c r="B8" s="24" t="str">
        <x:v>Maldives</x:v>
      </x:c>
      <x:c r="C8" s="24" t="str">
        <x:v>EEZ</x:v>
      </x:c>
      <x:c r="D8" s="30" t="n">
        <x:v>2019</x:v>
      </x:c>
      <x:c r="E8" s="24" t="str">
        <x:v>Spratelloides gracilis</x:v>
      </x:c>
      <x:c r="F8" s="24" t="str">
        <x:v>Silver-stripe round herring</x:v>
      </x:c>
      <x:c r="G8" s="24" t="str">
        <x:v>Small pelagics (&lt;30 cm)</x:v>
      </x:c>
      <x:c r="H8" s="24" t="str">
        <x:v>Herring-likes</x:v>
      </x:c>
      <x:c r="I8" s="31" t="n">
        <x:v>694.5667686</x:v>
      </x:c>
      <x:c r="J8" s="31" t="n">
        <x:v>694.5667686</x:v>
      </x:c>
      <x:c r="K8" s="31" t="n">
        <x:v>0</x:v>
      </x:c>
      <x:c r="L8" s="31" t="n">
        <x:v>0</x:v>
      </x:c>
      <x:c r="M8" s="31" t="n">
        <x:v>694.5667686</x:v>
      </x:c>
      <x:c r="N8" s="24" t="str">
        <x:v>spratelloides gracilis</x:v>
      </x:c>
      <x:c r="O8" s="32" t="n">
        <x:v>3.06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Spratelloides gracilis</x:v>
      </x:c>
      <x:c r="T8" s="32" t="n">
        <x:f>IF(O8="","",(1/'Metadata'!$B$5)^(O8-1))</x:f>
        <x:v>114.81536214968828</x:v>
      </x:c>
      <x:c r="U8" s="31" t="n">
        <x:f>IF(T8="","",I8*T8)</x:f>
        <x:v>79746.93507394775</x:v>
      </x:c>
    </x:row>
    <x:row r="9" ht="18" customHeight="1">
      <x:c r="A9" s="24" t="str">
        <x:v>EEZ_462</x:v>
      </x:c>
      <x:c r="B9" s="24" t="str">
        <x:v>Maldives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681.3052739359999</x:v>
      </x:c>
      <x:c r="J9" s="31" t="n">
        <x:v>681.3052739359999</x:v>
      </x:c>
      <x:c r="K9" s="31" t="n">
        <x:v>0</x:v>
      </x:c>
      <x:c r="L9" s="31" t="n">
        <x:v>47.161443936</x:v>
      </x:c>
      <x:c r="M9" s="31" t="n">
        <x:v>634.14383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713414.2022760232</x:v>
      </x:c>
    </x:row>
    <x:row r="10" ht="18" customHeight="1">
      <x:c r="A10" s="24" t="str">
        <x:v>EEZ_462</x:v>
      </x:c>
      <x:c r="B10" s="24" t="str">
        <x:v>Maldives</x:v>
      </x:c>
      <x:c r="C10" s="24" t="str">
        <x:v>EEZ</x:v>
      </x:c>
      <x:c r="D10" s="30" t="n">
        <x:v>2019</x:v>
      </x:c>
      <x:c r="E10" s="24" t="str">
        <x:v>Caesio caerulaurea</x:v>
      </x:c>
      <x:c r="F10" s="24" t="str">
        <x:v>Blue and gold fusilier</x:v>
      </x:c>
      <x:c r="G10" s="24" t="str">
        <x:v>Medium reef assoc. fish (30 - 89 cm)</x:v>
      </x:c>
      <x:c r="H10" s="24" t="str">
        <x:v>Perch-likes</x:v>
      </x:c>
      <x:c r="I10" s="31" t="n">
        <x:v>380.725488</x:v>
      </x:c>
      <x:c r="J10" s="31" t="n">
        <x:v>380.725488</x:v>
      </x:c>
      <x:c r="K10" s="31" t="n">
        <x:v>0</x:v>
      </x:c>
      <x:c r="L10" s="31" t="n">
        <x:v>0</x:v>
      </x:c>
      <x:c r="M10" s="31" t="n">
        <x:v>380.725488</x:v>
      </x:c>
      <x:c r="N10" s="24" t="str">
        <x:v>caesio caerulaurea</x:v>
      </x:c>
      <x:c r="O10" s="32" t="n">
        <x:v>3.4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Caesio caerulaurea</x:v>
      </x:c>
      <x:c r="T10" s="32" t="n">
        <x:f>IF(O10="","",(1/'Metadata'!$B$5)^(O10-1))</x:f>
        <x:v>251.18864315095797</x:v>
      </x:c>
      <x:c r="U10" s="31" t="n">
        <x:f>IF(T10="","",I10*T10)</x:f>
        <x:v>95633.91874370632</x:v>
      </x:c>
    </x:row>
    <x:row r="11" ht="18" customHeight="1">
      <x:c r="A11" s="24" t="str">
        <x:v>EEZ_462</x:v>
      </x:c>
      <x:c r="B11" s="24" t="str">
        <x:v>Maldives</x:v>
      </x:c>
      <x:c r="C11" s="24" t="str">
        <x:v>EEZ</x:v>
      </x:c>
      <x:c r="D11" s="30" t="n">
        <x:v>2019</x:v>
      </x:c>
      <x:c r="E11" s="24" t="str">
        <x:v>Caesio</x:v>
      </x:c>
      <x:c r="F11" s="24" t="str">
        <x:v>Caesios</x:v>
      </x:c>
      <x:c r="G11" s="24" t="str">
        <x:v>Medium reef assoc. fish (30 - 89 cm)</x:v>
      </x:c>
      <x:c r="H11" s="24" t="str">
        <x:v>Perch-likes</x:v>
      </x:c>
      <x:c r="I11" s="31" t="n">
        <x:v>380.725488</x:v>
      </x:c>
      <x:c r="J11" s="31" t="n">
        <x:v>380.725488</x:v>
      </x:c>
      <x:c r="K11" s="31" t="n">
        <x:v>0</x:v>
      </x:c>
      <x:c r="L11" s="31" t="n">
        <x:v>0</x:v>
      </x:c>
      <x:c r="M11" s="31" t="n">
        <x:v>380.725488</x:v>
      </x:c>
      <x:c r="N11" s="24" t="str">
        <x:v>caesio</x:v>
      </x:c>
      <x:c r="O11" s="32" t="n">
        <x:v>3.4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Caesio</x:v>
      </x:c>
      <x:c r="T11" s="32" t="n">
        <x:f>IF(O11="","",(1/'Metadata'!$B$5)^(O11-1))</x:f>
        <x:v>251.18864315095797</x:v>
      </x:c>
      <x:c r="U11" s="31" t="n">
        <x:f>IF(T11="","",I11*T11)</x:f>
        <x:v>95633.91874370632</x:v>
      </x:c>
    </x:row>
    <x:row r="12" ht="18" customHeight="1">
      <x:c r="A12" s="24" t="str">
        <x:v>EEZ_462</x:v>
      </x:c>
      <x:c r="B12" s="24" t="str">
        <x:v>Maldives</x:v>
      </x:c>
      <x:c r="C12" s="24" t="str">
        <x:v>EEZ</x:v>
      </x:c>
      <x:c r="D12" s="30" t="n">
        <x:v>2019</x:v>
      </x:c>
      <x:c r="E12" s="24" t="str">
        <x:v>Caranx melampygus</x:v>
      </x:c>
      <x:c r="F12" s="24" t="str">
        <x:v>Bluefin trevally</x:v>
      </x:c>
      <x:c r="G12" s="24" t="str">
        <x:v>Large reef assoc. fish (&gt;=90 cm)</x:v>
      </x:c>
      <x:c r="H12" s="24" t="str">
        <x:v>Perch-likes</x:v>
      </x:c>
      <x:c r="I12" s="31" t="n">
        <x:v>359.51721454299997</x:v>
      </x:c>
      <x:c r="J12" s="31" t="n">
        <x:v>359.51721454299997</x:v>
      </x:c>
      <x:c r="K12" s="31" t="n">
        <x:v>0</x:v>
      </x:c>
      <x:c r="L12" s="31" t="n">
        <x:v>42.445299543</x:v>
      </x:c>
      <x:c r="M12" s="31" t="n">
        <x:v>317.071915</x:v>
      </x:c>
      <x:c r="N12" s="24" t="str">
        <x:v>caranx melampygus</x:v>
      </x:c>
      <x:c r="O12" s="32" t="n">
        <x:v>4.49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Caranx melampygus</x:v>
      </x:c>
      <x:c r="T12" s="32" t="n">
        <x:f>IF(O12="","",(1/'Metadata'!$B$5)^(O12-1))</x:f>
        <x:v>3090.295432513592</x:v>
      </x:c>
      <x:c r="U12" s="31" t="n">
        <x:f>IF(T12="","",I12*T12)</x:f>
        <x:v>1111014.406012242</x:v>
      </x:c>
    </x:row>
    <x:row r="13" ht="18" customHeight="1">
      <x:c r="A13" s="24" t="str">
        <x:v>EEZ_462</x:v>
      </x:c>
      <x:c r="B13" s="24" t="str">
        <x:v>Maldives</x:v>
      </x:c>
      <x:c r="C13" s="24" t="str">
        <x:v>EEZ</x:v>
      </x:c>
      <x:c r="D13" s="30" t="n">
        <x:v>2019</x:v>
      </x:c>
      <x:c r="E13" s="24" t="str">
        <x:v>Turrum coeruleopinnatum</x:v>
      </x:c>
      <x:c r="F13" s="24" t="str">
        <x:v>Coastal trevally</x:v>
      </x:c>
      <x:c r="G13" s="24" t="str">
        <x:v>Medium reef assoc. fish (30 - 89 cm)</x:v>
      </x:c>
      <x:c r="H13" s="24" t="str">
        <x:v>Perch-likes</x:v>
      </x:c>
      <x:c r="I13" s="31" t="n">
        <x:v>340.65263696299996</x:v>
      </x:c>
      <x:c r="J13" s="31" t="n">
        <x:v>340.65263696299996</x:v>
      </x:c>
      <x:c r="K13" s="31" t="n">
        <x:v>0</x:v>
      </x:c>
      <x:c r="L13" s="31" t="n">
        <x:v>23.580721963000002</x:v>
      </x:c>
      <x:c r="M13" s="31" t="n">
        <x:v>317.071915</x:v>
      </x:c>
      <x:c r="N13" s="24" t="str">
        <x:v>turrum coeruleopinnatum</x:v>
      </x:c>
      <x:c r="O13" s="32" t="n">
        <x:v>4.44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Turrum coeruleopinnatum</x:v>
      </x:c>
      <x:c r="T13" s="32" t="n">
        <x:f>IF(O13="","",(1/'Metadata'!$B$5)^(O13-1))</x:f>
        <x:v>2754.228703338169</x:v>
      </x:c>
      <x:c r="U13" s="31" t="n">
        <x:f>IF(T13="","",I13*T13)</x:f>
        <x:v>938235.2705913314</x:v>
      </x:c>
    </x:row>
    <x:row r="14" ht="18" customHeight="1">
      <x:c r="A14" s="24" t="str">
        <x:v>EEZ_462</x:v>
      </x:c>
      <x:c r="B14" s="24" t="str">
        <x:v>Maldives</x:v>
      </x:c>
      <x:c r="C14" s="24" t="str">
        <x:v>EEZ</x:v>
      </x:c>
      <x:c r="D14" s="30" t="n">
        <x:v>2019</x:v>
      </x:c>
      <x:c r="E14" s="24" t="str">
        <x:v>Caranx lugubris</x:v>
      </x:c>
      <x:c r="F14" s="24" t="str">
        <x:v>Black jack</x:v>
      </x:c>
      <x:c r="G14" s="24" t="str">
        <x:v>Large benthopelagics (&gt;=90 cm)</x:v>
      </x:c>
      <x:c r="H14" s="24" t="str">
        <x:v>Perch-likes</x:v>
      </x:c>
      <x:c r="I14" s="31" t="n">
        <x:v>340.65263696299996</x:v>
      </x:c>
      <x:c r="J14" s="31" t="n">
        <x:v>340.65263696299996</x:v>
      </x:c>
      <x:c r="K14" s="31" t="n">
        <x:v>0</x:v>
      </x:c>
      <x:c r="L14" s="31" t="n">
        <x:v>23.580721963000002</x:v>
      </x:c>
      <x:c r="M14" s="31" t="n">
        <x:v>317.071915</x:v>
      </x:c>
      <x:c r="N14" s="24" t="str">
        <x:v>caranx lugubris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Caranx lugubris</x:v>
      </x:c>
      <x:c r="T14" s="32" t="n">
        <x:f>IF(O14="","",(1/'Metadata'!$B$5)^(O14-1))</x:f>
        <x:v>3162.2776601683795</x:v>
      </x:c>
      <x:c r="U14" s="31" t="n">
        <x:f>IF(T14="","",I14*T14)</x:f>
        <x:v>1077238.223745544</x:v>
      </x:c>
    </x:row>
    <x:row r="15" ht="18" customHeight="1">
      <x:c r="A15" s="24" t="str">
        <x:v>EEZ_462</x:v>
      </x:c>
      <x:c r="B15" s="24" t="str">
        <x:v>Maldives</x:v>
      </x:c>
      <x:c r="C15" s="24" t="str">
        <x:v>EEZ</x:v>
      </x:c>
      <x:c r="D15" s="30" t="n">
        <x:v>2019</x:v>
      </x:c>
      <x:c r="E15" s="24" t="str">
        <x:v>Caranx sexfasciatus</x:v>
      </x:c>
      <x:c r="F15" s="24" t="str">
        <x:v>Bigeye trevally</x:v>
      </x:c>
      <x:c r="G15" s="24" t="str">
        <x:v>Large reef assoc. fish (&gt;=90 cm)</x:v>
      </x:c>
      <x:c r="H15" s="24" t="str">
        <x:v>Perch-likes</x:v>
      </x:c>
      <x:c r="I15" s="31" t="n">
        <x:v>340.65263696299996</x:v>
      </x:c>
      <x:c r="J15" s="31" t="n">
        <x:v>340.65263696299996</x:v>
      </x:c>
      <x:c r="K15" s="31" t="n">
        <x:v>0</x:v>
      </x:c>
      <x:c r="L15" s="31" t="n">
        <x:v>23.580721963000002</x:v>
      </x:c>
      <x:c r="M15" s="31" t="n">
        <x:v>317.071915</x:v>
      </x:c>
      <x:c r="N15" s="24" t="str">
        <x:v>caranx sexfasciatus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sexfasciatus</x:v>
      </x:c>
      <x:c r="T15" s="32" t="n">
        <x:f>IF(O15="","",(1/'Metadata'!$B$5)^(O15-1))</x:f>
        <x:v>3162.2776601683795</x:v>
      </x:c>
      <x:c r="U15" s="31" t="n">
        <x:f>IF(T15="","",I15*T15)</x:f>
        <x:v>1077238.223745544</x:v>
      </x:c>
    </x:row>
    <x:row r="16" ht="18" customHeight="1">
      <x:c r="A16" s="24" t="str">
        <x:v>EEZ_462</x:v>
      </x:c>
      <x:c r="B16" s="24" t="str">
        <x:v>Maldives</x:v>
      </x:c>
      <x:c r="C16" s="24" t="str">
        <x:v>EEZ</x:v>
      </x:c>
      <x:c r="D16" s="30" t="n">
        <x:v>2019</x:v>
      </x:c>
      <x:c r="E16" s="24" t="str">
        <x:v>Ferdauia orthogrammus</x:v>
      </x:c>
      <x:c r="F16" s="24" t="str">
        <x:v>Island trevally</x:v>
      </x:c>
      <x:c r="G16" s="24" t="str">
        <x:v>Medium pelagics (30 - 89 cm)</x:v>
      </x:c>
      <x:c r="H16" s="24" t="str">
        <x:v>Perch-likes</x:v>
      </x:c>
      <x:c r="I16" s="31" t="n">
        <x:v>340.65263696299996</x:v>
      </x:c>
      <x:c r="J16" s="31" t="n">
        <x:v>340.65263696299996</x:v>
      </x:c>
      <x:c r="K16" s="31" t="n">
        <x:v>0</x:v>
      </x:c>
      <x:c r="L16" s="31" t="n">
        <x:v>23.580721963000002</x:v>
      </x:c>
      <x:c r="M16" s="31" t="n">
        <x:v>317.071915</x:v>
      </x:c>
      <x:c r="N16" s="24" t="str">
        <x:v>ferdauia orthogrammus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Ferdauia orthogrammus</x:v>
      </x:c>
      <x:c r="T16" s="32" t="n">
        <x:f>IF(O16="","",(1/'Metadata'!$B$5)^(O16-1))</x:f>
        <x:v>3019.951720402019</x:v>
      </x:c>
      <x:c r="U16" s="31" t="n">
        <x:f>IF(T16="","",I16*T16)</x:f>
        <x:v>1028754.5170558961</x:v>
      </x:c>
    </x:row>
    <x:row r="17" ht="18" customHeight="1">
      <x:c r="A17" s="24" t="str">
        <x:v>EEZ_462</x:v>
      </x:c>
      <x:c r="B17" s="24" t="str">
        <x:v>Maldives</x:v>
      </x:c>
      <x:c r="C17" s="24" t="str">
        <x:v>EEZ</x:v>
      </x:c>
      <x:c r="D17" s="30" t="n">
        <x:v>2019</x:v>
      </x:c>
      <x:c r="E17" s="24" t="str">
        <x:v>Scomberoides lysan</x:v>
      </x:c>
      <x:c r="F17" s="24" t="str">
        <x:v>Doublespotted queenfish</x:v>
      </x:c>
      <x:c r="G17" s="24" t="str">
        <x:v>Medium reef assoc. fish (30 - 89 cm)</x:v>
      </x:c>
      <x:c r="H17" s="24" t="str">
        <x:v>Perch-likes</x:v>
      </x:c>
      <x:c r="I17" s="31" t="n">
        <x:v>340.65263696299996</x:v>
      </x:c>
      <x:c r="J17" s="31" t="n">
        <x:v>340.65263696299996</x:v>
      </x:c>
      <x:c r="K17" s="31" t="n">
        <x:v>0</x:v>
      </x:c>
      <x:c r="L17" s="31" t="n">
        <x:v>23.580721963000002</x:v>
      </x:c>
      <x:c r="M17" s="31" t="n">
        <x:v>317.071915</x:v>
      </x:c>
      <x:c r="N17" s="24" t="str">
        <x:v>scomberoides lysan</x:v>
      </x:c>
      <x:c r="O17" s="32" t="n">
        <x:v>4.38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Scomberoides lysan</x:v>
      </x:c>
      <x:c r="T17" s="32" t="n">
        <x:f>IF(O17="","",(1/'Metadata'!$B$5)^(O17-1))</x:f>
        <x:v>2398.83291901949</x:v>
      </x:c>
      <x:c r="U17" s="31" t="n">
        <x:f>IF(T17="","",I17*T17)</x:f>
        <x:v>817168.7594976398</x:v>
      </x:c>
    </x:row>
    <x:row r="18" ht="18" customHeight="1">
      <x:c r="A18" s="24" t="str">
        <x:v>EEZ_462</x:v>
      </x:c>
      <x:c r="B18" s="24" t="str">
        <x:v>Maldives</x:v>
      </x:c>
      <x:c r="C18" s="24" t="str">
        <x:v>EEZ</x:v>
      </x:c>
      <x:c r="D18" s="30" t="n">
        <x:v>2019</x:v>
      </x:c>
      <x:c r="E18" s="24" t="str">
        <x:v>Seriola</x:v>
      </x:c>
      <x:c r="F18" s="24" t="str">
        <x:v>Amberjacks</x:v>
      </x:c>
      <x:c r="G18" s="24" t="str">
        <x:v>Large benthopelagics (&gt;=90 cm)</x:v>
      </x:c>
      <x:c r="H18" s="24" t="str">
        <x:v>Perch-likes</x:v>
      </x:c>
      <x:c r="I18" s="31" t="n">
        <x:v>340.65263696299996</x:v>
      </x:c>
      <x:c r="J18" s="31" t="n">
        <x:v>340.65263696299996</x:v>
      </x:c>
      <x:c r="K18" s="31" t="n">
        <x:v>0</x:v>
      </x:c>
      <x:c r="L18" s="31" t="n">
        <x:v>23.580721963000002</x:v>
      </x:c>
      <x:c r="M18" s="31" t="n">
        <x:v>317.071915</x:v>
      </x:c>
      <x:c r="N18" s="24" t="str">
        <x:v>seriola</x:v>
      </x:c>
      <x:c r="O18" s="32" t="n">
        <x:v>4.39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Seriola</x:v>
      </x:c>
      <x:c r="T18" s="32" t="n">
        <x:f>IF(O18="","",(1/'Metadata'!$B$5)^(O18-1))</x:f>
        <x:v>2454.7089156850284</x:v>
      </x:c>
      <x:c r="U18" s="31" t="n">
        <x:f>IF(T18="","",I18*T18)</x:f>
        <x:v>836203.0651046913</x:v>
      </x:c>
    </x:row>
    <x:row r="19" ht="18" customHeight="1">
      <x:c r="A19" s="24" t="str">
        <x:v>EEZ_462</x:v>
      </x:c>
      <x:c r="B19" s="24" t="str">
        <x:v>Maldives</x:v>
      </x:c>
      <x:c r="C19" s="24" t="str">
        <x:v>EEZ</x:v>
      </x:c>
      <x:c r="D19" s="30" t="n">
        <x:v>2019</x:v>
      </x:c>
      <x:c r="E19" s="24" t="str">
        <x:v>Caranx ignobilis</x:v>
      </x:c>
      <x:c r="F19" s="24" t="str">
        <x:v>Giant trevally</x:v>
      </x:c>
      <x:c r="G19" s="24" t="str">
        <x:v>Large reef assoc. fish (&gt;=90 cm)</x:v>
      </x:c>
      <x:c r="H19" s="24" t="str">
        <x:v>Perch-likes</x:v>
      </x:c>
      <x:c r="I19" s="31" t="n">
        <x:v>340.65263696299996</x:v>
      </x:c>
      <x:c r="J19" s="31" t="n">
        <x:v>340.65263696299996</x:v>
      </x:c>
      <x:c r="K19" s="31" t="n">
        <x:v>0</x:v>
      </x:c>
      <x:c r="L19" s="31" t="n">
        <x:v>23.580721963000002</x:v>
      </x:c>
      <x:c r="M19" s="31" t="n">
        <x:v>317.071915</x:v>
      </x:c>
      <x:c r="N19" s="24" t="str">
        <x:v>caranx ignobilis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Caranx ignobilis</x:v>
      </x:c>
      <x:c r="T19" s="32" t="n">
        <x:f>IF(O19="","",(1/'Metadata'!$B$5)^(O19-1))</x:f>
        <x:v>1659.5869074375596</x:v>
      </x:c>
      <x:c r="U19" s="31" t="n">
        <x:f>IF(T19="","",I19*T19)</x:f>
        <x:v>565342.6562878748</x:v>
      </x:c>
    </x:row>
    <x:row r="20" ht="18" customHeight="1">
      <x:c r="A20" s="24" t="str">
        <x:v>EEZ_462</x:v>
      </x:c>
      <x:c r="B20" s="24" t="str">
        <x:v>Maldives</x:v>
      </x:c>
      <x:c r="C20" s="24" t="str">
        <x:v>EEZ</x:v>
      </x:c>
      <x:c r="D20" s="30" t="n">
        <x:v>2019</x:v>
      </x:c>
      <x:c r="E20" s="24" t="str">
        <x:v>Platycaranx talamparoides</x:v>
      </x:c>
      <x:c r="F20" s="24" t="str">
        <x:v>Imposter trevally</x:v>
      </x:c>
      <x:c r="G20" s="24" t="str">
        <x:v>Medium pelagics (30 - 89 cm)</x:v>
      </x:c>
      <x:c r="H20" s="24" t="str">
        <x:v>Perch-likes</x:v>
      </x:c>
      <x:c r="I20" s="31" t="n">
        <x:v>321.78805939299997</x:v>
      </x:c>
      <x:c r="J20" s="31" t="n">
        <x:v>321.78805939299997</x:v>
      </x:c>
      <x:c r="K20" s="31" t="n">
        <x:v>0</x:v>
      </x:c>
      <x:c r="L20" s="31" t="n">
        <x:v>4.716144393</x:v>
      </x:c>
      <x:c r="M20" s="31" t="n">
        <x:v>317.071915</x:v>
      </x:c>
      <x:c r="N20" s="24" t="str">
        <x:v>platycaranx talamparoides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Platycaranx talamparoides</x:v>
      </x:c>
      <x:c r="T20" s="32" t="n">
        <x:f>IF(O20="","",(1/'Metadata'!$B$5)^(O20-1))</x:f>
        <x:v>2511.886431509582</x:v>
      </x:c>
      <x:c r="U20" s="31" t="n">
        <x:f>IF(T20="","",I20*T20)</x:f>
        <x:v>808295.0602110762</x:v>
      </x:c>
    </x:row>
    <x:row r="21" ht="18" customHeight="1">
      <x:c r="A21" s="24" t="str">
        <x:v>EEZ_462</x:v>
      </x:c>
      <x:c r="B21" s="24" t="str">
        <x:v>Maldives</x:v>
      </x:c>
      <x:c r="C21" s="24" t="str">
        <x:v>EEZ</x:v>
      </x:c>
      <x:c r="D21" s="30" t="n">
        <x:v>2019</x:v>
      </x:c>
      <x:c r="E21" s="24" t="str">
        <x:v>Serranidae</x:v>
      </x:c>
      <x:c r="F21" s="24" t="str">
        <x:v>Basses, groupers, hinds</x:v>
      </x:c>
      <x:c r="G21" s="24" t="str">
        <x:v>Medium reef assoc. fish (30 - 89 cm)</x:v>
      </x:c>
      <x:c r="H21" s="24" t="str">
        <x:v>Perch-likes</x:v>
      </x:c>
      <x:c r="I21" s="31" t="n">
        <x:v>270.6524525</x:v>
      </x:c>
      <x:c r="J21" s="31" t="n">
        <x:v>270.6524525</x:v>
      </x:c>
      <x:c r="K21" s="31" t="n">
        <x:v>0</x:v>
      </x:c>
      <x:c r="L21" s="31" t="n">
        <x:v>0</x:v>
      </x:c>
      <x:c r="M21" s="31" t="n">
        <x:v>270.6524525</x:v>
      </x:c>
      <x:c r="N21" s="24" t="str">
        <x:v>serranidae</x:v>
      </x:c>
      <x:c r="O21" s="32" t="n">
        <x:v>3.98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Serranidae</x:v>
      </x:c>
      <x:c r="T21" s="32" t="n">
        <x:f>IF(O21="","",(1/'Metadata'!$B$5)^(O21-1))</x:f>
        <x:v>954.992586021436</x:v>
      </x:c>
      <x:c r="U21" s="31" t="n">
        <x:f>IF(T21="","",I21*T21)</x:f>
        <x:v>258471.08552601884</x:v>
      </x:c>
    </x:row>
    <x:row r="22" ht="18" customHeight="1">
      <x:c r="A22" s="24" t="str">
        <x:v>EEZ_462</x:v>
      </x:c>
      <x:c r="B22" s="24" t="str">
        <x:v>Maldives</x:v>
      </x:c>
      <x:c r="C22" s="24" t="str">
        <x:v>EEZ</x:v>
      </x:c>
      <x:c r="D22" s="30" t="n">
        <x:v>2019</x:v>
      </x:c>
      <x:c r="E22" s="24" t="str">
        <x:v>Lutjanus gibbus</x:v>
      </x:c>
      <x:c r="F22" s="24" t="str">
        <x:v>Humpback red snapper</x:v>
      </x:c>
      <x:c r="G22" s="24" t="str">
        <x:v>Medium reef assoc. fish (30 - 89 cm)</x:v>
      </x:c>
      <x:c r="H22" s="24" t="str">
        <x:v>Perch-likes</x:v>
      </x:c>
      <x:c r="I22" s="31" t="n">
        <x:v>227.101758012</x:v>
      </x:c>
      <x:c r="J22" s="31" t="n">
        <x:v>227.101758012</x:v>
      </x:c>
      <x:c r="K22" s="31" t="n">
        <x:v>0</x:v>
      </x:c>
      <x:c r="L22" s="31" t="n">
        <x:v>15.720481312</x:v>
      </x:c>
      <x:c r="M22" s="31" t="n">
        <x:v>211.3812767</x:v>
      </x:c>
      <x:c r="N22" s="24" t="str">
        <x:v>lutjanus gibbus</x:v>
      </x:c>
      <x:c r="O22" s="32" t="n">
        <x:v>4.12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Lutjanus gibbus</x:v>
      </x:c>
      <x:c r="T22" s="32" t="n">
        <x:f>IF(O22="","",(1/'Metadata'!$B$5)^(O22-1))</x:f>
        <x:v>1318.2567385564075</x:v>
      </x:c>
      <x:c r="U22" s="31" t="n">
        <x:f>IF(T22="","",I22*T22)</x:f>
        <x:v>299378.4228373256</x:v>
      </x:c>
    </x:row>
    <x:row r="23" ht="18" customHeight="1">
      <x:c r="A23" s="24" t="str">
        <x:v>EEZ_462</x:v>
      </x:c>
      <x:c r="B23" s="24" t="str">
        <x:v>Maldives</x:v>
      </x:c>
      <x:c r="C23" s="24" t="str">
        <x:v>EEZ</x:v>
      </x:c>
      <x:c r="D23" s="30" t="n">
        <x:v>2019</x:v>
      </x:c>
      <x:c r="E23" s="24" t="str">
        <x:v>Aphareus rutilans</x:v>
      </x:c>
      <x:c r="F23" s="24" t="str">
        <x:v>Rusty jobfish</x:v>
      </x:c>
      <x:c r="G23" s="24" t="str">
        <x:v>Medium reef assoc. fish (30 - 89 cm)</x:v>
      </x:c>
      <x:c r="H23" s="24" t="str">
        <x:v>Perch-likes</x:v>
      </x:c>
      <x:c r="I23" s="31" t="n">
        <x:v>227.101758012</x:v>
      </x:c>
      <x:c r="J23" s="31" t="n">
        <x:v>227.101758012</x:v>
      </x:c>
      <x:c r="K23" s="31" t="n">
        <x:v>0</x:v>
      </x:c>
      <x:c r="L23" s="31" t="n">
        <x:v>15.720481312</x:v>
      </x:c>
      <x:c r="M23" s="31" t="n">
        <x:v>211.3812767</x:v>
      </x:c>
      <x:c r="N23" s="24" t="str">
        <x:v>aphareus rutilans</x:v>
      </x:c>
      <x:c r="O23" s="32" t="n">
        <x:v>4.11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Aphareus rutilans</x:v>
      </x:c>
      <x:c r="T23" s="32" t="n">
        <x:f>IF(O23="","",(1/'Metadata'!$B$5)^(O23-1))</x:f>
        <x:v>1288.249551693135</x:v>
      </x:c>
      <x:c r="U23" s="31" t="n">
        <x:f>IF(T23="","",I23*T23)</x:f>
        <x:v>292563.7379476818</x:v>
      </x:c>
    </x:row>
    <x:row r="24" ht="18" customHeight="1">
      <x:c r="A24" s="24" t="str">
        <x:v>EEZ_462</x:v>
      </x:c>
      <x:c r="B24" s="24" t="str">
        <x:v>Maldives</x:v>
      </x:c>
      <x:c r="C24" s="24" t="str">
        <x:v>EEZ</x:v>
      </x:c>
      <x:c r="D24" s="30" t="n">
        <x:v>2019</x:v>
      </x:c>
      <x:c r="E24" s="24" t="str">
        <x:v>Aprion virescens</x:v>
      </x:c>
      <x:c r="F24" s="24" t="str">
        <x:v>Green jobfish</x:v>
      </x:c>
      <x:c r="G24" s="24" t="str">
        <x:v>Large reef assoc. fish (&gt;=90 cm)</x:v>
      </x:c>
      <x:c r="H24" s="24" t="str">
        <x:v>Perch-likes</x:v>
      </x:c>
      <x:c r="I24" s="31" t="n">
        <x:v>227.101758012</x:v>
      </x:c>
      <x:c r="J24" s="31" t="n">
        <x:v>227.101758012</x:v>
      </x:c>
      <x:c r="K24" s="31" t="n">
        <x:v>0</x:v>
      </x:c>
      <x:c r="L24" s="31" t="n">
        <x:v>15.720481312</x:v>
      </x:c>
      <x:c r="M24" s="31" t="n">
        <x:v>211.3812767</x:v>
      </x:c>
      <x:c r="N24" s="24" t="str">
        <x:v>aprion virescens</x:v>
      </x:c>
      <x:c r="O24" s="32" t="n">
        <x:v>4.28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Aprion virescens</x:v>
      </x:c>
      <x:c r="T24" s="32" t="n">
        <x:f>IF(O24="","",(1/'Metadata'!$B$5)^(O24-1))</x:f>
        <x:v>1905.4607179632483</x:v>
      </x:c>
      <x:c r="U24" s="31" t="n">
        <x:f>IF(T24="","",I24*T24)</x:f>
        <x:v>432733.4788722614</x:v>
      </x:c>
    </x:row>
    <x:row r="25" ht="18" customHeight="1">
      <x:c r="A25" s="24" t="str">
        <x:v>EEZ_462</x:v>
      </x:c>
      <x:c r="B25" s="24" t="str">
        <x:v>Maldives</x:v>
      </x:c>
      <x:c r="C25" s="24" t="str">
        <x:v>EEZ</x:v>
      </x:c>
      <x:c r="D25" s="30" t="n">
        <x:v>2019</x:v>
      </x:c>
      <x:c r="E25" s="24" t="str">
        <x:v>Lethrinidae</x:v>
      </x:c>
      <x:c r="F25" s="24" t="str">
        <x:v>Emperors, scavengers</x:v>
      </x:c>
      <x:c r="G25" s="24" t="str">
        <x:v>Medium reef assoc. fish (30 - 89 cm)</x:v>
      </x:c>
      <x:c r="H25" s="24" t="str">
        <x:v>Perch-likes</x:v>
      </x:c>
      <x:c r="I25" s="31" t="n">
        <x:v>227.101758012</x:v>
      </x:c>
      <x:c r="J25" s="31" t="n">
        <x:v>227.101758012</x:v>
      </x:c>
      <x:c r="K25" s="31" t="n">
        <x:v>0</x:v>
      </x:c>
      <x:c r="L25" s="31" t="n">
        <x:v>15.720481312</x:v>
      </x:c>
      <x:c r="M25" s="31" t="n">
        <x:v>211.3812767</x:v>
      </x:c>
      <x:c r="N25" s="24" t="str">
        <x:v>lethrinidae</x:v>
      </x:c>
      <x:c r="O25" s="32" t="n">
        <x:v>3.59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Lethrinidae</x:v>
      </x:c>
      <x:c r="T25" s="32" t="n">
        <x:f>IF(O25="","",(1/'Metadata'!$B$5)^(O25-1))</x:f>
        <x:v>389.04514499428046</x:v>
      </x:c>
      <x:c r="U25" s="31" t="n">
        <x:f>IF(T25="","",I25*T25)</x:f>
        <x:v>88352.83637423454</x:v>
      </x:c>
    </x:row>
    <x:row r="26" ht="18" customHeight="1">
      <x:c r="A26" s="24" t="str">
        <x:v>EEZ_462</x:v>
      </x:c>
      <x:c r="B26" s="24" t="str">
        <x:v>Maldives</x:v>
      </x:c>
      <x:c r="C26" s="24" t="str">
        <x:v>EEZ</x:v>
      </x:c>
      <x:c r="D26" s="30" t="n">
        <x:v>2019</x:v>
      </x:c>
      <x:c r="E26" s="24" t="str">
        <x:v>Macolor</x:v>
      </x:c>
      <x:c r="F26" s="24" t="str">
        <x:v>Snappers</x:v>
      </x:c>
      <x:c r="G26" s="24" t="str">
        <x:v>Medium reef assoc. fish (30 - 89 cm)</x:v>
      </x:c>
      <x:c r="H26" s="24" t="str">
        <x:v>Perch-likes</x:v>
      </x:c>
      <x:c r="I26" s="31" t="n">
        <x:v>227.101758012</x:v>
      </x:c>
      <x:c r="J26" s="31" t="n">
        <x:v>227.101758012</x:v>
      </x:c>
      <x:c r="K26" s="31" t="n">
        <x:v>0</x:v>
      </x:c>
      <x:c r="L26" s="31" t="n">
        <x:v>15.720481312</x:v>
      </x:c>
      <x:c r="M26" s="31" t="n">
        <x:v>211.3812767</x:v>
      </x:c>
      <x:c r="N26" s="24" t="str">
        <x:v>macolor</x:v>
      </x:c>
      <x:c r="O26" s="32" t="n">
        <x:v>3.99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Macolor</x:v>
      </x:c>
      <x:c r="T26" s="32" t="n">
        <x:f>IF(O26="","",(1/'Metadata'!$B$5)^(O26-1))</x:f>
        <x:v>977.2372209558112</x:v>
      </x:c>
      <x:c r="U26" s="31" t="n">
        <x:f>IF(T26="","",I26*T26)</x:f>
        <x:v>221932.29087382602</x:v>
      </x:c>
    </x:row>
    <x:row r="27" ht="18" customHeight="1">
      <x:c r="A27" s="24" t="str">
        <x:v>EEZ_462</x:v>
      </x:c>
      <x:c r="B27" s="24" t="str">
        <x:v>Maldives</x:v>
      </x:c>
      <x:c r="C27" s="24" t="str">
        <x:v>EEZ</x:v>
      </x:c>
      <x:c r="D27" s="30" t="n">
        <x:v>2019</x:v>
      </x:c>
      <x:c r="E27" s="24" t="str">
        <x:v>Lutjanus bohar</x:v>
      </x:c>
      <x:c r="F27" s="24" t="str">
        <x:v>Two-spot red snapper</x:v>
      </x:c>
      <x:c r="G27" s="24" t="str">
        <x:v>Medium reef assoc. fish (30 - 89 cm)</x:v>
      </x:c>
      <x:c r="H27" s="24" t="str">
        <x:v>Perch-likes</x:v>
      </x:c>
      <x:c r="I27" s="31" t="n">
        <x:v>227.101758012</x:v>
      </x:c>
      <x:c r="J27" s="31" t="n">
        <x:v>227.101758012</x:v>
      </x:c>
      <x:c r="K27" s="31" t="n">
        <x:v>0</x:v>
      </x:c>
      <x:c r="L27" s="31" t="n">
        <x:v>15.720481312</x:v>
      </x:c>
      <x:c r="M27" s="31" t="n">
        <x:v>211.3812767</x:v>
      </x:c>
      <x:c r="N27" s="24" t="str">
        <x:v>lutjanus bohar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bohar</x:v>
      </x:c>
      <x:c r="T27" s="32" t="n">
        <x:f>IF(O27="","",(1/'Metadata'!$B$5)^(O27-1))</x:f>
        <x:v>1862.0871366628655</x:v>
      </x:c>
      <x:c r="U27" s="31" t="n">
        <x:f>IF(T27="","",I27*T27)</x:f>
        <x:v>422883.26230766805</x:v>
      </x:c>
    </x:row>
    <x:row r="28" ht="18" customHeight="1">
      <x:c r="A28" s="24" t="str">
        <x:v>EEZ_462</x:v>
      </x:c>
      <x:c r="B28" s="24" t="str">
        <x:v>Maldives</x:v>
      </x:c>
      <x:c r="C28" s="24" t="str">
        <x:v>EEZ</x:v>
      </x:c>
      <x:c r="D28" s="30" t="n">
        <x:v>2019</x:v>
      </x:c>
      <x:c r="E28" s="24" t="str">
        <x:v>Macolor niger</x:v>
      </x:c>
      <x:c r="F28" s="24" t="str">
        <x:v>Black and white snapper</x:v>
      </x:c>
      <x:c r="G28" s="24" t="str">
        <x:v>Medium reef assoc. fish (30 - 89 cm)</x:v>
      </x:c>
      <x:c r="H28" s="24" t="str">
        <x:v>Perch-likes</x:v>
      </x:c>
      <x:c r="I28" s="31" t="n">
        <x:v>227.101758012</x:v>
      </x:c>
      <x:c r="J28" s="31" t="n">
        <x:v>227.101758012</x:v>
      </x:c>
      <x:c r="K28" s="31" t="n">
        <x:v>0</x:v>
      </x:c>
      <x:c r="L28" s="31" t="n">
        <x:v>15.720481312</x:v>
      </x:c>
      <x:c r="M28" s="31" t="n">
        <x:v>211.3812767</x:v>
      </x:c>
      <x:c r="N28" s="24" t="str">
        <x:v>macolor niger</x:v>
      </x:c>
      <x:c r="O28" s="32" t="n">
        <x:v>4.01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Macolor niger</x:v>
      </x:c>
      <x:c r="T28" s="32" t="n">
        <x:f>IF(O28="","",(1/'Metadata'!$B$5)^(O28-1))</x:f>
        <x:v>1023.2929922807537</x:v>
      </x:c>
      <x:c r="U28" s="31" t="n">
        <x:f>IF(T28="","",I28*T28)</x:f>
        <x:v>232391.6375083191</x:v>
      </x:c>
    </x:row>
    <x:row r="29" ht="18" customHeight="1">
      <x:c r="A29" s="24" t="str">
        <x:v>EEZ_462</x:v>
      </x:c>
      <x:c r="B29" s="24" t="str">
        <x:v>Maldives</x:v>
      </x:c>
      <x:c r="C29" s="24" t="str">
        <x:v>EEZ</x:v>
      </x:c>
      <x:c r="D29" s="30" t="n">
        <x:v>2019</x:v>
      </x:c>
      <x:c r="E29" s="24" t="str">
        <x:v>Encrasicholina heteroloba</x:v>
      </x:c>
      <x:c r="F29" s="24" t="str">
        <x:v>Shorthead anchovy</x:v>
      </x:c>
      <x:c r="G29" s="24" t="str">
        <x:v>Small pelagics (&lt;30 cm)</x:v>
      </x:c>
      <x:c r="H29" s="24" t="str">
        <x:v>Anchovies</x:v>
      </x:c>
      <x:c r="I29" s="31" t="n">
        <x:v>181.1018537</x:v>
      </x:c>
      <x:c r="J29" s="31" t="n">
        <x:v>181.1018537</x:v>
      </x:c>
      <x:c r="K29" s="31" t="n">
        <x:v>0</x:v>
      </x:c>
      <x:c r="L29" s="31" t="n">
        <x:v>0</x:v>
      </x:c>
      <x:c r="M29" s="31" t="n">
        <x:v>181.1018537</x:v>
      </x:c>
      <x:c r="N29" s="24" t="str">
        <x:v>encrasicholina heteroloba</x:v>
      </x:c>
      <x:c r="O29" s="32" t="n">
        <x:v>3.27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Encrasicholina heteroloba</x:v>
      </x:c>
      <x:c r="T29" s="32" t="n">
        <x:f>IF(O29="","",(1/'Metadata'!$B$5)^(O29-1))</x:f>
        <x:v>186.20871366628674</x:v>
      </x:c>
      <x:c r="U29" s="31" t="n">
        <x:f>IF(T29="","",I29*T29)</x:f>
        <x:v>33722.74322005705</x:v>
      </x:c>
    </x:row>
    <x:row r="30" ht="18" customHeight="1">
      <x:c r="A30" s="24" t="str">
        <x:v>EEZ_462</x:v>
      </x:c>
      <x:c r="B30" s="24" t="str">
        <x:v>Maldives</x:v>
      </x:c>
      <x:c r="C30" s="24" t="str">
        <x:v>EEZ</x:v>
      </x:c>
      <x:c r="D30" s="30" t="n">
        <x:v>2019</x:v>
      </x:c>
      <x:c r="E30" s="24" t="str">
        <x:v>Auxis thazard</x:v>
      </x:c>
      <x:c r="F30" s="24" t="str">
        <x:v>Frigate tuna</x:v>
      </x:c>
      <x:c r="G30" s="24" t="str">
        <x:v>Medium pelagics (30 - 89 cm)</x:v>
      </x:c>
      <x:c r="H30" s="24" t="str">
        <x:v>Tuna &amp; billfishes</x:v>
      </x:c>
      <x:c r="I30" s="31" t="n">
        <x:v>157.5183308494</x:v>
      </x:c>
      <x:c r="J30" s="31" t="n">
        <x:v>157.5183308494</x:v>
      </x:c>
      <x:c r="K30" s="31" t="n">
        <x:v>0</x:v>
      </x:c>
      <x:c r="L30" s="31" t="n">
        <x:v>66.6822730094</x:v>
      </x:c>
      <x:c r="M30" s="31" t="n">
        <x:v>90.83605784</x:v>
      </x:c>
      <x:c r="N30" s="24" t="str">
        <x:v>auxis thazard</x:v>
      </x:c>
      <x:c r="O30" s="32" t="n">
        <x:v>4.37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Auxis thazard</x:v>
      </x:c>
      <x:c r="T30" s="32" t="n">
        <x:f>IF(O30="","",(1/'Metadata'!$B$5)^(O30-1))</x:f>
        <x:v>2344.228815319923</x:v>
      </x:c>
      <x:c r="U30" s="31" t="n">
        <x:f>IF(T30="","",I30*T30)</x:f>
        <x:v>369259.01011826063</x:v>
      </x:c>
    </x:row>
    <x:row r="31" ht="18" customHeight="1">
      <x:c r="A31" s="24" t="str">
        <x:v>EEZ_462</x:v>
      </x:c>
      <x:c r="B31" s="24" t="str">
        <x:v>Maldives</x:v>
      </x:c>
      <x:c r="C31" s="24" t="str">
        <x:v>EEZ</x:v>
      </x:c>
      <x:c r="D31" s="30" t="n">
        <x:v>2019</x:v>
      </x:c>
      <x:c r="E31" s="24" t="str">
        <x:v>Auxis rochei</x:v>
      </x:c>
      <x:c r="F31" s="24" t="str">
        <x:v>Bullet tuna</x:v>
      </x:c>
      <x:c r="G31" s="24" t="str">
        <x:v>Medium pelagics (30 - 89 cm)</x:v>
      </x:c>
      <x:c r="H31" s="24" t="str">
        <x:v>Tuna &amp; billfishes</x:v>
      </x:c>
      <x:c r="I31" s="31" t="n">
        <x:v>157.3407278914</x:v>
      </x:c>
      <x:c r="J31" s="31" t="n">
        <x:v>157.3407278914</x:v>
      </x:c>
      <x:c r="K31" s="31" t="n">
        <x:v>0</x:v>
      </x:c>
      <x:c r="L31" s="31" t="n">
        <x:v>66.5046700514</x:v>
      </x:c>
      <x:c r="M31" s="31" t="n">
        <x:v>90.83605784</x:v>
      </x:c>
      <x:c r="N31" s="24" t="str">
        <x:v>auxis rochei</x:v>
      </x:c>
      <x:c r="O31" s="32" t="n">
        <x:v>4.13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Auxis rochei</x:v>
      </x:c>
      <x:c r="T31" s="32" t="n">
        <x:f>IF(O31="","",(1/'Metadata'!$B$5)^(O31-1))</x:f>
        <x:v>1348.9628825916532</x:v>
      </x:c>
      <x:c r="U31" s="31" t="n">
        <x:f>IF(T31="","",I31*T31)</x:f>
        <x:v>212246.80184545188</x:v>
      </x:c>
    </x:row>
    <x:row r="32" ht="18" customHeight="1">
      <x:c r="A32" s="24" t="str">
        <x:v>EEZ_462</x:v>
      </x:c>
      <x:c r="B32" s="24" t="str">
        <x:v>Maldives</x:v>
      </x:c>
      <x:c r="C32" s="24" t="str">
        <x:v>EEZ</x:v>
      </x:c>
      <x:c r="D32" s="30" t="n">
        <x:v>2019</x:v>
      </x:c>
      <x:c r="E32" s="24" t="str">
        <x:v>Epinephelus fuscoguttatus</x:v>
      </x:c>
      <x:c r="F32" s="24" t="str">
        <x:v>Brown-marbled grouper</x:v>
      </x:c>
      <x:c r="G32" s="24" t="str">
        <x:v>Large reef assoc. fish (&gt;=90 cm)</x:v>
      </x:c>
      <x:c r="H32" s="24" t="str">
        <x:v>Perch-likes</x:v>
      </x:c>
      <x:c r="I32" s="31" t="n">
        <x:v>135.5087008</x:v>
      </x:c>
      <x:c r="J32" s="31" t="n">
        <x:v>135.5087008</x:v>
      </x:c>
      <x:c r="K32" s="31" t="n">
        <x:v>0</x:v>
      </x:c>
      <x:c r="L32" s="31" t="n">
        <x:v>0</x:v>
      </x:c>
      <x:c r="M32" s="31" t="n">
        <x:v>135.5087008</x:v>
      </x:c>
      <x:c r="N32" s="24" t="str">
        <x:v>epinephelus fuscoguttatus</x:v>
      </x:c>
      <x:c r="O32" s="32" t="n">
        <x:v>4.14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Epinephelus fuscoguttatus</x:v>
      </x:c>
      <x:c r="T32" s="32" t="n">
        <x:f>IF(O32="","",(1/'Metadata'!$B$5)^(O32-1))</x:f>
        <x:v>1380.3842646028838</x:v>
      </x:c>
      <x:c r="U32" s="31" t="n">
        <x:f>IF(T32="","",I32*T32)</x:f>
        <x:v>187054.07830110023</x:v>
      </x:c>
    </x:row>
    <x:row r="33" ht="18" customHeight="1">
      <x:c r="A33" s="24" t="str">
        <x:v>EEZ_462</x:v>
      </x:c>
      <x:c r="B33" s="24" t="str">
        <x:v>Maldives</x:v>
      </x:c>
      <x:c r="C33" s="24" t="str">
        <x:v>EEZ</x:v>
      </x:c>
      <x:c r="D33" s="30" t="n">
        <x:v>2019</x:v>
      </x:c>
      <x:c r="E33" s="24" t="str">
        <x:v>Epinephelus polyphekadion</x:v>
      </x:c>
      <x:c r="F33" s="24" t="str">
        <x:v>Camouflage grouper</x:v>
      </x:c>
      <x:c r="G33" s="24" t="str">
        <x:v>Large reef assoc. fish (&gt;=90 cm)</x:v>
      </x:c>
      <x:c r="H33" s="24" t="str">
        <x:v>Perch-likes</x:v>
      </x:c>
      <x:c r="I33" s="31" t="n">
        <x:v>135.5087008</x:v>
      </x:c>
      <x:c r="J33" s="31" t="n">
        <x:v>135.5087008</x:v>
      </x:c>
      <x:c r="K33" s="31" t="n">
        <x:v>0</x:v>
      </x:c>
      <x:c r="L33" s="31" t="n">
        <x:v>0</x:v>
      </x:c>
      <x:c r="M33" s="31" t="n">
        <x:v>135.5087008</x:v>
      </x:c>
      <x:c r="N33" s="24" t="str">
        <x:v>epinephelus polyphekadion</x:v>
      </x:c>
      <x:c r="O33" s="32" t="n">
        <x:v>3.99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polyphekadion</x:v>
      </x:c>
      <x:c r="T33" s="32" t="n">
        <x:f>IF(O33="","",(1/'Metadata'!$B$5)^(O33-1))</x:f>
        <x:v>977.2372209558112</x:v>
      </x:c>
      <x:c r="U33" s="31" t="n">
        <x:f>IF(T33="","",I33*T33)</x:f>
        <x:v>132424.14618512453</x:v>
      </x:c>
    </x:row>
    <x:row r="34" ht="18" customHeight="1">
      <x:c r="A34" s="24" t="str">
        <x:v>EEZ_462</x:v>
      </x:c>
      <x:c r="B34" s="24" t="str">
        <x:v>Maldives</x:v>
      </x:c>
      <x:c r="C34" s="24" t="str">
        <x:v>EEZ</x:v>
      </x:c>
      <x:c r="D34" s="30" t="n">
        <x:v>2019</x:v>
      </x:c>
      <x:c r="E34" s="24" t="str">
        <x:v>Clupeidae</x:v>
      </x:c>
      <x:c r="F34" s="24" t="str">
        <x:v>Herrings, sardines, menhadens</x:v>
      </x:c>
      <x:c r="G34" s="24" t="str">
        <x:v>Small pelagics (&lt;30 cm)</x:v>
      </x:c>
      <x:c r="H34" s="24" t="str">
        <x:v>Herring-likes</x:v>
      </x:c>
      <x:c r="I34" s="31" t="n">
        <x:v>118.3335976</x:v>
      </x:c>
      <x:c r="J34" s="31" t="n">
        <x:v>118.3335976</x:v>
      </x:c>
      <x:c r="K34" s="31" t="n">
        <x:v>0</x:v>
      </x:c>
      <x:c r="L34" s="31" t="n">
        <x:v>0</x:v>
      </x:c>
      <x:c r="M34" s="31" t="n">
        <x:v>118.3335976</x:v>
      </x:c>
      <x:c r="N34" s="24" t="str">
        <x:v>clupeidae</x:v>
      </x:c>
      <x:c r="O34" s="32" t="n">
        <x:v>3.16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Clupeidae</x:v>
      </x:c>
      <x:c r="T34" s="32" t="n">
        <x:f>IF(O34="","",(1/'Metadata'!$B$5)^(O34-1))</x:f>
        <x:v>144.5439770745928</x:v>
      </x:c>
      <x:c r="U34" s="31" t="n">
        <x:f>IF(T34="","",I34*T34)</x:f>
        <x:v>17104.408818648488</x:v>
      </x:c>
    </x:row>
    <x:row r="35" ht="18" customHeight="1">
      <x:c r="A35" s="24" t="str">
        <x:v>EEZ_462</x:v>
      </x:c>
      <x:c r="B35" s="24" t="str">
        <x:v>Maldives</x:v>
      </x:c>
      <x:c r="C35" s="24" t="str">
        <x:v>EEZ</x:v>
      </x:c>
      <x:c r="D35" s="30" t="n">
        <x:v>2019</x:v>
      </x:c>
      <x:c r="E35" s="24" t="str">
        <x:v>Euthynnus affinis</x:v>
      </x:c>
      <x:c r="F35" s="24" t="str">
        <x:v>Kawakawa</x:v>
      </x:c>
      <x:c r="G35" s="24" t="str">
        <x:v>Large pelagics (&gt;=90 cm)</x:v>
      </x:c>
      <x:c r="H35" s="24" t="str">
        <x:v>Tuna &amp; billfishes</x:v>
      </x:c>
      <x:c r="I35" s="31" t="n">
        <x:v>102.78460276</x:v>
      </x:c>
      <x:c r="J35" s="31" t="n">
        <x:v>102.78460276</x:v>
      </x:c>
      <x:c r="K35" s="31" t="n">
        <x:v>0</x:v>
      </x:c>
      <x:c r="L35" s="31" t="n">
        <x:v>9.2</x:v>
      </x:c>
      <x:c r="M35" s="31" t="n">
        <x:v>93.58460276</x:v>
      </x:c>
      <x:c r="N35" s="24" t="str">
        <x:v>euthynnus affinis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Euthynnus affinis</x:v>
      </x:c>
      <x:c r="T35" s="32" t="n">
        <x:f>IF(O35="","",(1/'Metadata'!$B$5)^(O35-1))</x:f>
        <x:v>3162.2776601683795</x:v>
      </x:c>
      <x:c r="U35" s="31" t="n">
        <x:f>IF(T35="","",I35*T35)</x:f>
        <x:v>325033.45311722916</x:v>
      </x:c>
    </x:row>
    <x:row r="36" ht="18" customHeight="1">
      <x:c r="A36" s="24" t="str">
        <x:v>EEZ_462</x:v>
      </x:c>
      <x:c r="B36" s="24" t="str">
        <x:v>Maldives</x:v>
      </x:c>
      <x:c r="C36" s="24" t="str">
        <x:v>EEZ</x:v>
      </x:c>
      <x:c r="D36" s="30" t="n">
        <x:v>2019</x:v>
      </x:c>
      <x:c r="E36" s="24" t="str">
        <x:v>Lethrinus microdon</x:v>
      </x:c>
      <x:c r="F36" s="24" t="str">
        <x:v>Smalltooth emperor</x:v>
      </x:c>
      <x:c r="G36" s="24" t="str">
        <x:v>Medium reef assoc. fish (30 - 89 cm)</x:v>
      </x:c>
      <x:c r="H36" s="24" t="str">
        <x:v>Perch-likes</x:v>
      </x:c>
      <x:c r="I36" s="31" t="n">
        <x:v>75.700585987</x:v>
      </x:c>
      <x:c r="J36" s="31" t="n">
        <x:v>75.700585987</x:v>
      </x:c>
      <x:c r="K36" s="31" t="n">
        <x:v>0</x:v>
      </x:c>
      <x:c r="L36" s="31" t="n">
        <x:v>5.240160437</x:v>
      </x:c>
      <x:c r="M36" s="31" t="n">
        <x:v>70.46042555</x:v>
      </x:c>
      <x:c r="N36" s="24" t="str">
        <x:v>lethrinus microdon</x:v>
      </x:c>
      <x:c r="O36" s="32" t="n">
        <x:v>3.79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Lethrinus microdon</x:v>
      </x:c>
      <x:c r="T36" s="32" t="n">
        <x:f>IF(O36="","",(1/'Metadata'!$B$5)^(O36-1))</x:f>
        <x:v>616.5950018614822</x:v>
      </x:c>
      <x:c r="U36" s="31" t="n">
        <x:f>IF(T36="","",I36*T36)</x:f>
        <x:v>46676.60295756955</x:v>
      </x:c>
    </x:row>
    <x:row r="37" ht="18" customHeight="1">
      <x:c r="A37" s="24" t="str">
        <x:v>EEZ_462</x:v>
      </x:c>
      <x:c r="B37" s="24" t="str">
        <x:v>Maldives</x:v>
      </x:c>
      <x:c r="C37" s="24" t="str">
        <x:v>EEZ</x:v>
      </x:c>
      <x:c r="D37" s="30" t="n">
        <x:v>2019</x:v>
      </x:c>
      <x:c r="E37" s="24" t="str">
        <x:v>Lethrinus xanthochilus</x:v>
      </x:c>
      <x:c r="F37" s="24" t="str">
        <x:v>Yellowlip emperor</x:v>
      </x:c>
      <x:c r="G37" s="24" t="str">
        <x:v>Medium reef assoc. fish (30 - 89 cm)</x:v>
      </x:c>
      <x:c r="H37" s="24" t="str">
        <x:v>Perch-likes</x:v>
      </x:c>
      <x:c r="I37" s="31" t="n">
        <x:v>75.700585987</x:v>
      </x:c>
      <x:c r="J37" s="31" t="n">
        <x:v>75.700585987</x:v>
      </x:c>
      <x:c r="K37" s="31" t="n">
        <x:v>0</x:v>
      </x:c>
      <x:c r="L37" s="31" t="n">
        <x:v>5.240160437</x:v>
      </x:c>
      <x:c r="M37" s="31" t="n">
        <x:v>70.46042555</x:v>
      </x:c>
      <x:c r="N37" s="24" t="str">
        <x:v>lethrinus xanthochilus</x:v>
      </x:c>
      <x:c r="O37" s="32" t="n">
        <x:v>3.78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Lethrinus xanthochilus</x:v>
      </x:c>
      <x:c r="T37" s="32" t="n">
        <x:f>IF(O37="","",(1/'Metadata'!$B$5)^(O37-1))</x:f>
        <x:v>602.5595860743575</x:v>
      </x:c>
      <x:c r="U37" s="31" t="n">
        <x:f>IF(T37="","",I37*T37)</x:f>
        <x:v>45614.11375791303</x:v>
      </x:c>
    </x:row>
    <x:row r="38" ht="18" customHeight="1">
      <x:c r="A38" s="24" t="str">
        <x:v>EEZ_462</x:v>
      </x:c>
      <x:c r="B38" s="24" t="str">
        <x:v>Maldives</x:v>
      </x:c>
      <x:c r="C38" s="24" t="str">
        <x:v>EEZ</x:v>
      </x:c>
      <x:c r="D38" s="30" t="n">
        <x:v>2019</x:v>
      </x:c>
      <x:c r="E38" s="24" t="str">
        <x:v>Lethrinus olivaceus</x:v>
      </x:c>
      <x:c r="F38" s="24" t="str">
        <x:v>Longface emperor</x:v>
      </x:c>
      <x:c r="G38" s="24" t="str">
        <x:v>Medium demersals (30 - 89 cm)</x:v>
      </x:c>
      <x:c r="H38" s="24" t="str">
        <x:v>Perch-likes</x:v>
      </x:c>
      <x:c r="I38" s="31" t="n">
        <x:v>75.700585987</x:v>
      </x:c>
      <x:c r="J38" s="31" t="n">
        <x:v>75.700585987</x:v>
      </x:c>
      <x:c r="K38" s="31" t="n">
        <x:v>0</x:v>
      </x:c>
      <x:c r="L38" s="31" t="n">
        <x:v>5.240160437</x:v>
      </x:c>
      <x:c r="M38" s="31" t="n">
        <x:v>70.46042555</x:v>
      </x:c>
      <x:c r="N38" s="24" t="str">
        <x:v>lethrinus olivaceus</x:v>
      </x:c>
      <x:c r="O38" s="32" t="n">
        <x:v>3.95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Lethrinus olivaceus</x:v>
      </x:c>
      <x:c r="T38" s="32" t="n">
        <x:f>IF(O38="","",(1/'Metadata'!$B$5)^(O38-1))</x:f>
        <x:v>891.2509381337459</x:v>
      </x:c>
      <x:c r="U38" s="31" t="n">
        <x:f>IF(T38="","",I38*T38)</x:f>
        <x:v>67468.21827818804</x:v>
      </x:c>
    </x:row>
    <x:row r="39" ht="18" customHeight="1">
      <x:c r="A39" s="24" t="str">
        <x:v>EEZ_462</x:v>
      </x:c>
      <x:c r="B39" s="24" t="str">
        <x:v>Maldives</x:v>
      </x:c>
      <x:c r="C39" s="24" t="str">
        <x:v>EEZ</x:v>
      </x:c>
      <x:c r="D39" s="30" t="n">
        <x:v>2019</x:v>
      </x:c>
      <x:c r="E39" s="24" t="str">
        <x:v>Lethrinus rubrioperculatus</x:v>
      </x:c>
      <x:c r="F39" s="24" t="str">
        <x:v>Spotcheek emperor</x:v>
      </x:c>
      <x:c r="G39" s="24" t="str">
        <x:v>Medium reef assoc. fish (30 - 89 cm)</x:v>
      </x:c>
      <x:c r="H39" s="24" t="str">
        <x:v>Perch-likes</x:v>
      </x:c>
      <x:c r="I39" s="31" t="n">
        <x:v>75.700585987</x:v>
      </x:c>
      <x:c r="J39" s="31" t="n">
        <x:v>75.700585987</x:v>
      </x:c>
      <x:c r="K39" s="31" t="n">
        <x:v>0</x:v>
      </x:c>
      <x:c r="L39" s="31" t="n">
        <x:v>5.240160437</x:v>
      </x:c>
      <x:c r="M39" s="31" t="n">
        <x:v>70.46042555</x:v>
      </x:c>
      <x:c r="N39" s="24" t="str">
        <x:v>lethrinus rubrioperculatus</x:v>
      </x:c>
      <x:c r="O39" s="32" t="n">
        <x:v>3.75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Lethrinus rubrioperculatus</x:v>
      </x:c>
      <x:c r="T39" s="32" t="n">
        <x:f>IF(O39="","",(1/'Metadata'!$B$5)^(O39-1))</x:f>
        <x:v>562.341325190349</x:v>
      </x:c>
      <x:c r="U39" s="31" t="n">
        <x:f>IF(T39="","",I39*T39)</x:f>
        <x:v>42569.56784161554</x:v>
      </x:c>
    </x:row>
    <x:row r="40" ht="18" customHeight="1">
      <x:c r="A40" s="24" t="str">
        <x:v>EEZ_462</x:v>
      </x:c>
      <x:c r="B40" s="24" t="str">
        <x:v>Maldives</x:v>
      </x:c>
      <x:c r="C40" s="24" t="str">
        <x:v>EEZ</x:v>
      </x:c>
      <x:c r="D40" s="30" t="n">
        <x:v>2019</x:v>
      </x:c>
      <x:c r="E40" s="24" t="str">
        <x:v>Lethrinus harak</x:v>
      </x:c>
      <x:c r="F40" s="24" t="str">
        <x:v>Thumbprint emperor</x:v>
      </x:c>
      <x:c r="G40" s="24" t="str">
        <x:v>Medium reef assoc. fish (30 - 89 cm)</x:v>
      </x:c>
      <x:c r="H40" s="24" t="str">
        <x:v>Perch-likes</x:v>
      </x:c>
      <x:c r="I40" s="31" t="n">
        <x:v>75.700585987</x:v>
      </x:c>
      <x:c r="J40" s="31" t="n">
        <x:v>75.700585987</x:v>
      </x:c>
      <x:c r="K40" s="31" t="n">
        <x:v>0</x:v>
      </x:c>
      <x:c r="L40" s="31" t="n">
        <x:v>5.240160437</x:v>
      </x:c>
      <x:c r="M40" s="31" t="n">
        <x:v>70.46042555</x:v>
      </x:c>
      <x:c r="N40" s="24" t="str">
        <x:v>lethrinus harak</x:v>
      </x:c>
      <x:c r="O40" s="32" t="n">
        <x:v>3.59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Lethrinus harak</x:v>
      </x:c>
      <x:c r="T40" s="32" t="n">
        <x:f>IF(O40="","",(1/'Metadata'!$B$5)^(O40-1))</x:f>
        <x:v>389.04514499428046</x:v>
      </x:c>
      <x:c r="U40" s="31" t="n">
        <x:f>IF(T40="","",I40*T40)</x:f>
        <x:v>29450.94545146441</x:v>
      </x:c>
    </x:row>
    <x:row r="41" ht="18" customHeight="1">
      <x:c r="A41" s="24" t="str">
        <x:v>EEZ_462</x:v>
      </x:c>
      <x:c r="B41" s="24" t="str">
        <x:v>Maldives</x:v>
      </x:c>
      <x:c r="C41" s="24" t="str">
        <x:v>EEZ</x:v>
      </x:c>
      <x:c r="D41" s="30" t="n">
        <x:v>2019</x:v>
      </x:c>
      <x:c r="E41" s="24" t="str">
        <x:v>Plectropomus areolatus</x:v>
      </x:c>
      <x:c r="F41" s="24" t="str">
        <x:v>Squaretail coralgrouper</x:v>
      </x:c>
      <x:c r="G41" s="24" t="str">
        <x:v>Medium reef assoc. fish (30 - 89 cm)</x:v>
      </x:c>
      <x:c r="H41" s="24" t="str">
        <x:v>Perch-likes</x:v>
      </x:c>
      <x:c r="I41" s="31" t="n">
        <x:v>73.9138368</x:v>
      </x:c>
      <x:c r="J41" s="31" t="n">
        <x:v>73.9138368</x:v>
      </x:c>
      <x:c r="K41" s="31" t="n">
        <x:v>0</x:v>
      </x:c>
      <x:c r="L41" s="31" t="n">
        <x:v>0</x:v>
      </x:c>
      <x:c r="M41" s="31" t="n">
        <x:v>73.9138368</x:v>
      </x:c>
      <x:c r="N41" s="24" t="str">
        <x:v>plectropomus areolatus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Plectropomus areolatus</x:v>
      </x:c>
      <x:c r="T41" s="32" t="n">
        <x:f>IF(O41="","",(1/'Metadata'!$B$5)^(O41-1))</x:f>
        <x:v>3162.2776601683795</x:v>
      </x:c>
      <x:c r="U41" s="31" t="n">
        <x:f>IF(T41="","",I41*T41)</x:f>
        <x:v>233736.07488997147</x:v>
      </x:c>
    </x:row>
    <x:row r="42" ht="18" customHeight="1">
      <x:c r="A42" s="24" t="str">
        <x:v>EEZ_462</x:v>
      </x:c>
      <x:c r="B42" s="24" t="str">
        <x:v>Maldives</x:v>
      </x:c>
      <x:c r="C42" s="24" t="str">
        <x:v>EEZ</x:v>
      </x:c>
      <x:c r="D42" s="30" t="n">
        <x:v>2019</x:v>
      </x:c>
      <x:c r="E42" s="24" t="str">
        <x:v>Plectropomus pessuliferus</x:v>
      </x:c>
      <x:c r="F42" s="24" t="str">
        <x:v>Roving coralgrouper</x:v>
      </x:c>
      <x:c r="G42" s="24" t="str">
        <x:v>Large reef assoc. fish (&gt;=90 cm)</x:v>
      </x:c>
      <x:c r="H42" s="24" t="str">
        <x:v>Perch-likes</x:v>
      </x:c>
      <x:c r="I42" s="31" t="n">
        <x:v>73.9138368</x:v>
      </x:c>
      <x:c r="J42" s="31" t="n">
        <x:v>73.9138368</x:v>
      </x:c>
      <x:c r="K42" s="31" t="n">
        <x:v>0</x:v>
      </x:c>
      <x:c r="L42" s="31" t="n">
        <x:v>0</x:v>
      </x:c>
      <x:c r="M42" s="31" t="n">
        <x:v>73.9138368</x:v>
      </x:c>
      <x:c r="N42" s="24" t="str">
        <x:v>plectropomus pessuliferus</x:v>
      </x:c>
      <x:c r="O42" s="32" t="n">
        <x:v>4.28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Plectropomus pessuliferus</x:v>
      </x:c>
      <x:c r="T42" s="32" t="n">
        <x:f>IF(O42="","",(1/'Metadata'!$B$5)^(O42-1))</x:f>
        <x:v>1905.4607179632483</x:v>
      </x:c>
      <x:c r="U42" s="31" t="n">
        <x:f>IF(T42="","",I42*T42)</x:f>
        <x:v>140839.91253634635</x:v>
      </x:c>
    </x:row>
    <x:row r="43" ht="18" customHeight="1">
      <x:c r="A43" s="24" t="str">
        <x:v>EEZ_462</x:v>
      </x:c>
      <x:c r="B43" s="24" t="str">
        <x:v>Maldives</x:v>
      </x:c>
      <x:c r="C43" s="24" t="str">
        <x:v>EEZ</x:v>
      </x:c>
      <x:c r="D43" s="30" t="n">
        <x:v>2019</x:v>
      </x:c>
      <x:c r="E43" s="24" t="str">
        <x:v>Xiphias gladius</x:v>
      </x:c>
      <x:c r="F43" s="24" t="str">
        <x:v>Swordfish</x:v>
      </x:c>
      <x:c r="G43" s="24" t="str">
        <x:v>Large pelagics (&gt;=90 cm)</x:v>
      </x:c>
      <x:c r="H43" s="24" t="str">
        <x:v>Tuna &amp; billfishes</x:v>
      </x:c>
      <x:c r="I43" s="31" t="n">
        <x:v>45.2222866485</x:v>
      </x:c>
      <x:c r="J43" s="31" t="n">
        <x:v>45.2222866485</x:v>
      </x:c>
      <x:c r="K43" s="31" t="n">
        <x:v>0</x:v>
      </x:c>
      <x:c r="L43" s="31" t="n">
        <x:v>45.2222866485</x:v>
      </x:c>
      <x:c r="M43" s="31" t="n">
        <x:v>0</x:v>
      </x:c>
      <x:c r="N43" s="24" t="str">
        <x:v>xiphias gladius</x:v>
      </x:c>
      <x:c r="O43" s="32" t="n">
        <x:v>4.53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Xiphias gladius</x:v>
      </x:c>
      <x:c r="T43" s="32" t="n">
        <x:f>IF(O43="","",(1/'Metadata'!$B$5)^(O43-1))</x:f>
        <x:v>3388.4415613920273</x:v>
      </x:c>
      <x:c r="U43" s="31" t="n">
        <x:f>IF(T43="","",I43*T43)</x:f>
        <x:v>153233.0755809612</x:v>
      </x:c>
    </x:row>
    <x:row r="44" ht="18" customHeight="1">
      <x:c r="A44" s="24" t="str">
        <x:v>EEZ_462</x:v>
      </x:c>
      <x:c r="B44" s="24" t="str">
        <x:v>Maldives</x:v>
      </x:c>
      <x:c r="C44" s="24" t="str">
        <x:v>EEZ</x:v>
      </x:c>
      <x:c r="D44" s="30" t="n">
        <x:v>2019</x:v>
      </x:c>
      <x:c r="E44" s="24" t="str">
        <x:v>Aethaloperca rogaa</x:v>
      </x:c>
      <x:c r="F44" s="24" t="str">
        <x:v>Redmouth grouper</x:v>
      </x:c>
      <x:c r="G44" s="24" t="str">
        <x:v>Medium reef assoc. fish (30 - 89 cm)</x:v>
      </x:c>
      <x:c r="H44" s="24" t="str">
        <x:v>Perch-likes</x:v>
      </x:c>
      <x:c r="I44" s="31" t="n">
        <x:v>30.797432</x:v>
      </x:c>
      <x:c r="J44" s="31" t="n">
        <x:v>30.797432</x:v>
      </x:c>
      <x:c r="K44" s="31" t="n">
        <x:v>0</x:v>
      </x:c>
      <x:c r="L44" s="31" t="n">
        <x:v>0</x:v>
      </x:c>
      <x:c r="M44" s="31" t="n">
        <x:v>30.797432</x:v>
      </x:c>
      <x:c r="N44" s="24" t="str">
        <x:v>aethaloperca rogaa</x:v>
      </x:c>
      <x:c r="O44" s="32" t="n">
        <x:v>4.2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Aethaloperca rogaa</x:v>
      </x:c>
      <x:c r="T44" s="32" t="n">
        <x:f>IF(O44="","",(1/'Metadata'!$B$5)^(O44-1))</x:f>
        <x:v>1584.893192461114</x:v>
      </x:c>
      <x:c r="U44" s="31" t="n">
        <x:f>IF(T44="","",I44*T44)</x:f>
        <x:v>48810.64032208407</x:v>
      </x:c>
    </x:row>
    <x:row r="45" ht="18" customHeight="1">
      <x:c r="A45" s="24" t="str">
        <x:v>EEZ_462</x:v>
      </x:c>
      <x:c r="B45" s="24" t="str">
        <x:v>Maldives</x:v>
      </x:c>
      <x:c r="C45" s="24" t="str">
        <x:v>EEZ</x:v>
      </x:c>
      <x:c r="D45" s="30" t="n">
        <x:v>2019</x:v>
      </x:c>
      <x:c r="E45" s="24" t="str">
        <x:v>Cephalopholis argus</x:v>
      </x:c>
      <x:c r="F45" s="24" t="str">
        <x:v>Peacock hind</x:v>
      </x:c>
      <x:c r="G45" s="24" t="str">
        <x:v>Medium reef assoc. fish (30 - 89 cm)</x:v>
      </x:c>
      <x:c r="H45" s="24" t="str">
        <x:v>Perch-likes</x:v>
      </x:c>
      <x:c r="I45" s="31" t="n">
        <x:v>30.797432</x:v>
      </x:c>
      <x:c r="J45" s="31" t="n">
        <x:v>30.797432</x:v>
      </x:c>
      <x:c r="K45" s="31" t="n">
        <x:v>0</x:v>
      </x:c>
      <x:c r="L45" s="31" t="n">
        <x:v>0</x:v>
      </x:c>
      <x:c r="M45" s="31" t="n">
        <x:v>30.797432</x:v>
      </x:c>
      <x:c r="N45" s="24" t="str">
        <x:v>cephalopholis argus</x:v>
      </x:c>
      <x:c r="O45" s="32" t="n">
        <x:v>4.48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Cephalopholis argus</x:v>
      </x:c>
      <x:c r="T45" s="32" t="n">
        <x:f>IF(O45="","",(1/'Metadata'!$B$5)^(O45-1))</x:f>
        <x:v>3019.951720402019</x:v>
      </x:c>
      <x:c r="U45" s="31" t="n">
        <x:f>IF(T45="","",I45*T45)</x:f>
        <x:v>93006.7577523642</x:v>
      </x:c>
    </x:row>
    <x:row r="46" ht="18" customHeight="1">
      <x:c r="A46" s="24" t="str">
        <x:v>EEZ_462</x:v>
      </x:c>
      <x:c r="B46" s="24" t="str">
        <x:v>Maldives</x:v>
      </x:c>
      <x:c r="C46" s="24" t="str">
        <x:v>EEZ</x:v>
      </x:c>
      <x:c r="D46" s="30" t="n">
        <x:v>2019</x:v>
      </x:c>
      <x:c r="E46" s="24" t="str">
        <x:v>Cephalopholis miniata</x:v>
      </x:c>
      <x:c r="F46" s="24" t="str">
        <x:v>Coral hind</x:v>
      </x:c>
      <x:c r="G46" s="24" t="str">
        <x:v>Medium reef assoc. fish (30 - 89 cm)</x:v>
      </x:c>
      <x:c r="H46" s="24" t="str">
        <x:v>Perch-likes</x:v>
      </x:c>
      <x:c r="I46" s="31" t="n">
        <x:v>30.797432</x:v>
      </x:c>
      <x:c r="J46" s="31" t="n">
        <x:v>30.797432</x:v>
      </x:c>
      <x:c r="K46" s="31" t="n">
        <x:v>0</x:v>
      </x:c>
      <x:c r="L46" s="31" t="n">
        <x:v>0</x:v>
      </x:c>
      <x:c r="M46" s="31" t="n">
        <x:v>30.797432</x:v>
      </x:c>
      <x:c r="N46" s="24" t="str">
        <x:v>cephalopholis miniata</x:v>
      </x:c>
      <x:c r="O46" s="32" t="n">
        <x:v>4.29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Cephalopholis miniata</x:v>
      </x:c>
      <x:c r="T46" s="32" t="n">
        <x:f>IF(O46="","",(1/'Metadata'!$B$5)^(O46-1))</x:f>
        <x:v>1949.8445997580454</x:v>
      </x:c>
      <x:c r="U46" s="31" t="n">
        <x:f>IF(T46="","",I46*T46)</x:f>
        <x:v>60050.206471615624</x:v>
      </x:c>
    </x:row>
    <x:row r="47" ht="18" customHeight="1">
      <x:c r="A47" s="24" t="str">
        <x:v>EEZ_462</x:v>
      </x:c>
      <x:c r="B47" s="24" t="str">
        <x:v>Maldives</x:v>
      </x:c>
      <x:c r="C47" s="24" t="str">
        <x:v>EEZ</x:v>
      </x:c>
      <x:c r="D47" s="30" t="n">
        <x:v>2019</x:v>
      </x:c>
      <x:c r="E47" s="24" t="str">
        <x:v>Gymnosarda unicolor</x:v>
      </x:c>
      <x:c r="F47" s="24" t="str">
        <x:v>Dogtooth tuna</x:v>
      </x:c>
      <x:c r="G47" s="24" t="str">
        <x:v>Large reef assoc. fish (&gt;=90 cm)</x:v>
      </x:c>
      <x:c r="H47" s="24" t="str">
        <x:v>Tuna &amp; billfishes</x:v>
      </x:c>
      <x:c r="I47" s="31" t="n">
        <x:v>28.519010587</x:v>
      </x:c>
      <x:c r="J47" s="31" t="n">
        <x:v>28.519010587</x:v>
      </x:c>
      <x:c r="K47" s="31" t="n">
        <x:v>0</x:v>
      </x:c>
      <x:c r="L47" s="31" t="n">
        <x:v>3</x:v>
      </x:c>
      <x:c r="M47" s="31" t="n">
        <x:v>25.519010587</x:v>
      </x:c>
      <x:c r="N47" s="24" t="str">
        <x:v>gymnosarda unicolor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Gymnosarda unicolor</x:v>
      </x:c>
      <x:c r="T47" s="32" t="n">
        <x:f>IF(O47="","",(1/'Metadata'!$B$5)^(O47-1))</x:f>
        <x:v>3162.2776601683795</x:v>
      </x:c>
      <x:c r="U47" s="31" t="n">
        <x:f>IF(T47="","",I47*T47)</x:f>
        <x:v>90185.0300693756</x:v>
      </x:c>
    </x:row>
    <x:row r="48" ht="18" customHeight="1">
      <x:c r="A48" s="24" t="str">
        <x:v>EEZ_462</x:v>
      </x:c>
      <x:c r="B48" s="24" t="str">
        <x:v>Maldives</x:v>
      </x:c>
      <x:c r="C48" s="24" t="str">
        <x:v>EEZ</x:v>
      </x:c>
      <x:c r="D48" s="30" t="n">
        <x:v>2019</x:v>
      </x:c>
      <x:c r="E48" s="24" t="str">
        <x:v>Acanthocybium solandri</x:v>
      </x:c>
      <x:c r="F48" s="24" t="str">
        <x:v>Wahoo</x:v>
      </x:c>
      <x:c r="G48" s="24" t="str">
        <x:v>Large pelagics (&gt;=90 cm)</x:v>
      </x:c>
      <x:c r="H48" s="24" t="str">
        <x:v>Perch-likes</x:v>
      </x:c>
      <x:c r="I48" s="31" t="n">
        <x:v>27.1060387033</x:v>
      </x:c>
      <x:c r="J48" s="31" t="n">
        <x:v>27.1060387033</x:v>
      </x:c>
      <x:c r="K48" s="31" t="n">
        <x:v>0</x:v>
      </x:c>
      <x:c r="L48" s="31" t="n">
        <x:v>27.1060387033</x:v>
      </x:c>
      <x:c r="M48" s="31" t="n">
        <x:v>0</x:v>
      </x:c>
      <x:c r="N48" s="24" t="str">
        <x:v>acanthocybium solandri</x:v>
      </x:c>
      <x:c r="O48" s="32" t="n">
        <x:v>4.26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Acanthocybium solandri</x:v>
      </x:c>
      <x:c r="T48" s="32" t="n">
        <x:f>IF(O48="","",(1/'Metadata'!$B$5)^(O48-1))</x:f>
        <x:v>1819.7008586099826</x:v>
      </x:c>
      <x:c r="U48" s="31" t="n">
        <x:f>IF(T48="","",I48*T48)</x:f>
        <x:v>49324.881901910434</x:v>
      </x:c>
    </x:row>
    <x:row r="49" ht="18" customHeight="1">
      <x:c r="A49" s="24" t="str">
        <x:v>EEZ_462</x:v>
      </x:c>
      <x:c r="B49" s="24" t="str">
        <x:v>Maldives</x:v>
      </x:c>
      <x:c r="C49" s="24" t="str">
        <x:v>EEZ</x:v>
      </x:c>
      <x:c r="D49" s="30" t="n">
        <x:v>2019</x:v>
      </x:c>
      <x:c r="E49" s="24" t="str">
        <x:v>Pomacentridae</x:v>
      </x:c>
      <x:c r="F49" s="24" t="str">
        <x:v>Damselfishes</x:v>
      </x:c>
      <x:c r="G49" s="24" t="str">
        <x:v>Small reef assoc. fish (&lt;30 cm)</x:v>
      </x:c>
      <x:c r="H49" s="24" t="str">
        <x:v>Perch-likes</x:v>
      </x:c>
      <x:c r="I49" s="31" t="n">
        <x:v>25.72469513</x:v>
      </x:c>
      <x:c r="J49" s="31" t="n">
        <x:v>25.72469513</x:v>
      </x:c>
      <x:c r="K49" s="31" t="n">
        <x:v>0</x:v>
      </x:c>
      <x:c r="L49" s="31" t="n">
        <x:v>0</x:v>
      </x:c>
      <x:c r="M49" s="31" t="n">
        <x:v>25.72469513</x:v>
      </x:c>
      <x:c r="N49" s="24" t="str">
        <x:v>pomacentridae</x:v>
      </x:c>
      <x:c r="O49" s="32" t="n">
        <x:v>2.57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Pomacentridae</x:v>
      </x:c>
      <x:c r="T49" s="32" t="n">
        <x:f>IF(O49="","",(1/'Metadata'!$B$5)^(O49-1))</x:f>
        <x:v>37.15352290971724</x:v>
      </x:c>
      <x:c r="U49" s="31" t="n">
        <x:f>IF(T49="","",I49*T49)</x:f>
        <x:v>955.7630498579465</x:v>
      </x:c>
    </x:row>
    <x:row r="50" ht="18" customHeight="1">
      <x:c r="A50" s="24" t="str">
        <x:v>EEZ_462</x:v>
      </x:c>
      <x:c r="B50" s="24" t="str">
        <x:v>Maldives</x:v>
      </x:c>
      <x:c r="C50" s="24" t="str">
        <x:v>EEZ</x:v>
      </x:c>
      <x:c r="D50" s="30" t="n">
        <x:v>2019</x:v>
      </x:c>
      <x:c r="E50" s="24" t="str">
        <x:v>Variola louti</x:v>
      </x:c>
      <x:c r="F50" s="24" t="str">
        <x:v>Yellow-edged lyretail</x:v>
      </x:c>
      <x:c r="G50" s="24" t="str">
        <x:v>Medium reef assoc. fish (30 - 89 cm)</x:v>
      </x:c>
      <x:c r="H50" s="24" t="str">
        <x:v>Perch-likes</x:v>
      </x:c>
      <x:c r="I50" s="31" t="n">
        <x:v>24.6379456</x:v>
      </x:c>
      <x:c r="J50" s="31" t="n">
        <x:v>24.6379456</x:v>
      </x:c>
      <x:c r="K50" s="31" t="n">
        <x:v>0</x:v>
      </x:c>
      <x:c r="L50" s="31" t="n">
        <x:v>0</x:v>
      </x:c>
      <x:c r="M50" s="31" t="n">
        <x:v>24.6379456</x:v>
      </x:c>
      <x:c r="N50" s="24" t="str">
        <x:v>variola louti</x:v>
      </x:c>
      <x:c r="O50" s="32" t="n">
        <x:v>4.33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Variola louti</x:v>
      </x:c>
      <x:c r="T50" s="32" t="n">
        <x:f>IF(O50="","",(1/'Metadata'!$B$5)^(O50-1))</x:f>
        <x:v>2137.9620895022326</x:v>
      </x:c>
      <x:c r="U50" s="31" t="n">
        <x:f>IF(T50="","",I50*T50)</x:f>
        <x:v>52674.993656018334</x:v>
      </x:c>
    </x:row>
    <x:row r="51" ht="18" customHeight="1">
      <x:c r="A51" s="24" t="str">
        <x:v>EEZ_462</x:v>
      </x:c>
      <x:c r="B51" s="24" t="str">
        <x:v>Maldives</x:v>
      </x:c>
      <x:c r="C51" s="24" t="str">
        <x:v>EEZ</x:v>
      </x:c>
      <x:c r="D51" s="30" t="n">
        <x:v>2019</x:v>
      </x:c>
      <x:c r="E51" s="24" t="str">
        <x:v>Panulirus</x:v>
      </x:c>
      <x:c r="F51" s="24" t="str">
        <x:v>Spiny lobsters</x:v>
      </x:c>
      <x:c r="G51" s="24" t="str">
        <x:v>Lobsters, crabs</x:v>
      </x:c>
      <x:c r="H51" s="24" t="str">
        <x:v>Crustaceans</x:v>
      </x:c>
      <x:c r="I51" s="31" t="n">
        <x:v>18.11469816</x:v>
      </x:c>
      <x:c r="J51" s="31" t="n">
        <x:v>18.11469816</x:v>
      </x:c>
      <x:c r="K51" s="31" t="n">
        <x:v>0</x:v>
      </x:c>
      <x:c r="L51" s="31" t="n">
        <x:v>0</x:v>
      </x:c>
      <x:c r="M51" s="31" t="n">
        <x:v>18.11469816</x:v>
      </x:c>
      <x:c r="N51" s="24" t="str">
        <x:v>panulirus</x:v>
      </x:c>
      <x:c r="O51" s="32" t="n">
        <x:v>2.6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Panulirus</x:v>
      </x:c>
      <x:c r="T51" s="32" t="n">
        <x:f>IF(O51="","",(1/'Metadata'!$B$5)^(O51-1))</x:f>
        <x:v>39.810717055349734</x:v>
      </x:c>
      <x:c r="U51" s="31" t="n">
        <x:f>IF(T51="","",I51*T51)</x:f>
        <x:v>721.1591229908245</x:v>
      </x:c>
    </x:row>
    <x:row r="52" ht="18" customHeight="1">
      <x:c r="A52" s="24" t="str">
        <x:v>EEZ_462</x:v>
      </x:c>
      <x:c r="B52" s="24" t="str">
        <x:v>Maldives</x:v>
      </x:c>
      <x:c r="C52" s="24" t="str">
        <x:v>EEZ</x:v>
      </x:c>
      <x:c r="D52" s="30" t="n">
        <x:v>2019</x:v>
      </x:c>
      <x:c r="E52" s="24" t="str">
        <x:v>Istiophorus platypterus</x:v>
      </x:c>
      <x:c r="F52" s="24" t="str">
        <x:v>Indo-Pacific sailfish</x:v>
      </x:c>
      <x:c r="G52" s="24" t="str">
        <x:v>Large pelagics (&gt;=90 cm)</x:v>
      </x:c>
      <x:c r="H52" s="24" t="str">
        <x:v>Tuna &amp; billfishes</x:v>
      </x:c>
      <x:c r="I52" s="31" t="n">
        <x:v>12.8655019167</x:v>
      </x:c>
      <x:c r="J52" s="31" t="n">
        <x:v>12.8655019167</x:v>
      </x:c>
      <x:c r="K52" s="31" t="n">
        <x:v>0</x:v>
      </x:c>
      <x:c r="L52" s="31" t="n">
        <x:v>12.8655019167</x:v>
      </x:c>
      <x:c r="M52" s="31" t="n">
        <x:v>0</x:v>
      </x:c>
      <x:c r="N52" s="24" t="str">
        <x:v>istiophorus platypterus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Istiophorus platypterus</x:v>
      </x:c>
      <x:c r="T52" s="32" t="n">
        <x:f>IF(O52="","",(1/'Metadata'!$B$5)^(O52-1))</x:f>
        <x:v>3162.2776601683795</x:v>
      </x:c>
      <x:c r="U52" s="31" t="n">
        <x:f>IF(T52="","",I52*T52)</x:f>
        <x:v>40684.28929803387</x:v>
      </x:c>
    </x:row>
    <x:row r="53" ht="18" customHeight="1">
      <x:c r="A53" s="24" t="str">
        <x:v>EEZ_462</x:v>
      </x:c>
      <x:c r="B53" s="24" t="str">
        <x:v>Maldives</x:v>
      </x:c>
      <x:c r="C53" s="24" t="str">
        <x:v>EEZ</x:v>
      </x:c>
      <x:c r="D53" s="30" t="n">
        <x:v>2019</x:v>
      </x:c>
      <x:c r="E53" s="24" t="str">
        <x:v>Prionace glauca</x:v>
      </x:c>
      <x:c r="F53" s="24" t="str">
        <x:v>Blue shark</x:v>
      </x:c>
      <x:c r="G53" s="24" t="str">
        <x:v>Large sharks (&gt;=90 cm)</x:v>
      </x:c>
      <x:c r="H53" s="24" t="str">
        <x:v>Sharks &amp; rays</x:v>
      </x:c>
      <x:c r="I53" s="31" t="n">
        <x:v>11.688942988400001</x:v>
      </x:c>
      <x:c r="J53" s="31" t="n">
        <x:v>11.688942988400001</x:v>
      </x:c>
      <x:c r="K53" s="31" t="n">
        <x:v>0</x:v>
      </x:c>
      <x:c r="L53" s="31" t="n">
        <x:v>11.688942988400001</x:v>
      </x:c>
      <x:c r="M53" s="31" t="n">
        <x:v>0</x:v>
      </x:c>
      <x:c r="N53" s="24" t="str">
        <x:v>prionace glauca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Prionace glauca</x:v>
      </x:c>
      <x:c r="T53" s="32" t="n">
        <x:f>IF(O53="","",(1/'Metadata'!$B$5)^(O53-1))</x:f>
        <x:v>2238.7211385683377</x:v>
      </x:c>
      <x:c r="U53" s="31" t="n">
        <x:f>IF(T53="","",I53*T53)</x:f>
        <x:v>26168.28375565124</x:v>
      </x:c>
    </x:row>
    <x:row r="54" ht="18" customHeight="1">
      <x:c r="A54" s="24" t="str">
        <x:v>EEZ_462</x:v>
      </x:c>
      <x:c r="B54" s="24" t="str">
        <x:v>Maldives</x:v>
      </x:c>
      <x:c r="C54" s="24" t="str">
        <x:v>EEZ</x:v>
      </x:c>
      <x:c r="D54" s="30" t="n">
        <x:v>2019</x:v>
      </x:c>
      <x:c r="E54" s="24" t="str">
        <x:v>Istiompax indica</x:v>
      </x:c>
      <x:c r="F54" s="24" t="str">
        <x:v>Black marlin</x:v>
      </x:c>
      <x:c r="G54" s="24" t="str">
        <x:v>Large pelagics (&gt;=90 cm)</x:v>
      </x:c>
      <x:c r="H54" s="24" t="str">
        <x:v>Tuna &amp; billfishes</x:v>
      </x:c>
      <x:c r="I54" s="31" t="n">
        <x:v>11.0980266182</x:v>
      </x:c>
      <x:c r="J54" s="31" t="n">
        <x:v>11.0980266182</x:v>
      </x:c>
      <x:c r="K54" s="31" t="n">
        <x:v>0</x:v>
      </x:c>
      <x:c r="L54" s="31" t="n">
        <x:v>11.0980266182</x:v>
      </x:c>
      <x:c r="M54" s="31" t="n">
        <x:v>0</x:v>
      </x:c>
      <x:c r="N54" s="24" t="str">
        <x:v>istiompax indica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Istiompax indica</x:v>
      </x:c>
      <x:c r="T54" s="32" t="n">
        <x:f>IF(O54="","",(1/'Metadata'!$B$5)^(O54-1))</x:f>
        <x:v>3162.2776601683795</x:v>
      </x:c>
      <x:c r="U54" s="31" t="n">
        <x:f>IF(T54="","",I54*T54)</x:f>
        <x:v>35095.04164668789</x:v>
      </x:c>
    </x:row>
    <x:row r="55" ht="18" customHeight="1">
      <x:c r="A55" s="24" t="str">
        <x:v>EEZ_462</x:v>
      </x:c>
      <x:c r="B55" s="24" t="str">
        <x:v>Maldives</x:v>
      </x:c>
      <x:c r="C55" s="24" t="str">
        <x:v>EEZ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10.758584157100001</x:v>
      </x:c>
      <x:c r="J55" s="31" t="n">
        <x:v>10.758584157100001</x:v>
      </x:c>
      <x:c r="K55" s="31" t="n">
        <x:v>0</x:v>
      </x:c>
      <x:c r="L55" s="31" t="n">
        <x:v>10.758584157100001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2408.546977356622</x:v>
      </x:c>
    </x:row>
    <x:row r="56" ht="18" customHeight="1">
      <x:c r="A56" s="24" t="str">
        <x:v>EEZ_462</x:v>
      </x:c>
      <x:c r="B56" s="24" t="str">
        <x:v>Maldives</x:v>
      </x:c>
      <x:c r="C56" s="24" t="str">
        <x:v>EEZ</x:v>
      </x:c>
      <x:c r="D56" s="30" t="n">
        <x:v>2019</x:v>
      </x:c>
      <x:c r="E56" s="24" t="str">
        <x:v>Auxis</x:v>
      </x:c>
      <x:c r="F56" s="24" t="str">
        <x:v>Bullet and frigate tunas</x:v>
      </x:c>
      <x:c r="G56" s="24" t="str">
        <x:v>Medium pelagics (30 - 89 cm)</x:v>
      </x:c>
      <x:c r="H56" s="24" t="str">
        <x:v>Tuna &amp; billfishes</x:v>
      </x:c>
      <x:c r="I56" s="31" t="n">
        <x:v>6.9325280946</x:v>
      </x:c>
      <x:c r="J56" s="31" t="n">
        <x:v>6.9325280946</x:v>
      </x:c>
      <x:c r="K56" s="31" t="n">
        <x:v>0</x:v>
      </x:c>
      <x:c r="L56" s="31" t="n">
        <x:v>6.9325280946</x:v>
      </x:c>
      <x:c r="M56" s="31" t="n">
        <x:v>0</x:v>
      </x:c>
      <x:c r="N56" s="24" t="str">
        <x:v>auxis</x:v>
      </x:c>
      <x:c r="O56" s="32" t="n">
        <x:v>4.24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Auxis</x:v>
      </x:c>
      <x:c r="T56" s="32" t="n">
        <x:f>IF(O56="","",(1/'Metadata'!$B$5)^(O56-1))</x:f>
        <x:v>1737.8008287493763</x:v>
      </x:c>
      <x:c r="U56" s="31" t="n">
        <x:f>IF(T56="","",I56*T56)</x:f>
        <x:v>12047.353068124215</x:v>
      </x:c>
    </x:row>
    <x:row r="57" ht="18" customHeight="1">
      <x:c r="A57" s="24" t="str">
        <x:v>EEZ_462</x:v>
      </x:c>
      <x:c r="B57" s="24" t="str">
        <x:v>Maldives</x:v>
      </x:c>
      <x:c r="C57" s="24" t="str">
        <x:v>EEZ</x:v>
      </x:c>
      <x:c r="D57" s="30" t="n">
        <x:v>2019</x:v>
      </x:c>
      <x:c r="E57" s="24" t="str">
        <x:v>Coryphaena hippurus</x:v>
      </x:c>
      <x:c r="F57" s="24" t="str">
        <x:v>Common dolphinfish</x:v>
      </x:c>
      <x:c r="G57" s="24" t="str">
        <x:v>Large pelagics (&gt;=90 cm)</x:v>
      </x:c>
      <x:c r="H57" s="24" t="str">
        <x:v>Perch-likes</x:v>
      </x:c>
      <x:c r="I57" s="31" t="n">
        <x:v>6.0924232805</x:v>
      </x:c>
      <x:c r="J57" s="31" t="n">
        <x:v>6.0924232805</x:v>
      </x:c>
      <x:c r="K57" s="31" t="n">
        <x:v>0</x:v>
      </x:c>
      <x:c r="L57" s="31" t="n">
        <x:v>6.0924232805</x:v>
      </x:c>
      <x:c r="M57" s="31" t="n">
        <x:v>0</x:v>
      </x:c>
      <x:c r="N57" s="24" t="str">
        <x:v>coryphaena hippurus</x:v>
      </x:c>
      <x:c r="O57" s="32" t="n">
        <x:v>4.37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Coryphaena hippurus</x:v>
      </x:c>
      <x:c r="T57" s="32" t="n">
        <x:f>IF(O57="","",(1/'Metadata'!$B$5)^(O57-1))</x:f>
        <x:v>2344.228815319923</x:v>
      </x:c>
      <x:c r="U57" s="31" t="n">
        <x:f>IF(T57="","",I57*T57)</x:f>
        <x:v>14282.034209274034</x:v>
      </x:c>
    </x:row>
    <x:row r="58" ht="18" customHeight="1">
      <x:c r="A58" s="24" t="str">
        <x:v>EEZ_462</x:v>
      </x:c>
      <x:c r="B58" s="24" t="str">
        <x:v>Maldives</x:v>
      </x:c>
      <x:c r="C58" s="24" t="str">
        <x:v>EEZ</x:v>
      </x:c>
      <x:c r="D58" s="30" t="n">
        <x:v>2019</x:v>
      </x:c>
      <x:c r="E58" s="24" t="str">
        <x:v>Decapterus macarellus</x:v>
      </x:c>
      <x:c r="F58" s="24" t="str">
        <x:v>Mackerel scad</x:v>
      </x:c>
      <x:c r="G58" s="24" t="str">
        <x:v>Medium pelagics (30 - 89 cm)</x:v>
      </x:c>
      <x:c r="H58" s="24" t="str">
        <x:v>Perch-likes</x:v>
      </x:c>
      <x:c r="I58" s="31" t="n">
        <x:v>5.64146202</x:v>
      </x:c>
      <x:c r="J58" s="31" t="n">
        <x:v>5.64146202</x:v>
      </x:c>
      <x:c r="K58" s="31" t="n">
        <x:v>0</x:v>
      </x:c>
      <x:c r="L58" s="31" t="n">
        <x:v>5.64146202</x:v>
      </x:c>
      <x:c r="M58" s="31" t="n">
        <x:v>0</x:v>
      </x:c>
      <x:c r="N58" s="24" t="str">
        <x:v>decapterus macarellus</x:v>
      </x:c>
      <x:c r="O58" s="32" t="n">
        <x:v>3.96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Decapterus macarellus</x:v>
      </x:c>
      <x:c r="T58" s="32" t="n">
        <x:f>IF(O58="","",(1/'Metadata'!$B$5)^(O58-1))</x:f>
        <x:v>912.0108393559096</x:v>
      </x:c>
      <x:c r="U58" s="31" t="n">
        <x:f>IF(T58="","",I58*T58)</x:f>
        <x:v>5145.074512054685</x:v>
      </x:c>
    </x:row>
    <x:row r="59" ht="18" customHeight="1">
      <x:c r="A59" s="24" t="str">
        <x:v>EEZ_462</x:v>
      </x:c>
      <x:c r="B59" s="24" t="str">
        <x:v>Maldives</x:v>
      </x:c>
      <x:c r="C59" s="24" t="str">
        <x:v>EEZ</x:v>
      </x:c>
      <x:c r="D59" s="30" t="n">
        <x:v>2019</x:v>
      </x:c>
      <x:c r="E59" s="24" t="str">
        <x:v>Isurus</x:v>
      </x:c>
      <x:c r="F59" s="24" t="str">
        <x:v>Mako sharks</x:v>
      </x:c>
      <x:c r="G59" s="24" t="str">
        <x:v>Large sharks (&gt;=90 cm)</x:v>
      </x:c>
      <x:c r="H59" s="24" t="str">
        <x:v>Sharks &amp; rays</x:v>
      </x:c>
      <x:c r="I59" s="31" t="n">
        <x:v>5.3853481607</x:v>
      </x:c>
      <x:c r="J59" s="31" t="n">
        <x:v>5.3853481607</x:v>
      </x:c>
      <x:c r="K59" s="31" t="n">
        <x:v>0</x:v>
      </x:c>
      <x:c r="L59" s="31" t="n">
        <x:v>5.3853481607</x:v>
      </x:c>
      <x:c r="M59" s="31" t="n">
        <x:v>0</x:v>
      </x:c>
      <x:c r="N59" s="24" t="str">
        <x:v>isurus</x:v>
      </x:c>
      <x:c r="O59" s="32" t="n">
        <x:v>4.5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Isurus</x:v>
      </x:c>
      <x:c r="T59" s="32" t="n">
        <x:f>IF(O59="","",(1/'Metadata'!$B$5)^(O59-1))</x:f>
        <x:v>3162.2776601683795</x:v>
      </x:c>
      <x:c r="U59" s="31" t="n">
        <x:f>IF(T59="","",I59*T59)</x:f>
        <x:v>17029.966180810483</x:v>
      </x:c>
    </x:row>
    <x:row r="60" ht="18" customHeight="1">
      <x:c r="A60" s="24" t="str">
        <x:v>EEZ_462</x:v>
      </x:c>
      <x:c r="B60" s="24" t="str">
        <x:v>Maldives</x:v>
      </x:c>
      <x:c r="C60" s="24" t="str">
        <x:v>EEZ</x:v>
      </x:c>
      <x:c r="D60" s="30" t="n">
        <x:v>2019</x:v>
      </x:c>
      <x:c r="E60" s="24" t="str">
        <x:v>Makaira</x:v>
      </x:c>
      <x:c r="F60" s="24" t="str">
        <x:v>Blue marlins</x:v>
      </x:c>
      <x:c r="G60" s="24" t="str">
        <x:v>Large pelagics (&gt;=90 cm)</x:v>
      </x:c>
      <x:c r="H60" s="24" t="str">
        <x:v>Tuna &amp; billfishes</x:v>
      </x:c>
      <x:c r="I60" s="31" t="n">
        <x:v>5.2483822934</x:v>
      </x:c>
      <x:c r="J60" s="31" t="n">
        <x:v>5.2483822934</x:v>
      </x:c>
      <x:c r="K60" s="31" t="n">
        <x:v>0</x:v>
      </x:c>
      <x:c r="L60" s="31" t="n">
        <x:v>5.2483822934</x:v>
      </x:c>
      <x:c r="M60" s="31" t="n">
        <x:v>0</x:v>
      </x:c>
      <x:c r="N60" s="24" t="str">
        <x:v>makaira</x:v>
      </x:c>
      <x:c r="O60" s="32" t="n">
        <x:v>4.47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Makaira</x:v>
      </x:c>
      <x:c r="T60" s="32" t="n">
        <x:f>IF(O60="","",(1/'Metadata'!$B$5)^(O60-1))</x:f>
        <x:v>2951.209226666384</x:v>
      </x:c>
      <x:c r="U60" s="31" t="n">
        <x:f>IF(T60="","",I60*T60)</x:f>
        <x:v>15489.074249354557</x:v>
      </x:c>
    </x:row>
    <x:row r="61" ht="18" customHeight="1">
      <x:c r="A61" s="24" t="str">
        <x:v>EEZ_462</x:v>
      </x:c>
      <x:c r="B61" s="24" t="str">
        <x:v>Maldives</x:v>
      </x:c>
      <x:c r="C61" s="24" t="str">
        <x:v>EEZ</x:v>
      </x:c>
      <x:c r="D61" s="30" t="n">
        <x:v>2019</x:v>
      </x:c>
      <x:c r="E61" s="24" t="str">
        <x:v>Thunnus alalunga</x:v>
      </x:c>
      <x:c r="F61" s="24" t="str">
        <x:v>Albacore</x:v>
      </x:c>
      <x:c r="G61" s="24" t="str">
        <x:v>Large pelagics (&gt;=90 cm)</x:v>
      </x:c>
      <x:c r="H61" s="24" t="str">
        <x:v>Tuna &amp; billfishes</x:v>
      </x:c>
      <x:c r="I61" s="31" t="n">
        <x:v>4.1673702534</x:v>
      </x:c>
      <x:c r="J61" s="31" t="n">
        <x:v>4.1673702534</x:v>
      </x:c>
      <x:c r="K61" s="31" t="n">
        <x:v>0</x:v>
      </x:c>
      <x:c r="L61" s="31" t="n">
        <x:v>4.1673702534</x:v>
      </x:c>
      <x:c r="M61" s="31" t="n">
        <x:v>0</x:v>
      </x:c>
      <x:c r="N61" s="24" t="str">
        <x:v>thunnus alalunga</x:v>
      </x:c>
      <x:c r="O61" s="32" t="n">
        <x:v>4.3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alalunga</x:v>
      </x:c>
      <x:c r="T61" s="32" t="n">
        <x:f>IF(O61="","",(1/'Metadata'!$B$5)^(O61-1))</x:f>
        <x:v>1995.2623149688789</x:v>
      </x:c>
      <x:c r="U61" s="31" t="n">
        <x:f>IF(T61="","",I61*T61)</x:f>
        <x:v>8314.996819131327</x:v>
      </x:c>
    </x:row>
    <x:row r="62" ht="18" customHeight="1">
      <x:c r="A62" s="24" t="str">
        <x:v>EEZ_462</x:v>
      </x:c>
      <x:c r="B62" s="24" t="str">
        <x:v>Maldives</x:v>
      </x:c>
      <x:c r="C62" s="24" t="str">
        <x:v>EEZ</x:v>
      </x:c>
      <x:c r="D62" s="30" t="n">
        <x:v>2019</x:v>
      </x:c>
      <x:c r="E62" s="24" t="str">
        <x:v>Sphyrna</x:v>
      </x:c>
      <x:c r="F62" s="24" t="str">
        <x:v>Hammerhead sharks</x:v>
      </x:c>
      <x:c r="G62" s="24" t="str">
        <x:v>Large sharks (&gt;=90 cm)</x:v>
      </x:c>
      <x:c r="H62" s="24" t="str">
        <x:v>Sharks &amp; rays</x:v>
      </x:c>
      <x:c r="I62" s="31" t="n">
        <x:v>0.6389563523</x:v>
      </x:c>
      <x:c r="J62" s="31" t="n">
        <x:v>0.6389563523</x:v>
      </x:c>
      <x:c r="K62" s="31" t="n">
        <x:v>0</x:v>
      </x:c>
      <x:c r="L62" s="31" t="n">
        <x:v>0.6389563523</x:v>
      </x:c>
      <x:c r="M62" s="31" t="n">
        <x:v>0</x:v>
      </x:c>
      <x:c r="N62" s="24" t="str">
        <x:v>sphyrna</x:v>
      </x:c>
      <x:c r="O62" s="32" t="n">
        <x:v>4.2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Sphyrna</x:v>
      </x:c>
      <x:c r="T62" s="32" t="n">
        <x:f>IF(O62="","",(1/'Metadata'!$B$5)^(O62-1))</x:f>
        <x:v>1584.893192461114</x:v>
      </x:c>
      <x:c r="U62" s="31" t="n">
        <x:f>IF(T62="","",I62*T62)</x:f>
        <x:v>1012.6775730400553</x:v>
      </x:c>
    </x:row>
    <x:row r="63" ht="18" customHeight="1">
      <x:c r="A63" s="24" t="str">
        <x:v>EEZ_462</x:v>
      </x:c>
      <x:c r="B63" s="24" t="str">
        <x:v>Maldives</x:v>
      </x:c>
      <x:c r="C63" s="24" t="str">
        <x:v>EEZ</x:v>
      </x:c>
      <x:c r="D63" s="30" t="n">
        <x:v>2019</x:v>
      </x:c>
      <x:c r="E63" s="24" t="str">
        <x:v>Carcharhinidae</x:v>
      </x:c>
      <x:c r="F63" s="24" t="str">
        <x:v>Requiem sharks</x:v>
      </x:c>
      <x:c r="G63" s="24" t="str">
        <x:v>Large sharks (&gt;=90 cm)</x:v>
      </x:c>
      <x:c r="H63" s="24" t="str">
        <x:v>Sharks &amp; rays</x:v>
      </x:c>
      <x:c r="I63" s="31" t="n">
        <x:v>0.6148525976</x:v>
      </x:c>
      <x:c r="J63" s="31" t="n">
        <x:v>0.6148525976</x:v>
      </x:c>
      <x:c r="K63" s="31" t="n">
        <x:v>0</x:v>
      </x:c>
      <x:c r="L63" s="31" t="n">
        <x:v>0.6148525976</x:v>
      </x:c>
      <x:c r="M63" s="31" t="n">
        <x:v>0</x:v>
      </x:c>
      <x:c r="N63" s="24" t="str">
        <x:v>carcharhinidae</x:v>
      </x:c>
      <x:c r="O63" s="32" t="n">
        <x:v>4.24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Carcharhinidae</x:v>
      </x:c>
      <x:c r="T63" s="32" t="n">
        <x:f>IF(O63="","",(1/'Metadata'!$B$5)^(O63-1))</x:f>
        <x:v>1737.8008287493763</x:v>
      </x:c>
      <x:c r="U63" s="31" t="n">
        <x:f>IF(T63="","",I63*T63)</x:f>
        <x:v>1068.4913536679867</x:v>
      </x:c>
    </x:row>
    <x:row r="64" ht="18" customHeight="1">
      <x:c r="A64" s="24" t="str">
        <x:v>EEZ_462</x:v>
      </x:c>
      <x:c r="B64" s="24" t="str">
        <x:v>Maldives</x:v>
      </x:c>
      <x:c r="C64" s="24" t="str">
        <x:v>EEZ</x:v>
      </x:c>
      <x:c r="D64" s="30" t="n">
        <x:v>2019</x:v>
      </x:c>
      <x:c r="E64" s="24" t="str">
        <x:v>Carcharhinus falciformis</x:v>
      </x:c>
      <x:c r="F64" s="24" t="str">
        <x:v>Silky shark</x:v>
      </x:c>
      <x:c r="G64" s="24" t="str">
        <x:v>Large sharks (&gt;=90 cm)</x:v>
      </x:c>
      <x:c r="H64" s="24" t="str">
        <x:v>Sharks &amp; rays</x:v>
      </x:c>
      <x:c r="I64" s="31" t="n">
        <x:v>0.5911481472</x:v>
      </x:c>
      <x:c r="J64" s="31" t="n">
        <x:v>0.5911481472</x:v>
      </x:c>
      <x:c r="K64" s="31" t="n">
        <x:v>0</x:v>
      </x:c>
      <x:c r="L64" s="31" t="n">
        <x:v>0.5911481472</x:v>
      </x:c>
      <x:c r="M64" s="31" t="n">
        <x:v>0</x:v>
      </x:c>
      <x:c r="N64" s="24" t="str">
        <x:v>carcharhinus falciformis</x:v>
      </x:c>
      <x:c r="O64" s="32" t="n">
        <x:v>4.51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Carcharhinus falciformis</x:v>
      </x:c>
      <x:c r="T64" s="32" t="n">
        <x:f>IF(O64="","",(1/'Metadata'!$B$5)^(O64-1))</x:f>
        <x:v>3235.936569296281</x:v>
      </x:c>
      <x:c r="U64" s="31" t="n">
        <x:f>IF(T64="","",I64*T64)</x:f>
        <x:v>1912.917907396221</x:v>
      </x:c>
    </x:row>
    <x:row r="65" ht="18" customHeight="1">
      <x:c r="A65" s="24" t="str">
        <x:v>EEZ_462</x:v>
      </x:c>
      <x:c r="B65" s="24" t="str">
        <x:v>Maldives</x:v>
      </x:c>
      <x:c r="C65" s="24" t="str">
        <x:v>EEZ</x:v>
      </x:c>
      <x:c r="D65" s="30" t="n">
        <x:v>2019</x:v>
      </x:c>
      <x:c r="E65" s="24" t="str">
        <x:v>Rajiformes</x:v>
      </x:c>
      <x:c r="F65" s="24" t="str">
        <x:v>Skates and rays</x:v>
      </x:c>
      <x:c r="G65" s="24" t="str">
        <x:v>Large rays (&gt;=90 cm)</x:v>
      </x:c>
      <x:c r="H65" s="24" t="str">
        <x:v>Sharks &amp; rays</x:v>
      </x:c>
      <x:c r="I65" s="31" t="n">
        <x:v>0.3927630653</x:v>
      </x:c>
      <x:c r="J65" s="31" t="n">
        <x:v>0.3927630653</x:v>
      </x:c>
      <x:c r="K65" s="31" t="n">
        <x:v>0</x:v>
      </x:c>
      <x:c r="L65" s="31" t="n">
        <x:v>0.3927630653</x:v>
      </x:c>
      <x:c r="M65" s="31" t="n">
        <x:v>0</x:v>
      </x:c>
      <x:c r="N65" s="24" t="str">
        <x:v>rajiformes</x:v>
      </x:c>
      <x:c r="O65" s="32" t="n">
        <x:v>3.61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Rajiformes</x:v>
      </x:c>
      <x:c r="T65" s="32" t="n">
        <x:f>IF(O65="","",(1/'Metadata'!$B$5)^(O65-1))</x:f>
        <x:v>407.3802778041126</x:v>
      </x:c>
      <x:c r="U65" s="31" t="n">
        <x:f>IF(T65="","",I65*T65)</x:f>
        <x:v>160.0039266531088</x:v>
      </x:c>
    </x:row>
    <x:row r="66" ht="18" customHeight="1">
      <x:c r="A66" s="24" t="str">
        <x:v>EEZ_462</x:v>
      </x:c>
      <x:c r="B66" s="24" t="str">
        <x:v>Maldives</x:v>
      </x:c>
      <x:c r="C66" s="24" t="str">
        <x:v>EEZ</x:v>
      </x:c>
      <x:c r="D66" s="30" t="n">
        <x:v>2019</x:v>
      </x:c>
      <x:c r="E66" s="24" t="str">
        <x:v>Kajikia audax</x:v>
      </x:c>
      <x:c r="F66" s="24" t="str">
        <x:v>Striped marlin</x:v>
      </x:c>
      <x:c r="G66" s="24" t="str">
        <x:v>Large pelagics (&gt;=90 cm)</x:v>
      </x:c>
      <x:c r="H66" s="24" t="str">
        <x:v>Tuna &amp; billfishes</x:v>
      </x:c>
      <x:c r="I66" s="31" t="n">
        <x:v>0.2668870178</x:v>
      </x:c>
      <x:c r="J66" s="31" t="n">
        <x:v>0.2668870178</x:v>
      </x:c>
      <x:c r="K66" s="31" t="n">
        <x:v>0</x:v>
      </x:c>
      <x:c r="L66" s="31" t="n">
        <x:v>0.2668870178</x:v>
      </x:c>
      <x:c r="M66" s="31" t="n">
        <x:v>0</x:v>
      </x:c>
      <x:c r="N66" s="24" t="str">
        <x:v>kajikia audax</x:v>
      </x:c>
      <x:c r="O66" s="32" t="n">
        <x:v>4.58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Kajikia audax</x:v>
      </x:c>
      <x:c r="T66" s="32" t="n">
        <x:f>IF(O66="","",(1/'Metadata'!$B$5)^(O66-1))</x:f>
        <x:v>3801.8939632056126</x:v>
      </x:c>
      <x:c r="U66" s="31" t="n">
        <x:f>IF(T66="","",I66*T66)</x:f>
        <x:v>1014.676141831769</x:v>
      </x:c>
    </x:row>
    <x:row r="67" ht="18" customHeight="1">
      <x:c r="A67" s="24" t="str">
        <x:v>EEZ_462</x:v>
      </x:c>
      <x:c r="B67" s="24" t="str">
        <x:v>Maldives</x:v>
      </x:c>
      <x:c r="C67" s="24" t="str">
        <x:v>EEZ</x:v>
      </x:c>
      <x:c r="D67" s="30" t="n">
        <x:v>2019</x:v>
      </x:c>
      <x:c r="E67" s="24" t="str">
        <x:v>Sphyrna lewini</x:v>
      </x:c>
      <x:c r="F67" s="24" t="str">
        <x:v>Scalloped hammerhead</x:v>
      </x:c>
      <x:c r="G67" s="24" t="str">
        <x:v>Large sharks (&gt;=90 cm)</x:v>
      </x:c>
      <x:c r="H67" s="24" t="str">
        <x:v>Sharks &amp; rays</x:v>
      </x:c>
      <x:c r="I67" s="31" t="n">
        <x:v>0.10360908199999999</x:v>
      </x:c>
      <x:c r="J67" s="31" t="n">
        <x:v>0.10360908199999999</x:v>
      </x:c>
      <x:c r="K67" s="31" t="n">
        <x:v>0</x:v>
      </x:c>
      <x:c r="L67" s="31" t="n">
        <x:v>0.10360908199999999</x:v>
      </x:c>
      <x:c r="M67" s="31" t="n">
        <x:v>0</x:v>
      </x:c>
      <x:c r="N67" s="24" t="str">
        <x:v>sphyrna lewini</x:v>
      </x:c>
      <x:c r="O67" s="32" t="n">
        <x:v>4.08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Sphyrna lewini</x:v>
      </x:c>
      <x:c r="T67" s="32" t="n">
        <x:f>IF(O67="","",(1/'Metadata'!$B$5)^(O67-1))</x:f>
        <x:v>1202.2644346174131</x:v>
      </x:c>
      <x:c r="U67" s="31" t="n">
        <x:f>IF(T67="","",I67*T67)</x:f>
        <x:v>124.56551439195918</x:v>
      </x:c>
    </x:row>
    <x:row r="68" ht="18" customHeight="1">
      <x:c r="A68" s="24" t="str">
        <x:v>EEZ_462</x:v>
      </x:c>
      <x:c r="B68" s="24" t="str">
        <x:v>Maldives</x:v>
      </x:c>
      <x:c r="C68" s="24" t="str">
        <x:v>EEZ</x:v>
      </x:c>
      <x:c r="D68" s="30" t="n">
        <x:v>2019</x:v>
      </x:c>
      <x:c r="E68" s="24" t="str">
        <x:v>Scombroidei</x:v>
      </x:c>
      <x:c r="F68" s="24" t="str">
        <x:v>Tunas, bonitos, billfishes</x:v>
      </x:c>
      <x:c r="G68" s="24" t="str">
        <x:v>Large pelagics (&gt;=90 cm)</x:v>
      </x:c>
      <x:c r="H68" s="24" t="str">
        <x:v>Tuna &amp; billfishes</x:v>
      </x:c>
      <x:c r="I68" s="31" t="n">
        <x:v>0.0961991964</x:v>
      </x:c>
      <x:c r="J68" s="31" t="n">
        <x:v>0.0961991964</x:v>
      </x:c>
      <x:c r="K68" s="31" t="n">
        <x:v>0</x:v>
      </x:c>
      <x:c r="L68" s="31" t="n">
        <x:v>0.0961991964</x:v>
      </x:c>
      <x:c r="M68" s="31" t="n">
        <x:v>0</x:v>
      </x:c>
      <x:c r="N68" s="24" t="str">
        <x:v>scombroidei</x:v>
      </x:c>
      <x:c r="O68" s="32" t="n">
        <x:v>4.2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Scombroidei</x:v>
      </x:c>
      <x:c r="T68" s="32" t="n">
        <x:f>IF(O68="","",(1/'Metadata'!$B$5)^(O68-1))</x:f>
        <x:v>1584.893192461114</x:v>
      </x:c>
      <x:c r="U68" s="31" t="n">
        <x:f>IF(T68="","",I68*T68)</x:f>
        <x:v>152.46545149458973</x:v>
      </x:c>
    </x:row>
    <x:row r="69" ht="18" customHeight="1">
      <x:c r="A69" s="24" t="str">
        <x:v>EEZ_462</x:v>
      </x:c>
      <x:c r="B69" s="24" t="str">
        <x:v>Maldives</x:v>
      </x:c>
      <x:c r="C69" s="24" t="str">
        <x:v>EEZ</x:v>
      </x:c>
      <x:c r="D69" s="30" t="n">
        <x:v>2019</x:v>
      </x:c>
      <x:c r="E69" s="24" t="str">
        <x:v>Istiophoridae</x:v>
      </x:c>
      <x:c r="F69" s="24" t="str">
        <x:v>Billfishes</x:v>
      </x:c>
      <x:c r="G69" s="24" t="str">
        <x:v>Large pelagics (&gt;=90 cm)</x:v>
      </x:c>
      <x:c r="H69" s="24" t="str">
        <x:v>Tuna &amp; billfishes</x:v>
      </x:c>
      <x:c r="I69" s="31" t="n">
        <x:v>0.086172425</x:v>
      </x:c>
      <x:c r="J69" s="31" t="n">
        <x:v>0.086172425</x:v>
      </x:c>
      <x:c r="K69" s="31" t="n">
        <x:v>0</x:v>
      </x:c>
      <x:c r="L69" s="31" t="n">
        <x:v>0.086172425</x:v>
      </x:c>
      <x:c r="M69" s="31" t="n">
        <x:v>0</x:v>
      </x:c>
      <x:c r="N69" s="24" t="str">
        <x:v>istiophoridae</x:v>
      </x:c>
      <x:c r="O69" s="32" t="n">
        <x:v>4.48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Istiophoridae</x:v>
      </x:c>
      <x:c r="T69" s="32" t="n">
        <x:f>IF(O69="","",(1/'Metadata'!$B$5)^(O69-1))</x:f>
        <x:v>3019.951720402019</x:v>
      </x:c>
      <x:c r="U69" s="31" t="n">
        <x:f>IF(T69="","",I69*T69)</x:f>
        <x:v>260.23656312996394</x:v>
      </x:c>
    </x:row>
    <x:row r="70" ht="18" customHeight="1">
      <x:c r="A70" s="24" t="str">
        <x:v>EEZ_462</x:v>
      </x:c>
      <x:c r="B70" s="24" t="str">
        <x:v>Maldives</x:v>
      </x:c>
      <x:c r="C70" s="24" t="str">
        <x:v>EEZ</x:v>
      </x:c>
      <x:c r="D70" s="30" t="n">
        <x:v>2019</x:v>
      </x:c>
      <x:c r="E70" s="24" t="str">
        <x:v>Carcharhinus longimanus</x:v>
      </x:c>
      <x:c r="F70" s="24" t="str">
        <x:v>Oceanic whitetip shark</x:v>
      </x:c>
      <x:c r="G70" s="24" t="str">
        <x:v>Large sharks (&gt;=90 cm)</x:v>
      </x:c>
      <x:c r="H70" s="24" t="str">
        <x:v>Sharks &amp; rays</x:v>
      </x:c>
      <x:c r="I70" s="31" t="n">
        <x:v>0.060107751</x:v>
      </x:c>
      <x:c r="J70" s="31" t="n">
        <x:v>0.060107751</x:v>
      </x:c>
      <x:c r="K70" s="31" t="n">
        <x:v>0</x:v>
      </x:c>
      <x:c r="L70" s="31" t="n">
        <x:v>0.060107751</x:v>
      </x:c>
      <x:c r="M70" s="31" t="n">
        <x:v>0</x:v>
      </x:c>
      <x:c r="N70" s="24" t="str">
        <x:v>carcharhinus longimanus</x:v>
      </x:c>
      <x:c r="O70" s="32" t="n">
        <x:v>4.16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longimanus</x:v>
      </x:c>
      <x:c r="T70" s="32" t="n">
        <x:f>IF(O70="","",(1/'Metadata'!$B$5)^(O70-1))</x:f>
        <x:v>1445.439770745928</x:v>
      </x:c>
      <x:c r="U70" s="31" t="n">
        <x:f>IF(T70="","",I70*T70)</x:f>
        <x:v>86.88213382549333</x:v>
      </x:c>
    </x:row>
    <x:row r="71" ht="18" customHeight="1">
      <x:c r="A71" s="24" t="str">
        <x:v>EEZ_462</x:v>
      </x:c>
      <x:c r="B71" s="24" t="str">
        <x:v>Maldives</x:v>
      </x:c>
      <x:c r="C71" s="24" t="str">
        <x:v>EEZ</x:v>
      </x:c>
      <x:c r="D71" s="30" t="n">
        <x:v>2019</x:v>
      </x:c>
      <x:c r="E71" s="24" t="str">
        <x:v>Sphyrnidae</x:v>
      </x:c>
      <x:c r="F71" s="24" t="str">
        <x:v>Hammer, bonnet, scoophead sharks</x:v>
      </x:c>
      <x:c r="G71" s="24" t="str">
        <x:v>Large sharks (&gt;=90 cm)</x:v>
      </x:c>
      <x:c r="H71" s="24" t="str">
        <x:v>Sharks &amp; rays</x:v>
      </x:c>
      <x:c r="I71" s="31" t="n">
        <x:v>0.0217341472</x:v>
      </x:c>
      <x:c r="J71" s="31" t="n">
        <x:v>0.0217341472</x:v>
      </x:c>
      <x:c r="K71" s="31" t="n">
        <x:v>0</x:v>
      </x:c>
      <x:c r="L71" s="31" t="n">
        <x:v>0.0217341472</x:v>
      </x:c>
      <x:c r="M71" s="31" t="n">
        <x:v>0</x:v>
      </x:c>
      <x:c r="N71" s="24" t="str">
        <x:v>sphyrnidae</x:v>
      </x:c>
      <x:c r="O71" s="32" t="n">
        <x:v>4.19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Sphyrnidae</x:v>
      </x:c>
      <x:c r="T71" s="32" t="n">
        <x:f>IF(O71="","",(1/'Metadata'!$B$5)^(O71-1))</x:f>
        <x:v>1548.8166189124827</x:v>
      </x:c>
      <x:c r="U71" s="31" t="n">
        <x:f>IF(T71="","",I71*T71)</x:f>
        <x:v>33.6622083812502</x:v>
      </x:c>
    </x:row>
    <x:row r="72" ht="18" customHeight="1">
      <x:c r="A72" s="24" t="str">
        <x:v>EEZ_462</x:v>
      </x:c>
      <x:c r="B72" s="24" t="str">
        <x:v>Maldives</x:v>
      </x:c>
      <x:c r="C72" s="24" t="str">
        <x:v>EEZ</x:v>
      </x:c>
      <x:c r="D72" s="30" t="n">
        <x:v>2019</x:v>
      </x:c>
      <x:c r="E72" s="24" t="str">
        <x:v>Isurus oxyrinchus</x:v>
      </x:c>
      <x:c r="F72" s="24" t="str">
        <x:v>Shortfin mako</x:v>
      </x:c>
      <x:c r="G72" s="24" t="str">
        <x:v>Large sharks (&gt;=90 cm)</x:v>
      </x:c>
      <x:c r="H72" s="24" t="str">
        <x:v>Sharks &amp; rays</x:v>
      </x:c>
      <x:c r="I72" s="31" t="n">
        <x:v>0.0204684837</x:v>
      </x:c>
      <x:c r="J72" s="31" t="n">
        <x:v>0.0204684837</x:v>
      </x:c>
      <x:c r="K72" s="31" t="n">
        <x:v>0</x:v>
      </x:c>
      <x:c r="L72" s="31" t="n">
        <x:v>0.0204684837</x:v>
      </x:c>
      <x:c r="M72" s="31" t="n">
        <x:v>0</x:v>
      </x:c>
      <x:c r="N72" s="24" t="str">
        <x:v>isurus oxyrinchus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Isurus oxyrinchus</x:v>
      </x:c>
      <x:c r="T72" s="32" t="n">
        <x:f>IF(O72="","",(1/'Metadata'!$B$5)^(O72-1))</x:f>
        <x:v>3162.2776601683795</x:v>
      </x:c>
      <x:c r="U72" s="31" t="n">
        <x:f>IF(T72="","",I72*T72)</x:f>
        <x:v>64.72702874203063</x:v>
      </x:c>
    </x:row>
    <x:row r="73" ht="18" customHeight="1">
      <x:c r="A73" s="24" t="str">
        <x:v>EEZ_462</x:v>
      </x:c>
      <x:c r="B73" s="24" t="str">
        <x:v>Maldives</x:v>
      </x:c>
      <x:c r="C73" s="24" t="str">
        <x:v>EEZ</x:v>
      </x:c>
      <x:c r="D73" s="30" t="n">
        <x:v>2019</x:v>
      </x:c>
      <x:c r="E73" s="24" t="str">
        <x:v>Scomberomorus commerson</x:v>
      </x:c>
      <x:c r="F73" s="24" t="str">
        <x:v>Narrow-barred Spanish mackerel</x:v>
      </x:c>
      <x:c r="G73" s="24" t="str">
        <x:v>Large pelagics (&gt;=90 cm)</x:v>
      </x:c>
      <x:c r="H73" s="24" t="str">
        <x:v>Perch-likes</x:v>
      </x:c>
      <x:c r="I73" s="31" t="n">
        <x:v>0.0039327984</x:v>
      </x:c>
      <x:c r="J73" s="31" t="n">
        <x:v>0.0039327984</x:v>
      </x:c>
      <x:c r="K73" s="31" t="n">
        <x:v>0</x:v>
      </x:c>
      <x:c r="L73" s="31" t="n">
        <x:v>0.0039327984</x:v>
      </x:c>
      <x:c r="M73" s="31" t="n">
        <x:v>0</x:v>
      </x:c>
      <x:c r="N73" s="24" t="str">
        <x:v>scomberomorus commerson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Scomberomorus commerson</x:v>
      </x:c>
      <x:c r="T73" s="32" t="n">
        <x:f>IF(O73="","",(1/'Metadata'!$B$5)^(O73-1))</x:f>
        <x:v>3162.2776601683795</x:v>
      </x:c>
      <x:c r="U73" s="31" t="n">
        <x:f>IF(T73="","",I73*T73)</x:f>
        <x:v>12.436600522265945</x:v>
      </x:c>
    </x:row>
  </x:sheetData>
  <x:conditionalFormatting sqref="R2:R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9fe0965080d4c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181.1018537</x:v>
      </x:c>
      <x:c r="C2" s="32" t="n">
        <x:v>3.27</x:v>
      </x:c>
      <x:c r="D2" s="32" t="n">
        <x:f>IF(C2="","",(1/'Metadata'!$B$5)^(C2-1))</x:f>
        <x:v>186.20871366628674</x:v>
      </x:c>
      <x:c r="E2" s="31" t="n">
        <x:f>IF(B2=0,"",B2*D2)</x:f>
        <x:v>33722.74322005705</x:v>
      </x:c>
    </x:row>
    <x:row r="3" ht="18" customHeight="1">
      <x:c r="A3" s="24" t="str">
        <x:v>Crustaceans</x:v>
      </x:c>
      <x:c r="B3" s="31" t="n">
        <x:v>18.11469816</x:v>
      </x:c>
      <x:c r="C3" s="32" t="n">
        <x:v>2.6</x:v>
      </x:c>
      <x:c r="D3" s="32" t="n">
        <x:f>IF(C3="","",(1/'Metadata'!$B$5)^(C3-1))</x:f>
        <x:v>39.810717055349734</x:v>
      </x:c>
      <x:c r="E3" s="31" t="n">
        <x:f>IF(B3=0,"",B3*D3)</x:f>
        <x:v>721.1591229908245</x:v>
      </x:c>
    </x:row>
    <x:row r="4" ht="18" customHeight="1">
      <x:c r="A4" s="24" t="str">
        <x:v>Herring-likes</x:v>
      </x:c>
      <x:c r="B4" s="31" t="n">
        <x:v>812.9003662</x:v>
      </x:c>
      <x:c r="C4" s="32" t="n">
        <x:v>3.0745569620239155</x:v>
      </x:c>
      <x:c r="D4" s="32" t="n">
        <x:f>IF(C4="","",(1/'Metadata'!$B$5)^(C4-1))</x:f>
        <x:v>118.72904157322827</x:v>
      </x:c>
      <x:c r="E4" s="31" t="n">
        <x:f>IF(B4=0,"",B4*D4)</x:f>
        <x:v>96514.88137345228</x:v>
      </x:c>
    </x:row>
    <x:row r="5" ht="18" customHeight="1">
      <x:c r="A5" s="24" t="str">
        <x:v>Other fishes &amp; inverts</x:v>
      </x:c>
      <x:c r="B5" s="31" t="n">
        <x:v>778.1716442941</x:v>
      </x:c>
      <x:c r="C5" s="32" t="n">
        <x:v>3.280967782489273</x:v>
      </x:c>
      <x:c r="D5" s="32" t="n">
        <x:f>IF(C5="","",(1/'Metadata'!$B$5)^(C5-1))</x:f>
        <x:v>190.97115841075896</x:v>
      </x:c>
      <x:c r="E5" s="31" t="n">
        <x:f>IF(B5=0,"",B5*D5)</x:f>
        <x:v>148608.34035324934</x:v>
      </x:c>
    </x:row>
    <x:row r="6" ht="18" customHeight="1">
      <x:c r="A6" s="24" t="str">
        <x:v>Perch-likes</x:v>
      </x:c>
      <x:c r="B6" s="31" t="n">
        <x:v>8940.787508934201</x:v>
      </x:c>
      <x:c r="C6" s="32" t="n">
        <x:v>4.144254936603337</x:v>
      </x:c>
      <x:c r="D6" s="32" t="n">
        <x:f>IF(C6="","",(1/'Metadata'!$B$5)^(C6-1))</x:f>
        <x:v>1393.974844486762</x:v>
      </x:c>
      <x:c r="E6" s="31" t="n">
        <x:f>IF(B6=0,"",B6*D6)</x:f>
        <x:v>12463232.87735574</x:v>
      </x:c>
    </x:row>
    <x:row r="7" ht="18" customHeight="1">
      <x:c r="A7" s="24" t="str">
        <x:v>Sharks &amp; rays</x:v>
      </x:c>
      <x:c r="B7" s="31" t="n">
        <x:v>19.517930775400004</x:v>
      </x:c>
      <x:c r="C7" s="32" t="n">
        <x:v>4.370927520935867</x:v>
      </x:c>
      <x:c r="D7" s="32" t="n">
        <x:f>IF(C7="","",(1/'Metadata'!$B$5)^(C7-1))</x:f>
        <x:v>2349.240725196051</x:v>
      </x:c>
      <x:c r="E7" s="31" t="n">
        <x:f>IF(B7=0,"",B7*D7)</x:f>
        <x:v>45852.31784912702</x:v>
      </x:c>
    </x:row>
    <x:row r="8" ht="18" customHeight="1">
      <x:c r="A8" s="24" t="str">
        <x:v>Tuna &amp; billfishes</x:v>
      </x:c>
      <x:c r="B8" s="31" t="n">
        <x:v>40277.830934173704</x:v>
      </x:c>
      <x:c r="C8" s="32" t="n">
        <x:v>4.422595101329197</x:v>
      </x:c>
      <x:c r="D8" s="32" t="n">
        <x:f>IF(C8="","",(1/'Metadata'!$B$5)^(C8-1))</x:f>
        <x:v>2646.0320564845865</x:v>
      </x:c>
      <x:c r="E8" s="31" t="n">
        <x:f>IF(B8=0,"",B8*D8)</x:f>
        <x:v>106576431.81749015</x:v>
      </x:c>
    </x:row>
  </x:sheetData>
  <x:pageMargins left="0.7" right="0.7" top="0.75" bottom="0.75" header="0.3" footer="0.3"/>
  <x:tableParts count="1">
    <x:tablePart xmlns:r="http://schemas.openxmlformats.org/officeDocument/2006/relationships" r:id="R8668ea43b8b94da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681.3052739259999</x:v>
      </x:c>
      <x:c r="C2" s="32" t="n">
        <x:v>4.444999999999999</x:v>
      </x:c>
      <x:c r="D2" s="32" t="n">
        <x:f>IF(C2="","",(1/'Metadata'!$B$5)^(C2-1))</x:f>
        <x:v>2786.1211686297665</x:v>
      </x:c>
      <x:c r="E2" s="31" t="n">
        <x:f>IF(B2=0,"",B2*D2)</x:f>
        <x:v>1898199.0459843301</x:v>
      </x:c>
    </x:row>
    <x:row r="3" ht="18" customHeight="1">
      <x:c r="A3" s="24" t="str">
        <x:v>Large pelagics (&gt;=90 cm)</x:v>
      </x:c>
      <x:c r="B3" s="31" t="n">
        <x:v>39960.722731533504</x:v>
      </x:c>
      <x:c r="C3" s="32" t="n">
        <x:v>4.423812614769916</x:v>
      </x:c>
      <x:c r="D3" s="32" t="n">
        <x:f>IF(C3="","",(1/'Metadata'!$B$5)^(C3-1))</x:f>
        <x:v>2653.4604252165796</x:v>
      </x:c>
      <x:c r="E3" s="31" t="n">
        <x:f>IF(B3=0,"",B3*D3)</x:f>
        <x:v>106034196.33117673</x:v>
      </x:c>
    </x:row>
    <x:row r="4" ht="18" customHeight="1">
      <x:c r="A4" s="24" t="str">
        <x:v>Large rays (&gt;=90 cm)</x:v>
      </x:c>
      <x:c r="B4" s="31" t="n">
        <x:v>0.3927630653</x:v>
      </x:c>
      <x:c r="C4" s="32" t="n">
        <x:v>3.61</x:v>
      </x:c>
      <x:c r="D4" s="32" t="n">
        <x:f>IF(C4="","",(1/'Metadata'!$B$5)^(C4-1))</x:f>
        <x:v>407.3802778041126</x:v>
      </x:c>
      <x:c r="E4" s="31" t="n">
        <x:f>IF(B4=0,"",B4*D4)</x:f>
        <x:v>160.0039266531088</x:v>
      </x:c>
    </x:row>
    <x:row r="5" ht="18" customHeight="1">
      <x:c r="A5" s="24" t="str">
        <x:v>Large reef assoc. fish (&gt;=90 cm)</x:v>
      </x:c>
      <x:c r="B5" s="31" t="n">
        <x:v>1641.374495468</x:v>
      </x:c>
      <x:c r="C5" s="32" t="n">
        <x:v>4.327526312958218</x:v>
      </x:c>
      <x:c r="D5" s="32" t="n">
        <x:f>IF(C5="","",(1/'Metadata'!$B$5)^(C5-1))</x:f>
        <x:v>2125.819140074143</x:v>
      </x:c>
      <x:c r="E5" s="31" t="n">
        <x:f>IF(B5=0,"",B5*D5)</x:f>
        <x:v>3489265.318495414</x:v>
      </x:c>
    </x:row>
    <x:row r="6" ht="18" customHeight="1">
      <x:c r="A6" s="24" t="str">
        <x:v>Large sharks (&gt;=90 cm)</x:v>
      </x:c>
      <x:c r="B6" s="31" t="n">
        <x:v>19.125167710100005</x:v>
      </x:c>
      <x:c r="C6" s="32" t="n">
        <x:v>4.386554271515213</x:v>
      </x:c>
      <x:c r="D6" s="32" t="n">
        <x:f>IF(C6="","",(1/'Metadata'!$B$5)^(C6-1))</x:f>
        <x:v>2435.3101089343077</x:v>
      </x:c>
      <x:c r="E6" s="31" t="n">
        <x:f>IF(B6=0,"",B6*D6)</x:f>
        <x:v>46575.714259470544</x:v>
      </x:c>
    </x:row>
    <x:row r="7" ht="18" customHeight="1">
      <x:c r="A7" s="24" t="str">
        <x:v>Lobsters, crabs</x:v>
      </x:c>
      <x:c r="B7" s="31" t="n">
        <x:v>18.11469816</x:v>
      </x:c>
      <x:c r="C7" s="32" t="n">
        <x:v>2.6</x:v>
      </x:c>
      <x:c r="D7" s="32" t="n">
        <x:f>IF(C7="","",(1/'Metadata'!$B$5)^(C7-1))</x:f>
        <x:v>39.810717055349734</x:v>
      </x:c>
      <x:c r="E7" s="31" t="n">
        <x:f>IF(B7=0,"",B7*D7)</x:f>
        <x:v>721.1591229908245</x:v>
      </x:c>
    </x:row>
    <x:row r="8" ht="18" customHeight="1">
      <x:c r="A8" s="24" t="str">
        <x:v>Medium demersals (30 - 89 cm)</x:v>
      </x:c>
      <x:c r="B8" s="31" t="n">
        <x:v>843.113646124</x:v>
      </x:c>
      <x:c r="C8" s="32" t="n">
        <x:v>3.3401572431480138</x:v>
      </x:c>
      <x:c r="D8" s="32" t="n">
        <x:f>IF(C8="","",(1/'Metadata'!$B$5)^(C8-1))</x:f>
        <x:v>218.85538808717985</x:v>
      </x:c>
      <x:c r="E8" s="31" t="n">
        <x:f>IF(B8=0,"",B8*D8)</x:f>
        <x:v>184519.96422406522</x:v>
      </x:c>
    </x:row>
    <x:row r="9" ht="18" customHeight="1">
      <x:c r="A9" s="24" t="str">
        <x:v>Medium pelagics (30 - 89 cm)</x:v>
      </x:c>
      <x:c r="B9" s="31" t="n">
        <x:v>1795.4884822585002</x:v>
      </x:c>
      <x:c r="C9" s="32" t="n">
        <x:v>4.22565025994166</x:v>
      </x:c>
      <x:c r="D9" s="32" t="n">
        <x:f>IF(C9="","",(1/'Metadata'!$B$5)^(C9-1))</x:f>
        <x:v>1681.3195386170958</x:v>
      </x:c>
      <x:c r="E9" s="31" t="n">
        <x:f>IF(B9=0,"",B9*D9)</x:f>
        <x:v>3018789.8665831713</x:v>
      </x:c>
    </x:row>
    <x:row r="10" ht="18" customHeight="1">
      <x:c r="A10" s="24" t="str">
        <x:v>Medium reef assoc. fish (30 - 89 cm)</x:v>
      </x:c>
      <x:c r="B10" s="31" t="n">
        <x:v>5049.060762962001</x:v>
      </x:c>
      <x:c r="C10" s="32" t="n">
        <x:v>4.0322357040714545</x:v>
      </x:c>
      <x:c r="D10" s="32" t="n">
        <x:f>IF(C10="","",(1/'Metadata'!$B$5)^(C10-1))</x:f>
        <x:v>1077.049600743161</x:v>
      </x:c>
      <x:c r="E10" s="31" t="n">
        <x:f>IF(B10=0,"",B10*D10)</x:f>
        <x:v>5438088.878876182</x:v>
      </x:c>
    </x:row>
    <x:row r="11" ht="18" customHeight="1">
      <x:c r="A11" s="24" t="str">
        <x:v>Small pelagics (&lt;30 cm)</x:v>
      </x:c>
      <x:c r="B11" s="31" t="n">
        <x:v>994.0022199</x:v>
      </x:c>
      <x:c r="C11" s="32" t="n">
        <x:v>3.1101656314630937</x:v>
      </x:c>
      <x:c r="D11" s="32" t="n">
        <x:f>IF(C11="","",(1/'Metadata'!$B$5)^(C11-1))</x:f>
        <x:v>128.8740958700622</x:v>
      </x:c>
      <x:c r="E11" s="31" t="n">
        <x:f>IF(B11=0,"",B11*D11)</x:f>
        <x:v>128101.13738244725</x:v>
      </x:c>
    </x:row>
    <x:row r="12" ht="18" customHeight="1">
      <x:c r="A12" s="24" t="str">
        <x:v>Small reef assoc. fish (&lt;30 cm)</x:v>
      </x:c>
      <x:c r="B12" s="31" t="n">
        <x:v>25.72469513</x:v>
      </x:c>
      <x:c r="C12" s="32" t="n">
        <x:v>2.57</x:v>
      </x:c>
      <x:c r="D12" s="32" t="n">
        <x:f>IF(C12="","",(1/'Metadata'!$B$5)^(C12-1))</x:f>
        <x:v>37.15352290971724</x:v>
      </x:c>
      <x:c r="E12" s="31" t="n">
        <x:f>IF(B12=0,"",B12*D12)</x:f>
        <x:v>955.7630498579465</x:v>
      </x:c>
    </x:row>
  </x:sheetData>
  <x:pageMargins left="0.7" right="0.7" top="0.75" bottom="0.75" header="0.3" footer="0.3"/>
  <x:tableParts count="1">
    <x:tablePart xmlns:r="http://schemas.openxmlformats.org/officeDocument/2006/relationships" r:id="R70fad8511a1848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EEZ_462</x:v>
      </x:c>
      <x:c r="B2" s="24" t="str">
        <x:v>raw_filtered_tonnes</x:v>
      </x:c>
      <x:c r="C2" s="24" t="n">
        <x:v>51028.424936237396</x:v>
      </x:c>
      <x:c r="D2" s="24" t="str">
        <x:v>tonnes</x:v>
      </x:c>
    </x:row>
    <x:row r="3" ht="18" customHeight="1">
      <x:c r="A3" s="24" t="str">
        <x:v>EEZ_462</x:v>
      </x:c>
      <x:c r="B3" s="24" t="str">
        <x:v>species_catch_tonnes</x:v>
      </x:c>
      <x:c r="C3" s="24" t="n">
        <x:v>51028.4249362374</x:v>
      </x:c>
      <x:c r="D3" s="24" t="str">
        <x:v>tonnes</x:v>
      </x:c>
    </x:row>
    <x:row r="4" ht="18" customHeight="1">
      <x:c r="A4" s="24" t="str">
        <x:v>EEZ_462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EEZ_462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EEZ_462</x:v>
      </x:c>
      <x:c r="B6" s="24" t="str">
        <x:v>matched_catch_tonnes</x:v>
      </x:c>
      <x:c r="C6" s="24" t="n">
        <x:v>51028.4249362374</x:v>
      </x:c>
      <x:c r="D6" s="24" t="str">
        <x:v>tonnes</x:v>
      </x:c>
    </x:row>
    <x:row r="7" ht="18" customHeight="1">
      <x:c r="A7" s="24" t="str">
        <x:v>EEZ_462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EEZ_462</x:v>
      </x:c>
      <x:c r="B8" s="24" t="str">
        <x:v>taxa_count</x:v>
      </x:c>
      <x:c r="C8" s="24" t="n">
        <x:v>72</x:v>
      </x:c>
      <x:c r="D8" s="24" t="str">
        <x:v>count</x:v>
      </x:c>
    </x:row>
    <x:row r="9" ht="18" customHeight="1">
      <x:c r="A9" s="24" t="str">
        <x:v>EEZ_462</x:v>
      </x:c>
      <x:c r="B9" s="24" t="str">
        <x:v>matched_taxa_count</x:v>
      </x:c>
      <x:c r="C9" s="24" t="n">
        <x:v>72</x:v>
      </x:c>
      <x:c r="D9" s="24" t="str">
        <x:v>count</x:v>
      </x:c>
    </x:row>
    <x:row r="10" ht="18" customHeight="1">
      <x:c r="A10" s="24" t="str">
        <x:v>EEZ_462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EEZ_462</x:v>
      </x:c>
      <x:c r="B11" s="24" t="str">
        <x:v>species_ppr</x:v>
      </x:c>
      <x:c r="C11" s="24" t="n">
        <x:v>122606801.38745148</x:v>
      </x:c>
      <x:c r="D11" s="24" t="str">
        <x:v>tonnes_primary_production_equivalent</x:v>
      </x:c>
    </x:row>
    <x:row r="12" ht="18" customHeight="1">
      <x:c r="A12" s="24" t="str">
        <x:v>EEZ_462</x:v>
      </x:c>
      <x:c r="B12" s="24" t="str">
        <x:v>commercial_ppr</x:v>
      </x:c>
      <x:c r="C12" s="24" t="n">
        <x:v>119365084.13676476</x:v>
      </x:c>
      <x:c r="D12" s="24" t="str">
        <x:v>tonnes_primary_production_equivalent</x:v>
      </x:c>
    </x:row>
    <x:row r="13" ht="18" customHeight="1">
      <x:c r="A13" s="24" t="str">
        <x:v>EEZ_462</x:v>
      </x:c>
      <x:c r="B13" s="24" t="str">
        <x:v>functional_ppr</x:v>
      </x:c>
      <x:c r="C13" s="24" t="n">
        <x:v>120239573.18308131</x:v>
      </x:c>
      <x:c r="D13" s="24" t="str">
        <x:v>tonnes_primary_production_equivalent</x:v>
      </x:c>
    </x:row>
    <x:row r="14" ht="18" customHeight="1">
      <x:c r="A14" s="24" t="str">
        <x:v>EEZ_462</x:v>
      </x:c>
      <x:c r="B14" s="24" t="str">
        <x:v>commercial_ppr_difference</x:v>
      </x:c>
      <x:c r="C14" s="24" t="n">
        <x:v>-3241717.25068672</x:v>
      </x:c>
      <x:c r="D14" s="24" t="str">
        <x:v>tonnes_primary_production_equivalent</x:v>
      </x:c>
    </x:row>
    <x:row r="15" ht="18" customHeight="1">
      <x:c r="A15" s="24" t="str">
        <x:v>EEZ_462</x:v>
      </x:c>
      <x:c r="B15" s="24" t="str">
        <x:v>functional_ppr_difference</x:v>
      </x:c>
      <x:c r="C15" s="24" t="n">
        <x:v>-2367228.204370171</x:v>
      </x:c>
      <x:c r="D15" s="24" t="str">
        <x:v>tonnes_primary_production_equivalent</x:v>
      </x:c>
    </x:row>
    <x:row r="16" ht="18" customHeight="1">
      <x:c r="A16" s="24" t="str">
        <x:v>EEZ_462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EEZ_462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ad0709f078546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EEZ_462 - Maldives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