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ce7880fb5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43d3278f0354b42"/>
    <x:sheet xmlns:r="http://schemas.openxmlformats.org/officeDocument/2006/relationships" name="Commercial" sheetId="2" r:id="Rb936ab8b9cd547ec"/>
    <x:sheet xmlns:r="http://schemas.openxmlformats.org/officeDocument/2006/relationships" name="Functional" sheetId="3" r:id="R4f94c681702a4339"/>
    <x:sheet xmlns:r="http://schemas.openxmlformats.org/officeDocument/2006/relationships" name="Missing TL" sheetId="4" r:id="R4171a6da54ca4689"/>
    <x:sheet xmlns:r="http://schemas.openxmlformats.org/officeDocument/2006/relationships" name="Validation" sheetId="5" r:id="R565da94daa0a4676"/>
    <x:sheet xmlns:r="http://schemas.openxmlformats.org/officeDocument/2006/relationships" name="Metadata" sheetId="6" r:id="Rb132aebbc474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643a9c9984707" /><Relationship Type="http://schemas.openxmlformats.org/officeDocument/2006/relationships/theme" Target="/xl/theme/theme1.xml" Id="R731b4e2fa89a4cfc" /><Relationship Type="http://schemas.microsoft.com/office/2022/11/relationships/FeaturePropertyBag" Target="/xl/featurePropertyBag/featurePropertyBag.xml" Id="Rab7c2f5194324425" /><Relationship Type="http://schemas.openxmlformats.org/officeDocument/2006/relationships/sharedStrings" Target="/xl/sharedStrings.xml" Id="Ref3de90989b242ac" /><Relationship Type="http://schemas.openxmlformats.org/officeDocument/2006/relationships/worksheet" Target="/xl/worksheets/sheet1.xml" Id="R643d3278f0354b42" /><Relationship Type="http://schemas.openxmlformats.org/officeDocument/2006/relationships/worksheet" Target="/xl/worksheets/sheet2.xml" Id="Rb936ab8b9cd547ec" /><Relationship Type="http://schemas.openxmlformats.org/officeDocument/2006/relationships/worksheet" Target="/xl/worksheets/sheet3.xml" Id="R4f94c681702a4339" /><Relationship Type="http://schemas.openxmlformats.org/officeDocument/2006/relationships/worksheet" Target="/xl/worksheets/sheet4.xml" Id="R4171a6da54ca4689" /><Relationship Type="http://schemas.openxmlformats.org/officeDocument/2006/relationships/worksheet" Target="/xl/worksheets/sheet5.xml" Id="R565da94daa0a4676" /><Relationship Type="http://schemas.openxmlformats.org/officeDocument/2006/relationships/worksheet" Target="/xl/worksheets/sheet6.xml" Id="Rb132aebbc4744d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2SpeciesTable" displayName="EEZ642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2CommercialTable" displayName="EEZ642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2FunctionalTable" displayName="EEZ642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2ValidationTable" displayName="EEZ64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fb79f9b74748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0644d8e6d0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fc4fbefe1a44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1a986919ce4c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EEZ_642</x:v>
      </x:c>
      <x:c r="B2" s="24" t="str">
        <x:v>Romania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6818.893495030799</x:v>
      </x:c>
      <x:c r="J2" s="31" t="n">
        <x:v>6818.8900000001995</x:v>
      </x:c>
      <x:c r="K2" s="31" t="n">
        <x:v>0.0034950306</x:v>
      </x:c>
      <x:c r="L2" s="31" t="n">
        <x:v>6818.8900000001995</x:v>
      </x:c>
      <x:c r="M2" s="31" t="n">
        <x:v>0.0034950306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1299313.3694756296</x:v>
      </x:c>
    </x:row>
    <x:row r="3" ht="18" customHeight="1">
      <x:c r="A3" s="24" t="str">
        <x:v>EEZ_642</x:v>
      </x:c>
      <x:c r="B3" s="24" t="str">
        <x:v>Romania</x:v>
      </x:c>
      <x:c r="C3" s="24" t="str">
        <x:v>EEZ</x:v>
      </x:c>
      <x:c r="D3" s="30" t="n">
        <x:v>2019</x:v>
      </x:c>
      <x:c r="E3" s="24" t="str">
        <x:v>Scophthalmus maximus</x:v>
      </x:c>
      <x:c r="F3" s="24" t="str">
        <x:v>Turbot</x:v>
      </x:c>
      <x:c r="G3" s="24" t="str">
        <x:v>Large flatfishes (&gt;=90 cm)</x:v>
      </x:c>
      <x:c r="H3" s="24" t="str">
        <x:v>Flatfishes</x:v>
      </x:c>
      <x:c r="I3" s="31" t="n">
        <x:v>392.78063118079996</x:v>
      </x:c>
      <x:c r="J3" s="31" t="n">
        <x:v>392.78063118079996</x:v>
      </x:c>
      <x:c r="K3" s="31" t="n">
        <x:v>0</x:v>
      </x:c>
      <x:c r="L3" s="31" t="n">
        <x:v>53.68</x:v>
      </x:c>
      <x:c r="M3" s="31" t="n">
        <x:v>339.1006311808</x:v>
      </x:c>
      <x:c r="N3" s="24" t="str">
        <x:v>scophthalmus maximus</x:v>
      </x:c>
      <x:c r="O3" s="32" t="n">
        <x:v>4.36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Scophthalmus maximus</x:v>
      </x:c>
      <x:c r="T3" s="32" t="n">
        <x:f>IF(O3="","",(1/'Metadata'!$B$5)^(O3-1))</x:f>
        <x:v>2290.867652767775</x:v>
      </x:c>
      <x:c r="U3" s="31" t="n">
        <x:f>IF(T3="","",I3*T3)</x:f>
        <x:v>899808.4426058043</x:v>
      </x:c>
    </x:row>
    <x:row r="4" ht="18" customHeight="1">
      <x:c r="A4" s="24" t="str">
        <x:v>EEZ_642</x:v>
      </x:c>
      <x:c r="B4" s="24" t="str">
        <x:v>Romania</x:v>
      </x:c>
      <x:c r="C4" s="24" t="str">
        <x:v>EEZ</x:v>
      </x:c>
      <x:c r="D4" s="30" t="n">
        <x:v>2019</x:v>
      </x:c>
      <x:c r="E4" s="24" t="str">
        <x:v>Gobiidae</x:v>
      </x:c>
      <x:c r="F4" s="24" t="str">
        <x:v>Gobies</x:v>
      </x:c>
      <x:c r="G4" s="24" t="str">
        <x:v>Small reef assoc. fish (&lt;30 cm)</x:v>
      </x:c>
      <x:c r="H4" s="24" t="str">
        <x:v>Perch-likes</x:v>
      </x:c>
      <x:c r="I4" s="31" t="n">
        <x:v>230.1273194682</x:v>
      </x:c>
      <x:c r="J4" s="31" t="n">
        <x:v>230.1273194682</x:v>
      </x:c>
      <x:c r="K4" s="31" t="n">
        <x:v>0</x:v>
      </x:c>
      <x:c r="L4" s="31" t="n">
        <x:v>10.97</x:v>
      </x:c>
      <x:c r="M4" s="31" t="n">
        <x:v>219.1573194682</x:v>
      </x:c>
      <x:c r="N4" s="24" t="str">
        <x:v>gobiidae</x:v>
      </x:c>
      <x:c r="O4" s="32" t="n">
        <x:v>3.11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Gobiidae</x:v>
      </x:c>
      <x:c r="T4" s="32" t="n">
        <x:f>IF(O4="","",(1/'Metadata'!$B$5)^(O4-1))</x:f>
        <x:v>128.82495516931337</x:v>
      </x:c>
      <x:c r="U4" s="31" t="n">
        <x:f>IF(T4="","",I4*T4)</x:f>
        <x:v>29646.14161372512</x:v>
      </x:c>
    </x:row>
    <x:row r="5" ht="18" customHeight="1">
      <x:c r="A5" s="24" t="str">
        <x:v>EEZ_642</x:v>
      </x:c>
      <x:c r="B5" s="24" t="str">
        <x:v>Romania</x:v>
      </x:c>
      <x:c r="C5" s="24" t="str">
        <x:v>EEZ</x:v>
      </x:c>
      <x:c r="D5" s="30" t="n">
        <x:v>2019</x:v>
      </x:c>
      <x:c r="E5" s="24" t="str">
        <x:v>Mugilidae</x:v>
      </x:c>
      <x:c r="F5" s="24" t="str">
        <x:v>Mullets, grey mullets</x:v>
      </x:c>
      <x:c r="G5" s="24" t="str">
        <x:v>Medium reef assoc. fish (30 - 89 cm)</x:v>
      </x:c>
      <x:c r="H5" s="24" t="str">
        <x:v>Perch-likes</x:v>
      </x:c>
      <x:c r="I5" s="31" t="n">
        <x:v>220.2173194682</x:v>
      </x:c>
      <x:c r="J5" s="31" t="n">
        <x:v>220.2173194682</x:v>
      </x:c>
      <x:c r="K5" s="31" t="n">
        <x:v>0</x:v>
      </x:c>
      <x:c r="L5" s="31" t="n">
        <x:v>1.06</x:v>
      </x:c>
      <x:c r="M5" s="31" t="n">
        <x:v>219.1573194682</x:v>
      </x:c>
      <x:c r="N5" s="24" t="str">
        <x:v>mugilidae</x:v>
      </x:c>
      <x:c r="O5" s="32" t="n">
        <x:v>2.53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Mugilidae</x:v>
      </x:c>
      <x:c r="T5" s="32" t="n">
        <x:f>IF(O5="","",(1/'Metadata'!$B$5)^(O5-1))</x:f>
        <x:v>33.88441561392024</x:v>
      </x:c>
      <x:c r="U5" s="31" t="n">
        <x:f>IF(T5="","",I5*T5)</x:f>
        <x:v>7461.935178243938</x:v>
      </x:c>
    </x:row>
    <x:row r="6" ht="18" customHeight="1">
      <x:c r="A6" s="24" t="str">
        <x:v>EEZ_642</x:v>
      </x:c>
      <x:c r="B6" s="24" t="str">
        <x:v>Romania</x:v>
      </x:c>
      <x:c r="C6" s="24" t="str">
        <x:v>EEZ</x:v>
      </x:c>
      <x:c r="D6" s="30" t="n">
        <x:v>2019</x:v>
      </x:c>
      <x:c r="E6" s="24" t="str">
        <x:v>Mytilus galloprovincialis</x:v>
      </x:c>
      <x:c r="F6" s="24" t="str">
        <x:v>Mediterranean mussel</x:v>
      </x:c>
      <x:c r="G6" s="24" t="str">
        <x:v>Other demersal invertebrates</x:v>
      </x:c>
      <x:c r="H6" s="24" t="str">
        <x:v>Molluscs</x:v>
      </x:c>
      <x:c r="I6" s="31" t="n">
        <x:v>158.5</x:v>
      </x:c>
      <x:c r="J6" s="31" t="n">
        <x:v>158.5</x:v>
      </x:c>
      <x:c r="K6" s="31" t="n">
        <x:v>0</x:v>
      </x:c>
      <x:c r="L6" s="31" t="n">
        <x:v>158.5</x:v>
      </x:c>
      <x:c r="M6" s="31" t="n">
        <x:v>0</x:v>
      </x:c>
      <x:c r="N6" s="24" t="str">
        <x:v>mytilus galloprovincialis</x:v>
      </x:c>
      <x:c r="O6" s="32" t="n">
        <x:v>2.69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Mytilus galloprovincialis</x:v>
      </x:c>
      <x:c r="T6" s="32" t="n">
        <x:f>IF(O6="","",(1/'Metadata'!$B$5)^(O6-1))</x:f>
        <x:v>48.97788193684461</x:v>
      </x:c>
      <x:c r="U6" s="31" t="n">
        <x:f>IF(T6="","",I6*T6)</x:f>
        <x:v>7762.9942869898705</x:v>
      </x:c>
    </x:row>
    <x:row r="7" ht="18" customHeight="1">
      <x:c r="A7" s="24" t="str">
        <x:v>EEZ_642</x:v>
      </x:c>
      <x:c r="B7" s="24" t="str">
        <x:v>Romania</x:v>
      </x:c>
      <x:c r="C7" s="24" t="str">
        <x:v>EEZ</x:v>
      </x:c>
      <x:c r="D7" s="30" t="n">
        <x:v>2019</x:v>
      </x:c>
      <x:c r="E7" s="24" t="str">
        <x:v>Trachurus mediterraneus</x:v>
      </x:c>
      <x:c r="F7" s="24" t="str">
        <x:v>Mediterranean horse mackerel</x:v>
      </x:c>
      <x:c r="G7" s="24" t="str">
        <x:v>Medium pelagics (30 - 89 cm)</x:v>
      </x:c>
      <x:c r="H7" s="24" t="str">
        <x:v>Perch-likes</x:v>
      </x:c>
      <x:c r="I7" s="31" t="n">
        <x:v>138.7132554956</x:v>
      </x:c>
      <x:c r="J7" s="31" t="n">
        <x:v>138.7132554956</x:v>
      </x:c>
      <x:c r="K7" s="31" t="n">
        <x:v>0</x:v>
      </x:c>
      <x:c r="L7" s="31" t="n">
        <x:v>17.599999999999998</x:v>
      </x:c>
      <x:c r="M7" s="31" t="n">
        <x:v>121.1132554956</x:v>
      </x:c>
      <x:c r="N7" s="24" t="str">
        <x:v>trachurus mediterraneus</x:v>
      </x:c>
      <x:c r="O7" s="32" t="n">
        <x:v>3.77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mediterraneus</x:v>
      </x:c>
      <x:c r="T7" s="32" t="n">
        <x:f>IF(O7="","",(1/'Metadata'!$B$5)^(O7-1))</x:f>
        <x:v>588.843655355589</x:v>
      </x:c>
      <x:c r="U7" s="31" t="n">
        <x:f>IF(T7="","",I7*T7)</x:f>
        <x:v>81680.42041230286</x:v>
      </x:c>
    </x:row>
    <x:row r="8" ht="18" customHeight="1">
      <x:c r="A8" s="24" t="str">
        <x:v>EEZ_642</x:v>
      </x:c>
      <x:c r="B8" s="24" t="str">
        <x:v>Romania</x:v>
      </x:c>
      <x:c r="C8" s="24" t="str">
        <x:v>EEZ</x:v>
      </x:c>
      <x:c r="D8" s="30" t="n">
        <x:v>2019</x:v>
      </x:c>
      <x:c r="E8" s="24" t="str">
        <x:v>Engraulis encrasicolus</x:v>
      </x:c>
      <x:c r="F8" s="24" t="str">
        <x:v>European anchovy</x:v>
      </x:c>
      <x:c r="G8" s="24" t="str">
        <x:v>Small pelagics (&lt;30 cm)</x:v>
      </x:c>
      <x:c r="H8" s="24" t="str">
        <x:v>Anchovies</x:v>
      </x:c>
      <x:c r="I8" s="31" t="n">
        <x:v>71.0762269602</x:v>
      </x:c>
      <x:c r="J8" s="31" t="n">
        <x:v>47.44</x:v>
      </x:c>
      <x:c r="K8" s="31" t="n">
        <x:v>23.6362269602</x:v>
      </x:c>
      <x:c r="L8" s="31" t="n">
        <x:v>47.44</x:v>
      </x:c>
      <x:c r="M8" s="31" t="n">
        <x:v>23.6362269602</x:v>
      </x:c>
      <x:c r="N8" s="24" t="str">
        <x:v>engraulis encrasicolus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Engraulis encrasicolus</x:v>
      </x:c>
      <x:c r="T8" s="32" t="n">
        <x:f>IF(O8="","",(1/'Metadata'!$B$5)^(O8-1))</x:f>
        <x:v>128.82495516931337</x:v>
      </x:c>
      <x:c r="U8" s="31" t="n">
        <x:f>IF(T8="","",I8*T8)</x:f>
        <x:v>9156.391751751707</x:v>
      </x:c>
    </x:row>
    <x:row r="9" ht="18" customHeight="1">
      <x:c r="A9" s="24" t="str">
        <x:v>EEZ_642</x:v>
      </x:c>
      <x:c r="B9" s="24" t="str">
        <x:v>Romania</x:v>
      </x:c>
      <x:c r="C9" s="24" t="str">
        <x:v>EEZ</x:v>
      </x:c>
      <x:c r="D9" s="30" t="n">
        <x:v>2019</x:v>
      </x:c>
      <x:c r="E9" s="24" t="str">
        <x:v>Sprattus sprattus</x:v>
      </x:c>
      <x:c r="F9" s="24" t="str">
        <x:v>European sprat</x:v>
      </x:c>
      <x:c r="G9" s="24" t="str">
        <x:v>Small pelagics (&lt;30 cm)</x:v>
      </x:c>
      <x:c r="H9" s="24" t="str">
        <x:v>Herring-likes</x:v>
      </x:c>
      <x:c r="I9" s="31" t="n">
        <x:v>36.1406616402</x:v>
      </x:c>
      <x:c r="J9" s="31" t="n">
        <x:v>8.9200000001</x:v>
      </x:c>
      <x:c r="K9" s="31" t="n">
        <x:v>27.2206616401</x:v>
      </x:c>
      <x:c r="L9" s="31" t="n">
        <x:v>8.9200000001</x:v>
      </x:c>
      <x:c r="M9" s="31" t="n">
        <x:v>27.2206616401</x:v>
      </x:c>
      <x:c r="N9" s="24" t="str">
        <x:v>sprattus sprattus</x:v>
      </x:c>
      <x:c r="O9" s="32" t="n">
        <x:v>3.01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Sprattus sprattus</x:v>
      </x:c>
      <x:c r="T9" s="32" t="n">
        <x:f>IF(O9="","",(1/'Metadata'!$B$5)^(O9-1))</x:f>
        <x:v>102.32929922807536</x:v>
      </x:c>
      <x:c r="U9" s="31" t="n">
        <x:f>IF(T9="","",I9*T9)</x:f>
        <x:v>3698.2485792806506</x:v>
      </x:c>
    </x:row>
    <x:row r="10" ht="18" customHeight="1">
      <x:c r="A10" s="24" t="str">
        <x:v>EEZ_642</x:v>
      </x:c>
      <x:c r="B10" s="24" t="str">
        <x:v>Romania</x:v>
      </x:c>
      <x:c r="C10" s="24" t="str">
        <x:v>EEZ</x:v>
      </x:c>
      <x:c r="D10" s="30" t="n">
        <x:v>2019</x:v>
      </x:c>
      <x:c r="E10" s="24" t="str">
        <x:v>Alosa immaculata</x:v>
      </x:c>
      <x:c r="F10" s="24" t="str">
        <x:v>Pontic shad</x:v>
      </x:c>
      <x:c r="G10" s="24" t="str">
        <x:v>Medium pelagics (30 - 89 cm)</x:v>
      </x:c>
      <x:c r="H10" s="24" t="str">
        <x:v>Herring-likes</x:v>
      </x:c>
      <x:c r="I10" s="31" t="n">
        <x:v>19.659999999999997</x:v>
      </x:c>
      <x:c r="J10" s="31" t="n">
        <x:v>19.659999999999997</x:v>
      </x:c>
      <x:c r="K10" s="31" t="n">
        <x:v>0</x:v>
      </x:c>
      <x:c r="L10" s="31" t="n">
        <x:v>19.659999999999997</x:v>
      </x:c>
      <x:c r="M10" s="31" t="n">
        <x:v>0</x:v>
      </x:c>
      <x:c r="N10" s="24" t="str">
        <x:v>alosa immaculata</x:v>
      </x:c>
      <x:c r="O10" s="32" t="n">
        <x:v>3.98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Alosa immaculata</x:v>
      </x:c>
      <x:c r="T10" s="32" t="n">
        <x:f>IF(O10="","",(1/'Metadata'!$B$5)^(O10-1))</x:f>
        <x:v>954.992586021436</x:v>
      </x:c>
      <x:c r="U10" s="31" t="n">
        <x:f>IF(T10="","",I10*T10)</x:f>
        <x:v>18775.154241181426</x:v>
      </x:c>
    </x:row>
    <x:row r="11" ht="18" customHeight="1">
      <x:c r="A11" s="24" t="str">
        <x:v>EEZ_642</x:v>
      </x:c>
      <x:c r="B11" s="24" t="str">
        <x:v>Romania</x:v>
      </x:c>
      <x:c r="C11" s="24" t="str">
        <x:v>EEZ</x:v>
      </x:c>
      <x:c r="D11" s="30" t="n">
        <x:v>2019</x:v>
      </x:c>
      <x:c r="E11" s="24" t="str">
        <x:v>Sarda sarda</x:v>
      </x:c>
      <x:c r="F11" s="24" t="str">
        <x:v>Atlantic bonito</x:v>
      </x:c>
      <x:c r="G11" s="24" t="str">
        <x:v>Medium pelagics (30 - 89 cm)</x:v>
      </x:c>
      <x:c r="H11" s="24" t="str">
        <x:v>Tuna &amp; billfishes</x:v>
      </x:c>
      <x:c r="I11" s="31" t="n">
        <x:v>12.5347741948</x:v>
      </x:c>
      <x:c r="J11" s="31" t="n">
        <x:v>12.5347741948</x:v>
      </x:c>
      <x:c r="K11" s="31" t="n">
        <x:v>0</x:v>
      </x:c>
      <x:c r="L11" s="31" t="n">
        <x:v>6.7674763141</x:v>
      </x:c>
      <x:c r="M11" s="31" t="n">
        <x:v>5.7672978807</x:v>
      </x:c>
      <x:c r="N11" s="24" t="str">
        <x:v>sarda sarda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Sarda sarda</x:v>
      </x:c>
      <x:c r="T11" s="32" t="n">
        <x:f>IF(O11="","",(1/'Metadata'!$B$5)^(O11-1))</x:f>
        <x:v>3162.2776601683795</x:v>
      </x:c>
      <x:c r="U11" s="31" t="n">
        <x:f>IF(T11="","",I11*T11)</x:f>
        <x:v>39638.43641147113</x:v>
      </x:c>
    </x:row>
    <x:row r="12" ht="18" customHeight="1">
      <x:c r="A12" s="24" t="str">
        <x:v>EEZ_642</x:v>
      </x:c>
      <x:c r="B12" s="24" t="str">
        <x:v>Romania</x:v>
      </x:c>
      <x:c r="C12" s="24" t="str">
        <x:v>EEZ</x:v>
      </x:c>
      <x:c r="D12" s="30" t="n">
        <x:v>2019</x:v>
      </x:c>
      <x:c r="E12" s="24" t="str">
        <x:v>Pomatomus saltatrix</x:v>
      </x:c>
      <x:c r="F12" s="24" t="str">
        <x:v>Bluefish</x:v>
      </x:c>
      <x:c r="G12" s="24" t="str">
        <x:v>Large pelagics (&gt;=90 cm)</x:v>
      </x:c>
      <x:c r="H12" s="24" t="str">
        <x:v>Perch-likes</x:v>
      </x:c>
      <x:c r="I12" s="31" t="n">
        <x:v>6.2972978807</x:v>
      </x:c>
      <x:c r="J12" s="31" t="n">
        <x:v>6.2972978807</x:v>
      </x:c>
      <x:c r="K12" s="31" t="n">
        <x:v>0</x:v>
      </x:c>
      <x:c r="L12" s="31" t="n">
        <x:v>0.53</x:v>
      </x:c>
      <x:c r="M12" s="31" t="n">
        <x:v>5.7672978807</x:v>
      </x:c>
      <x:c r="N12" s="24" t="str">
        <x:v>pomatomus saltatrix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Pomatomus saltatrix</x:v>
      </x:c>
      <x:c r="T12" s="32" t="n">
        <x:f>IF(O12="","",(1/'Metadata'!$B$5)^(O12-1))</x:f>
        <x:v>3388.4415613920273</x:v>
      </x:c>
      <x:c r="U12" s="31" t="n">
        <x:f>IF(T12="","",I12*T12)</x:f>
        <x:v>21338.025863429815</x:v>
      </x:c>
    </x:row>
    <x:row r="13" ht="18" customHeight="1">
      <x:c r="A13" s="24" t="str">
        <x:v>EEZ_642</x:v>
      </x:c>
      <x:c r="B13" s="24" t="str">
        <x:v>Romania</x:v>
      </x:c>
      <x:c r="C13" s="24" t="str">
        <x:v>EEZ</x:v>
      </x:c>
      <x:c r="D13" s="30" t="n">
        <x:v>2019</x:v>
      </x:c>
      <x:c r="E13" s="24" t="str">
        <x:v>Belone belone</x:v>
      </x:c>
      <x:c r="F13" s="24" t="str">
        <x:v>Garfish</x:v>
      </x:c>
      <x:c r="G13" s="24" t="str">
        <x:v>Medium pelagics (30 - 89 cm)</x:v>
      </x:c>
      <x:c r="H13" s="24" t="str">
        <x:v>Other fishes &amp; inverts</x:v>
      </x:c>
      <x:c r="I13" s="31" t="n">
        <x:v>4.56</x:v>
      </x:c>
      <x:c r="J13" s="31" t="n">
        <x:v>4.56</x:v>
      </x:c>
      <x:c r="K13" s="31" t="n">
        <x:v>0</x:v>
      </x:c>
      <x:c r="L13" s="31" t="n">
        <x:v>4.56</x:v>
      </x:c>
      <x:c r="M13" s="31" t="n">
        <x:v>0</x:v>
      </x:c>
      <x:c r="N13" s="24" t="str">
        <x:v>belone belone</x:v>
      </x:c>
      <x:c r="O13" s="32" t="n">
        <x:v>4.16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Belone belone</x:v>
      </x:c>
      <x:c r="T13" s="32" t="n">
        <x:f>IF(O13="","",(1/'Metadata'!$B$5)^(O13-1))</x:f>
        <x:v>1445.439770745928</x:v>
      </x:c>
      <x:c r="U13" s="31" t="n">
        <x:f>IF(T13="","",I13*T13)</x:f>
        <x:v>6591.205354601431</x:v>
      </x:c>
    </x:row>
    <x:row r="14" ht="18" customHeight="1">
      <x:c r="A14" s="24" t="str">
        <x:v>EEZ_642</x:v>
      </x:c>
      <x:c r="B14" s="24" t="str">
        <x:v>Romania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4</x:v>
      </x:c>
      <x:c r="J14" s="31" t="n">
        <x:v>4</x:v>
      </x:c>
      <x:c r="K14" s="31" t="n">
        <x:v>0</x:v>
      </x:c>
      <x:c r="L14" s="31" t="n">
        <x:v>4</x:v>
      </x:c>
      <x:c r="M14" s="31" t="n">
        <x:v>0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1153.6126012506422</x:v>
      </x:c>
    </x:row>
    <x:row r="15" ht="18" customHeight="1">
      <x:c r="A15" s="24" t="str">
        <x:v>EEZ_642</x:v>
      </x:c>
      <x:c r="B15" s="24" t="str">
        <x:v>Romania</x:v>
      </x:c>
      <x:c r="C15" s="24" t="str">
        <x:v>EEZ</x:v>
      </x:c>
      <x:c r="D15" s="30" t="n">
        <x:v>2019</x:v>
      </x:c>
      <x:c r="E15" s="24" t="str">
        <x:v>Merlangius merlangus</x:v>
      </x:c>
      <x:c r="F15" s="24" t="str">
        <x:v>Whiting</x:v>
      </x:c>
      <x:c r="G15" s="24" t="str">
        <x:v>Medium benthopelagics (30 - 89 cm)</x:v>
      </x:c>
      <x:c r="H15" s="24" t="str">
        <x:v>Cod-likes</x:v>
      </x:c>
      <x:c r="I15" s="31" t="n">
        <x:v>1.8599999998</x:v>
      </x:c>
      <x:c r="J15" s="31" t="n">
        <x:v>1.8599999998</x:v>
      </x:c>
      <x:c r="K15" s="31" t="n">
        <x:v>0</x:v>
      </x:c>
      <x:c r="L15" s="31" t="n">
        <x:v>1.8599999998</x:v>
      </x:c>
      <x:c r="M15" s="31" t="n">
        <x:v>0</x:v>
      </x:c>
      <x:c r="N15" s="24" t="str">
        <x:v>merlangius merlangus</x:v>
      </x:c>
      <x:c r="O15" s="32" t="n">
        <x:v>4.36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Merlangius merlangus</x:v>
      </x:c>
      <x:c r="T15" s="32" t="n">
        <x:f>IF(O15="","",(1/'Metadata'!$B$5)^(O15-1))</x:f>
        <x:v>2290.867652767775</x:v>
      </x:c>
      <x:c r="U15" s="31" t="n">
        <x:f>IF(T15="","",I15*T15)</x:f>
        <x:v>4261.013833689888</x:v>
      </x:c>
    </x:row>
    <x:row r="16" ht="18" customHeight="1">
      <x:c r="A16" s="24" t="str">
        <x:v>EEZ_642</x:v>
      </x:c>
      <x:c r="B16" s="24" t="str">
        <x:v>Romania</x:v>
      </x:c>
      <x:c r="C16" s="24" t="str">
        <x:v>EEZ</x:v>
      </x:c>
      <x:c r="D16" s="30" t="n">
        <x:v>2019</x:v>
      </x:c>
      <x:c r="E16" s="24" t="str">
        <x:v>Dasyatis pastinaca</x:v>
      </x:c>
      <x:c r="F16" s="24" t="str">
        <x:v>Common stingray</x:v>
      </x:c>
      <x:c r="G16" s="24" t="str">
        <x:v>Large rays (&gt;=90 cm)</x:v>
      </x:c>
      <x:c r="H16" s="24" t="str">
        <x:v>Sharks &amp; rays</x:v>
      </x:c>
      <x:c r="I16" s="31" t="n">
        <x:v>1.01</x:v>
      </x:c>
      <x:c r="J16" s="31" t="n">
        <x:v>1.01</x:v>
      </x:c>
      <x:c r="K16" s="31" t="n">
        <x:v>0</x:v>
      </x:c>
      <x:c r="L16" s="31" t="n">
        <x:v>1.01</x:v>
      </x:c>
      <x:c r="M16" s="31" t="n">
        <x:v>0</x:v>
      </x:c>
      <x:c r="N16" s="24" t="str">
        <x:v>dasyatis pastinaca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Dasyatis pastinaca</x:v>
      </x:c>
      <x:c r="T16" s="32" t="n">
        <x:f>IF(O16="","",(1/'Metadata'!$B$5)^(O16-1))</x:f>
        <x:v>1122.018454301963</x:v>
      </x:c>
      <x:c r="U16" s="31" t="n">
        <x:f>IF(T16="","",I16*T16)</x:f>
        <x:v>1133.2386388449827</x:v>
      </x:c>
    </x:row>
    <x:row r="17" ht="18" customHeight="1">
      <x:c r="A17" s="24" t="str">
        <x:v>EEZ_642</x:v>
      </x:c>
      <x:c r="B17" s="24" t="str">
        <x:v>Romania</x:v>
      </x:c>
      <x:c r="C17" s="24" t="str">
        <x:v>EEZ</x:v>
      </x:c>
      <x:c r="D17" s="30" t="n">
        <x:v>2019</x:v>
      </x:c>
      <x:c r="E17" s="24" t="str">
        <x:v>Alosa</x:v>
      </x:c>
      <x:c r="F17" s="24" t="str">
        <x:v>Shads</x:v>
      </x:c>
      <x:c r="G17" s="24" t="str">
        <x:v>Medium pelagics (30 - 89 cm)</x:v>
      </x:c>
      <x:c r="H17" s="24" t="str">
        <x:v>Herring-likes</x:v>
      </x:c>
      <x:c r="I17" s="31" t="n">
        <x:v>0.14</x:v>
      </x:c>
      <x:c r="J17" s="31" t="n">
        <x:v>0.14</x:v>
      </x:c>
      <x:c r="K17" s="31" t="n">
        <x:v>0</x:v>
      </x:c>
      <x:c r="L17" s="31" t="n">
        <x:v>0.14</x:v>
      </x:c>
      <x:c r="M17" s="31" t="n">
        <x:v>0</x:v>
      </x:c>
      <x:c r="N17" s="24" t="str">
        <x:v>alosa</x:v>
      </x:c>
      <x:c r="O17" s="32" t="n">
        <x:v>3.89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Alosa</x:v>
      </x:c>
      <x:c r="T17" s="32" t="n">
        <x:f>IF(O17="","",(1/'Metadata'!$B$5)^(O17-1))</x:f>
        <x:v>776.247116628692</x:v>
      </x:c>
      <x:c r="U17" s="31" t="n">
        <x:f>IF(T17="","",I17*T17)</x:f>
        <x:v>108.67459632801689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fb79f9b747488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71.0762269602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9156.391751751707</x:v>
      </x:c>
    </x:row>
    <x:row r="3" ht="18" customHeight="1">
      <x:c r="A3" s="24" t="str">
        <x:v>Cod-likes</x:v>
      </x:c>
      <x:c r="B3" s="31" t="n">
        <x:v>1.8599999998</x:v>
      </x:c>
      <x:c r="C3" s="32" t="n">
        <x:v>4.36</x:v>
      </x:c>
      <x:c r="D3" s="32" t="n">
        <x:f>IF(C3="","",(1/'Metadata'!$B$5)^(C3-1))</x:f>
        <x:v>2290.867652767775</x:v>
      </x:c>
      <x:c r="E3" s="31" t="n">
        <x:f>IF(B3=0,"",B3*D3)</x:f>
        <x:v>4261.013833689888</x:v>
      </x:c>
    </x:row>
    <x:row r="4" ht="18" customHeight="1">
      <x:c r="A4" s="24" t="str">
        <x:v>Flatfishes</x:v>
      </x:c>
      <x:c r="B4" s="31" t="n">
        <x:v>392.78063118079996</x:v>
      </x:c>
      <x:c r="C4" s="32" t="n">
        <x:v>4.36</x:v>
      </x:c>
      <x:c r="D4" s="32" t="n">
        <x:f>IF(C4="","",(1/'Metadata'!$B$5)^(C4-1))</x:f>
        <x:v>2290.867652767775</x:v>
      </x:c>
      <x:c r="E4" s="31" t="n">
        <x:f>IF(B4=0,"",B4*D4)</x:f>
        <x:v>899808.4426058043</x:v>
      </x:c>
    </x:row>
    <x:row r="5" ht="18" customHeight="1">
      <x:c r="A5" s="24" t="str">
        <x:v>Herring-likes</x:v>
      </x:c>
      <x:c r="B5" s="31" t="n">
        <x:v>55.9406616402</x:v>
      </x:c>
      <x:c r="C5" s="32" t="n">
        <x:v>3.3531028421409883</x:v>
      </x:c>
      <x:c r="D5" s="32" t="n">
        <x:f>IF(C5="","",(1/'Metadata'!$B$5)^(C5-1))</x:f>
        <x:v>225.47730854752396</x:v>
      </x:c>
      <x:c r="E5" s="31" t="n">
        <x:f>IF(B5=0,"",B5*D5)</x:f>
        <x:v>12613.349825000012</x:v>
      </x:c>
    </x:row>
    <x:row r="6" ht="18" customHeight="1">
      <x:c r="A6" s="24" t="str">
        <x:v>Molluscs</x:v>
      </x:c>
      <x:c r="B6" s="31" t="n">
        <x:v>158.5</x:v>
      </x:c>
      <x:c r="C6" s="32" t="n">
        <x:v>2.69</x:v>
      </x:c>
      <x:c r="D6" s="32" t="n">
        <x:f>IF(C6="","",(1/'Metadata'!$B$5)^(C6-1))</x:f>
        <x:v>48.97788193684461</x:v>
      </x:c>
      <x:c r="E6" s="31" t="n">
        <x:f>IF(B6=0,"",B6*D6)</x:f>
        <x:v>7762.9942869898705</x:v>
      </x:c>
    </x:row>
    <x:row r="7" ht="18" customHeight="1">
      <x:c r="A7" s="24" t="str">
        <x:v>Other fishes &amp; inverts</x:v>
      </x:c>
      <x:c r="B7" s="31" t="n">
        <x:v>6823.4534950308</x:v>
      </x:c>
      <x:c r="C7" s="32" t="n">
        <x:v>3.280588089301542</x:v>
      </x:c>
      <x:c r="D7" s="32" t="n">
        <x:f>IF(C7="","",(1/'Metadata'!$B$5)^(C7-1))</x:f>
        <x:v>190.8042698982646</x:v>
      </x:c>
      <x:c r="E7" s="31" t="n">
        <x:f>IF(B7=0,"",B7*D7)</x:f>
        <x:v>1301944.0623041138</x:v>
      </x:c>
    </x:row>
    <x:row r="8" ht="18" customHeight="1">
      <x:c r="A8" s="24" t="str">
        <x:v>Perch-likes</x:v>
      </x:c>
      <x:c r="B8" s="31" t="n">
        <x:v>599.3551923127</x:v>
      </x:c>
      <x:c r="C8" s="32" t="n">
        <x:v>3.066898456866311</x:v>
      </x:c>
      <x:c r="D8" s="32" t="n">
        <x:f>IF(C8="","",(1/'Metadata'!$B$5)^(C8-1))</x:f>
        <x:v>116.65368352049427</x:v>
      </x:c>
      <x:c r="E8" s="31" t="n">
        <x:f>IF(B8=0,"",B8*D8)</x:f>
        <x:v>69916.99092041068</x:v>
      </x:c>
    </x:row>
    <x:row r="9" ht="18" customHeight="1">
      <x:c r="A9" s="24" t="str">
        <x:v>Sharks &amp; rays</x:v>
      </x:c>
      <x:c r="B9" s="31" t="n">
        <x:v>1.01</x:v>
      </x:c>
      <x:c r="C9" s="32" t="n">
        <x:v>4.05</x:v>
      </x:c>
      <x:c r="D9" s="32" t="n">
        <x:f>IF(C9="","",(1/'Metadata'!$B$5)^(C9-1))</x:f>
        <x:v>1122.018454301963</x:v>
      </x:c>
      <x:c r="E9" s="31" t="n">
        <x:f>IF(B9=0,"",B9*D9)</x:f>
        <x:v>1133.2386388449827</x:v>
      </x:c>
    </x:row>
    <x:row r="10" ht="18" customHeight="1">
      <x:c r="A10" s="24" t="str">
        <x:v>Tuna &amp; billfishes</x:v>
      </x:c>
      <x:c r="B10" s="31" t="n">
        <x:v>12.5347741948</x:v>
      </x:c>
      <x:c r="C10" s="32" t="n">
        <x:v>4.5</x:v>
      </x:c>
      <x:c r="D10" s="32" t="n">
        <x:f>IF(C10="","",(1/'Metadata'!$B$5)^(C10-1))</x:f>
        <x:v>3162.2776601683795</x:v>
      </x:c>
      <x:c r="E10" s="31" t="n">
        <x:f>IF(B10=0,"",B10*D10)</x:f>
        <x:v>39638.43641147113</x:v>
      </x:c>
    </x:row>
  </x:sheetData>
  <x:pageMargins left="0.7" right="0.7" top="0.75" bottom="0.75" header="0.3" footer="0.3"/>
  <x:tableParts count="1">
    <x:tablePart xmlns:r="http://schemas.openxmlformats.org/officeDocument/2006/relationships" r:id="Rac0644d8e6d042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flatfishes (&gt;=90 cm)</x:v>
      </x:c>
      <x:c r="B2" s="31" t="n">
        <x:v>392.78063118079996</x:v>
      </x:c>
      <x:c r="C2" s="32" t="n">
        <x:v>4.36</x:v>
      </x:c>
      <x:c r="D2" s="32" t="n">
        <x:f>IF(C2="","",(1/'Metadata'!$B$5)^(C2-1))</x:f>
        <x:v>2290.867652767775</x:v>
      </x:c>
      <x:c r="E2" s="31" t="n">
        <x:f>IF(B2=0,"",B2*D2)</x:f>
        <x:v>899808.4426058043</x:v>
      </x:c>
    </x:row>
    <x:row r="3" ht="18" customHeight="1">
      <x:c r="A3" s="24" t="str">
        <x:v>Large pelagics (&gt;=90 cm)</x:v>
      </x:c>
      <x:c r="B3" s="31" t="n">
        <x:v>6.2972978807</x:v>
      </x:c>
      <x:c r="C3" s="32" t="n">
        <x:v>4.53</x:v>
      </x:c>
      <x:c r="D3" s="32" t="n">
        <x:f>IF(C3="","",(1/'Metadata'!$B$5)^(C3-1))</x:f>
        <x:v>3388.4415613920273</x:v>
      </x:c>
      <x:c r="E3" s="31" t="n">
        <x:f>IF(B3=0,"",B3*D3)</x:f>
        <x:v>21338.025863429815</x:v>
      </x:c>
    </x:row>
    <x:row r="4" ht="18" customHeight="1">
      <x:c r="A4" s="24" t="str">
        <x:v>Large rays (&gt;=90 cm)</x:v>
      </x:c>
      <x:c r="B4" s="31" t="n">
        <x:v>1.01</x:v>
      </x:c>
      <x:c r="C4" s="32" t="n">
        <x:v>4.05</x:v>
      </x:c>
      <x:c r="D4" s="32" t="n">
        <x:f>IF(C4="","",(1/'Metadata'!$B$5)^(C4-1))</x:f>
        <x:v>1122.018454301963</x:v>
      </x:c>
      <x:c r="E4" s="31" t="n">
        <x:f>IF(B4=0,"",B4*D4)</x:f>
        <x:v>1133.2386388449827</x:v>
      </x:c>
    </x:row>
    <x:row r="5" ht="18" customHeight="1">
      <x:c r="A5" s="24" t="str">
        <x:v>Medium benthopelagics (30 - 89 cm)</x:v>
      </x:c>
      <x:c r="B5" s="31" t="n">
        <x:v>1.8599999998</x:v>
      </x:c>
      <x:c r="C5" s="32" t="n">
        <x:v>4.36</x:v>
      </x:c>
      <x:c r="D5" s="32" t="n">
        <x:f>IF(C5="","",(1/'Metadata'!$B$5)^(C5-1))</x:f>
        <x:v>2290.867652767775</x:v>
      </x:c>
      <x:c r="E5" s="31" t="n">
        <x:f>IF(B5=0,"",B5*D5)</x:f>
        <x:v>4261.013833689888</x:v>
      </x:c>
    </x:row>
    <x:row r="6" ht="18" customHeight="1">
      <x:c r="A6" s="24" t="str">
        <x:v>Medium demersals (30 - 89 cm)</x:v>
      </x:c>
      <x:c r="B6" s="31" t="n">
        <x:v>6818.893495030799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1299313.3694756296</x:v>
      </x:c>
    </x:row>
    <x:row r="7" ht="18" customHeight="1">
      <x:c r="A7" s="24" t="str">
        <x:v>Medium pelagics (30 - 89 cm)</x:v>
      </x:c>
      <x:c r="B7" s="31" t="n">
        <x:v>175.6080296904</x:v>
      </x:c>
      <x:c r="C7" s="32" t="n">
        <x:v>3.8558399538379877</x:v>
      </x:c>
      <x:c r="D7" s="32" t="n">
        <x:f>IF(C7="","",(1/'Metadata'!$B$5)^(C7-1))</x:f>
        <x:v>717.5298185207416</x:v>
      </x:c>
      <x:c r="E7" s="31" t="n">
        <x:f>IF(B7=0,"",B7*D7)</x:f>
        <x:v>126003.99767453772</x:v>
      </x:c>
    </x:row>
    <x:row r="8" ht="18" customHeight="1">
      <x:c r="A8" s="24" t="str">
        <x:v>Medium reef assoc. fish (30 - 89 cm)</x:v>
      </x:c>
      <x:c r="B8" s="31" t="n">
        <x:v>224.2173194682</x:v>
      </x:c>
      <x:c r="C8" s="32" t="n">
        <x:v>2.546591046618625</x:v>
      </x:c>
      <x:c r="D8" s="32" t="n">
        <x:f>IF(C8="","",(1/'Metadata'!$B$5)^(C8-1))</x:f>
        <x:v>35.203921720139576</x:v>
      </x:c>
      <x:c r="E8" s="31" t="n">
        <x:f>IF(B8=0,"",B8*D8)</x:f>
        <x:v>7893.3289628580405</x:v>
      </x:c>
    </x:row>
    <x:row r="9" ht="18" customHeight="1">
      <x:c r="A9" s="24" t="str">
        <x:v>Other demersal invertebrates</x:v>
      </x:c>
      <x:c r="B9" s="31" t="n">
        <x:v>158.5</x:v>
      </x:c>
      <x:c r="C9" s="32" t="n">
        <x:v>2.69</x:v>
      </x:c>
      <x:c r="D9" s="32" t="n">
        <x:f>IF(C9="","",(1/'Metadata'!$B$5)^(C9-1))</x:f>
        <x:v>48.97788193684461</x:v>
      </x:c>
      <x:c r="E9" s="31" t="n">
        <x:f>IF(B9=0,"",B9*D9)</x:f>
        <x:v>7762.9942869898705</x:v>
      </x:c>
    </x:row>
    <x:row r="10" ht="18" customHeight="1">
      <x:c r="A10" s="24" t="str">
        <x:v>Small pelagics (&lt;30 cm)</x:v>
      </x:c>
      <x:c r="B10" s="31" t="n">
        <x:v>107.21688860040001</x:v>
      </x:c>
      <x:c r="C10" s="32" t="n">
        <x:v>3.0762920066866544</x:v>
      </x:c>
      <x:c r="D10" s="32" t="n">
        <x:f>IF(C10="","",(1/'Metadata'!$B$5)^(C10-1))</x:f>
        <x:v>119.20432330364137</x:v>
      </x:c>
      <x:c r="E10" s="31" t="n">
        <x:f>IF(B10=0,"",B10*D10)</x:f>
        <x:v>12780.716652332585</x:v>
      </x:c>
    </x:row>
    <x:row r="11" ht="18" customHeight="1">
      <x:c r="A11" s="24" t="str">
        <x:v>Small reef assoc. fish (&lt;30 cm)</x:v>
      </x:c>
      <x:c r="B11" s="31" t="n">
        <x:v>230.1273194682</x:v>
      </x:c>
      <x:c r="C11" s="32" t="n">
        <x:v>3.11</x:v>
      </x:c>
      <x:c r="D11" s="32" t="n">
        <x:f>IF(C11="","",(1/'Metadata'!$B$5)^(C11-1))</x:f>
        <x:v>128.82495516931337</x:v>
      </x:c>
      <x:c r="E11" s="31" t="n">
        <x:f>IF(B11=0,"",B11*D11)</x:f>
        <x:v>29646.14161372512</x:v>
      </x:c>
    </x:row>
  </x:sheetData>
  <x:pageMargins left="0.7" right="0.7" top="0.75" bottom="0.75" header="0.3" footer="0.3"/>
  <x:tableParts count="1">
    <x:tablePart xmlns:r="http://schemas.openxmlformats.org/officeDocument/2006/relationships" r:id="Raafc4fbefe1a44f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EEZ_642</x:v>
      </x:c>
      <x:c r="B2" s="24" t="str">
        <x:v>raw_filtered_tonnes</x:v>
      </x:c>
      <x:c r="C2" s="24" t="n">
        <x:v>8116.5109813193</x:v>
      </x:c>
      <x:c r="D2" s="24" t="str">
        <x:v>tonnes</x:v>
      </x:c>
    </x:row>
    <x:row r="3" ht="18" customHeight="1">
      <x:c r="A3" s="24" t="str">
        <x:v>EEZ_642</x:v>
      </x:c>
      <x:c r="B3" s="24" t="str">
        <x:v>species_catch_tonnes</x:v>
      </x:c>
      <x:c r="C3" s="24" t="n">
        <x:v>8116.5109813192985</x:v>
      </x:c>
      <x:c r="D3" s="24" t="str">
        <x:v>tonnes</x:v>
      </x:c>
    </x:row>
    <x:row r="4" ht="18" customHeight="1">
      <x:c r="A4" s="24" t="str">
        <x:v>EEZ_642</x:v>
      </x:c>
      <x:c r="B4" s="24" t="str">
        <x:v>catch_difference_tonnes</x:v>
      </x:c>
      <x:c r="C4" s="24" t="n">
        <x:v>-1.8189894035458565e-12</x:v>
      </x:c>
      <x:c r="D4" s="24" t="str">
        <x:v>tonnes</x:v>
      </x:c>
    </x:row>
    <x:row r="5" ht="18" customHeight="1">
      <x:c r="A5" s="24" t="str">
        <x:v>EEZ_642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EEZ_642</x:v>
      </x:c>
      <x:c r="B6" s="24" t="str">
        <x:v>matched_catch_tonnes</x:v>
      </x:c>
      <x:c r="C6" s="24" t="n">
        <x:v>8116.5109813192985</x:v>
      </x:c>
      <x:c r="D6" s="24" t="str">
        <x:v>tonnes</x:v>
      </x:c>
    </x:row>
    <x:row r="7" ht="18" customHeight="1">
      <x:c r="A7" s="24" t="str">
        <x:v>EEZ_642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EEZ_642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EEZ_642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EEZ_642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EEZ_642</x:v>
      </x:c>
      <x:c r="B11" s="24" t="str">
        <x:v>species_ppr</x:v>
      </x:c>
      <x:c r="C11" s="24" t="n">
        <x:v>2431527.305444525</x:v>
      </x:c>
      <x:c r="D11" s="24" t="str">
        <x:v>tonnes_primary_production_equivalent</x:v>
      </x:c>
    </x:row>
    <x:row r="12" ht="18" customHeight="1">
      <x:c r="A12" s="24" t="str">
        <x:v>EEZ_642</x:v>
      </x:c>
      <x:c r="B12" s="24" t="str">
        <x:v>commercial_ppr</x:v>
      </x:c>
      <x:c r="C12" s="24" t="n">
        <x:v>2346234.9205780765</x:v>
      </x:c>
      <x:c r="D12" s="24" t="str">
        <x:v>tonnes_primary_production_equivalent</x:v>
      </x:c>
    </x:row>
    <x:row r="13" ht="18" customHeight="1">
      <x:c r="A13" s="24" t="str">
        <x:v>EEZ_642</x:v>
      </x:c>
      <x:c r="B13" s="24" t="str">
        <x:v>functional_ppr</x:v>
      </x:c>
      <x:c r="C13" s="24" t="n">
        <x:v>2409941.2696078424</x:v>
      </x:c>
      <x:c r="D13" s="24" t="str">
        <x:v>tonnes_primary_production_equivalent</x:v>
      </x:c>
    </x:row>
    <x:row r="14" ht="18" customHeight="1">
      <x:c r="A14" s="24" t="str">
        <x:v>EEZ_642</x:v>
      </x:c>
      <x:c r="B14" s="24" t="str">
        <x:v>commercial_ppr_difference</x:v>
      </x:c>
      <x:c r="C14" s="24" t="n">
        <x:v>-85292.38486644858</x:v>
      </x:c>
      <x:c r="D14" s="24" t="str">
        <x:v>tonnes_primary_production_equivalent</x:v>
      </x:c>
    </x:row>
    <x:row r="15" ht="18" customHeight="1">
      <x:c r="A15" s="24" t="str">
        <x:v>EEZ_642</x:v>
      </x:c>
      <x:c r="B15" s="24" t="str">
        <x:v>functional_ppr_difference</x:v>
      </x:c>
      <x:c r="C15" s="24" t="n">
        <x:v>-21586.035836682655</x:v>
      </x:c>
      <x:c r="D15" s="24" t="str">
        <x:v>tonnes_primary_production_equivalent</x:v>
      </x:c>
    </x:row>
    <x:row r="16" ht="18" customHeight="1">
      <x:c r="A16" s="24" t="str">
        <x:v>EEZ_642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EEZ_642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d1a986919ce4c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EEZ_642 - Romania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