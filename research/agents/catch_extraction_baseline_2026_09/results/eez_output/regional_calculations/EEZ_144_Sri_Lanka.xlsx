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4a58b3090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9a3f8d1c8fb4286"/>
    <x:sheet xmlns:r="http://schemas.openxmlformats.org/officeDocument/2006/relationships" name="Commercial" sheetId="2" r:id="R6f1d251a7fd84790"/>
    <x:sheet xmlns:r="http://schemas.openxmlformats.org/officeDocument/2006/relationships" name="Functional" sheetId="3" r:id="R081b4b316ff34a46"/>
    <x:sheet xmlns:r="http://schemas.openxmlformats.org/officeDocument/2006/relationships" name="Missing TL" sheetId="4" r:id="R9c8e6b5977184d18"/>
    <x:sheet xmlns:r="http://schemas.openxmlformats.org/officeDocument/2006/relationships" name="Validation" sheetId="5" r:id="Rdd8a40d0ee394de0"/>
    <x:sheet xmlns:r="http://schemas.openxmlformats.org/officeDocument/2006/relationships" name="Metadata" sheetId="6" r:id="Rebe43f72d79e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7f18fe85142b8" /><Relationship Type="http://schemas.openxmlformats.org/officeDocument/2006/relationships/theme" Target="/xl/theme/theme1.xml" Id="R89600b1f7aa04b9f" /><Relationship Type="http://schemas.microsoft.com/office/2022/11/relationships/FeaturePropertyBag" Target="/xl/featurePropertyBag/featurePropertyBag.xml" Id="R2c852065bfe34567" /><Relationship Type="http://schemas.openxmlformats.org/officeDocument/2006/relationships/sharedStrings" Target="/xl/sharedStrings.xml" Id="Rdfbe21efa96f4628" /><Relationship Type="http://schemas.openxmlformats.org/officeDocument/2006/relationships/worksheet" Target="/xl/worksheets/sheet1.xml" Id="R99a3f8d1c8fb4286" /><Relationship Type="http://schemas.openxmlformats.org/officeDocument/2006/relationships/worksheet" Target="/xl/worksheets/sheet2.xml" Id="R6f1d251a7fd84790" /><Relationship Type="http://schemas.openxmlformats.org/officeDocument/2006/relationships/worksheet" Target="/xl/worksheets/sheet3.xml" Id="R081b4b316ff34a46" /><Relationship Type="http://schemas.openxmlformats.org/officeDocument/2006/relationships/worksheet" Target="/xl/worksheets/sheet4.xml" Id="R9c8e6b5977184d18" /><Relationship Type="http://schemas.openxmlformats.org/officeDocument/2006/relationships/worksheet" Target="/xl/worksheets/sheet5.xml" Id="Rdd8a40d0ee394de0" /><Relationship Type="http://schemas.openxmlformats.org/officeDocument/2006/relationships/worksheet" Target="/xl/worksheets/sheet6.xml" Id="Rebe43f72d79e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44SpeciesTable" displayName="EEZ144SpeciesTable" ref="A1:U80" headerRowCount="1" totalsRowCount="0" totalsRowShown="0">
  <x:autoFilter ref="A1:U8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44CommercialTable" displayName="EEZ144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44FunctionalTable" displayName="EEZ144FunctionalTable" ref="A1:E15" headerRowCount="1" totalsRowCount="0" totalsRowShown="0">
  <x:autoFilter ref="A1:E1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44ValidationTable" displayName="EEZ14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d557595a548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6f7d173e22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656233baa146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678638b4944d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EEZ_144</x:v>
      </x:c>
      <x:c r="B2" s="24" t="str">
        <x:v>Sri Lanka</x:v>
      </x:c>
      <x:c r="C2" s="24" t="str">
        <x:v>EEZ</x:v>
      </x:c>
      <x:c r="D2" s="30" t="n">
        <x:v>2019</x:v>
      </x:c>
      <x:c r="E2" s="24" t="str">
        <x:v>Clupeiformes</x:v>
      </x:c>
      <x:c r="F2" s="24" t="str">
        <x:v>Herrings, shads, anchovies</x:v>
      </x:c>
      <x:c r="G2" s="24" t="str">
        <x:v>Small pelagics (&lt;30 cm)</x:v>
      </x:c>
      <x:c r="H2" s="24" t="str">
        <x:v>Other fishes &amp; inverts</x:v>
      </x:c>
      <x:c r="I2" s="31" t="n">
        <x:v>92506.2537472</x:v>
      </x:c>
      <x:c r="J2" s="31" t="n">
        <x:v>92403.389052</x:v>
      </x:c>
      <x:c r="K2" s="31" t="n">
        <x:v>102.8646952</x:v>
      </x:c>
      <x:c r="L2" s="31" t="n">
        <x:v>92403.389052</x:v>
      </x:c>
      <x:c r="M2" s="31" t="n">
        <x:v>102.8646952</x:v>
      </x:c>
      <x:c r="N2" s="24" t="str">
        <x:v>clupeiformes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Clupeiformes</x:v>
      </x:c>
      <x:c r="T2" s="32" t="n">
        <x:f>IF(O2="","",(1/'Metadata'!$B$5)^(O2-1))</x:f>
        <x:v>173.78008287493762</x:v>
      </x:c>
      <x:c r="U2" s="31" t="n">
        <x:f>IF(T2="","",I2*T2)</x:f>
        <x:v>16075744.442638423</x:v>
      </x:c>
    </x:row>
    <x:row r="3" ht="18" customHeight="1">
      <x:c r="A3" s="24" t="str">
        <x:v>EEZ_144</x:v>
      </x:c>
      <x:c r="B3" s="24" t="str">
        <x:v>Sri Lanka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51591.150698856</x:v>
      </x:c>
      <x:c r="J3" s="31" t="n">
        <x:v>47822.1822292639</x:v>
      </x:c>
      <x:c r="K3" s="31" t="n">
        <x:v>3768.9684695921</x:v>
      </x:c>
      <x:c r="L3" s="31" t="n">
        <x:v>40089.8046086525</x:v>
      </x:c>
      <x:c r="M3" s="31" t="n">
        <x:v>11501.346090203499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9830491.105119219</x:v>
      </x:c>
    </x:row>
    <x:row r="4" ht="18" customHeight="1">
      <x:c r="A4" s="24" t="str">
        <x:v>EEZ_144</x:v>
      </x:c>
      <x:c r="B4" s="24" t="str">
        <x:v>Sri Lanka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24396.9690056073</x:v>
      </x:c>
      <x:c r="J4" s="31" t="n">
        <x:v>24378.9941496973</x:v>
      </x:c>
      <x:c r="K4" s="31" t="n">
        <x:v>17.97485591</x:v>
      </x:c>
      <x:c r="L4" s="31" t="n">
        <x:v>22952.177808516</x:v>
      </x:c>
      <x:c r="M4" s="31" t="n">
        <x:v>1444.7911970913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27373849.453324404</x:v>
      </x:c>
    </x:row>
    <x:row r="5" ht="18" customHeight="1">
      <x:c r="A5" s="24" t="str">
        <x:v>EEZ_144</x:v>
      </x:c>
      <x:c r="B5" s="24" t="str">
        <x:v>Sri Lanka</x:v>
      </x:c>
      <x:c r="C5" s="24" t="str">
        <x:v>EEZ</x:v>
      </x:c>
      <x:c r="D5" s="30" t="n">
        <x:v>2019</x:v>
      </x:c>
      <x:c r="E5" s="24" t="str">
        <x:v>Leiognathidae</x:v>
      </x:c>
      <x:c r="F5" s="24" t="str">
        <x:v>Slipmouths, ponyfishes</x:v>
      </x:c>
      <x:c r="G5" s="24" t="str">
        <x:v>Small benthopelagics (&lt;30 cm)</x:v>
      </x:c>
      <x:c r="H5" s="24" t="str">
        <x:v>Perch-likes</x:v>
      </x:c>
      <x:c r="I5" s="31" t="n">
        <x:v>24326.0726823969</x:v>
      </x:c>
      <x:c r="J5" s="31" t="n">
        <x:v>13189.6482379646</x:v>
      </x:c>
      <x:c r="K5" s="31" t="n">
        <x:v>11136.4244444323</x:v>
      </x:c>
      <x:c r="L5" s="31" t="n">
        <x:v>8909.1992144205</x:v>
      </x:c>
      <x:c r="M5" s="31" t="n">
        <x:v>15416.8734679764</x:v>
      </x:c>
      <x:c r="N5" s="24" t="str">
        <x:v>leiognathidae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Leiognathidae</x:v>
      </x:c>
      <x:c r="T5" s="32" t="n">
        <x:f>IF(O5="","",(1/'Metadata'!$B$5)^(O5-1))</x:f>
        <x:v>173.78008287493762</x:v>
      </x:c>
      <x:c r="U5" s="31" t="n">
        <x:f>IF(T5="","",I5*T5)</x:f>
        <x:v>4227386.926768689</x:v>
      </x:c>
    </x:row>
    <x:row r="6" ht="18" customHeight="1">
      <x:c r="A6" s="24" t="str">
        <x:v>EEZ_144</x:v>
      </x:c>
      <x:c r="B6" s="24" t="str">
        <x:v>Sri Lanka</x:v>
      </x:c>
      <x:c r="C6" s="24" t="str">
        <x:v>EEZ</x:v>
      </x:c>
      <x:c r="D6" s="30" t="n">
        <x:v>2019</x:v>
      </x:c>
      <x:c r="E6" s="24" t="str">
        <x:v>Metapenaeus</x:v>
      </x:c>
      <x:c r="F6" s="24" t="str">
        <x:v>Indo-Pacific prawns</x:v>
      </x:c>
      <x:c r="G6" s="24" t="str">
        <x:v>Shrimps</x:v>
      </x:c>
      <x:c r="H6" s="24" t="str">
        <x:v>Crustaceans</x:v>
      </x:c>
      <x:c r="I6" s="31" t="n">
        <x:v>12644.2105263158</x:v>
      </x:c>
      <x:c r="J6" s="31" t="n">
        <x:v>12644.2105263158</x:v>
      </x:c>
      <x:c r="K6" s="31" t="n">
        <x:v>0</x:v>
      </x:c>
      <x:c r="L6" s="31" t="n">
        <x:v>12644.2105263158</x:v>
      </x:c>
      <x:c r="M6" s="31" t="n">
        <x:v>0</x:v>
      </x:c>
      <x:c r="N6" s="24" t="str">
        <x:v>metapenaeus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Metapenaeus</x:v>
      </x:c>
      <x:c r="T6" s="32" t="n">
        <x:f>IF(O6="","",(1/'Metadata'!$B$5)^(O6-1))</x:f>
        <x:v>50.11872336272725</x:v>
      </x:c>
      <x:c r="U6" s="31" t="n">
        <x:f>IF(T6="","",I6*T6)</x:f>
        <x:v>633711.6895085055</x:v>
      </x:c>
    </x:row>
    <x:row r="7" ht="18" customHeight="1">
      <x:c r="A7" s="24" t="str">
        <x:v>EEZ_144</x:v>
      </x:c>
      <x:c r="B7" s="24" t="str">
        <x:v>Sri Lanka</x:v>
      </x:c>
      <x:c r="C7" s="24" t="str">
        <x:v>EEZ</x:v>
      </x:c>
      <x:c r="D7" s="30" t="n">
        <x:v>2019</x:v>
      </x:c>
      <x:c r="E7" s="24" t="str">
        <x:v>Cephalopoda</x:v>
      </x:c>
      <x:c r="F7" s="24" t="str">
        <x:v>Squids, cuttlefishes, octopuses</x:v>
      </x:c>
      <x:c r="G7" s="24" t="str">
        <x:v>Cephalopods</x:v>
      </x:c>
      <x:c r="H7" s="24" t="str">
        <x:v>Other fishes &amp; inverts</x:v>
      </x:c>
      <x:c r="I7" s="31" t="n">
        <x:v>10569.9999999999</x:v>
      </x:c>
      <x:c r="J7" s="31" t="n">
        <x:v>10569.9999999999</x:v>
      </x:c>
      <x:c r="K7" s="31" t="n">
        <x:v>0</x:v>
      </x:c>
      <x:c r="L7" s="31" t="n">
        <x:v>10569.9999999999</x:v>
      </x:c>
      <x:c r="M7" s="31" t="n">
        <x:v>0</x:v>
      </x:c>
      <x:c r="N7" s="24" t="str">
        <x:v>cephalopoda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Cephalopoda</x:v>
      </x:c>
      <x:c r="T7" s="32" t="n">
        <x:f>IF(O7="","",(1/'Metadata'!$B$5)^(O7-1))</x:f>
        <x:v>645.6542290346556</x:v>
      </x:c>
      <x:c r="U7" s="31" t="n">
        <x:f>IF(T7="","",I7*T7)</x:f>
        <x:v>6824565.200896245</x:v>
      </x:c>
    </x:row>
    <x:row r="8" ht="18" customHeight="1">
      <x:c r="A8" s="24" t="str">
        <x:v>EEZ_144</x:v>
      </x:c>
      <x:c r="B8" s="24" t="str">
        <x:v>Sri Lanka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5590.7816307647</x:v>
      </x:c>
      <x:c r="J8" s="31" t="n">
        <x:v>5590.7816307647</x:v>
      </x:c>
      <x:c r="K8" s="31" t="n">
        <x:v>0</x:v>
      </x:c>
      <x:c r="L8" s="31" t="n">
        <x:v>240.2203489667</x:v>
      </x:c>
      <x:c r="M8" s="31" t="n">
        <x:v>5350.561281798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1251620.101791251</x:v>
      </x:c>
    </x:row>
    <x:row r="9" ht="18" customHeight="1">
      <x:c r="A9" s="24" t="str">
        <x:v>EEZ_144</x:v>
      </x:c>
      <x:c r="B9" s="24" t="str">
        <x:v>Sri Lanka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4767.019796919</x:v>
      </x:c>
      <x:c r="J9" s="31" t="n">
        <x:v>4759.096185724</x:v>
      </x:c>
      <x:c r="K9" s="31" t="n">
        <x:v>7.923611195</x:v>
      </x:c>
      <x:c r="L9" s="31" t="n">
        <x:v>1192.0553327707</x:v>
      </x:c>
      <x:c r="M9" s="31" t="n">
        <x:v>3574.9644641483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689044.00023999</x:v>
      </x:c>
    </x:row>
    <x:row r="10" ht="18" customHeight="1">
      <x:c r="A10" s="24" t="str">
        <x:v>EEZ_144</x:v>
      </x:c>
      <x:c r="B10" s="24" t="str">
        <x:v>Sri Lanka</x:v>
      </x:c>
      <x:c r="C10" s="24" t="str">
        <x:v>EEZ</x:v>
      </x:c>
      <x:c r="D10" s="30" t="n">
        <x:v>2019</x:v>
      </x:c>
      <x:c r="E10" s="24" t="str">
        <x:v>Miscellaneous aquatic invertebrates</x:v>
      </x:c>
      <x:c r="F10" s="24" t="str">
        <x:v>Aquatic invertebrates</x:v>
      </x:c>
      <x:c r="G10" s="24" t="str">
        <x:v>Other demersal invertebrates</x:v>
      </x:c>
      <x:c r="H10" s="24" t="str">
        <x:v>Other fishes &amp; inverts</x:v>
      </x:c>
      <x:c r="I10" s="31" t="n">
        <x:v>4280.4490235441</x:v>
      </x:c>
      <x:c r="J10" s="31" t="n">
        <x:v>4280.4490235441</x:v>
      </x:c>
      <x:c r="K10" s="31" t="n">
        <x:v>0</x:v>
      </x:c>
      <x:c r="L10" s="31" t="n">
        <x:v>0</x:v>
      </x:c>
      <x:c r="M10" s="31" t="n">
        <x:v>4280.4490235441</x:v>
      </x:c>
      <x:c r="N10" s="24" t="str">
        <x:v>miscellaneous aquatic invertebrates</x:v>
      </x:c>
      <x:c r="O10" s="32" t="n">
        <x:v>2.43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aquatic invertebrates</x:v>
      </x:c>
      <x:c r="T10" s="32" t="n">
        <x:f>IF(O10="","",(1/'Metadata'!$B$5)^(O10-1))</x:f>
        <x:v>26.915348039269166</x:v>
      </x:c>
      <x:c r="U10" s="31" t="n">
        <x:f>IF(T10="","",I10*T10)</x:f>
        <x:v>115209.7752330393</x:v>
      </x:c>
    </x:row>
    <x:row r="11" ht="18" customHeight="1">
      <x:c r="A11" s="24" t="str">
        <x:v>EEZ_144</x:v>
      </x:c>
      <x:c r="B11" s="24" t="str">
        <x:v>Sri Lanka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4280.4490235441</x:v>
      </x:c>
      <x:c r="J11" s="31" t="n">
        <x:v>4280.4490235441</x:v>
      </x:c>
      <x:c r="K11" s="31" t="n">
        <x:v>0</x:v>
      </x:c>
      <x:c r="L11" s="31" t="n">
        <x:v>0</x:v>
      </x:c>
      <x:c r="M11" s="31" t="n">
        <x:v>4280.4490235441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2463141.31788311</x:v>
      </x:c>
    </x:row>
    <x:row r="12" ht="18" customHeight="1">
      <x:c r="A12" s="24" t="str">
        <x:v>EEZ_144</x:v>
      </x:c>
      <x:c r="B12" s="24" t="str">
        <x:v>Sri Lanka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4263.1578947369</x:v>
      </x:c>
      <x:c r="J12" s="31" t="n">
        <x:v>4263.1578947369</x:v>
      </x:c>
      <x:c r="K12" s="31" t="n">
        <x:v>0</x:v>
      </x:c>
      <x:c r="L12" s="31" t="n">
        <x:v>4263.1578947369</x:v>
      </x:c>
      <x:c r="M12" s="31" t="n">
        <x:v>0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213664.03117794538</x:v>
      </x:c>
    </x:row>
    <x:row r="13" ht="18" customHeight="1">
      <x:c r="A13" s="24" t="str">
        <x:v>EEZ_144</x:v>
      </x:c>
      <x:c r="B13" s="24" t="str">
        <x:v>Sri Lanka</x:v>
      </x:c>
      <x:c r="C13" s="24" t="str">
        <x:v>EEZ</x:v>
      </x:c>
      <x:c r="D13" s="30" t="n">
        <x:v>2019</x:v>
      </x:c>
      <x:c r="E13" s="24" t="str">
        <x:v>Rastrelliger kanagurta</x:v>
      </x:c>
      <x:c r="F13" s="24" t="str">
        <x:v>Indian mackerel</x:v>
      </x:c>
      <x:c r="G13" s="24" t="str">
        <x:v>Medium pelagics (30 - 89 cm)</x:v>
      </x:c>
      <x:c r="H13" s="24" t="str">
        <x:v>Perch-likes</x:v>
      </x:c>
      <x:c r="I13" s="31" t="n">
        <x:v>4215.7892170593</x:v>
      </x:c>
      <x:c r="J13" s="31" t="n">
        <x:v>4206.2463891533</x:v>
      </x:c>
      <x:c r="K13" s="31" t="n">
        <x:v>9.542827906</x:v>
      </x:c>
      <x:c r="L13" s="31" t="n">
        <x:v>639.2055362</x:v>
      </x:c>
      <x:c r="M13" s="31" t="n">
        <x:v>3576.5836808593003</x:v>
      </x:c>
      <x:c r="N13" s="24" t="str">
        <x:v>rastrelliger kanagurta</x:v>
      </x:c>
      <x:c r="O13" s="32" t="n">
        <x:v>3.19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Rastrelliger kanagurta</x:v>
      </x:c>
      <x:c r="T13" s="32" t="n">
        <x:f>IF(O13="","",(1/'Metadata'!$B$5)^(O13-1))</x:f>
        <x:v>154.88166189124811</x:v>
      </x:c>
      <x:c r="U13" s="31" t="n">
        <x:f>IF(T13="","",I13*T13)</x:f>
        <x:v>652948.4401213481</x:v>
      </x:c>
    </x:row>
    <x:row r="14" ht="18" customHeight="1">
      <x:c r="A14" s="24" t="str">
        <x:v>EEZ_144</x:v>
      </x:c>
      <x:c r="B14" s="24" t="str">
        <x:v>Sri Lanka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3696.0408529533</x:v>
      </x:c>
      <x:c r="J14" s="31" t="n">
        <x:v>3696.0408529533</x:v>
      </x:c>
      <x:c r="K14" s="31" t="n">
        <x:v>0</x:v>
      </x:c>
      <x:c r="L14" s="31" t="n">
        <x:v>129</x:v>
      </x:c>
      <x:c r="M14" s="31" t="n">
        <x:v>3567.0408529533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6725688.713576692</x:v>
      </x:c>
    </x:row>
    <x:row r="15" ht="18" customHeight="1">
      <x:c r="A15" s="24" t="str">
        <x:v>EEZ_144</x:v>
      </x:c>
      <x:c r="B15" s="24" t="str">
        <x:v>Sri Lanka</x:v>
      </x:c>
      <x:c r="C15" s="24" t="str">
        <x:v>EEZ</x:v>
      </x:c>
      <x:c r="D15" s="30" t="n">
        <x:v>2019</x:v>
      </x:c>
      <x:c r="E15" s="24" t="str">
        <x:v>Auxis thazard</x:v>
      </x:c>
      <x:c r="F15" s="24" t="str">
        <x:v>Frigate tuna</x:v>
      </x:c>
      <x:c r="G15" s="24" t="str">
        <x:v>Medium pelagics (30 - 89 cm)</x:v>
      </x:c>
      <x:c r="H15" s="24" t="str">
        <x:v>Tuna &amp; billfishes</x:v>
      </x:c>
      <x:c r="I15" s="31" t="n">
        <x:v>3568.1291620396</x:v>
      </x:c>
      <x:c r="J15" s="31" t="n">
        <x:v>3568.1291620396</x:v>
      </x:c>
      <x:c r="K15" s="31" t="n">
        <x:v>0</x:v>
      </x:c>
      <x:c r="L15" s="31" t="n">
        <x:v>1.0883090863</x:v>
      </x:c>
      <x:c r="M15" s="31" t="n">
        <x:v>3567.0408529533</x:v>
      </x:c>
      <x:c r="N15" s="24" t="str">
        <x:v>auxis thazard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Auxis thazard</x:v>
      </x:c>
      <x:c r="T15" s="32" t="n">
        <x:f>IF(O15="","",(1/'Metadata'!$B$5)^(O15-1))</x:f>
        <x:v>2344.228815319923</x:v>
      </x:c>
      <x:c r="U15" s="31" t="n">
        <x:f>IF(T15="","",I15*T15)</x:f>
        <x:v>8364511.198436561</x:v>
      </x:c>
    </x:row>
    <x:row r="16" ht="18" customHeight="1">
      <x:c r="A16" s="24" t="str">
        <x:v>EEZ_144</x:v>
      </x:c>
      <x:c r="B16" s="24" t="str">
        <x:v>Sri Lanka</x:v>
      </x:c>
      <x:c r="C16" s="24" t="str">
        <x:v>EEZ</x:v>
      </x:c>
      <x:c r="D16" s="30" t="n">
        <x:v>2019</x:v>
      </x:c>
      <x:c r="E16" s="24" t="str">
        <x:v>Amblygaster sirm</x:v>
      </x:c>
      <x:c r="F16" s="24" t="str">
        <x:v>Spotted sardinella</x:v>
      </x:c>
      <x:c r="G16" s="24" t="str">
        <x:v>Small pelagics (&lt;30 cm)</x:v>
      </x:c>
      <x:c r="H16" s="24" t="str">
        <x:v>Herring-likes</x:v>
      </x:c>
      <x:c r="I16" s="31" t="n">
        <x:v>3567.0408529533</x:v>
      </x:c>
      <x:c r="J16" s="31" t="n">
        <x:v>3567.0408529533</x:v>
      </x:c>
      <x:c r="K16" s="31" t="n">
        <x:v>0</x:v>
      </x:c>
      <x:c r="L16" s="31" t="n">
        <x:v>0</x:v>
      </x:c>
      <x:c r="M16" s="31" t="n">
        <x:v>3567.0408529533</x:v>
      </x:c>
      <x:c r="N16" s="24" t="str">
        <x:v>amblygaster sirm</x:v>
      </x:c>
      <x:c r="O16" s="32" t="n">
        <x:v>3.2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Amblygaster sirm</x:v>
      </x:c>
      <x:c r="T16" s="32" t="n">
        <x:f>IF(O16="","",(1/'Metadata'!$B$5)^(O16-1))</x:f>
        <x:v>158.48931924611142</x:v>
      </x:c>
      <x:c r="U16" s="31" t="n">
        <x:f>IF(T16="","",I16*T16)</x:f>
        <x:v>565337.8765076372</x:v>
      </x:c>
    </x:row>
    <x:row r="17" ht="18" customHeight="1">
      <x:c r="A17" s="24" t="str">
        <x:v>EEZ_144</x:v>
      </x:c>
      <x:c r="B17" s="24" t="str">
        <x:v>Sri Lanka</x:v>
      </x:c>
      <x:c r="C17" s="24" t="str">
        <x:v>EEZ</x:v>
      </x:c>
      <x:c r="D17" s="30" t="n">
        <x:v>2019</x:v>
      </x:c>
      <x:c r="E17" s="24" t="str">
        <x:v>Sardinella gibbosa</x:v>
      </x:c>
      <x:c r="F17" s="24" t="str">
        <x:v>Goldstripe sardinella</x:v>
      </x:c>
      <x:c r="G17" s="24" t="str">
        <x:v>Small pelagics (&lt;30 cm)</x:v>
      </x:c>
      <x:c r="H17" s="24" t="str">
        <x:v>Herring-likes</x:v>
      </x:c>
      <x:c r="I17" s="31" t="n">
        <x:v>3567.0408529533</x:v>
      </x:c>
      <x:c r="J17" s="31" t="n">
        <x:v>3567.0408529533</x:v>
      </x:c>
      <x:c r="K17" s="31" t="n">
        <x:v>0</x:v>
      </x:c>
      <x:c r="L17" s="31" t="n">
        <x:v>0</x:v>
      </x:c>
      <x:c r="M17" s="31" t="n">
        <x:v>3567.0408529533</x:v>
      </x:c>
      <x:c r="N17" s="24" t="str">
        <x:v>sardinella gibbosa</x:v>
      </x:c>
      <x:c r="O17" s="32" t="n">
        <x:v>2.85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Sardinella gibbosa</x:v>
      </x:c>
      <x:c r="T17" s="32" t="n">
        <x:f>IF(O17="","",(1/'Metadata'!$B$5)^(O17-1))</x:f>
        <x:v>70.79457843841381</x:v>
      </x:c>
      <x:c r="U17" s="31" t="n">
        <x:f>IF(T17="","",I17*T17)</x:f>
        <x:v>252527.1534574289</x:v>
      </x:c>
    </x:row>
    <x:row r="18" ht="18" customHeight="1">
      <x:c r="A18" s="24" t="str">
        <x:v>EEZ_144</x:v>
      </x:c>
      <x:c r="B18" s="24" t="str">
        <x:v>Sri Lanka</x:v>
      </x:c>
      <x:c r="C18" s="24" t="str">
        <x:v>EEZ</x:v>
      </x:c>
      <x:c r="D18" s="30" t="n">
        <x:v>2019</x:v>
      </x:c>
      <x:c r="E18" s="24" t="str">
        <x:v>Sardinella</x:v>
      </x:c>
      <x:c r="F18" s="24" t="str">
        <x:v>Sardinellas</x:v>
      </x:c>
      <x:c r="G18" s="24" t="str">
        <x:v>Small pelagics (&lt;30 cm)</x:v>
      </x:c>
      <x:c r="H18" s="24" t="str">
        <x:v>Herring-likes</x:v>
      </x:c>
      <x:c r="I18" s="31" t="n">
        <x:v>3567.0408529533</x:v>
      </x:c>
      <x:c r="J18" s="31" t="n">
        <x:v>3567.0408529533</x:v>
      </x:c>
      <x:c r="K18" s="31" t="n">
        <x:v>0</x:v>
      </x:c>
      <x:c r="L18" s="31" t="n">
        <x:v>0</x:v>
      </x:c>
      <x:c r="M18" s="31" t="n">
        <x:v>3567.0408529533</x:v>
      </x:c>
      <x:c r="N18" s="24" t="str">
        <x:v>sardinella</x:v>
      </x:c>
      <x:c r="O18" s="32" t="n">
        <x:v>2.77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Sardinella</x:v>
      </x:c>
      <x:c r="T18" s="32" t="n">
        <x:f>IF(O18="","",(1/'Metadata'!$B$5)^(O18-1))</x:f>
        <x:v>58.8843655355589</x:v>
      </x:c>
      <x:c r="U18" s="31" t="n">
        <x:f>IF(T18="","",I18*T18)</x:f>
        <x:v>210042.93746557392</x:v>
      </x:c>
    </x:row>
    <x:row r="19" ht="18" customHeight="1">
      <x:c r="A19" s="24" t="str">
        <x:v>EEZ_144</x:v>
      </x:c>
      <x:c r="B19" s="24" t="str">
        <x:v>Sri Lanka</x:v>
      </x:c>
      <x:c r="C19" s="24" t="str">
        <x:v>EEZ</x:v>
      </x:c>
      <x:c r="D19" s="30" t="n">
        <x:v>2019</x:v>
      </x:c>
      <x:c r="E19" s="24" t="str">
        <x:v>Lethrinidae</x:v>
      </x:c>
      <x:c r="F19" s="24" t="str">
        <x:v>Emperors, scavengers</x:v>
      </x:c>
      <x:c r="G19" s="24" t="str">
        <x:v>Medium reef assoc. fish (30 - 89 cm)</x:v>
      </x:c>
      <x:c r="H19" s="24" t="str">
        <x:v>Perch-likes</x:v>
      </x:c>
      <x:c r="I19" s="31" t="n">
        <x:v>3364.4018035627</x:v>
      </x:c>
      <x:c r="J19" s="31" t="n">
        <x:v>3364.4018035627</x:v>
      </x:c>
      <x:c r="K19" s="31" t="n">
        <x:v>0</x:v>
      </x:c>
      <x:c r="L19" s="31" t="n">
        <x:v>510.7691212</x:v>
      </x:c>
      <x:c r="M19" s="31" t="n">
        <x:v>2853.6326823627</x:v>
      </x:c>
      <x:c r="N19" s="24" t="str">
        <x:v>lethrinidae</x:v>
      </x:c>
      <x:c r="O19" s="32" t="n">
        <x:v>3.59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Lethrinidae</x:v>
      </x:c>
      <x:c r="T19" s="32" t="n">
        <x:f>IF(O19="","",(1/'Metadata'!$B$5)^(O19-1))</x:f>
        <x:v>389.04514499428046</x:v>
      </x:c>
      <x:c r="U19" s="31" t="n">
        <x:f>IF(T19="","",I19*T19)</x:f>
        <x:v>1308904.1874860693</x:v>
      </x:c>
    </x:row>
    <x:row r="20" ht="18" customHeight="1">
      <x:c r="A20" s="24" t="str">
        <x:v>EEZ_144</x:v>
      </x:c>
      <x:c r="B20" s="24" t="str">
        <x:v>Sri Lanka</x:v>
      </x:c>
      <x:c r="C20" s="24" t="str">
        <x:v>EEZ</x:v>
      </x:c>
      <x:c r="D20" s="30" t="n">
        <x:v>2019</x:v>
      </x:c>
      <x:c r="E20" s="24" t="str">
        <x:v>Sardinella longiceps</x:v>
      </x:c>
      <x:c r="F20" s="24" t="str">
        <x:v>Indian oil sardine</x:v>
      </x:c>
      <x:c r="G20" s="24" t="str">
        <x:v>Small pelagics (&lt;30 cm)</x:v>
      </x:c>
      <x:c r="H20" s="24" t="str">
        <x:v>Herring-likes</x:v>
      </x:c>
      <x:c r="I20" s="31" t="n">
        <x:v>3133.4507479875</x:v>
      </x:c>
      <x:c r="J20" s="31" t="n">
        <x:v>3113.7320029575</x:v>
      </x:c>
      <x:c r="K20" s="31" t="n">
        <x:v>19.71874503</x:v>
      </x:c>
      <x:c r="L20" s="31" t="n">
        <x:v>3113.7320029575</x:v>
      </x:c>
      <x:c r="M20" s="31" t="n">
        <x:v>19.71874503</x:v>
      </x:c>
      <x:c r="N20" s="24" t="str">
        <x:v>sardinella longiceps</x:v>
      </x:c>
      <x:c r="O20" s="32" t="n">
        <x:v>2.41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Sardinella longiceps</x:v>
      </x:c>
      <x:c r="T20" s="32" t="n">
        <x:f>IF(O20="","",(1/'Metadata'!$B$5)^(O20-1))</x:f>
        <x:v>25.703957827688647</x:v>
      </x:c>
      <x:c r="U20" s="31" t="n">
        <x:f>IF(T20="","",I20*T20)</x:f>
        <x:v>80542.08588141015</x:v>
      </x:c>
    </x:row>
    <x:row r="21" ht="18" customHeight="1">
      <x:c r="A21" s="24" t="str">
        <x:v>EEZ_144</x:v>
      </x:c>
      <x:c r="B21" s="24" t="str">
        <x:v>Sri Lanka</x:v>
      </x:c>
      <x:c r="C21" s="24" t="str">
        <x:v>EEZ</x:v>
      </x:c>
      <x:c r="D21" s="30" t="n">
        <x:v>2019</x:v>
      </x:c>
      <x:c r="E21" s="24" t="str">
        <x:v>Penaeus indicus</x:v>
      </x:c>
      <x:c r="F21" s="24" t="str">
        <x:v>Indian white prawn</x:v>
      </x:c>
      <x:c r="G21" s="24" t="str">
        <x:v>Shrimps</x:v>
      </x:c>
      <x:c r="H21" s="24" t="str">
        <x:v>Crustaceans</x:v>
      </x:c>
      <x:c r="I21" s="31" t="n">
        <x:v>2917.8947368421</x:v>
      </x:c>
      <x:c r="J21" s="31" t="n">
        <x:v>2917.8947368421</x:v>
      </x:c>
      <x:c r="K21" s="31" t="n">
        <x:v>0</x:v>
      </x:c>
      <x:c r="L21" s="31" t="n">
        <x:v>2917.8947368421</x:v>
      </x:c>
      <x:c r="M21" s="31" t="n">
        <x:v>0</x:v>
      </x:c>
      <x:c r="N21" s="24" t="str">
        <x:v>penaeus indicus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indicus</x:v>
      </x:c>
      <x:c r="T21" s="32" t="n">
        <x:f>IF(O21="","",(1/'Metadata'!$B$5)^(O21-1))</x:f>
        <x:v>50.11872336272725</x:v>
      </x:c>
      <x:c r="U21" s="31" t="n">
        <x:f>IF(T21="","",I21*T21)</x:f>
        <x:v>146241.15911734704</x:v>
      </x:c>
    </x:row>
    <x:row r="22" ht="18" customHeight="1">
      <x:c r="A22" s="24" t="str">
        <x:v>EEZ_144</x:v>
      </x:c>
      <x:c r="B22" s="24" t="str">
        <x:v>Sri Lanka</x:v>
      </x:c>
      <x:c r="C22" s="24" t="str">
        <x:v>EEZ</x:v>
      </x:c>
      <x:c r="D22" s="30" t="n">
        <x:v>2019</x:v>
      </x:c>
      <x:c r="E22" s="24" t="str">
        <x:v>Penaeus semisulcatus</x:v>
      </x:c>
      <x:c r="F22" s="24" t="str">
        <x:v>Green tiger prawn</x:v>
      </x:c>
      <x:c r="G22" s="24" t="str">
        <x:v>Shrimps</x:v>
      </x:c>
      <x:c r="H22" s="24" t="str">
        <x:v>Crustaceans</x:v>
      </x:c>
      <x:c r="I22" s="31" t="n">
        <x:v>2917.8947368421</x:v>
      </x:c>
      <x:c r="J22" s="31" t="n">
        <x:v>2917.8947368421</x:v>
      </x:c>
      <x:c r="K22" s="31" t="n">
        <x:v>0</x:v>
      </x:c>
      <x:c r="L22" s="31" t="n">
        <x:v>2917.8947368421</x:v>
      </x:c>
      <x:c r="M22" s="31" t="n">
        <x:v>0</x:v>
      </x:c>
      <x:c r="N22" s="24" t="str">
        <x:v>penaeus semisulcatus</x:v>
      </x:c>
      <x:c r="O22" s="32" t="n">
        <x:v>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Penaeus semisulcatus</x:v>
      </x:c>
      <x:c r="T22" s="32" t="n">
        <x:f>IF(O22="","",(1/'Metadata'!$B$5)^(O22-1))</x:f>
        <x:v>10</x:v>
      </x:c>
      <x:c r="U22" s="31" t="n">
        <x:f>IF(T22="","",I22*T22)</x:f>
        <x:v>29178.947368421</x:v>
      </x:c>
    </x:row>
    <x:row r="23" ht="18" customHeight="1">
      <x:c r="A23" s="24" t="str">
        <x:v>EEZ_144</x:v>
      </x:c>
      <x:c r="B23" s="24" t="str">
        <x:v>Sri Lanka</x:v>
      </x:c>
      <x:c r="C23" s="24" t="str">
        <x:v>EEZ</x:v>
      </x:c>
      <x:c r="D23" s="30" t="n">
        <x:v>2019</x:v>
      </x:c>
      <x:c r="E23" s="24" t="str">
        <x:v>Penaeus monodon</x:v>
      </x:c>
      <x:c r="F23" s="24" t="str">
        <x:v>Giant tiger prawn</x:v>
      </x:c>
      <x:c r="G23" s="24" t="str">
        <x:v>Shrimps</x:v>
      </x:c>
      <x:c r="H23" s="24" t="str">
        <x:v>Crustaceans</x:v>
      </x:c>
      <x:c r="I23" s="31" t="n">
        <x:v>2917.8947368421</x:v>
      </x:c>
      <x:c r="J23" s="31" t="n">
        <x:v>2917.8947368421</x:v>
      </x:c>
      <x:c r="K23" s="31" t="n">
        <x:v>0</x:v>
      </x:c>
      <x:c r="L23" s="31" t="n">
        <x:v>2917.8947368421</x:v>
      </x:c>
      <x:c r="M23" s="31" t="n">
        <x:v>0</x:v>
      </x:c>
      <x:c r="N23" s="24" t="str">
        <x:v>penaeus monodon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monodon</x:v>
      </x:c>
      <x:c r="T23" s="32" t="n">
        <x:f>IF(O23="","",(1/'Metadata'!$B$5)^(O23-1))</x:f>
        <x:v>39.810717055349734</x:v>
      </x:c>
      <x:c r="U23" s="31" t="n">
        <x:f>IF(T23="","",I23*T23)</x:f>
        <x:v>116163.48176571501</x:v>
      </x:c>
    </x:row>
    <x:row r="24" ht="18" customHeight="1">
      <x:c r="A24" s="24" t="str">
        <x:v>EEZ_144</x:v>
      </x:c>
      <x:c r="B24" s="24" t="str">
        <x:v>Sri Lanka</x:v>
      </x:c>
      <x:c r="C24" s="24" t="str">
        <x:v>EEZ</x:v>
      </x:c>
      <x:c r="D24" s="30" t="n">
        <x:v>2019</x:v>
      </x:c>
      <x:c r="E24" s="24" t="str">
        <x:v>Penaeus merguiensis</x:v>
      </x:c>
      <x:c r="F24" s="24" t="str">
        <x:v>Banana prawn</x:v>
      </x:c>
      <x:c r="G24" s="24" t="str">
        <x:v>Shrimps</x:v>
      </x:c>
      <x:c r="H24" s="24" t="str">
        <x:v>Crustaceans</x:v>
      </x:c>
      <x:c r="I24" s="31" t="n">
        <x:v>2917.8947368421</x:v>
      </x:c>
      <x:c r="J24" s="31" t="n">
        <x:v>2917.8947368421</x:v>
      </x:c>
      <x:c r="K24" s="31" t="n">
        <x:v>0</x:v>
      </x:c>
      <x:c r="L24" s="31" t="n">
        <x:v>2917.8947368421</x:v>
      </x:c>
      <x:c r="M24" s="31" t="n">
        <x:v>0</x:v>
      </x:c>
      <x:c r="N24" s="24" t="str">
        <x:v>penaeus merguiensis</x:v>
      </x:c>
      <x:c r="O24" s="32" t="n">
        <x:v>3.77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merguiensis</x:v>
      </x:c>
      <x:c r="T24" s="32" t="n">
        <x:f>IF(O24="","",(1/'Metadata'!$B$5)^(O24-1))</x:f>
        <x:v>588.843655355589</x:v>
      </x:c>
      <x:c r="U24" s="31" t="n">
        <x:f>IF(T24="","",I24*T24)</x:f>
        <x:v>1718183.8027849367</x:v>
      </x:c>
    </x:row>
    <x:row r="25" ht="18" customHeight="1">
      <x:c r="A25" s="24" t="str">
        <x:v>EEZ_144</x:v>
      </x:c>
      <x:c r="B25" s="24" t="str">
        <x:v>Sri Lanka</x:v>
      </x:c>
      <x:c r="C25" s="24" t="str">
        <x:v>EEZ</x:v>
      </x:c>
      <x:c r="D25" s="30" t="n">
        <x:v>2019</x:v>
      </x:c>
      <x:c r="E25" s="24" t="str">
        <x:v>Myliobatidae</x:v>
      </x:c>
      <x:c r="F25" s="24" t="str">
        <x:v>Eagle/manta rays</x:v>
      </x:c>
      <x:c r="G25" s="24" t="str">
        <x:v>Large rays (&gt;=90 cm)</x:v>
      </x:c>
      <x:c r="H25" s="24" t="str">
        <x:v>Sharks &amp; rays</x:v>
      </x:c>
      <x:c r="I25" s="31" t="n">
        <x:v>2223.3163411813002</x:v>
      </x:c>
      <x:c r="J25" s="31" t="n">
        <x:v>2223.3163411813002</x:v>
      </x:c>
      <x:c r="K25" s="31" t="n">
        <x:v>0</x:v>
      </x:c>
      <x:c r="L25" s="31" t="n">
        <x:v>796.5</x:v>
      </x:c>
      <x:c r="M25" s="31" t="n">
        <x:v>1426.8163411813</x:v>
      </x:c>
      <x:c r="N25" s="24" t="str">
        <x:v>myliobatidae</x:v>
      </x:c>
      <x:c r="O25" s="32" t="n">
        <x:v>3.36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Myliobatidae</x:v>
      </x:c>
      <x:c r="T25" s="32" t="n">
        <x:f>IF(O25="","",(1/'Metadata'!$B$5)^(O25-1))</x:f>
        <x:v>229.08676527677724</x:v>
      </x:c>
      <x:c r="U25" s="31" t="n">
        <x:f>IF(T25="","",I25*T25)</x:f>
        <x:v>509332.3487882237</x:v>
      </x:c>
    </x:row>
    <x:row r="26" ht="18" customHeight="1">
      <x:c r="A26" s="24" t="str">
        <x:v>EEZ_144</x:v>
      </x:c>
      <x:c r="B26" s="24" t="str">
        <x:v>Sri Lanka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2095.47432</x:v>
      </x:c>
      <x:c r="J26" s="31" t="n">
        <x:v>2095.47432</x:v>
      </x:c>
      <x:c r="K26" s="31" t="n">
        <x:v>0</x:v>
      </x:c>
      <x:c r="L26" s="31" t="n">
        <x:v>2095.47432</x:v>
      </x:c>
      <x:c r="M26" s="31" t="n">
        <x:v>0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710039.2276717689</x:v>
      </x:c>
    </x:row>
    <x:row r="27" ht="18" customHeight="1">
      <x:c r="A27" s="24" t="str">
        <x:v>EEZ_144</x:v>
      </x:c>
      <x:c r="B27" s="24" t="str">
        <x:v>Sri Lanka</x:v>
      </x:c>
      <x:c r="C27" s="24" t="str">
        <x:v>EEZ</x:v>
      </x:c>
      <x:c r="D27" s="30" t="n">
        <x:v>2019</x:v>
      </x:c>
      <x:c r="E27" s="24" t="str">
        <x:v>Decapoda</x:v>
      </x:c>
      <x:c r="F27" s="24" t="str">
        <x:v>Crabs, lobsters, shrimps</x:v>
      </x:c>
      <x:c r="G27" s="24" t="str">
        <x:v>Lobsters, crabs</x:v>
      </x:c>
      <x:c r="H27" s="24" t="str">
        <x:v>Crustaceans</x:v>
      </x:c>
      <x:c r="I27" s="31" t="n">
        <x:v>1870.94716205</x:v>
      </x:c>
      <x:c r="J27" s="31" t="n">
        <x:v>1841.159564</x:v>
      </x:c>
      <x:c r="K27" s="31" t="n">
        <x:v>29.78759805</x:v>
      </x:c>
      <x:c r="L27" s="31" t="n">
        <x:v>1841.159564</x:v>
      </x:c>
      <x:c r="M27" s="31" t="n">
        <x:v>29.78759805</x:v>
      </x:c>
      <x:c r="N27" s="24" t="str">
        <x:v>decapoda</x:v>
      </x:c>
      <x:c r="O27" s="32" t="n">
        <x:v>3.43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Decapoda</x:v>
      </x:c>
      <x:c r="T27" s="32" t="n">
        <x:f>IF(O27="","",(1/'Metadata'!$B$5)^(O27-1))</x:f>
        <x:v>269.1534803926917</x:v>
      </x:c>
      <x:c r="U27" s="31" t="n">
        <x:f>IF(T27="","",I27*T27)</x:f>
        <x:v>503571.94029658684</x:v>
      </x:c>
    </x:row>
    <x:row r="28" ht="18" customHeight="1">
      <x:c r="A28" s="24" t="str">
        <x:v>EEZ_144</x:v>
      </x:c>
      <x:c r="B28" s="24" t="str">
        <x:v>Sri Lanka</x:v>
      </x:c>
      <x:c r="C28" s="24" t="str">
        <x:v>EEZ</x:v>
      </x:c>
      <x:c r="D28" s="30" t="n">
        <x:v>2019</x:v>
      </x:c>
      <x:c r="E28" s="24" t="str">
        <x:v>Penaeidae</x:v>
      </x:c>
      <x:c r="F28" s="24" t="str">
        <x:v>Commercial shrimps and prawns</x:v>
      </x:c>
      <x:c r="G28" s="24" t="str">
        <x:v>Shrimps</x:v>
      </x:c>
      <x:c r="H28" s="24" t="str">
        <x:v>Crustaceans</x:v>
      </x:c>
      <x:c r="I28" s="31" t="n">
        <x:v>1610.3358380000002</x:v>
      </x:c>
      <x:c r="J28" s="31" t="n">
        <x:v>1610.3358380000002</x:v>
      </x:c>
      <x:c r="K28" s="31" t="n">
        <x:v>0</x:v>
      </x:c>
      <x:c r="L28" s="31" t="n">
        <x:v>1610.3358380000002</x:v>
      </x:c>
      <x:c r="M28" s="31" t="n">
        <x:v>0</x:v>
      </x:c>
      <x:c r="N28" s="24" t="str">
        <x:v>penaeidae</x:v>
      </x:c>
      <x:c r="O28" s="32" t="n">
        <x:v>3.31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Penaeidae</x:v>
      </x:c>
      <x:c r="T28" s="32" t="n">
        <x:f>IF(O28="","",(1/'Metadata'!$B$5)^(O28-1))</x:f>
        <x:v>204.17379446695296</x:v>
      </x:c>
      <x:c r="U28" s="31" t="n">
        <x:f>IF(T28="","",I28*T28)</x:f>
        <x:v>328788.3784105805</x:v>
      </x:c>
    </x:row>
    <x:row r="29" ht="18" customHeight="1">
      <x:c r="A29" s="24" t="str">
        <x:v>EEZ_144</x:v>
      </x:c>
      <x:c r="B29" s="24" t="str">
        <x:v>Sri Lanka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1598.1982304897</x:v>
      </x:c>
      <x:c r="J29" s="31" t="n">
        <x:v>22.8088971279</x:v>
      </x:c>
      <x:c r="K29" s="31" t="n">
        <x:v>1575.3893333618</x:v>
      </x:c>
      <x:c r="L29" s="31" t="n">
        <x:v>22.8088971279</x:v>
      </x:c>
      <x:c r="M29" s="31" t="n">
        <x:v>1575.3893333618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1598198.2304897</x:v>
      </x:c>
    </x:row>
    <x:row r="30" ht="18" customHeight="1">
      <x:c r="A30" s="24" t="str">
        <x:v>EEZ_144</x:v>
      </x:c>
      <x:c r="B30" s="24" t="str">
        <x:v>Sri Lanka</x:v>
      </x:c>
      <x:c r="C30" s="24" t="str">
        <x:v>EEZ</x:v>
      </x:c>
      <x:c r="D30" s="30" t="n">
        <x:v>2019</x:v>
      </x:c>
      <x:c r="E30" s="24" t="str">
        <x:v>Mollusca</x:v>
      </x:c>
      <x:c r="F30" s="24" t="str">
        <x:v>Clams, seasnails, squids, octopuses</x:v>
      </x:c>
      <x:c r="G30" s="24" t="str">
        <x:v>Other demersal invertebrates</x:v>
      </x:c>
      <x:c r="H30" s="24" t="str">
        <x:v>Molluscs</x:v>
      </x:c>
      <x:c r="I30" s="31" t="n">
        <x:v>1590</x:v>
      </x:c>
      <x:c r="J30" s="31" t="n">
        <x:v>1590</x:v>
      </x:c>
      <x:c r="K30" s="31" t="n">
        <x:v>0</x:v>
      </x:c>
      <x:c r="L30" s="31" t="n">
        <x:v>1590</x:v>
      </x:c>
      <x:c r="M30" s="31" t="n">
        <x:v>0</x:v>
      </x:c>
      <x:c r="N30" s="24" t="str">
        <x:v>mollusca</x:v>
      </x:c>
      <x:c r="O30" s="32" t="n">
        <x:v>2.1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Mollusca</x:v>
      </x:c>
      <x:c r="T30" s="32" t="n">
        <x:f>IF(O30="","",(1/'Metadata'!$B$5)^(O30-1))</x:f>
        <x:v>12.589254117941675</x:v>
      </x:c>
      <x:c r="U30" s="31" t="n">
        <x:f>IF(T30="","",I30*T30)</x:f>
        <x:v>20016.91404752726</x:v>
      </x:c>
    </x:row>
    <x:row r="31" ht="18" customHeight="1">
      <x:c r="A31" s="24" t="str">
        <x:v>EEZ_144</x:v>
      </x:c>
      <x:c r="B31" s="24" t="str">
        <x:v>Sri Lanka</x:v>
      </x:c>
      <x:c r="C31" s="24" t="str">
        <x:v>EEZ</x:v>
      </x:c>
      <x:c r="D31" s="30" t="n">
        <x:v>2019</x:v>
      </x:c>
      <x:c r="E31" s="24" t="str">
        <x:v>Caranx melampygus</x:v>
      </x:c>
      <x:c r="F31" s="24" t="str">
        <x:v>Bluefin trevally</x:v>
      </x:c>
      <x:c r="G31" s="24" t="str">
        <x:v>Large reef assoc. fish (&gt;=90 cm)</x:v>
      </x:c>
      <x:c r="H31" s="24" t="str">
        <x:v>Perch-likes</x:v>
      </x:c>
      <x:c r="I31" s="31" t="n">
        <x:v>1426.8163411813</x:v>
      </x:c>
      <x:c r="J31" s="31" t="n">
        <x:v>1426.8163411813</x:v>
      </x:c>
      <x:c r="K31" s="31" t="n">
        <x:v>0</x:v>
      </x:c>
      <x:c r="L31" s="31" t="n">
        <x:v>0</x:v>
      </x:c>
      <x:c r="M31" s="31" t="n">
        <x:v>1426.8163411813</x:v>
      </x:c>
      <x:c r="N31" s="24" t="str">
        <x:v>caranx melampygus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Caranx melampygus</x:v>
      </x:c>
      <x:c r="T31" s="32" t="n">
        <x:f>IF(O31="","",(1/'Metadata'!$B$5)^(O31-1))</x:f>
        <x:v>3090.295432513592</x:v>
      </x:c>
      <x:c r="U31" s="31" t="n">
        <x:f>IF(T31="","",I31*T31)</x:f>
        <x:v>4409284.022188326</x:v>
      </x:c>
    </x:row>
    <x:row r="32" ht="18" customHeight="1">
      <x:c r="A32" s="24" t="str">
        <x:v>EEZ_144</x:v>
      </x:c>
      <x:c r="B32" s="24" t="str">
        <x:v>Sri Lanka</x:v>
      </x:c>
      <x:c r="C32" s="24" t="str">
        <x:v>EEZ</x:v>
      </x:c>
      <x:c r="D32" s="30" t="n">
        <x:v>2019</x:v>
      </x:c>
      <x:c r="E32" s="24" t="str">
        <x:v>Caranx ignobilis</x:v>
      </x:c>
      <x:c r="F32" s="24" t="str">
        <x:v>Giant trevally</x:v>
      </x:c>
      <x:c r="G32" s="24" t="str">
        <x:v>Large reef assoc. fish (&gt;=90 cm)</x:v>
      </x:c>
      <x:c r="H32" s="24" t="str">
        <x:v>Perch-likes</x:v>
      </x:c>
      <x:c r="I32" s="31" t="n">
        <x:v>1426.8163411813</x:v>
      </x:c>
      <x:c r="J32" s="31" t="n">
        <x:v>1426.8163411813</x:v>
      </x:c>
      <x:c r="K32" s="31" t="n">
        <x:v>0</x:v>
      </x:c>
      <x:c r="L32" s="31" t="n">
        <x:v>0</x:v>
      </x:c>
      <x:c r="M32" s="31" t="n">
        <x:v>1426.8163411813</x:v>
      </x:c>
      <x:c r="N32" s="24" t="str">
        <x:v>caranx ignobilis</x:v>
      </x:c>
      <x:c r="O32" s="32" t="n">
        <x:v>4.22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Caranx ignobilis</x:v>
      </x:c>
      <x:c r="T32" s="32" t="n">
        <x:f>IF(O32="","",(1/'Metadata'!$B$5)^(O32-1))</x:f>
        <x:v>1659.5869074375596</x:v>
      </x:c>
      <x:c r="U32" s="31" t="n">
        <x:f>IF(T32="","",I32*T32)</x:f>
        <x:v>2367925.7191424477</x:v>
      </x:c>
    </x:row>
    <x:row r="33" ht="18" customHeight="1">
      <x:c r="A33" s="24" t="str">
        <x:v>EEZ_144</x:v>
      </x:c>
      <x:c r="B33" s="24" t="str">
        <x:v>Sri Lanka</x:v>
      </x:c>
      <x:c r="C33" s="24" t="str">
        <x:v>EEZ</x:v>
      </x:c>
      <x:c r="D33" s="30" t="n">
        <x:v>2019</x:v>
      </x:c>
      <x:c r="E33" s="24" t="str">
        <x:v>Acanthuridae</x:v>
      </x:c>
      <x:c r="F33" s="24" t="str">
        <x:v>Surgeons, tangs, unicornfishes</x:v>
      </x:c>
      <x:c r="G33" s="24" t="str">
        <x:v>Small reef assoc. fish (&lt;30 cm)</x:v>
      </x:c>
      <x:c r="H33" s="24" t="str">
        <x:v>Perch-likes</x:v>
      </x:c>
      <x:c r="I33" s="31" t="n">
        <x:v>1426.8163411813</x:v>
      </x:c>
      <x:c r="J33" s="31" t="n">
        <x:v>1426.8163411813</x:v>
      </x:c>
      <x:c r="K33" s="31" t="n">
        <x:v>0</x:v>
      </x:c>
      <x:c r="L33" s="31" t="n">
        <x:v>0</x:v>
      </x:c>
      <x:c r="M33" s="31" t="n">
        <x:v>1426.8163411813</x:v>
      </x:c>
      <x:c r="N33" s="24" t="str">
        <x:v>acanthuridae</x:v>
      </x:c>
      <x:c r="O33" s="32" t="n">
        <x:v>2.28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Acanthuridae</x:v>
      </x:c>
      <x:c r="T33" s="32" t="n">
        <x:f>IF(O33="","",(1/'Metadata'!$B$5)^(O33-1))</x:f>
        <x:v>19.054607179632463</x:v>
      </x:c>
      <x:c r="U33" s="31" t="n">
        <x:f>IF(T33="","",I33*T33)</x:f>
        <x:v>27187.424898690122</x:v>
      </x:c>
    </x:row>
    <x:row r="34" ht="18" customHeight="1">
      <x:c r="A34" s="24" t="str">
        <x:v>EEZ_144</x:v>
      </x:c>
      <x:c r="B34" s="24" t="str">
        <x:v>Sri Lanka</x:v>
      </x:c>
      <x:c r="C34" s="24" t="str">
        <x:v>EEZ</x:v>
      </x:c>
      <x:c r="D34" s="30" t="n">
        <x:v>2019</x:v>
      </x:c>
      <x:c r="E34" s="24" t="str">
        <x:v>Epinephelus</x:v>
      </x:c>
      <x:c r="F34" s="24" t="str">
        <x:v>Seabasses, hinds</x:v>
      </x:c>
      <x:c r="G34" s="24" t="str">
        <x:v>Medium reef assoc. fish (30 - 89 cm)</x:v>
      </x:c>
      <x:c r="H34" s="24" t="str">
        <x:v>Perch-likes</x:v>
      </x:c>
      <x:c r="I34" s="31" t="n">
        <x:v>1426.8163411813</x:v>
      </x:c>
      <x:c r="J34" s="31" t="n">
        <x:v>1426.8163411813</x:v>
      </x:c>
      <x:c r="K34" s="31" t="n">
        <x:v>0</x:v>
      </x:c>
      <x:c r="L34" s="31" t="n">
        <x:v>0</x:v>
      </x:c>
      <x:c r="M34" s="31" t="n">
        <x:v>1426.8163411813</x:v>
      </x:c>
      <x:c r="N34" s="24" t="str">
        <x:v>epinephelus</x:v>
      </x:c>
      <x:c r="O34" s="32" t="n">
        <x:v>3.84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Epinephelus</x:v>
      </x:c>
      <x:c r="T34" s="32" t="n">
        <x:f>IF(O34="","",(1/'Metadata'!$B$5)^(O34-1))</x:f>
        <x:v>691.8309709189363</x:v>
      </x:c>
      <x:c r="U34" s="31" t="n">
        <x:f>IF(T34="","",I34*T34)</x:f>
        <x:v>987115.734642463</x:v>
      </x:c>
    </x:row>
    <x:row r="35" ht="18" customHeight="1">
      <x:c r="A35" s="24" t="str">
        <x:v>EEZ_144</x:v>
      </x:c>
      <x:c r="B35" s="24" t="str">
        <x:v>Sri Lanka</x:v>
      </x:c>
      <x:c r="C35" s="24" t="str">
        <x:v>EEZ</x:v>
      </x:c>
      <x:c r="D35" s="30" t="n">
        <x:v>2019</x:v>
      </x:c>
      <x:c r="E35" s="24" t="str">
        <x:v>Lethrinus nebulosus</x:v>
      </x:c>
      <x:c r="F35" s="24" t="str">
        <x:v>Spangled emperor</x:v>
      </x:c>
      <x:c r="G35" s="24" t="str">
        <x:v>Medium demersals (30 - 89 cm)</x:v>
      </x:c>
      <x:c r="H35" s="24" t="str">
        <x:v>Perch-likes</x:v>
      </x:c>
      <x:c r="I35" s="31" t="n">
        <x:v>1426.8163411813</x:v>
      </x:c>
      <x:c r="J35" s="31" t="n">
        <x:v>1426.8163411813</x:v>
      </x:c>
      <x:c r="K35" s="31" t="n">
        <x:v>0</x:v>
      </x:c>
      <x:c r="L35" s="31" t="n">
        <x:v>0</x:v>
      </x:c>
      <x:c r="M35" s="31" t="n">
        <x:v>1426.8163411813</x:v>
      </x:c>
      <x:c r="N35" s="24" t="str">
        <x:v>lethrinus nebulosus</x:v>
      </x:c>
      <x:c r="O35" s="32" t="n">
        <x:v>3.76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Lethrinus nebulosus</x:v>
      </x:c>
      <x:c r="T35" s="32" t="n">
        <x:f>IF(O35="","",(1/'Metadata'!$B$5)^(O35-1))</x:f>
        <x:v>575.4399373371566</x:v>
      </x:c>
      <x:c r="U35" s="31" t="n">
        <x:f>IF(T35="","",I35*T35)</x:f>
        <x:v>821047.1059609983</x:v>
      </x:c>
    </x:row>
    <x:row r="36" ht="18" customHeight="1">
      <x:c r="A36" s="24" t="str">
        <x:v>EEZ_144</x:v>
      </x:c>
      <x:c r="B36" s="24" t="str">
        <x:v>Sri Lanka</x:v>
      </x:c>
      <x:c r="C36" s="24" t="str">
        <x:v>EEZ</x:v>
      </x:c>
      <x:c r="D36" s="30" t="n">
        <x:v>2019</x:v>
      </x:c>
      <x:c r="E36" s="24" t="str">
        <x:v>Haemulidae</x:v>
      </x:c>
      <x:c r="F36" s="24" t="str">
        <x:v>Grunts, sweetlips, bonnetmouths</x:v>
      </x:c>
      <x:c r="G36" s="24" t="str">
        <x:v>Medium demersals (30 - 89 cm)</x:v>
      </x:c>
      <x:c r="H36" s="24" t="str">
        <x:v>Perch-likes</x:v>
      </x:c>
      <x:c r="I36" s="31" t="n">
        <x:v>1426.8163411813</x:v>
      </x:c>
      <x:c r="J36" s="31" t="n">
        <x:v>1426.8163411813</x:v>
      </x:c>
      <x:c r="K36" s="31" t="n">
        <x:v>0</x:v>
      </x:c>
      <x:c r="L36" s="31" t="n">
        <x:v>0</x:v>
      </x:c>
      <x:c r="M36" s="31" t="n">
        <x:v>1426.8163411813</x:v>
      </x:c>
      <x:c r="N36" s="24" t="str">
        <x:v>haemulidae</x:v>
      </x:c>
      <x:c r="O36" s="32" t="n">
        <x:v>3.36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Haemulidae</x:v>
      </x:c>
      <x:c r="T36" s="32" t="n">
        <x:f>IF(O36="","",(1/'Metadata'!$B$5)^(O36-1))</x:f>
        <x:v>229.08676527677724</x:v>
      </x:c>
      <x:c r="U36" s="31" t="n">
        <x:f>IF(T36="","",I36*T36)</x:f>
        <x:v>326864.7402452706</x:v>
      </x:c>
    </x:row>
    <x:row r="37" ht="18" customHeight="1">
      <x:c r="A37" s="24" t="str">
        <x:v>EEZ_144</x:v>
      </x:c>
      <x:c r="B37" s="24" t="str">
        <x:v>Sri Lanka</x:v>
      </x:c>
      <x:c r="C37" s="24" t="str">
        <x:v>EEZ</x:v>
      </x:c>
      <x:c r="D37" s="30" t="n">
        <x:v>2019</x:v>
      </x:c>
      <x:c r="E37" s="24" t="str">
        <x:v>Caranx sexfasciatus</x:v>
      </x:c>
      <x:c r="F37" s="24" t="str">
        <x:v>Bigeye trevally</x:v>
      </x:c>
      <x:c r="G37" s="24" t="str">
        <x:v>Large reef assoc. fish (&gt;=90 cm)</x:v>
      </x:c>
      <x:c r="H37" s="24" t="str">
        <x:v>Perch-likes</x:v>
      </x:c>
      <x:c r="I37" s="31" t="n">
        <x:v>1426.8163411813</x:v>
      </x:c>
      <x:c r="J37" s="31" t="n">
        <x:v>1426.8163411813</x:v>
      </x:c>
      <x:c r="K37" s="31" t="n">
        <x:v>0</x:v>
      </x:c>
      <x:c r="L37" s="31" t="n">
        <x:v>0</x:v>
      </x:c>
      <x:c r="M37" s="31" t="n">
        <x:v>1426.8163411813</x:v>
      </x:c>
      <x:c r="N37" s="24" t="str">
        <x:v>caranx sexfasciatus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Caranx sexfasciatus</x:v>
      </x:c>
      <x:c r="T37" s="32" t="n">
        <x:f>IF(O37="","",(1/'Metadata'!$B$5)^(O37-1))</x:f>
        <x:v>3162.2776601683795</x:v>
      </x:c>
      <x:c r="U37" s="31" t="n">
        <x:f>IF(T37="","",I37*T37)</x:f>
        <x:v>4511989.44088081</x:v>
      </x:c>
    </x:row>
    <x:row r="38" ht="18" customHeight="1">
      <x:c r="A38" s="24" t="str">
        <x:v>EEZ_144</x:v>
      </x:c>
      <x:c r="B38" s="24" t="str">
        <x:v>Sri Lanka</x:v>
      </x:c>
      <x:c r="C38" s="24" t="str">
        <x:v>EEZ</x:v>
      </x:c>
      <x:c r="D38" s="30" t="n">
        <x:v>2019</x:v>
      </x:c>
      <x:c r="E38" s="24" t="str">
        <x:v>Thunnus obesus</x:v>
      </x:c>
      <x:c r="F38" s="24" t="str">
        <x:v>Bigeye tuna</x:v>
      </x:c>
      <x:c r="G38" s="24" t="str">
        <x:v>Large pelagics (&gt;=90 cm)</x:v>
      </x:c>
      <x:c r="H38" s="24" t="str">
        <x:v>Tuna &amp; billfishes</x:v>
      </x:c>
      <x:c r="I38" s="31" t="n">
        <x:v>1119.3551196281</x:v>
      </x:c>
      <x:c r="J38" s="31" t="n">
        <x:v>1119.3551196281</x:v>
      </x:c>
      <x:c r="K38" s="31" t="n">
        <x:v>0</x:v>
      </x:c>
      <x:c r="L38" s="31" t="n">
        <x:v>1119.3551196281</x:v>
      </x:c>
      <x:c r="M38" s="31" t="n">
        <x:v>0</x:v>
      </x:c>
      <x:c r="N38" s="24" t="str">
        <x:v>thunnus obesus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obesus</x:v>
      </x:c>
      <x:c r="T38" s="32" t="n">
        <x:f>IF(O38="","",(1/'Metadata'!$B$5)^(O38-1))</x:f>
        <x:v>3090.295432513592</x:v>
      </x:c>
      <x:c r="U38" s="31" t="n">
        <x:f>IF(T38="","",I38*T38)</x:f>
        <x:v>3459138.013547423</x:v>
      </x:c>
    </x:row>
    <x:row r="39" ht="18" customHeight="1">
      <x:c r="A39" s="24" t="str">
        <x:v>EEZ_144</x:v>
      </x:c>
      <x:c r="B39" s="24" t="str">
        <x:v>Sri Lanka</x:v>
      </x:c>
      <x:c r="C39" s="24" t="str">
        <x:v>EEZ</x:v>
      </x:c>
      <x:c r="D39" s="30" t="n">
        <x:v>2019</x:v>
      </x:c>
      <x:c r="E39" s="24" t="str">
        <x:v>Thunnus albacares</x:v>
      </x:c>
      <x:c r="F39" s="24" t="str">
        <x:v>Yellowfin tuna</x:v>
      </x:c>
      <x:c r="G39" s="24" t="str">
        <x:v>Large pelagics (&gt;=90 cm)</x:v>
      </x:c>
      <x:c r="H39" s="24" t="str">
        <x:v>Tuna &amp; billfishes</x:v>
      </x:c>
      <x:c r="I39" s="31" t="n">
        <x:v>1013.2041128539</x:v>
      </x:c>
      <x:c r="J39" s="31" t="n">
        <x:v>1013.2041128539</x:v>
      </x:c>
      <x:c r="K39" s="31" t="n">
        <x:v>0</x:v>
      </x:c>
      <x:c r="L39" s="31" t="n">
        <x:v>1013.2041128539</x:v>
      </x:c>
      <x:c r="M39" s="31" t="n">
        <x:v>0</x:v>
      </x:c>
      <x:c r="N39" s="24" t="str">
        <x:v>thunnus albacares</x:v>
      </x:c>
      <x:c r="O39" s="32" t="n">
        <x:v>4.41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albacares</x:v>
      </x:c>
      <x:c r="T39" s="32" t="n">
        <x:f>IF(O39="","",(1/'Metadata'!$B$5)^(O39-1))</x:f>
        <x:v>2570.3957827688646</x:v>
      </x:c>
      <x:c r="U39" s="31" t="n">
        <x:f>IF(T39="","",I39*T39)</x:f>
        <x:v>2604335.578763733</x:v>
      </x:c>
    </x:row>
    <x:row r="40" ht="18" customHeight="1">
      <x:c r="A40" s="24" t="str">
        <x:v>EEZ_144</x:v>
      </x:c>
      <x:c r="B40" s="24" t="str">
        <x:v>Sri Lanka</x:v>
      </x:c>
      <x:c r="C40" s="24" t="str">
        <x:v>EEZ</x:v>
      </x:c>
      <x:c r="D40" s="30" t="n">
        <x:v>2019</x:v>
      </x:c>
      <x:c r="E40" s="24" t="str">
        <x:v>Batoidea</x:v>
      </x:c>
      <x:c r="F40" s="24" t="str">
        <x:v>Batoids, skates, rays, sawfishes</x:v>
      </x:c>
      <x:c r="G40" s="24" t="str">
        <x:v>Large rays (&gt;=90 cm)</x:v>
      </x:c>
      <x:c r="H40" s="24" t="str">
        <x:v>Sharks &amp; rays</x:v>
      </x:c>
      <x:c r="I40" s="31" t="n">
        <x:v>893.5475388</x:v>
      </x:c>
      <x:c r="J40" s="31" t="n">
        <x:v>893.5475388</x:v>
      </x:c>
      <x:c r="K40" s="31" t="n">
        <x:v>0</x:v>
      </x:c>
      <x:c r="L40" s="31" t="n">
        <x:v>893.5475388</x:v>
      </x:c>
      <x:c r="M40" s="31" t="n">
        <x:v>0</x:v>
      </x:c>
      <x:c r="N40" s="24" t="str">
        <x:v>batoidea</x:v>
      </x:c>
      <x:c r="O40" s="32" t="n">
        <x:v>3.72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Batoidea</x:v>
      </x:c>
      <x:c r="T40" s="32" t="n">
        <x:f>IF(O40="","",(1/'Metadata'!$B$5)^(O40-1))</x:f>
        <x:v>524.8074602497728</x:v>
      </x:c>
      <x:c r="U40" s="31" t="n">
        <x:f>IF(T40="","",I40*T40)</x:f>
        <x:v>468940.4144500633</x:v>
      </x:c>
    </x:row>
    <x:row r="41" ht="18" customHeight="1">
      <x:c r="A41" s="24" t="str">
        <x:v>EEZ_144</x:v>
      </x:c>
      <x:c r="B41" s="24" t="str">
        <x:v>Sri Lanka</x:v>
      </x:c>
      <x:c r="C41" s="24" t="str">
        <x:v>EEZ</x:v>
      </x:c>
      <x:c r="D41" s="30" t="n">
        <x:v>2019</x:v>
      </x:c>
      <x:c r="E41" s="24" t="str">
        <x:v>Prionace glauca</x:v>
      </x:c>
      <x:c r="F41" s="24" t="str">
        <x:v>Blue shark</x:v>
      </x:c>
      <x:c r="G41" s="24" t="str">
        <x:v>Large sharks (&gt;=90 cm)</x:v>
      </x:c>
      <x:c r="H41" s="24" t="str">
        <x:v>Sharks &amp; rays</x:v>
      </x:c>
      <x:c r="I41" s="31" t="n">
        <x:v>794.4663037012</x:v>
      </x:c>
      <x:c r="J41" s="31" t="n">
        <x:v>794.4663037012</x:v>
      </x:c>
      <x:c r="K41" s="31" t="n">
        <x:v>0</x:v>
      </x:c>
      <x:c r="L41" s="31" t="n">
        <x:v>794.4663037012</x:v>
      </x:c>
      <x:c r="M41" s="31" t="n">
        <x:v>0</x:v>
      </x:c>
      <x:c r="N41" s="24" t="str">
        <x:v>prionace glauca</x:v>
      </x:c>
      <x:c r="O41" s="32" t="n">
        <x:v>4.35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Prionace glauca</x:v>
      </x:c>
      <x:c r="T41" s="32" t="n">
        <x:f>IF(O41="","",(1/'Metadata'!$B$5)^(O41-1))</x:f>
        <x:v>2238.7211385683377</x:v>
      </x:c>
      <x:c r="U41" s="31" t="n">
        <x:f>IF(T41="","",I41*T41)</x:f>
        <x:v>1778588.5079761292</x:v>
      </x:c>
    </x:row>
    <x:row r="42" ht="18" customHeight="1">
      <x:c r="A42" s="24" t="str">
        <x:v>EEZ_144</x:v>
      </x:c>
      <x:c r="B42" s="24" t="str">
        <x:v>Sri Lanka</x:v>
      </x:c>
      <x:c r="C42" s="24" t="str">
        <x:v>EEZ</x:v>
      </x:c>
      <x:c r="D42" s="30" t="n">
        <x:v>2019</x:v>
      </x:c>
      <x:c r="E42" s="24" t="str">
        <x:v>Mullidae</x:v>
      </x:c>
      <x:c r="F42" s="24" t="str">
        <x:v>Goatfishes</x:v>
      </x:c>
      <x:c r="G42" s="24" t="str">
        <x:v>Medium reef assoc. fish (30 - 89 cm)</x:v>
      </x:c>
      <x:c r="H42" s="24" t="str">
        <x:v>Perch-likes</x:v>
      </x:c>
      <x:c r="I42" s="31" t="n">
        <x:v>791.5160269001</x:v>
      </x:c>
      <x:c r="J42" s="31" t="n">
        <x:v>791.5160269001</x:v>
      </x:c>
      <x:c r="K42" s="31" t="n">
        <x:v>0</x:v>
      </x:c>
      <x:c r="L42" s="31" t="n">
        <x:v>791.5160269001</x:v>
      </x:c>
      <x:c r="M42" s="31" t="n">
        <x:v>0</x:v>
      </x:c>
      <x:c r="N42" s="24" t="str">
        <x:v>mullidae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Mullidae</x:v>
      </x:c>
      <x:c r="T42" s="32" t="n">
        <x:f>IF(O42="","",(1/'Metadata'!$B$5)^(O42-1))</x:f>
        <x:v>288.40315031266056</x:v>
      </x:c>
      <x:c r="U42" s="31" t="n">
        <x:f>IF(T42="","",I42*T42)</x:f>
        <x:v>228275.71568094942</x:v>
      </x:c>
    </x:row>
    <x:row r="43" ht="18" customHeight="1">
      <x:c r="A43" s="24" t="str">
        <x:v>EEZ_144</x:v>
      </x:c>
      <x:c r="B43" s="24" t="str">
        <x:v>Sri Lanka</x:v>
      </x:c>
      <x:c r="C43" s="24" t="str">
        <x:v>EEZ</x:v>
      </x:c>
      <x:c r="D43" s="30" t="n">
        <x:v>2019</x:v>
      </x:c>
      <x:c r="E43" s="24" t="str">
        <x:v>Panulirus homarus</x:v>
      </x:c>
      <x:c r="F43" s="24" t="str">
        <x:v>Scalloped spiny lobster</x:v>
      </x:c>
      <x:c r="G43" s="24" t="str">
        <x:v>Lobsters, crabs</x:v>
      </x:c>
      <x:c r="H43" s="24" t="str">
        <x:v>Crustaceans</x:v>
      </x:c>
      <x:c r="I43" s="31" t="n">
        <x:v>726.3157894736</x:v>
      </x:c>
      <x:c r="J43" s="31" t="n">
        <x:v>726.3157894736</x:v>
      </x:c>
      <x:c r="K43" s="31" t="n">
        <x:v>0</x:v>
      </x:c>
      <x:c r="L43" s="31" t="n">
        <x:v>726.3157894736</x:v>
      </x:c>
      <x:c r="M43" s="31" t="n">
        <x:v>0</x:v>
      </x:c>
      <x:c r="N43" s="24" t="str">
        <x:v>panulirus homarus</x:v>
      </x:c>
      <x:c r="O43" s="32" t="n">
        <x:v>3.33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Panulirus homarus</x:v>
      </x:c>
      <x:c r="T43" s="32" t="n">
        <x:f>IF(O43="","",(1/'Metadata'!$B$5)^(O43-1))</x:f>
        <x:v>213.79620895022325</x:v>
      </x:c>
      <x:c r="U43" s="31" t="n">
        <x:f>IF(T43="","",I43*T43)</x:f>
        <x:v>155283.56229014415</x:v>
      </x:c>
    </x:row>
    <x:row r="44" ht="18" customHeight="1">
      <x:c r="A44" s="24" t="str">
        <x:v>EEZ_144</x:v>
      </x:c>
      <x:c r="B44" s="24" t="str">
        <x:v>Sri Lanka</x:v>
      </x:c>
      <x:c r="C44" s="24" t="str">
        <x:v>EEZ</x:v>
      </x:c>
      <x:c r="D44" s="30" t="n">
        <x:v>2019</x:v>
      </x:c>
      <x:c r="E44" s="24" t="str">
        <x:v>Panulirus longipes</x:v>
      </x:c>
      <x:c r="F44" s="24" t="str">
        <x:v>Longlegged spiny lobster</x:v>
      </x:c>
      <x:c r="G44" s="24" t="str">
        <x:v>Lobsters, crabs</x:v>
      </x:c>
      <x:c r="H44" s="24" t="str">
        <x:v>Crustaceans</x:v>
      </x:c>
      <x:c r="I44" s="31" t="n">
        <x:v>726.3157894736</x:v>
      </x:c>
      <x:c r="J44" s="31" t="n">
        <x:v>726.3157894736</x:v>
      </x:c>
      <x:c r="K44" s="31" t="n">
        <x:v>0</x:v>
      </x:c>
      <x:c r="L44" s="31" t="n">
        <x:v>726.3157894736</x:v>
      </x:c>
      <x:c r="M44" s="31" t="n">
        <x:v>0</x:v>
      </x:c>
      <x:c r="N44" s="24" t="str">
        <x:v>panulirus longipes</x:v>
      </x:c>
      <x:c r="O44" s="32" t="n">
        <x:v>2.6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Panulirus longipes</x:v>
      </x:c>
      <x:c r="T44" s="32" t="n">
        <x:f>IF(O44="","",(1/'Metadata'!$B$5)^(O44-1))</x:f>
        <x:v>39.810717055349734</x:v>
      </x:c>
      <x:c r="U44" s="31" t="n">
        <x:f>IF(T44="","",I44*T44)</x:f>
        <x:v>28915.152387566457</x:v>
      </x:c>
    </x:row>
    <x:row r="45" ht="18" customHeight="1">
      <x:c r="A45" s="24" t="str">
        <x:v>EEZ_144</x:v>
      </x:c>
      <x:c r="B45" s="24" t="str">
        <x:v>Sri Lanka</x:v>
      </x:c>
      <x:c r="C45" s="24" t="str">
        <x:v>EEZ</x:v>
      </x:c>
      <x:c r="D45" s="30" t="n">
        <x:v>2019</x:v>
      </x:c>
      <x:c r="E45" s="24" t="str">
        <x:v>Portunus</x:v>
      </x:c>
      <x:c r="F45" s="24" t="str">
        <x:v>Swimmer crabs</x:v>
      </x:c>
      <x:c r="G45" s="24" t="str">
        <x:v>Lobsters, crabs</x:v>
      </x:c>
      <x:c r="H45" s="24" t="str">
        <x:v>Crustaceans</x:v>
      </x:c>
      <x:c r="I45" s="31" t="n">
        <x:v>713.4081705907</x:v>
      </x:c>
      <x:c r="J45" s="31" t="n">
        <x:v>713.4081705907</x:v>
      </x:c>
      <x:c r="K45" s="31" t="n">
        <x:v>0</x:v>
      </x:c>
      <x:c r="L45" s="31" t="n">
        <x:v>0</x:v>
      </x:c>
      <x:c r="M45" s="31" t="n">
        <x:v>713.4081705907</x:v>
      </x:c>
      <x:c r="N45" s="24" t="str">
        <x:v>portunus</x:v>
      </x:c>
      <x:c r="O45" s="32" t="n">
        <x:v>3.26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Portunus</x:v>
      </x:c>
      <x:c r="T45" s="32" t="n">
        <x:f>IF(O45="","",(1/'Metadata'!$B$5)^(O45-1))</x:f>
        <x:v>181.97008586099827</x:v>
      </x:c>
      <x:c r="U45" s="31" t="n">
        <x:f>IF(T45="","",I45*T45)</x:f>
        <x:v>129818.94605632739</x:v>
      </x:c>
    </x:row>
    <x:row r="46" ht="18" customHeight="1">
      <x:c r="A46" s="24" t="str">
        <x:v>EEZ_144</x:v>
      </x:c>
      <x:c r="B46" s="24" t="str">
        <x:v>Sri Lanka</x:v>
      </x:c>
      <x:c r="C46" s="24" t="str">
        <x:v>EEZ</x:v>
      </x:c>
      <x:c r="D46" s="30" t="n">
        <x:v>2019</x:v>
      </x:c>
      <x:c r="E46" s="24" t="str">
        <x:v>Portunidae</x:v>
      </x:c>
      <x:c r="F46" s="24" t="str">
        <x:v>Swimming crabs</x:v>
      </x:c>
      <x:c r="G46" s="24" t="str">
        <x:v>Lobsters, crabs</x:v>
      </x:c>
      <x:c r="H46" s="24" t="str">
        <x:v>Crustaceans</x:v>
      </x:c>
      <x:c r="I46" s="31" t="n">
        <x:v>713.4081705907</x:v>
      </x:c>
      <x:c r="J46" s="31" t="n">
        <x:v>713.4081705907</x:v>
      </x:c>
      <x:c r="K46" s="31" t="n">
        <x:v>0</x:v>
      </x:c>
      <x:c r="L46" s="31" t="n">
        <x:v>0</x:v>
      </x:c>
      <x:c r="M46" s="31" t="n">
        <x:v>713.4081705907</x:v>
      </x:c>
      <x:c r="N46" s="24" t="str">
        <x:v>portunidae</x:v>
      </x:c>
      <x:c r="O46" s="32" t="n">
        <x:v>3.56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Portunidae</x:v>
      </x:c>
      <x:c r="T46" s="32" t="n">
        <x:f>IF(O46="","",(1/'Metadata'!$B$5)^(O46-1))</x:f>
        <x:v>363.0780547701014</x:v>
      </x:c>
      <x:c r="U46" s="31" t="n">
        <x:f>IF(T46="","",I46*T46)</x:f>
        <x:v>259022.85083516804</x:v>
      </x:c>
    </x:row>
    <x:row r="47" ht="18" customHeight="1">
      <x:c r="A47" s="24" t="str">
        <x:v>EEZ_144</x:v>
      </x:c>
      <x:c r="B47" s="24" t="str">
        <x:v>Sri Lanka</x:v>
      </x:c>
      <x:c r="C47" s="24" t="str">
        <x:v>EEZ</x:v>
      </x:c>
      <x:c r="D47" s="30" t="n">
        <x:v>2019</x:v>
      </x:c>
      <x:c r="E47" s="24" t="str">
        <x:v>Scomberomorus commerson</x:v>
      </x:c>
      <x:c r="F47" s="24" t="str">
        <x:v>Narrow-barred Spanish mackerel</x:v>
      </x:c>
      <x:c r="G47" s="24" t="str">
        <x:v>Large pelagics (&gt;=90 cm)</x:v>
      </x:c>
      <x:c r="H47" s="24" t="str">
        <x:v>Perch-likes</x:v>
      </x:c>
      <x:c r="I47" s="31" t="n">
        <x:v>663.6759998776</x:v>
      </x:c>
      <x:c r="J47" s="31" t="n">
        <x:v>663.6759998776</x:v>
      </x:c>
      <x:c r="K47" s="31" t="n">
        <x:v>0</x:v>
      </x:c>
      <x:c r="L47" s="31" t="n">
        <x:v>663.6759998776</x:v>
      </x:c>
      <x:c r="M47" s="31" t="n">
        <x:v>0</x:v>
      </x:c>
      <x:c r="N47" s="24" t="str">
        <x:v>scomberomorus commerson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Scomberomorus commerson</x:v>
      </x:c>
      <x:c r="T47" s="32" t="n">
        <x:f>IF(O47="","",(1/'Metadata'!$B$5)^(O47-1))</x:f>
        <x:v>3162.2776601683795</x:v>
      </x:c>
      <x:c r="U47" s="31" t="n">
        <x:f>IF(T47="","",I47*T47)</x:f>
        <x:v>2098727.7880028468</x:v>
      </x:c>
    </x:row>
    <x:row r="48" ht="18" customHeight="1">
      <x:c r="A48" s="24" t="str">
        <x:v>EEZ_144</x:v>
      </x:c>
      <x:c r="B48" s="24" t="str">
        <x:v>Sri Lanka</x:v>
      </x:c>
      <x:c r="C48" s="24" t="str">
        <x:v>EEZ</x:v>
      </x:c>
      <x:c r="D48" s="30" t="n">
        <x:v>2019</x:v>
      </x:c>
      <x:c r="E48" s="24" t="str">
        <x:v>Siluriformes</x:v>
      </x:c>
      <x:c r="F48" s="24" t="str">
        <x:v>Catfishes</x:v>
      </x:c>
      <x:c r="G48" s="24" t="str">
        <x:v>Medium demersals (30 - 89 cm)</x:v>
      </x:c>
      <x:c r="H48" s="24" t="str">
        <x:v>Other fishes &amp; inverts</x:v>
      </x:c>
      <x:c r="I48" s="31" t="n">
        <x:v>530.6006353001</x:v>
      </x:c>
      <x:c r="J48" s="31" t="n">
        <x:v>530.6006353001</x:v>
      </x:c>
      <x:c r="K48" s="31" t="n">
        <x:v>0</x:v>
      </x:c>
      <x:c r="L48" s="31" t="n">
        <x:v>530.6006353001</x:v>
      </x:c>
      <x:c r="M48" s="31" t="n">
        <x:v>0</x:v>
      </x:c>
      <x:c r="N48" s="24" t="str">
        <x:v>siluriformes</x:v>
      </x:c>
      <x:c r="O48" s="32" t="n">
        <x:v>3.48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Siluriformes</x:v>
      </x:c>
      <x:c r="T48" s="32" t="n">
        <x:f>IF(O48="","",(1/'Metadata'!$B$5)^(O48-1))</x:f>
        <x:v>301.9951720402016</x:v>
      </x:c>
      <x:c r="U48" s="31" t="n">
        <x:f>IF(T48="","",I48*T48)</x:f>
        <x:v>160238.83014209397</x:v>
      </x:c>
    </x:row>
    <x:row r="49" ht="18" customHeight="1">
      <x:c r="A49" s="24" t="str">
        <x:v>EEZ_144</x:v>
      </x:c>
      <x:c r="B49" s="24" t="str">
        <x:v>Sri Lanka</x:v>
      </x:c>
      <x:c r="C49" s="24" t="str">
        <x:v>EEZ</x:v>
      </x:c>
      <x:c r="D49" s="30" t="n">
        <x:v>2019</x:v>
      </x:c>
      <x:c r="E49" s="24" t="str">
        <x:v>Xiphias gladius</x:v>
      </x:c>
      <x:c r="F49" s="24" t="str">
        <x:v>Swordfish</x:v>
      </x:c>
      <x:c r="G49" s="24" t="str">
        <x:v>Large pelagics (&gt;=90 cm)</x:v>
      </x:c>
      <x:c r="H49" s="24" t="str">
        <x:v>Tuna &amp; billfishes</x:v>
      </x:c>
      <x:c r="I49" s="31" t="n">
        <x:v>420.6733513391</x:v>
      </x:c>
      <x:c r="J49" s="31" t="n">
        <x:v>420.6733513391</x:v>
      </x:c>
      <x:c r="K49" s="31" t="n">
        <x:v>0</x:v>
      </x:c>
      <x:c r="L49" s="31" t="n">
        <x:v>420.6733513391</x:v>
      </x:c>
      <x:c r="M49" s="31" t="n">
        <x:v>0</x:v>
      </x:c>
      <x:c r="N49" s="24" t="str">
        <x:v>xiphias gladius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Xiphias gladius</x:v>
      </x:c>
      <x:c r="T49" s="32" t="n">
        <x:f>IF(O49="","",(1/'Metadata'!$B$5)^(O49-1))</x:f>
        <x:v>3388.4415613920273</x:v>
      </x:c>
      <x:c r="U49" s="31" t="n">
        <x:f>IF(T49="","",I49*T49)</x:f>
        <x:v>1425427.067447477</x:v>
      </x:c>
    </x:row>
    <x:row r="50" ht="18" customHeight="1">
      <x:c r="A50" s="24" t="str">
        <x:v>EEZ_144</x:v>
      </x:c>
      <x:c r="B50" s="24" t="str">
        <x:v>Sri Lanka</x:v>
      </x:c>
      <x:c r="C50" s="24" t="str">
        <x:v>EEZ</x:v>
      </x:c>
      <x:c r="D50" s="30" t="n">
        <x:v>2019</x:v>
      </x:c>
      <x:c r="E50" s="24" t="str">
        <x:v>Panulirus</x:v>
      </x:c>
      <x:c r="F50" s="24" t="str">
        <x:v>Spiny lobsters</x:v>
      </x:c>
      <x:c r="G50" s="24" t="str">
        <x:v>Lobsters, crabs</x:v>
      </x:c>
      <x:c r="H50" s="24" t="str">
        <x:v>Crustaceans</x:v>
      </x:c>
      <x:c r="I50" s="31" t="n">
        <x:v>387.3684210527</x:v>
      </x:c>
      <x:c r="J50" s="31" t="n">
        <x:v>387.3684210527</x:v>
      </x:c>
      <x:c r="K50" s="31" t="n">
        <x:v>0</x:v>
      </x:c>
      <x:c r="L50" s="31" t="n">
        <x:v>387.3684210527</x:v>
      </x:c>
      <x:c r="M50" s="31" t="n">
        <x:v>0</x:v>
      </x:c>
      <x:c r="N50" s="24" t="str">
        <x:v>panulirus</x:v>
      </x:c>
      <x:c r="O50" s="32" t="n">
        <x:v>2.6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Panulirus</x:v>
      </x:c>
      <x:c r="T50" s="32" t="n">
        <x:f>IF(O50="","",(1/'Metadata'!$B$5)^(O50-1))</x:f>
        <x:v>39.810717055349734</x:v>
      </x:c>
      <x:c r="U50" s="31" t="n">
        <x:f>IF(T50="","",I50*T50)</x:f>
        <x:v>15421.414606706621</x:v>
      </x:c>
    </x:row>
    <x:row r="51" ht="18" customHeight="1">
      <x:c r="A51" s="24" t="str">
        <x:v>EEZ_144</x:v>
      </x:c>
      <x:c r="B51" s="24" t="str">
        <x:v>Sri Lanka</x:v>
      </x:c>
      <x:c r="C51" s="24" t="str">
        <x:v>EEZ</x:v>
      </x:c>
      <x:c r="D51" s="30" t="n">
        <x:v>2019</x:v>
      </x:c>
      <x:c r="E51" s="24" t="str">
        <x:v>Sepia</x:v>
      </x:c>
      <x:c r="F51" s="24" t="str">
        <x:v>Sepia cuttlefishes</x:v>
      </x:c>
      <x:c r="G51" s="24" t="str">
        <x:v>Cephalopods</x:v>
      </x:c>
      <x:c r="H51" s="24" t="str">
        <x:v>Other fishes &amp; inverts</x:v>
      </x:c>
      <x:c r="I51" s="31" t="n">
        <x:v>356.7040852954</x:v>
      </x:c>
      <x:c r="J51" s="31" t="n">
        <x:v>356.7040852954</x:v>
      </x:c>
      <x:c r="K51" s="31" t="n">
        <x:v>0</x:v>
      </x:c>
      <x:c r="L51" s="31" t="n">
        <x:v>0</x:v>
      </x:c>
      <x:c r="M51" s="31" t="n">
        <x:v>356.7040852954</x:v>
      </x:c>
      <x:c r="N51" s="24" t="str">
        <x:v>sepia</x:v>
      </x:c>
      <x:c r="O51" s="32" t="n">
        <x:v>3.69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Sepia</x:v>
      </x:c>
      <x:c r="T51" s="32" t="n">
        <x:f>IF(O51="","",(1/'Metadata'!$B$5)^(O51-1))</x:f>
        <x:v>489.77881936844614</x:v>
      </x:c>
      <x:c r="U51" s="31" t="n">
        <x:f>IF(T51="","",I51*T51)</x:f>
        <x:v>174706.1057598825</x:v>
      </x:c>
    </x:row>
    <x:row r="52" ht="18" customHeight="1">
      <x:c r="A52" s="24" t="str">
        <x:v>EEZ_144</x:v>
      </x:c>
      <x:c r="B52" s="24" t="str">
        <x:v>Sri Lanka</x:v>
      </x:c>
      <x:c r="C52" s="24" t="str">
        <x:v>EEZ</x:v>
      </x:c>
      <x:c r="D52" s="30" t="n">
        <x:v>2019</x:v>
      </x:c>
      <x:c r="E52" s="24" t="str">
        <x:v>Octopoda</x:v>
      </x:c>
      <x:c r="F52" s="24" t="str">
        <x:v>Octopuses, argonauts</x:v>
      </x:c>
      <x:c r="G52" s="24" t="str">
        <x:v>Cephalopods</x:v>
      </x:c>
      <x:c r="H52" s="24" t="str">
        <x:v>Other fishes &amp; inverts</x:v>
      </x:c>
      <x:c r="I52" s="31" t="n">
        <x:v>356.7040852954</x:v>
      </x:c>
      <x:c r="J52" s="31" t="n">
        <x:v>356.7040852954</x:v>
      </x:c>
      <x:c r="K52" s="31" t="n">
        <x:v>0</x:v>
      </x:c>
      <x:c r="L52" s="31" t="n">
        <x:v>0</x:v>
      </x:c>
      <x:c r="M52" s="31" t="n">
        <x:v>356.7040852954</x:v>
      </x:c>
      <x:c r="N52" s="24" t="str">
        <x:v>octopoda</x:v>
      </x:c>
      <x:c r="O52" s="32" t="n">
        <x:v>3.58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Octopoda</x:v>
      </x:c>
      <x:c r="T52" s="32" t="n">
        <x:f>IF(O52="","",(1/'Metadata'!$B$5)^(O52-1))</x:f>
        <x:v>380.1893963205613</x:v>
      </x:c>
      <x:c r="U52" s="31" t="n">
        <x:f>IF(T52="","",I52*T52)</x:f>
        <x:v>135615.1108535361</x:v>
      </x:c>
    </x:row>
    <x:row r="53" ht="18" customHeight="1">
      <x:c r="A53" s="24" t="str">
        <x:v>EEZ_144</x:v>
      </x:c>
      <x:c r="B53" s="24" t="str">
        <x:v>Sri Lanka</x:v>
      </x:c>
      <x:c r="C53" s="24" t="str">
        <x:v>EEZ</x:v>
      </x:c>
      <x:c r="D53" s="30" t="n">
        <x:v>2019</x:v>
      </x:c>
      <x:c r="E53" s="24" t="str">
        <x:v>Scombroidei</x:v>
      </x:c>
      <x:c r="F53" s="24" t="str">
        <x:v>Tunas, bonitos, billfishes</x:v>
      </x:c>
      <x:c r="G53" s="24" t="str">
        <x:v>Large pelagics (&gt;=90 cm)</x:v>
      </x:c>
      <x:c r="H53" s="24" t="str">
        <x:v>Tuna &amp; billfishes</x:v>
      </x:c>
      <x:c r="I53" s="31" t="n">
        <x:v>323.4333412723</x:v>
      </x:c>
      <x:c r="J53" s="31" t="n">
        <x:v>323.4333412723</x:v>
      </x:c>
      <x:c r="K53" s="31" t="n">
        <x:v>0</x:v>
      </x:c>
      <x:c r="L53" s="31" t="n">
        <x:v>323.4333412723</x:v>
      </x:c>
      <x:c r="M53" s="31" t="n">
        <x:v>0</x:v>
      </x:c>
      <x:c r="N53" s="24" t="str">
        <x:v>scombroidei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Scombroidei</x:v>
      </x:c>
      <x:c r="T53" s="32" t="n">
        <x:f>IF(O53="","",(1/'Metadata'!$B$5)^(O53-1))</x:f>
        <x:v>1584.893192461114</x:v>
      </x:c>
      <x:c r="U53" s="31" t="n">
        <x:f>IF(T53="","",I53*T53)</x:f>
        <x:v>512607.3007974206</x:v>
      </x:c>
    </x:row>
    <x:row r="54" ht="18" customHeight="1">
      <x:c r="A54" s="24" t="str">
        <x:v>EEZ_144</x:v>
      </x:c>
      <x:c r="B54" s="24" t="str">
        <x:v>Sri Lanka</x:v>
      </x:c>
      <x:c r="C54" s="24" t="str">
        <x:v>EEZ</x:v>
      </x:c>
      <x:c r="D54" s="30" t="n">
        <x:v>2019</x:v>
      </x:c>
      <x:c r="E54" s="24" t="str">
        <x:v>Katsuwonus pelamis</x:v>
      </x:c>
      <x:c r="F54" s="24" t="str">
        <x:v>Skipjack tuna</x:v>
      </x:c>
      <x:c r="G54" s="24" t="str">
        <x:v>Large pelagics (&gt;=90 cm)</x:v>
      </x:c>
      <x:c r="H54" s="24" t="str">
        <x:v>Tuna &amp; billfishes</x:v>
      </x:c>
      <x:c r="I54" s="31" t="n">
        <x:v>284.56864340159996</x:v>
      </x:c>
      <x:c r="J54" s="31" t="n">
        <x:v>284.56864340159996</x:v>
      </x:c>
      <x:c r="K54" s="31" t="n">
        <x:v>0</x:v>
      </x:c>
      <x:c r="L54" s="31" t="n">
        <x:v>284.56864340159996</x:v>
      </x:c>
      <x:c r="M54" s="31" t="n">
        <x:v>0</x:v>
      </x:c>
      <x:c r="N54" s="24" t="str">
        <x:v>katsuwonus pelamis</x:v>
      </x:c>
      <x:c r="O54" s="32" t="n">
        <x:v>4.43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Katsuwonus pelamis</x:v>
      </x:c>
      <x:c r="T54" s="32" t="n">
        <x:f>IF(O54="","",(1/'Metadata'!$B$5)^(O54-1))</x:f>
        <x:v>2691.534803926914</x:v>
      </x:c>
      <x:c r="U54" s="31" t="n">
        <x:f>IF(T54="","",I54*T54)</x:f>
        <x:v>765926.4078216732</x:v>
      </x:c>
    </x:row>
    <x:row r="55" ht="18" customHeight="1">
      <x:c r="A55" s="24" t="str">
        <x:v>EEZ_144</x:v>
      </x:c>
      <x:c r="B55" s="24" t="str">
        <x:v>Sri Lanka</x:v>
      </x:c>
      <x:c r="C55" s="24" t="str">
        <x:v>EEZ</x:v>
      </x:c>
      <x:c r="D55" s="30" t="n">
        <x:v>2019</x:v>
      </x:c>
      <x:c r="E55" s="24" t="str">
        <x:v>Isurus</x:v>
      </x:c>
      <x:c r="F55" s="24" t="str">
        <x:v>Mako sharks</x:v>
      </x:c>
      <x:c r="G55" s="24" t="str">
        <x:v>Large sharks (&gt;=90 cm)</x:v>
      </x:c>
      <x:c r="H55" s="24" t="str">
        <x:v>Sharks &amp; rays</x:v>
      </x:c>
      <x:c r="I55" s="31" t="n">
        <x:v>219.31476214490002</x:v>
      </x:c>
      <x:c r="J55" s="31" t="n">
        <x:v>219.31476214490002</x:v>
      </x:c>
      <x:c r="K55" s="31" t="n">
        <x:v>0</x:v>
      </x:c>
      <x:c r="L55" s="31" t="n">
        <x:v>219.31476214490002</x:v>
      </x:c>
      <x:c r="M55" s="31" t="n">
        <x:v>0</x:v>
      </x:c>
      <x:c r="N55" s="24" t="str">
        <x:v>isurus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Isurus</x:v>
      </x:c>
      <x:c r="T55" s="32" t="n">
        <x:f>IF(O55="","",(1/'Metadata'!$B$5)^(O55-1))</x:f>
        <x:v>3162.2776601683795</x:v>
      </x:c>
      <x:c r="U55" s="31" t="n">
        <x:f>IF(T55="","",I55*T55)</x:f>
        <x:v>693534.1728759591</x:v>
      </x:c>
    </x:row>
    <x:row r="56" ht="18" customHeight="1">
      <x:c r="A56" s="24" t="str">
        <x:v>EEZ_144</x:v>
      </x:c>
      <x:c r="B56" s="24" t="str">
        <x:v>Sri Lanka</x:v>
      </x:c>
      <x:c r="C56" s="24" t="str">
        <x:v>EEZ</x:v>
      </x:c>
      <x:c r="D56" s="30" t="n">
        <x:v>2019</x:v>
      </x:c>
      <x:c r="E56" s="24" t="str">
        <x:v>Panulirus penicillatus</x:v>
      </x:c>
      <x:c r="F56" s="24" t="str">
        <x:v>Pronghorn spiny lobster</x:v>
      </x:c>
      <x:c r="G56" s="24" t="str">
        <x:v>Lobsters, crabs</x:v>
      </x:c>
      <x:c r="H56" s="24" t="str">
        <x:v>Crustaceans</x:v>
      </x:c>
      <x:c r="I56" s="31" t="n">
        <x:v>193.6842105263</x:v>
      </x:c>
      <x:c r="J56" s="31" t="n">
        <x:v>193.6842105263</x:v>
      </x:c>
      <x:c r="K56" s="31" t="n">
        <x:v>0</x:v>
      </x:c>
      <x:c r="L56" s="31" t="n">
        <x:v>193.6842105263</x:v>
      </x:c>
      <x:c r="M56" s="31" t="n">
        <x:v>0</x:v>
      </x:c>
      <x:c r="N56" s="24" t="str">
        <x:v>panulirus penicillatus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Panulirus penicillatus</x:v>
      </x:c>
      <x:c r="T56" s="32" t="n">
        <x:f>IF(O56="","",(1/'Metadata'!$B$5)^(O56-1))</x:f>
        <x:v>371.5352290971724</x:v>
      </x:c>
      <x:c r="U56" s="31" t="n">
        <x:f>IF(T56="","",I56*T56)</x:f>
        <x:v>71960.50753039385</x:v>
      </x:c>
    </x:row>
    <x:row r="57" ht="18" customHeight="1">
      <x:c r="A57" s="24" t="str">
        <x:v>EEZ_144</x:v>
      </x:c>
      <x:c r="B57" s="24" t="str">
        <x:v>Sri Lanka</x:v>
      </x:c>
      <x:c r="C57" s="24" t="str">
        <x:v>EEZ</x:v>
      </x:c>
      <x:c r="D57" s="30" t="n">
        <x:v>2019</x:v>
      </x:c>
      <x:c r="E57" s="24" t="str">
        <x:v>Panulirus versicolor</x:v>
      </x:c>
      <x:c r="F57" s="24" t="str">
        <x:v>Painted spiny lobster</x:v>
      </x:c>
      <x:c r="G57" s="24" t="str">
        <x:v>Lobsters, crabs</x:v>
      </x:c>
      <x:c r="H57" s="24" t="str">
        <x:v>Crustaceans</x:v>
      </x:c>
      <x:c r="I57" s="31" t="n">
        <x:v>193.6842105263</x:v>
      </x:c>
      <x:c r="J57" s="31" t="n">
        <x:v>193.6842105263</x:v>
      </x:c>
      <x:c r="K57" s="31" t="n">
        <x:v>0</x:v>
      </x:c>
      <x:c r="L57" s="31" t="n">
        <x:v>193.6842105263</x:v>
      </x:c>
      <x:c r="M57" s="31" t="n">
        <x:v>0</x:v>
      </x:c>
      <x:c r="N57" s="24" t="str">
        <x:v>panulirus versicolor</x:v>
      </x:c>
      <x:c r="O57" s="32" t="n">
        <x:v>3.57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Panulirus versicolor</x:v>
      </x:c>
      <x:c r="T57" s="32" t="n">
        <x:f>IF(O57="","",(1/'Metadata'!$B$5)^(O57-1))</x:f>
        <x:v>371.5352290971724</x:v>
      </x:c>
      <x:c r="U57" s="31" t="n">
        <x:f>IF(T57="","",I57*T57)</x:f>
        <x:v>71960.50753039385</x:v>
      </x:c>
    </x:row>
    <x:row r="58" ht="18" customHeight="1">
      <x:c r="A58" s="24" t="str">
        <x:v>EEZ_144</x:v>
      </x:c>
      <x:c r="B58" s="24" t="str">
        <x:v>Sri Lanka</x:v>
      </x:c>
      <x:c r="C58" s="24" t="str">
        <x:v>EEZ</x:v>
      </x:c>
      <x:c r="D58" s="30" t="n">
        <x:v>2019</x:v>
      </x:c>
      <x:c r="E58" s="24" t="str">
        <x:v>Thunnus alalunga</x:v>
      </x:c>
      <x:c r="F58" s="24" t="str">
        <x:v>Albacore</x:v>
      </x:c>
      <x:c r="G58" s="24" t="str">
        <x:v>Large pelagics (&gt;=90 cm)</x:v>
      </x:c>
      <x:c r="H58" s="24" t="str">
        <x:v>Tuna &amp; billfishes</x:v>
      </x:c>
      <x:c r="I58" s="31" t="n">
        <x:v>180.4297206942</x:v>
      </x:c>
      <x:c r="J58" s="31" t="n">
        <x:v>180.4297206942</x:v>
      </x:c>
      <x:c r="K58" s="31" t="n">
        <x:v>0</x:v>
      </x:c>
      <x:c r="L58" s="31" t="n">
        <x:v>180.4297206942</x:v>
      </x:c>
      <x:c r="M58" s="31" t="n">
        <x:v>0</x:v>
      </x:c>
      <x:c r="N58" s="24" t="str">
        <x:v>thunnus alalunga</x:v>
      </x:c>
      <x:c r="O58" s="32" t="n">
        <x:v>4.3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alalunga</x:v>
      </x:c>
      <x:c r="T58" s="32" t="n">
        <x:f>IF(O58="","",(1/'Metadata'!$B$5)^(O58-1))</x:f>
        <x:v>1995.2623149688789</x:v>
      </x:c>
      <x:c r="U58" s="31" t="n">
        <x:f>IF(T58="","",I58*T58)</x:f>
        <x:v>360004.6222014977</x:v>
      </x:c>
    </x:row>
    <x:row r="59" ht="18" customHeight="1">
      <x:c r="A59" s="24" t="str">
        <x:v>EEZ_144</x:v>
      </x:c>
      <x:c r="B59" s="24" t="str">
        <x:v>Sri Lanka</x:v>
      </x:c>
      <x:c r="C59" s="24" t="str">
        <x:v>EEZ</x:v>
      </x:c>
      <x:c r="D59" s="30" t="n">
        <x:v>2019</x:v>
      </x:c>
      <x:c r="E59" s="24" t="str">
        <x:v>Sarda orientalis</x:v>
      </x:c>
      <x:c r="F59" s="24" t="str">
        <x:v>Striped bonito</x:v>
      </x:c>
      <x:c r="G59" s="24" t="str">
        <x:v>Large pelagics (&gt;=90 cm)</x:v>
      </x:c>
      <x:c r="H59" s="24" t="str">
        <x:v>Tuna &amp; billfishes</x:v>
      </x:c>
      <x:c r="I59" s="31" t="n">
        <x:v>180.0089194765</x:v>
      </x:c>
      <x:c r="J59" s="31" t="n">
        <x:v>180.0089194765</x:v>
      </x:c>
      <x:c r="K59" s="31" t="n">
        <x:v>0</x:v>
      </x:c>
      <x:c r="L59" s="31" t="n">
        <x:v>180.0089194765</x:v>
      </x:c>
      <x:c r="M59" s="31" t="n">
        <x:v>0</x:v>
      </x:c>
      <x:c r="N59" s="24" t="str">
        <x:v>sarda orientalis</x:v>
      </x:c>
      <x:c r="O59" s="32" t="n">
        <x:v>4.21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Sarda orientalis</x:v>
      </x:c>
      <x:c r="T59" s="32" t="n">
        <x:f>IF(O59="","",(1/'Metadata'!$B$5)^(O59-1))</x:f>
        <x:v>1621.8100973589299</x:v>
      </x:c>
      <x:c r="U59" s="31" t="n">
        <x:f>IF(T59="","",I59*T59)</x:f>
        <x:v>291940.28322165826</x:v>
      </x:c>
    </x:row>
    <x:row r="60" ht="18" customHeight="1">
      <x:c r="A60" s="24" t="str">
        <x:v>EEZ_144</x:v>
      </x:c>
      <x:c r="B60" s="24" t="str">
        <x:v>Sri Lanka</x:v>
      </x:c>
      <x:c r="C60" s="24" t="str">
        <x:v>EEZ</x:v>
      </x:c>
      <x:c r="D60" s="30" t="n">
        <x:v>2019</x:v>
      </x:c>
      <x:c r="E60" s="24" t="str">
        <x:v>Istiompax indica</x:v>
      </x:c>
      <x:c r="F60" s="24" t="str">
        <x:v>Black marlin</x:v>
      </x:c>
      <x:c r="G60" s="24" t="str">
        <x:v>Large pelagics (&gt;=90 cm)</x:v>
      </x:c>
      <x:c r="H60" s="24" t="str">
        <x:v>Tuna &amp; billfishes</x:v>
      </x:c>
      <x:c r="I60" s="31" t="n">
        <x:v>108.254758436</x:v>
      </x:c>
      <x:c r="J60" s="31" t="n">
        <x:v>108.254758436</x:v>
      </x:c>
      <x:c r="K60" s="31" t="n">
        <x:v>0</x:v>
      </x:c>
      <x:c r="L60" s="31" t="n">
        <x:v>108.254758436</x:v>
      </x:c>
      <x:c r="M60" s="31" t="n">
        <x:v>0</x:v>
      </x:c>
      <x:c r="N60" s="24" t="str">
        <x:v>istiompax indica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Istiompax indica</x:v>
      </x:c>
      <x:c r="T60" s="32" t="n">
        <x:f>IF(O60="","",(1/'Metadata'!$B$5)^(O60-1))</x:f>
        <x:v>3162.2776601683795</x:v>
      </x:c>
      <x:c r="U60" s="31" t="n">
        <x:f>IF(T60="","",I60*T60)</x:f>
        <x:v>342331.6042090872</x:v>
      </x:c>
    </x:row>
    <x:row r="61" ht="18" customHeight="1">
      <x:c r="A61" s="24" t="str">
        <x:v>EEZ_144</x:v>
      </x:c>
      <x:c r="B61" s="24" t="str">
        <x:v>Sri Lanka</x:v>
      </x:c>
      <x:c r="C61" s="24" t="str">
        <x:v>EEZ</x:v>
      </x:c>
      <x:c r="D61" s="30" t="n">
        <x:v>2019</x:v>
      </x:c>
      <x:c r="E61" s="24" t="str">
        <x:v>Alopias</x:v>
      </x:c>
      <x:c r="F61" s="24" t="str">
        <x:v>Thresher sharks</x:v>
      </x:c>
      <x:c r="G61" s="24" t="str">
        <x:v>Large sharks (&gt;=90 cm)</x:v>
      </x:c>
      <x:c r="H61" s="24" t="str">
        <x:v>Sharks &amp; rays</x:v>
      </x:c>
      <x:c r="I61" s="31" t="n">
        <x:v>78.4505472719</x:v>
      </x:c>
      <x:c r="J61" s="31" t="n">
        <x:v>78.4505472719</x:v>
      </x:c>
      <x:c r="K61" s="31" t="n">
        <x:v>0</x:v>
      </x:c>
      <x:c r="L61" s="31" t="n">
        <x:v>78.4505472719</x:v>
      </x:c>
      <x:c r="M61" s="31" t="n">
        <x:v>0</x:v>
      </x:c>
      <x:c r="N61" s="24" t="str">
        <x:v>alopias</x:v>
      </x:c>
      <x:c r="O61" s="32" t="n">
        <x:v>4.5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Alopias</x:v>
      </x:c>
      <x:c r="T61" s="32" t="n">
        <x:f>IF(O61="","",(1/'Metadata'!$B$5)^(O61-1))</x:f>
        <x:v>3162.2776601683795</x:v>
      </x:c>
      <x:c r="U61" s="31" t="n">
        <x:f>IF(T61="","",I61*T61)</x:f>
        <x:v>248082.4130659128</x:v>
      </x:c>
    </x:row>
    <x:row r="62" ht="18" customHeight="1">
      <x:c r="A62" s="24" t="str">
        <x:v>EEZ_144</x:v>
      </x:c>
      <x:c r="B62" s="24" t="str">
        <x:v>Sri Lanka</x:v>
      </x:c>
      <x:c r="C62" s="24" t="str">
        <x:v>EEZ</x:v>
      </x:c>
      <x:c r="D62" s="30" t="n">
        <x:v>2019</x:v>
      </x:c>
      <x:c r="E62" s="24" t="str">
        <x:v>Istiophorus platypterus</x:v>
      </x:c>
      <x:c r="F62" s="24" t="str">
        <x:v>Indo-Pacific sailfish</x:v>
      </x:c>
      <x:c r="G62" s="24" t="str">
        <x:v>Large pelagics (&gt;=90 cm)</x:v>
      </x:c>
      <x:c r="H62" s="24" t="str">
        <x:v>Tuna &amp; billfishes</x:v>
      </x:c>
      <x:c r="I62" s="31" t="n">
        <x:v>46.1795260613</x:v>
      </x:c>
      <x:c r="J62" s="31" t="n">
        <x:v>46.1795260613</x:v>
      </x:c>
      <x:c r="K62" s="31" t="n">
        <x:v>0</x:v>
      </x:c>
      <x:c r="L62" s="31" t="n">
        <x:v>46.1795260613</x:v>
      </x:c>
      <x:c r="M62" s="31" t="n">
        <x:v>0</x:v>
      </x:c>
      <x:c r="N62" s="24" t="str">
        <x:v>istiophorus platypterus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Istiophorus platypterus</x:v>
      </x:c>
      <x:c r="T62" s="32" t="n">
        <x:f>IF(O62="","",(1/'Metadata'!$B$5)^(O62-1))</x:f>
        <x:v>3162.2776601683795</x:v>
      </x:c>
      <x:c r="U62" s="31" t="n">
        <x:f>IF(T62="","",I62*T62)</x:f>
        <x:v>146032.48362081248</x:v>
      </x:c>
    </x:row>
    <x:row r="63" ht="18" customHeight="1">
      <x:c r="A63" s="24" t="str">
        <x:v>EEZ_144</x:v>
      </x:c>
      <x:c r="B63" s="24" t="str">
        <x:v>Sri Lanka</x:v>
      </x:c>
      <x:c r="C63" s="24" t="str">
        <x:v>EEZ</x:v>
      </x:c>
      <x:c r="D63" s="30" t="n">
        <x:v>2019</x:v>
      </x:c>
      <x:c r="E63" s="24" t="str">
        <x:v>Kajikia audax</x:v>
      </x:c>
      <x:c r="F63" s="24" t="str">
        <x:v>Striped marlin</x:v>
      </x:c>
      <x:c r="G63" s="24" t="str">
        <x:v>Large pelagics (&gt;=90 cm)</x:v>
      </x:c>
      <x:c r="H63" s="24" t="str">
        <x:v>Tuna &amp; billfishes</x:v>
      </x:c>
      <x:c r="I63" s="31" t="n">
        <x:v>41.157745081</x:v>
      </x:c>
      <x:c r="J63" s="31" t="n">
        <x:v>41.157745081</x:v>
      </x:c>
      <x:c r="K63" s="31" t="n">
        <x:v>0</x:v>
      </x:c>
      <x:c r="L63" s="31" t="n">
        <x:v>41.157745081</x:v>
      </x:c>
      <x:c r="M63" s="31" t="n">
        <x:v>0</x:v>
      </x:c>
      <x:c r="N63" s="24" t="str">
        <x:v>kajikia audax</x:v>
      </x:c>
      <x:c r="O63" s="32" t="n">
        <x:v>4.58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Kajikia audax</x:v>
      </x:c>
      <x:c r="T63" s="32" t="n">
        <x:f>IF(O63="","",(1/'Metadata'!$B$5)^(O63-1))</x:f>
        <x:v>3801.8939632056126</x:v>
      </x:c>
      <x:c r="U63" s="31" t="n">
        <x:f>IF(T63="","",I63*T63)</x:f>
        <x:v>156477.38256260942</x:v>
      </x:c>
    </x:row>
    <x:row r="64" ht="18" customHeight="1">
      <x:c r="A64" s="24" t="str">
        <x:v>EEZ_144</x:v>
      </x:c>
      <x:c r="B64" s="24" t="str">
        <x:v>Sri Lanka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31.0979293472</x:v>
      </x:c>
      <x:c r="J64" s="31" t="n">
        <x:v>31.0979293472</x:v>
      </x:c>
      <x:c r="K64" s="31" t="n">
        <x:v>0</x:v>
      </x:c>
      <x:c r="L64" s="31" t="n">
        <x:v>31.0979293472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49286.89652201398</x:v>
      </x:c>
    </x:row>
    <x:row r="65" ht="18" customHeight="1">
      <x:c r="A65" s="24" t="str">
        <x:v>EEZ_144</x:v>
      </x:c>
      <x:c r="B65" s="24" t="str">
        <x:v>Sri Lanka</x:v>
      </x:c>
      <x:c r="C65" s="24" t="str">
        <x:v>EEZ</x:v>
      </x:c>
      <x:c r="D65" s="30" t="n">
        <x:v>2019</x:v>
      </x:c>
      <x:c r="E65" s="24" t="str">
        <x:v>Elasmobranchii</x:v>
      </x:c>
      <x:c r="F65" s="24" t="str">
        <x:v>Sharks, rays, skates</x:v>
      </x:c>
      <x:c r="G65" s="24" t="str">
        <x:v>Large sharks (&gt;=90 cm)</x:v>
      </x:c>
      <x:c r="H65" s="24" t="str">
        <x:v>Sharks &amp; rays</x:v>
      </x:c>
      <x:c r="I65" s="31" t="n">
        <x:v>30.5992023948</x:v>
      </x:c>
      <x:c r="J65" s="31" t="n">
        <x:v>30.5992023948</x:v>
      </x:c>
      <x:c r="K65" s="31" t="n">
        <x:v>0</x:v>
      </x:c>
      <x:c r="L65" s="31" t="n">
        <x:v>30.5992023948</x:v>
      </x:c>
      <x:c r="M65" s="31" t="n">
        <x:v>0</x:v>
      </x:c>
      <x:c r="N65" s="24" t="str">
        <x:v>elasmobranchii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Elasmobranchii</x:v>
      </x:c>
      <x:c r="T65" s="32" t="n">
        <x:f>IF(O65="","",(1/'Metadata'!$B$5)^(O65-1))</x:f>
        <x:v>1122.018454301963</x:v>
      </x:c>
      <x:c r="U65" s="31" t="n">
        <x:f>IF(T65="","",I65*T65)</x:f>
        <x:v>34332.86977388642</x:v>
      </x:c>
    </x:row>
    <x:row r="66" ht="18" customHeight="1">
      <x:c r="A66" s="24" t="str">
        <x:v>EEZ_144</x:v>
      </x:c>
      <x:c r="B66" s="24" t="str">
        <x:v>Sri Lanka</x:v>
      </x:c>
      <x:c r="C66" s="24" t="str">
        <x:v>EEZ</x:v>
      </x:c>
      <x:c r="D66" s="30" t="n">
        <x:v>2019</x:v>
      </x:c>
      <x:c r="E66" s="24" t="str">
        <x:v>Carcharhinidae</x:v>
      </x:c>
      <x:c r="F66" s="24" t="str">
        <x:v>Requiem sharks</x:v>
      </x:c>
      <x:c r="G66" s="24" t="str">
        <x:v>Large sharks (&gt;=90 cm)</x:v>
      </x:c>
      <x:c r="H66" s="24" t="str">
        <x:v>Sharks &amp; rays</x:v>
      </x:c>
      <x:c r="I66" s="31" t="n">
        <x:v>26.8383451193</x:v>
      </x:c>
      <x:c r="J66" s="31" t="n">
        <x:v>26.8383451193</x:v>
      </x:c>
      <x:c r="K66" s="31" t="n">
        <x:v>0</x:v>
      </x:c>
      <x:c r="L66" s="31" t="n">
        <x:v>26.8383451193</x:v>
      </x:c>
      <x:c r="M66" s="31" t="n">
        <x:v>0</x:v>
      </x:c>
      <x:c r="N66" s="24" t="str">
        <x:v>carcharhinidae</x:v>
      </x:c>
      <x:c r="O66" s="32" t="n">
        <x:v>4.24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Carcharhinidae</x:v>
      </x:c>
      <x:c r="T66" s="32" t="n">
        <x:f>IF(O66="","",(1/'Metadata'!$B$5)^(O66-1))</x:f>
        <x:v>1737.8008287493763</x:v>
      </x:c>
      <x:c r="U66" s="31" t="n">
        <x:f>IF(T66="","",I66*T66)</x:f>
        <x:v>46639.69839058132</x:v>
      </x:c>
    </x:row>
    <x:row r="67" ht="18" customHeight="1">
      <x:c r="A67" s="24" t="str">
        <x:v>EEZ_144</x:v>
      </x:c>
      <x:c r="B67" s="24" t="str">
        <x:v>Sri Lanka</x:v>
      </x:c>
      <x:c r="C67" s="24" t="str">
        <x:v>EEZ</x:v>
      </x:c>
      <x:c r="D67" s="30" t="n">
        <x:v>2019</x:v>
      </x:c>
      <x:c r="E67" s="24" t="str">
        <x:v>Isurus oxyrinchus</x:v>
      </x:c>
      <x:c r="F67" s="24" t="str">
        <x:v>Shortfin mako</x:v>
      </x:c>
      <x:c r="G67" s="24" t="str">
        <x:v>Large sharks (&gt;=90 cm)</x:v>
      </x:c>
      <x:c r="H67" s="24" t="str">
        <x:v>Sharks &amp; rays</x:v>
      </x:c>
      <x:c r="I67" s="31" t="n">
        <x:v>13.702899508</x:v>
      </x:c>
      <x:c r="J67" s="31" t="n">
        <x:v>13.702899508</x:v>
      </x:c>
      <x:c r="K67" s="31" t="n">
        <x:v>0</x:v>
      </x:c>
      <x:c r="L67" s="31" t="n">
        <x:v>13.702899508</x:v>
      </x:c>
      <x:c r="M67" s="31" t="n">
        <x:v>0</x:v>
      </x:c>
      <x:c r="N67" s="24" t="str">
        <x:v>isurus oxyrinchus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oxyrinchus</x:v>
      </x:c>
      <x:c r="T67" s="32" t="n">
        <x:f>IF(O67="","",(1/'Metadata'!$B$5)^(O67-1))</x:f>
        <x:v>3162.2776601683795</x:v>
      </x:c>
      <x:c r="U67" s="31" t="n">
        <x:f>IF(T67="","",I67*T67)</x:f>
        <x:v>43332.37299368068</x:v>
      </x:c>
    </x:row>
    <x:row r="68" ht="18" customHeight="1">
      <x:c r="A68" s="24" t="str">
        <x:v>EEZ_144</x:v>
      </x:c>
      <x:c r="B68" s="24" t="str">
        <x:v>Sri Lanka</x:v>
      </x:c>
      <x:c r="C68" s="24" t="str">
        <x:v>EEZ</x:v>
      </x:c>
      <x:c r="D68" s="30" t="n">
        <x:v>2019</x:v>
      </x:c>
      <x:c r="E68" s="24" t="str">
        <x:v>Carcharhinus falciformis</x:v>
      </x:c>
      <x:c r="F68" s="24" t="str">
        <x:v>Silky shark</x:v>
      </x:c>
      <x:c r="G68" s="24" t="str">
        <x:v>Large sharks (&gt;=90 cm)</x:v>
      </x:c>
      <x:c r="H68" s="24" t="str">
        <x:v>Sharks &amp; rays</x:v>
      </x:c>
      <x:c r="I68" s="31" t="n">
        <x:v>6.0990538111</x:v>
      </x:c>
      <x:c r="J68" s="31" t="n">
        <x:v>6.0990538111</x:v>
      </x:c>
      <x:c r="K68" s="31" t="n">
        <x:v>0</x:v>
      </x:c>
      <x:c r="L68" s="31" t="n">
        <x:v>6.0990538111</x:v>
      </x:c>
      <x:c r="M68" s="31" t="n">
        <x:v>0</x:v>
      </x:c>
      <x:c r="N68" s="24" t="str">
        <x:v>carcharhinus falciformis</x:v>
      </x:c>
      <x:c r="O68" s="32" t="n">
        <x:v>4.51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falciformis</x:v>
      </x:c>
      <x:c r="T68" s="32" t="n">
        <x:f>IF(O68="","",(1/'Metadata'!$B$5)^(O68-1))</x:f>
        <x:v>3235.936569296281</x:v>
      </x:c>
      <x:c r="U68" s="31" t="n">
        <x:f>IF(T68="","",I68*T68)</x:f>
        <x:v>19736.151265444343</x:v>
      </x:c>
    </x:row>
    <x:row r="69" ht="18" customHeight="1">
      <x:c r="A69" s="24" t="str">
        <x:v>EEZ_144</x:v>
      </x:c>
      <x:c r="B69" s="24" t="str">
        <x:v>Sri Lanka</x:v>
      </x:c>
      <x:c r="C69" s="24" t="str">
        <x:v>EEZ</x:v>
      </x:c>
      <x:c r="D69" s="30" t="n">
        <x:v>2019</x:v>
      </x:c>
      <x:c r="E69" s="24" t="str">
        <x:v>Euthynnus affinis</x:v>
      </x:c>
      <x:c r="F69" s="24" t="str">
        <x:v>Kawakawa</x:v>
      </x:c>
      <x:c r="G69" s="24" t="str">
        <x:v>Large pelagics (&gt;=90 cm)</x:v>
      </x:c>
      <x:c r="H69" s="24" t="str">
        <x:v>Tuna &amp; billfishes</x:v>
      </x:c>
      <x:c r="I69" s="31" t="n">
        <x:v>3.1373114663000004</x:v>
      </x:c>
      <x:c r="J69" s="31" t="n">
        <x:v>3.1373114663000004</x:v>
      </x:c>
      <x:c r="K69" s="31" t="n">
        <x:v>0</x:v>
      </x:c>
      <x:c r="L69" s="31" t="n">
        <x:v>3.1373114663000004</x:v>
      </x:c>
      <x:c r="M69" s="31" t="n">
        <x:v>0</x:v>
      </x:c>
      <x:c r="N69" s="24" t="str">
        <x:v>euthynnus affinis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Euthynnus affinis</x:v>
      </x:c>
      <x:c r="T69" s="32" t="n">
        <x:f>IF(O69="","",(1/'Metadata'!$B$5)^(O69-1))</x:f>
        <x:v>3162.2776601683795</x:v>
      </x:c>
      <x:c r="U69" s="31" t="n">
        <x:f>IF(T69="","",I69*T69)</x:f>
        <x:v>9921.049962870593</x:v>
      </x:c>
    </x:row>
    <x:row r="70" ht="18" customHeight="1">
      <x:c r="A70" s="24" t="str">
        <x:v>EEZ_144</x:v>
      </x:c>
      <x:c r="B70" s="24" t="str">
        <x:v>Sri Lanka</x:v>
      </x:c>
      <x:c r="C70" s="24" t="str">
        <x:v>EEZ</x:v>
      </x:c>
      <x:c r="D70" s="30" t="n">
        <x:v>2019</x:v>
      </x:c>
      <x:c r="E70" s="24" t="str">
        <x:v>Scomberomorus guttatus</x:v>
      </x:c>
      <x:c r="F70" s="24" t="str">
        <x:v>Indo-Pacific king mackerel</x:v>
      </x:c>
      <x:c r="G70" s="24" t="str">
        <x:v>Medium pelagics (30 - 89 cm)</x:v>
      </x:c>
      <x:c r="H70" s="24" t="str">
        <x:v>Perch-likes</x:v>
      </x:c>
      <x:c r="I70" s="31" t="n">
        <x:v>2.3576105719</x:v>
      </x:c>
      <x:c r="J70" s="31" t="n">
        <x:v>2.3576105719</x:v>
      </x:c>
      <x:c r="K70" s="31" t="n">
        <x:v>0</x:v>
      </x:c>
      <x:c r="L70" s="31" t="n">
        <x:v>2.3576105719</x:v>
      </x:c>
      <x:c r="M70" s="31" t="n">
        <x:v>0</x:v>
      </x:c>
      <x:c r="N70" s="24" t="str">
        <x:v>scomberomorus guttatus</x:v>
      </x:c>
      <x:c r="O70" s="32" t="n">
        <x:v>4.28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guttatus</x:v>
      </x:c>
      <x:c r="T70" s="32" t="n">
        <x:f>IF(O70="","",(1/'Metadata'!$B$5)^(O70-1))</x:f>
        <x:v>1905.4607179632483</x:v>
      </x:c>
      <x:c r="U70" s="31" t="n">
        <x:f>IF(T70="","",I70*T70)</x:f>
        <x:v>4492.334333010318</x:v>
      </x:c>
    </x:row>
    <x:row r="71" ht="18" customHeight="1">
      <x:c r="A71" s="24" t="str">
        <x:v>EEZ_144</x:v>
      </x:c>
      <x:c r="B71" s="24" t="str">
        <x:v>Sri Lanka</x:v>
      </x:c>
      <x:c r="C71" s="24" t="str">
        <x:v>EEZ</x:v>
      </x:c>
      <x:c r="D71" s="30" t="n">
        <x:v>2019</x:v>
      </x:c>
      <x:c r="E71" s="24" t="str">
        <x:v>Tetrapturus angustirostris</x:v>
      </x:c>
      <x:c r="F71" s="24" t="str">
        <x:v>Shortbill spearfish</x:v>
      </x:c>
      <x:c r="G71" s="24" t="str">
        <x:v>Large pelagics (&gt;=90 cm)</x:v>
      </x:c>
      <x:c r="H71" s="24" t="str">
        <x:v>Tuna &amp; billfishes</x:v>
      </x:c>
      <x:c r="I71" s="31" t="n">
        <x:v>2.1859222187</x:v>
      </x:c>
      <x:c r="J71" s="31" t="n">
        <x:v>2.1859222187</x:v>
      </x:c>
      <x:c r="K71" s="31" t="n">
        <x:v>0</x:v>
      </x:c>
      <x:c r="L71" s="31" t="n">
        <x:v>2.1859222187</x:v>
      </x:c>
      <x:c r="M71" s="31" t="n">
        <x:v>0</x:v>
      </x:c>
      <x:c r="N71" s="24" t="str">
        <x:v>tetrapturus angustirostris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Tetrapturus angustirostris</x:v>
      </x:c>
      <x:c r="T71" s="32" t="n">
        <x:f>IF(O71="","",(1/'Metadata'!$B$5)^(O71-1))</x:f>
        <x:v>3162.2776601683795</x:v>
      </x:c>
      <x:c r="U71" s="31" t="n">
        <x:f>IF(T71="","",I71*T71)</x:f>
        <x:v>6912.492999060709</x:v>
      </x:c>
    </x:row>
    <x:row r="72" ht="18" customHeight="1">
      <x:c r="A72" s="24" t="str">
        <x:v>EEZ_144</x:v>
      </x:c>
      <x:c r="B72" s="24" t="str">
        <x:v>Sri Lanka</x:v>
      </x:c>
      <x:c r="C72" s="24" t="str">
        <x:v>EEZ</x:v>
      </x:c>
      <x:c r="D72" s="30" t="n">
        <x:v>2019</x:v>
      </x:c>
      <x:c r="E72" s="24" t="str">
        <x:v>Carcharhinus longimanus</x:v>
      </x:c>
      <x:c r="F72" s="24" t="str">
        <x:v>Oceanic whitetip shark</x:v>
      </x:c>
      <x:c r="G72" s="24" t="str">
        <x:v>Large sharks (&gt;=90 cm)</x:v>
      </x:c>
      <x:c r="H72" s="24" t="str">
        <x:v>Sharks &amp; rays</x:v>
      </x:c>
      <x:c r="I72" s="31" t="n">
        <x:v>2.0644880861</x:v>
      </x:c>
      <x:c r="J72" s="31" t="n">
        <x:v>2.0644880861</x:v>
      </x:c>
      <x:c r="K72" s="31" t="n">
        <x:v>0</x:v>
      </x:c>
      <x:c r="L72" s="31" t="n">
        <x:v>2.0644880861</x:v>
      </x:c>
      <x:c r="M72" s="31" t="n">
        <x:v>0</x:v>
      </x:c>
      <x:c r="N72" s="24" t="str">
        <x:v>carcharhinus longimanus</x:v>
      </x:c>
      <x:c r="O72" s="32" t="n">
        <x:v>4.16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Carcharhinus longimanus</x:v>
      </x:c>
      <x:c r="T72" s="32" t="n">
        <x:f>IF(O72="","",(1/'Metadata'!$B$5)^(O72-1))</x:f>
        <x:v>1445.439770745928</x:v>
      </x:c>
      <x:c r="U72" s="31" t="n">
        <x:f>IF(T72="","",I72*T72)</x:f>
        <x:v>2984.093185880083</x:v>
      </x:c>
    </x:row>
    <x:row r="73" ht="18" customHeight="1">
      <x:c r="A73" s="24" t="str">
        <x:v>EEZ_144</x:v>
      </x:c>
      <x:c r="B73" s="24" t="str">
        <x:v>Sri Lanka</x:v>
      </x:c>
      <x:c r="C73" s="24" t="str">
        <x:v>EEZ</x:v>
      </x:c>
      <x:c r="D73" s="30" t="n">
        <x:v>2019</x:v>
      </x:c>
      <x:c r="E73" s="24" t="str">
        <x:v>Sphyrna lewini</x:v>
      </x:c>
      <x:c r="F73" s="24" t="str">
        <x:v>Scalloped hammerhead</x:v>
      </x:c>
      <x:c r="G73" s="24" t="str">
        <x:v>Large sharks (&gt;=90 cm)</x:v>
      </x:c>
      <x:c r="H73" s="24" t="str">
        <x:v>Sharks &amp; rays</x:v>
      </x:c>
      <x:c r="I73" s="31" t="n">
        <x:v>1.2918309617000001</x:v>
      </x:c>
      <x:c r="J73" s="31" t="n">
        <x:v>1.2918309617000001</x:v>
      </x:c>
      <x:c r="K73" s="31" t="n">
        <x:v>0</x:v>
      </x:c>
      <x:c r="L73" s="31" t="n">
        <x:v>1.2918309617000001</x:v>
      </x:c>
      <x:c r="M73" s="31" t="n">
        <x:v>0</x:v>
      </x:c>
      <x:c r="N73" s="24" t="str">
        <x:v>sphyrna lewini</x:v>
      </x:c>
      <x:c r="O73" s="32" t="n">
        <x:v>4.08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Sphyrna lewini</x:v>
      </x:c>
      <x:c r="T73" s="32" t="n">
        <x:f>IF(O73="","",(1/'Metadata'!$B$5)^(O73-1))</x:f>
        <x:v>1202.2644346174131</x:v>
      </x:c>
      <x:c r="U73" s="31" t="n">
        <x:f>IF(T73="","",I73*T73)</x:f>
        <x:v>1553.1224207895198</x:v>
      </x:c>
    </x:row>
    <x:row r="74" ht="18" customHeight="1">
      <x:c r="A74" s="24" t="str">
        <x:v>EEZ_144</x:v>
      </x:c>
      <x:c r="B74" s="24" t="str">
        <x:v>Sri Lanka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1.2286416575</x:v>
      </x:c>
      <x:c r="J74" s="31" t="n">
        <x:v>1.2286416575</x:v>
      </x:c>
      <x:c r="K74" s="31" t="n">
        <x:v>0</x:v>
      </x:c>
      <x:c r="L74" s="31" t="n">
        <x:v>1.2286416575</x:v>
      </x:c>
      <x:c r="M74" s="31" t="n">
        <x:v>0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3710.4384873247136</x:v>
      </x:c>
    </x:row>
    <x:row r="75" ht="18" customHeight="1">
      <x:c r="A75" s="24" t="str">
        <x:v>EEZ_144</x:v>
      </x:c>
      <x:c r="B75" s="24" t="str">
        <x:v>Sri Lanka</x:v>
      </x:c>
      <x:c r="C75" s="24" t="str">
        <x:v>EEZ</x:v>
      </x:c>
      <x:c r="D75" s="30" t="n">
        <x:v>2019</x:v>
      </x:c>
      <x:c r="E75" s="24" t="str">
        <x:v>Thunnus tonggol</x:v>
      </x:c>
      <x:c r="F75" s="24" t="str">
        <x:v>Longtail tuna</x:v>
      </x:c>
      <x:c r="G75" s="24" t="str">
        <x:v>Large pelagics (&gt;=90 cm)</x:v>
      </x:c>
      <x:c r="H75" s="24" t="str">
        <x:v>Tuna &amp; billfishes</x:v>
      </x:c>
      <x:c r="I75" s="31" t="n">
        <x:v>0.8902824125</x:v>
      </x:c>
      <x:c r="J75" s="31" t="n">
        <x:v>0.8902824125</x:v>
      </x:c>
      <x:c r="K75" s="31" t="n">
        <x:v>0</x:v>
      </x:c>
      <x:c r="L75" s="31" t="n">
        <x:v>0.8902824125</x:v>
      </x:c>
      <x:c r="M75" s="31" t="n">
        <x:v>0</x:v>
      </x:c>
      <x:c r="N75" s="24" t="str">
        <x:v>thunnus tonggol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tonggol</x:v>
      </x:c>
      <x:c r="T75" s="32" t="n">
        <x:f>IF(O75="","",(1/'Metadata'!$B$5)^(O75-1))</x:f>
        <x:v>3162.2776601683795</x:v>
      </x:c>
      <x:c r="U75" s="31" t="n">
        <x:f>IF(T75="","",I75*T75)</x:f>
        <x:v>2815.32018428956</x:v>
      </x:c>
    </x:row>
    <x:row r="76" ht="18" customHeight="1">
      <x:c r="A76" s="24" t="str">
        <x:v>EEZ_144</x:v>
      </x:c>
      <x:c r="B76" s="24" t="str">
        <x:v>Sri Lanka</x:v>
      </x:c>
      <x:c r="C76" s="24" t="str">
        <x:v>EEZ</x:v>
      </x:c>
      <x:c r="D76" s="30" t="n">
        <x:v>2019</x:v>
      </x:c>
      <x:c r="E76" s="24" t="str">
        <x:v>Auxis rochei</x:v>
      </x:c>
      <x:c r="F76" s="24" t="str">
        <x:v>Bullet tuna</x:v>
      </x:c>
      <x:c r="G76" s="24" t="str">
        <x:v>Medium pelagics (30 - 89 cm)</x:v>
      </x:c>
      <x:c r="H76" s="24" t="str">
        <x:v>Tuna &amp; billfishes</x:v>
      </x:c>
      <x:c r="I76" s="31" t="n">
        <x:v>0.7834366507</x:v>
      </x:c>
      <x:c r="J76" s="31" t="n">
        <x:v>0.7834366507</x:v>
      </x:c>
      <x:c r="K76" s="31" t="n">
        <x:v>0</x:v>
      </x:c>
      <x:c r="L76" s="31" t="n">
        <x:v>0.7834366507</x:v>
      </x:c>
      <x:c r="M76" s="31" t="n">
        <x:v>0</x:v>
      </x:c>
      <x:c r="N76" s="24" t="str">
        <x:v>auxis rochei</x:v>
      </x:c>
      <x:c r="O76" s="32" t="n">
        <x:v>4.13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Auxis rochei</x:v>
      </x:c>
      <x:c r="T76" s="32" t="n">
        <x:f>IF(O76="","",(1/'Metadata'!$B$5)^(O76-1))</x:f>
        <x:v>1348.9628825916532</x:v>
      </x:c>
      <x:c r="U76" s="31" t="n">
        <x:f>IF(T76="","",I76*T76)</x:f>
        <x:v>1056.8269626562221</x:v>
      </x:c>
    </x:row>
    <x:row r="77" ht="18" customHeight="1">
      <x:c r="A77" s="24" t="str">
        <x:v>EEZ_144</x:v>
      </x:c>
      <x:c r="B77" s="24" t="str">
        <x:v>Sri Lanka</x:v>
      </x:c>
      <x:c r="C77" s="24" t="str">
        <x:v>EEZ</x:v>
      </x:c>
      <x:c r="D77" s="30" t="n">
        <x:v>2019</x:v>
      </x:c>
      <x:c r="E77" s="24" t="str">
        <x:v>Acanthocybium solandri</x:v>
      </x:c>
      <x:c r="F77" s="24" t="str">
        <x:v>Wahoo</x:v>
      </x:c>
      <x:c r="G77" s="24" t="str">
        <x:v>Large pelagics (&gt;=90 cm)</x:v>
      </x:c>
      <x:c r="H77" s="24" t="str">
        <x:v>Perch-likes</x:v>
      </x:c>
      <x:c r="I77" s="31" t="n">
        <x:v>0.048021560399999996</x:v>
      </x:c>
      <x:c r="J77" s="31" t="n">
        <x:v>0.048021560399999996</x:v>
      </x:c>
      <x:c r="K77" s="31" t="n">
        <x:v>0</x:v>
      </x:c>
      <x:c r="L77" s="31" t="n">
        <x:v>0.048021560399999996</x:v>
      </x:c>
      <x:c r="M77" s="31" t="n">
        <x:v>0</x:v>
      </x:c>
      <x:c r="N77" s="24" t="str">
        <x:v>acanthocybium solandri</x:v>
      </x:c>
      <x:c r="O77" s="32" t="n">
        <x:v>4.26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Acanthocybium solandri</x:v>
      </x:c>
      <x:c r="T77" s="32" t="n">
        <x:f>IF(O77="","",(1/'Metadata'!$B$5)^(O77-1))</x:f>
        <x:v>1819.7008586099826</x:v>
      </x:c>
      <x:c r="U77" s="31" t="n">
        <x:f>IF(T77="","",I77*T77)</x:f>
        <x:v>87.38487469167113</x:v>
      </x:c>
    </x:row>
    <x:row r="78" ht="18" customHeight="1">
      <x:c r="A78" s="24" t="str">
        <x:v>EEZ_144</x:v>
      </x:c>
      <x:c r="B78" s="24" t="str">
        <x:v>Sri Lanka</x:v>
      </x:c>
      <x:c r="C78" s="24" t="str">
        <x:v>EEZ</x:v>
      </x:c>
      <x:c r="D78" s="30" t="n">
        <x:v>2019</x:v>
      </x:c>
      <x:c r="E78" s="24" t="str">
        <x:v>Coryphaena hippurus</x:v>
      </x:c>
      <x:c r="F78" s="24" t="str">
        <x:v>Common dolphinfish</x:v>
      </x:c>
      <x:c r="G78" s="24" t="str">
        <x:v>Large pelagics (&gt;=90 cm)</x:v>
      </x:c>
      <x:c r="H78" s="24" t="str">
        <x:v>Perch-likes</x:v>
      </x:c>
      <x:c r="I78" s="31" t="n">
        <x:v>0.0071426565</x:v>
      </x:c>
      <x:c r="J78" s="31" t="n">
        <x:v>0.0071426565</x:v>
      </x:c>
      <x:c r="K78" s="31" t="n">
        <x:v>0</x:v>
      </x:c>
      <x:c r="L78" s="31" t="n">
        <x:v>0.0071426565</x:v>
      </x:c>
      <x:c r="M78" s="31" t="n">
        <x:v>0</x:v>
      </x:c>
      <x:c r="N78" s="24" t="str">
        <x:v>coryphaena hippurus</x:v>
      </x:c>
      <x:c r="O78" s="32" t="n">
        <x:v>4.37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Coryphaena hippurus</x:v>
      </x:c>
      <x:c r="T78" s="32" t="n">
        <x:f>IF(O78="","",(1/'Metadata'!$B$5)^(O78-1))</x:f>
        <x:v>2344.228815319923</x:v>
      </x:c>
      <x:c r="U78" s="31" t="n">
        <x:f>IF(T78="","",I78*T78)</x:f>
        <x:v>16.744021185232146</x:v>
      </x:c>
    </x:row>
    <x:row r="79" ht="18" customHeight="1">
      <x:c r="A79" s="24" t="str">
        <x:v>EEZ_144</x:v>
      </x:c>
      <x:c r="B79" s="24" t="str">
        <x:v>Sri Lanka</x:v>
      </x:c>
      <x:c r="C79" s="24" t="str">
        <x:v>EEZ</x:v>
      </x:c>
      <x:c r="D79" s="30" t="n">
        <x:v>2019</x:v>
      </x:c>
      <x:c r="E79" s="24" t="str">
        <x:v>Rajiformes</x:v>
      </x:c>
      <x:c r="F79" s="24" t="str">
        <x:v>Skates and rays</x:v>
      </x:c>
      <x:c r="G79" s="24" t="str">
        <x:v>Large rays (&gt;=90 cm)</x:v>
      </x:c>
      <x:c r="H79" s="24" t="str">
        <x:v>Sharks &amp; rays</x:v>
      </x:c>
      <x:c r="I79" s="31" t="n">
        <x:v>0.0063174815</x:v>
      </x:c>
      <x:c r="J79" s="31" t="n">
        <x:v>0.0063174815</x:v>
      </x:c>
      <x:c r="K79" s="31" t="n">
        <x:v>0</x:v>
      </x:c>
      <x:c r="L79" s="31" t="n">
        <x:v>0.0063174815</x:v>
      </x:c>
      <x:c r="M79" s="31" t="n">
        <x:v>0</x:v>
      </x:c>
      <x:c r="N79" s="24" t="str">
        <x:v>rajiformes</x:v>
      </x:c>
      <x:c r="O79" s="32" t="n">
        <x:v>3.61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Rajiformes</x:v>
      </x:c>
      <x:c r="T79" s="32" t="n">
        <x:f>IF(O79="","",(1/'Metadata'!$B$5)^(O79-1))</x:f>
        <x:v>407.3802778041126</x:v>
      </x:c>
      <x:c r="U79" s="31" t="n">
        <x:f>IF(T79="","",I79*T79)</x:f>
        <x:v>2.573617368492342</x:v>
      </x:c>
    </x:row>
    <x:row r="80" ht="18" customHeight="1">
      <x:c r="A80" s="24" t="str">
        <x:v>EEZ_144</x:v>
      </x:c>
      <x:c r="B80" s="24" t="str">
        <x:v>Sri Lanka</x:v>
      </x:c>
      <x:c r="C80" s="24" t="str">
        <x:v>EEZ</x:v>
      </x:c>
      <x:c r="D80" s="30" t="n">
        <x:v>2019</x:v>
      </x:c>
      <x:c r="E80" s="24" t="str">
        <x:v>Sphyraenidae</x:v>
      </x:c>
      <x:c r="F80" s="24" t="str">
        <x:v>Barracudas</x:v>
      </x:c>
      <x:c r="G80" s="24" t="str">
        <x:v>Medium reef assoc. fish (30 - 89 cm)</x:v>
      </x:c>
      <x:c r="H80" s="24" t="str">
        <x:v>Perch-likes</x:v>
      </x:c>
      <x:c r="I80" s="31" t="n">
        <x:v>0.0000441855</x:v>
      </x:c>
      <x:c r="J80" s="31" t="n">
        <x:v>0.0000441855</x:v>
      </x:c>
      <x:c r="K80" s="31" t="n">
        <x:v>0</x:v>
      </x:c>
      <x:c r="L80" s="31" t="n">
        <x:v>0.0000441855</x:v>
      </x:c>
      <x:c r="M80" s="31" t="n">
        <x:v>0</x:v>
      </x:c>
      <x:c r="N80" s="24" t="str">
        <x:v>sphyraenidae</x:v>
      </x:c>
      <x:c r="O80" s="32" t="n">
        <x:v>4.4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Sphyraenidae</x:v>
      </x:c>
      <x:c r="T80" s="32" t="n">
        <x:f>IF(O80="","",(1/'Metadata'!$B$5)^(O80-1))</x:f>
        <x:v>2511.886431509582</x:v>
      </x:c>
      <x:c r="U80" s="31" t="n">
        <x:f>IF(T80="","",I80*T80)</x:f>
        <x:v>0.11098895791946664</x:v>
      </x:c>
    </x:row>
  </x:sheetData>
  <x:conditionalFormatting sqref="R2:R8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19d557595a5482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35714.415130705</x:v>
      </x:c>
      <x:c r="C2" s="32" t="n">
        <x:v>2.8353007883682175</x:v>
      </x:c>
      <x:c r="D2" s="32" t="n">
        <x:f>IF(C2="","",(1/'Metadata'!$B$5)^(C2-1))</x:f>
        <x:v>68.43854822730461</x:v>
      </x:c>
      <x:c r="E2" s="31" t="n">
        <x:f>IF(B2=0,"",B2*D2)</x:f>
        <x:v>2444242.7223327314</x:v>
      </x:c>
    </x:row>
    <x:row r="3" ht="18" customHeight="1">
      <x:c r="A3" s="24" t="str">
        <x:v>Herring-likes</x:v>
      </x:c>
      <x:c r="B3" s="31" t="n">
        <x:v>18601.5931037664</x:v>
      </x:c>
      <x:c r="C3" s="32" t="n">
        <x:v>2.9071004231897066</x:v>
      </x:c>
      <x:c r="D3" s="32" t="n">
        <x:f>IF(C3="","",(1/'Metadata'!$B$5)^(C3-1))</x:f>
        <x:v>80.74217111603944</x:v>
      </x:c>
      <x:c r="E3" s="31" t="n">
        <x:f>IF(B3=0,"",B3*D3)</x:f>
        <x:v>1501933.013415246</x:v>
      </x:c>
    </x:row>
    <x:row r="4" ht="18" customHeight="1">
      <x:c r="A4" s="24" t="str">
        <x:v>Molluscs</x:v>
      </x:c>
      <x:c r="B4" s="31" t="n">
        <x:v>1590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20016.91404752726</x:v>
      </x:c>
    </x:row>
    <x:row r="5" ht="18" customHeight="1">
      <x:c r="A5" s="24" t="str">
        <x:v>Other fishes &amp; inverts</x:v>
      </x:c>
      <x:c r="B5" s="31" t="n">
        <x:v>165782.6439062556</x:v>
      </x:c>
      <x:c r="C5" s="32" t="n">
        <x:v>3.2740536774242504</x:v>
      </x:c>
      <x:c r="D5" s="32" t="n">
        <x:f>IF(C5="","",(1/'Metadata'!$B$5)^(C5-1))</x:f>
        <x:v>187.95491087723562</x:v>
      </x:c>
      <x:c r="E5" s="31" t="n">
        <x:f>IF(B5=0,"",B5*D5)</x:f>
        <x:v>31159662.06039276</x:v>
      </x:c>
    </x:row>
    <x:row r="6" ht="18" customHeight="1">
      <x:c r="A6" s="24" t="str">
        <x:v>Perch-likes</x:v>
      </x:c>
      <x:c r="B6" s="31" t="n">
        <x:v>77820.51613914469</x:v>
      </x:c>
      <x:c r="C6" s="32" t="n">
        <x:v>3.6733529558086357</x:v>
      </x:c>
      <x:c r="D6" s="32" t="n">
        <x:f>IF(C6="","",(1/'Metadata'!$B$5)^(C6-1))</x:f>
        <x:v>471.3602503310048</x:v>
      </x:c>
      <x:c r="E6" s="31" t="n">
        <x:f>IF(B6=0,"",B6*D6)</x:f>
        <x:v>36681497.96823524</x:v>
      </x:c>
    </x:row>
    <x:row r="7" ht="18" customHeight="1">
      <x:c r="A7" s="24" t="str">
        <x:v>Sharks &amp; rays</x:v>
      </x:c>
      <x:c r="B7" s="31" t="n">
        <x:v>5918.993790298701</x:v>
      </x:c>
      <x:c r="C7" s="32" t="n">
        <x:v>3.793615936301537</x:v>
      </x:c>
      <x:c r="D7" s="32" t="n">
        <x:f>IF(C7="","",(1/'Metadata'!$B$5)^(C7-1))</x:f>
        <x:v>621.7502038065802</x:v>
      </x:c>
      <x:c r="E7" s="31" t="n">
        <x:f>IF(B7=0,"",B7*D7)</x:f>
        <x:v>3680135.5954481</x:v>
      </x:c>
    </x:row>
    <x:row r="8" ht="18" customHeight="1">
      <x:c r="A8" s="24" t="str">
        <x:v>Tuna &amp; billfishes</x:v>
      </x:c>
      <x:c r="B8" s="31" t="n">
        <x:v>7293.619994689299</x:v>
      </x:c>
      <x:c r="C8" s="32" t="n">
        <x:v>4.3963644012955525</x:v>
      </x:c>
      <x:c r="D8" s="32" t="n">
        <x:f>IF(C8="","",(1/'Metadata'!$B$5)^(C8-1))</x:f>
        <x:v>2490.946507686046</x:v>
      </x:c>
      <x:c r="E8" s="31" t="n">
        <x:f>IF(B8=0,"",B8*D8)</x:f>
        <x:v>18168017.254160427</x:v>
      </x:c>
    </x:row>
  </x:sheetData>
  <x:pageMargins left="0.7" right="0.7" top="0.75" bottom="0.75" header="0.3" footer="0.3"/>
  <x:tableParts count="1">
    <x:tablePart xmlns:r="http://schemas.openxmlformats.org/officeDocument/2006/relationships" r:id="R386f7d173e2240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11283.4081705907</x:v>
      </x:c>
      <x:c r="C2" s="32" t="n">
        <x:v>3.7989353971808986</x:v>
      </x:c>
      <x:c r="D2" s="32" t="n">
        <x:f>IF(C2="","",(1/'Metadata'!$B$5)^(C2-1))</x:f>
        <x:v>629.4125485810215</x:v>
      </x:c>
      <x:c r="E2" s="31" t="n">
        <x:f>IF(B2=0,"",B2*D2)</x:f>
        <x:v>7101918.693331413</x:v>
      </x:c>
    </x:row>
    <x:row r="3" ht="18" customHeight="1">
      <x:c r="A3" s="24" t="str">
        <x:v>Large pelagics (&gt;=90 cm)</x:v>
      </x:c>
      <x:c r="B3" s="31" t="n">
        <x:v>4388.438560093499</x:v>
      </x:c>
      <x:c r="C3" s="32" t="n">
        <x:v>4.433519756065565</x:v>
      </x:c>
      <x:c r="D3" s="32" t="n">
        <x:f>IF(C3="","",(1/'Metadata'!$B$5)^(C3-1))</x:f>
        <x:v>2713.4370836560383</x:v>
      </x:c>
      <x:c r="E3" s="31" t="n">
        <x:f>IF(B3=0,"",B3*D3)</x:f>
        <x:v>11907751.928303808</x:v>
      </x:c>
    </x:row>
    <x:row r="4" ht="18" customHeight="1">
      <x:c r="A4" s="24" t="str">
        <x:v>Large rays (&gt;=90 cm)</x:v>
      </x:c>
      <x:c r="B4" s="31" t="n">
        <x:v>3116.8701974628</x:v>
      </x:c>
      <x:c r="C4" s="32" t="n">
        <x:v>3.4632056752315923</x:v>
      </x:c>
      <x:c r="D4" s="32" t="n">
        <x:f>IF(C4="","",(1/'Metadata'!$B$5)^(C4-1))</x:f>
        <x:v>290.53982809388395</x:v>
      </x:c>
      <x:c r="E4" s="31" t="n">
        <x:f>IF(B4=0,"",B4*D4)</x:f>
        <x:v>905574.9313617921</x:v>
      </x:c>
    </x:row>
    <x:row r="5" ht="18" customHeight="1">
      <x:c r="A5" s="24" t="str">
        <x:v>Large reef assoc. fish (&gt;=90 cm)</x:v>
      </x:c>
      <x:c r="B5" s="31" t="n">
        <x:v>4280.4490235439</x:v>
      </x:c>
      <x:c r="C5" s="32" t="n">
        <x:v>4.403333333333334</x:v>
      </x:c>
      <x:c r="D5" s="32" t="n">
        <x:f>IF(C5="","",(1/'Metadata'!$B$5)^(C5-1))</x:f>
        <x:v>2531.2400495953684</x:v>
      </x:c>
      <x:c r="E5" s="31" t="n">
        <x:f>IF(B5=0,"",B5*D5)</x:f>
        <x:v>10834843.998645708</x:v>
      </x:c>
    </x:row>
    <x:row r="6" ht="18" customHeight="1">
      <x:c r="A6" s="24" t="str">
        <x:v>Large sharks (&gt;=90 cm)</x:v>
      </x:c>
      <x:c r="B6" s="31" t="n">
        <x:v>2802.1235928359</x:v>
      </x:c>
      <x:c r="C6" s="32" t="n">
        <x:v>4.1611393026147825</x:v>
      </x:c>
      <x:c r="D6" s="32" t="n">
        <x:f>IF(C6="","",(1/'Metadata'!$B$5)^(C6-1))</x:f>
        <x:v>1449.2366305254204</x:v>
      </x:c>
      <x:c r="E6" s="31" t="n">
        <x:f>IF(B6=0,"",B6*D6)</x:f>
        <x:v>4060940.153997285</x:v>
      </x:c>
    </x:row>
    <x:row r="7" ht="18" customHeight="1">
      <x:c r="A7" s="24" t="str">
        <x:v>Lobsters, crabs</x:v>
      </x:c>
      <x:c r="B7" s="31" t="n">
        <x:v>5525.131924283901</x:v>
      </x:c>
      <x:c r="C7" s="32" t="n">
        <x:v>3.2542043384898283</x:v>
      </x:c>
      <x:c r="D7" s="32" t="n">
        <x:f>IF(C7="","",(1/'Metadata'!$B$5)^(C7-1))</x:f>
        <x:v>179.55782598246182</x:v>
      </x:c>
      <x:c r="E7" s="31" t="n">
        <x:f>IF(B7=0,"",B7*D7)</x:f>
        <x:v>992080.6765907131</x:v>
      </x:c>
    </x:row>
    <x:row r="8" ht="18" customHeight="1">
      <x:c r="A8" s="24" t="str">
        <x:v>Medium demersals (30 - 89 cm)</x:v>
      </x:c>
      <x:c r="B8" s="31" t="n">
        <x:v>61351.3073600628</x:v>
      </x:c>
      <x:c r="C8" s="32" t="n">
        <x:v>3.3367815347271708</x:v>
      </x:c>
      <x:c r="D8" s="32" t="n">
        <x:f>IF(C8="","",(1/'Metadata'!$B$5)^(C8-1))</x:f>
        <x:v>217.16085092342658</x:v>
      </x:c>
      <x:c r="E8" s="31" t="n">
        <x:f>IF(B8=0,"",B8*D8)</x:f>
        <x:v>13323102.111575922</x:v>
      </x:c>
    </x:row>
    <x:row r="9" ht="18" customHeight="1">
      <x:c r="A9" s="24" t="str">
        <x:v>Medium pelagics (30 - 89 cm)</x:v>
      </x:c>
      <x:c r="B9" s="31" t="n">
        <x:v>41470.8509156468</x:v>
      </x:c>
      <x:c r="C9" s="32" t="n">
        <x:v>3.9144698406767144</x:v>
      </x:c>
      <x:c r="D9" s="32" t="n">
        <x:f>IF(C9="","",(1/'Metadata'!$B$5)^(C9-1))</x:f>
        <x:v>821.2395203617922</x:v>
      </x:c>
      <x:c r="E9" s="31" t="n">
        <x:f>IF(B9=0,"",B9*D9)</x:f>
        <x:v>34057501.71496117</x:v>
      </x:c>
    </x:row>
    <x:row r="10" ht="18" customHeight="1">
      <x:c r="A10" s="24" t="str">
        <x:v>Medium reef assoc. fish (30 - 89 cm)</x:v>
      </x:c>
      <x:c r="B10" s="31" t="n">
        <x:v>5582.7342158296</x:v>
      </x:c>
      <x:c r="C10" s="32" t="n">
        <x:v>3.6354628552562844</x:v>
      </x:c>
      <x:c r="D10" s="32" t="n">
        <x:f>IF(C10="","",(1/'Metadata'!$B$5)^(C10-1))</x:f>
        <x:v>431.9792193163141</x:v>
      </x:c>
      <x:c r="E10" s="31" t="n">
        <x:f>IF(B10=0,"",B10*D10)</x:f>
        <x:v>2411625.1682045455</x:v>
      </x:c>
    </x:row>
    <x:row r="11" ht="18" customHeight="1">
      <x:c r="A11" s="24" t="str">
        <x:v>Other demersal invertebrates</x:v>
      </x:c>
      <x:c r="B11" s="31" t="n">
        <x:v>5870.4490235441</x:v>
      </x:c>
      <x:c r="C11" s="32" t="n">
        <x:v>2.3406201249860734</x:v>
      </x:c>
      <x:c r="D11" s="32" t="n">
        <x:f>IF(C11="","",(1/'Metadata'!$B$5)^(C11-1))</x:f>
        <x:v>21.908877394394906</x:v>
      </x:c>
      <x:c r="E11" s="31" t="n">
        <x:f>IF(B11=0,"",B11*D11)</x:f>
        <x:v>128614.94790687299</x:v>
      </x:c>
    </x:row>
    <x:row r="12" ht="18" customHeight="1">
      <x:c r="A12" s="24" t="str">
        <x:v>Shrimps</x:v>
      </x:c>
      <x:c r="B12" s="31" t="n">
        <x:v>30189.283206421096</x:v>
      </x:c>
      <x:c r="C12" s="32" t="n">
        <x:v>2.7586345965230104</x:v>
      </x:c>
      <x:c r="D12" s="32" t="n">
        <x:f>IF(C12="","",(1/'Metadata'!$B$5)^(C12-1))</x:f>
        <x:v>57.36336195011612</x:v>
      </x:c>
      <x:c r="E12" s="31" t="n">
        <x:f>IF(B12=0,"",B12*D12)</x:f>
        <x:v>1731758.7795844956</x:v>
      </x:c>
    </x:row>
    <x:row r="13" ht="18" customHeight="1">
      <x:c r="A13" s="24" t="str">
        <x:v>Small benthopelagics (&lt;30 cm)</x:v>
      </x:c>
      <x:c r="B13" s="31" t="n">
        <x:v>24326.0726823969</x:v>
      </x:c>
      <x:c r="C13" s="32" t="n">
        <x:v>3.24</x:v>
      </x:c>
      <x:c r="D13" s="32" t="n">
        <x:f>IF(C13="","",(1/'Metadata'!$B$5)^(C13-1))</x:f>
        <x:v>173.78008287493762</x:v>
      </x:c>
      <x:c r="E13" s="31" t="n">
        <x:f>IF(B13=0,"",B13*D13)</x:f>
        <x:v>4227386.926768689</x:v>
      </x:c>
    </x:row>
    <x:row r="14" ht="18" customHeight="1">
      <x:c r="A14" s="24" t="str">
        <x:v>Small pelagics (&lt;30 cm)</x:v>
      </x:c>
      <x:c r="B14" s="31" t="n">
        <x:v>111107.84685096641</x:v>
      </x:c>
      <x:c r="C14" s="32" t="n">
        <x:v>3.184266200383243</x:v>
      </x:c>
      <x:c r="D14" s="32" t="n">
        <x:f>IF(C14="","",(1/'Metadata'!$B$5)^(C14-1))</x:f>
        <x:v>152.85026653950553</x:v>
      </x:c>
      <x:c r="E14" s="31" t="n">
        <x:f>IF(B14=0,"",B14*D14)</x:f>
        <x:v>16982864.005800776</x:v>
      </x:c>
    </x:row>
    <x:row r="15" ht="18" customHeight="1">
      <x:c r="A15" s="24" t="str">
        <x:v>Small reef assoc. fish (&lt;30 cm)</x:v>
      </x:c>
      <x:c r="B15" s="31" t="n">
        <x:v>1426.8163411813</x:v>
      </x:c>
      <x:c r="C15" s="32" t="n">
        <x:v>2.28</x:v>
      </x:c>
      <x:c r="D15" s="32" t="n">
        <x:f>IF(C15="","",(1/'Metadata'!$B$5)^(C15-1))</x:f>
        <x:v>19.054607179632463</x:v>
      </x:c>
      <x:c r="E15" s="31" t="n">
        <x:f>IF(B15=0,"",B15*D15)</x:f>
        <x:v>27187.424898690122</x:v>
      </x:c>
    </x:row>
  </x:sheetData>
  <x:pageMargins left="0.7" right="0.7" top="0.75" bottom="0.75" header="0.3" footer="0.3"/>
  <x:tableParts count="1">
    <x:tablePart xmlns:r="http://schemas.openxmlformats.org/officeDocument/2006/relationships" r:id="R43656233baa146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EEZ_144</x:v>
      </x:c>
      <x:c r="B2" s="24" t="str">
        <x:v>raw_filtered_tonnes</x:v>
      </x:c>
      <x:c r="C2" s="24" t="n">
        <x:v>312721.78206485964</x:v>
      </x:c>
      <x:c r="D2" s="24" t="str">
        <x:v>tonnes</x:v>
      </x:c>
    </x:row>
    <x:row r="3" ht="18" customHeight="1">
      <x:c r="A3" s="24" t="str">
        <x:v>EEZ_144</x:v>
      </x:c>
      <x:c r="B3" s="24" t="str">
        <x:v>species_catch_tonnes</x:v>
      </x:c>
      <x:c r="C3" s="24" t="n">
        <x:v>312721.78206485976</x:v>
      </x:c>
      <x:c r="D3" s="24" t="str">
        <x:v>tonnes</x:v>
      </x:c>
    </x:row>
    <x:row r="4" ht="18" customHeight="1">
      <x:c r="A4" s="24" t="str">
        <x:v>EEZ_144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EEZ_144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EEZ_144</x:v>
      </x:c>
      <x:c r="B6" s="24" t="str">
        <x:v>matched_catch_tonnes</x:v>
      </x:c>
      <x:c r="C6" s="24" t="n">
        <x:v>312721.78206485976</x:v>
      </x:c>
      <x:c r="D6" s="24" t="str">
        <x:v>tonnes</x:v>
      </x:c>
    </x:row>
    <x:row r="7" ht="18" customHeight="1">
      <x:c r="A7" s="24" t="str">
        <x:v>EEZ_144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EEZ_144</x:v>
      </x:c>
      <x:c r="B8" s="24" t="str">
        <x:v>taxa_count</x:v>
      </x:c>
      <x:c r="C8" s="24" t="n">
        <x:v>79</x:v>
      </x:c>
      <x:c r="D8" s="24" t="str">
        <x:v>count</x:v>
      </x:c>
    </x:row>
    <x:row r="9" ht="18" customHeight="1">
      <x:c r="A9" s="24" t="str">
        <x:v>EEZ_144</x:v>
      </x:c>
      <x:c r="B9" s="24" t="str">
        <x:v>matched_taxa_count</x:v>
      </x:c>
      <x:c r="C9" s="24" t="n">
        <x:v>79</x:v>
      </x:c>
      <x:c r="D9" s="24" t="str">
        <x:v>count</x:v>
      </x:c>
    </x:row>
    <x:row r="10" ht="18" customHeight="1">
      <x:c r="A10" s="24" t="str">
        <x:v>EEZ_144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EEZ_144</x:v>
      </x:c>
      <x:c r="B11" s="24" t="str">
        <x:v>species_ppr</x:v>
      </x:c>
      <x:c r="C11" s="24" t="n">
        <x:v>124000252.48143452</x:v>
      </x:c>
      <x:c r="D11" s="24" t="str">
        <x:v>tonnes_primary_production_equivalent</x:v>
      </x:c>
    </x:row>
    <x:row r="12" ht="18" customHeight="1">
      <x:c r="A12" s="24" t="str">
        <x:v>EEZ_144</x:v>
      </x:c>
      <x:c r="B12" s="24" t="str">
        <x:v>commercial_ppr</x:v>
      </x:c>
      <x:c r="C12" s="24" t="n">
        <x:v>93655505.52803203</x:v>
      </x:c>
      <x:c r="D12" s="24" t="str">
        <x:v>tonnes_primary_production_equivalent</x:v>
      </x:c>
    </x:row>
    <x:row r="13" ht="18" customHeight="1">
      <x:c r="A13" s="24" t="str">
        <x:v>EEZ_144</x:v>
      </x:c>
      <x:c r="B13" s="24" t="str">
        <x:v>functional_ppr</x:v>
      </x:c>
      <x:c r="C13" s="24" t="n">
        <x:v>108693151.46193188</x:v>
      </x:c>
      <x:c r="D13" s="24" t="str">
        <x:v>tonnes_primary_production_equivalent</x:v>
      </x:c>
    </x:row>
    <x:row r="14" ht="18" customHeight="1">
      <x:c r="A14" s="24" t="str">
        <x:v>EEZ_144</x:v>
      </x:c>
      <x:c r="B14" s="24" t="str">
        <x:v>commercial_ppr_difference</x:v>
      </x:c>
      <x:c r="C14" s="24" t="n">
        <x:v>-30344746.95340249</x:v>
      </x:c>
      <x:c r="D14" s="24" t="str">
        <x:v>tonnes_primary_production_equivalent</x:v>
      </x:c>
    </x:row>
    <x:row r="15" ht="18" customHeight="1">
      <x:c r="A15" s="24" t="str">
        <x:v>EEZ_144</x:v>
      </x:c>
      <x:c r="B15" s="24" t="str">
        <x:v>functional_ppr_difference</x:v>
      </x:c>
      <x:c r="C15" s="24" t="n">
        <x:v>-15307101.01950264</x:v>
      </x:c>
      <x:c r="D15" s="24" t="str">
        <x:v>tonnes_primary_production_equivalent</x:v>
      </x:c>
    </x:row>
    <x:row r="16" ht="18" customHeight="1">
      <x:c r="A16" s="24" t="str">
        <x:v>EEZ_144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EEZ_144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b678638b4944d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EEZ_144 - Sri Lanka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EEZ_144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