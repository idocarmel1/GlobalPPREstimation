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844c074b0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8c45140538947e4"/>
    <x:sheet xmlns:r="http://schemas.openxmlformats.org/officeDocument/2006/relationships" name="Commercial" sheetId="2" r:id="Ra1159e3120324ba3"/>
    <x:sheet xmlns:r="http://schemas.openxmlformats.org/officeDocument/2006/relationships" name="Functional" sheetId="3" r:id="R65f1ab1ce36f4a64"/>
    <x:sheet xmlns:r="http://schemas.openxmlformats.org/officeDocument/2006/relationships" name="Missing TL" sheetId="4" r:id="R139d876c19984027"/>
    <x:sheet xmlns:r="http://schemas.openxmlformats.org/officeDocument/2006/relationships" name="Validation" sheetId="5" r:id="Rdcbe5f57a53e4cde"/>
    <x:sheet xmlns:r="http://schemas.openxmlformats.org/officeDocument/2006/relationships" name="Metadata" sheetId="6" r:id="R2d17ef12ffbb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8c6fe8d0a4e9b" /><Relationship Type="http://schemas.openxmlformats.org/officeDocument/2006/relationships/theme" Target="/xl/theme/theme1.xml" Id="R2e75ef9e20ce48c2" /><Relationship Type="http://schemas.microsoft.com/office/2022/11/relationships/FeaturePropertyBag" Target="/xl/featurePropertyBag/featurePropertyBag.xml" Id="R648c0316bee74a58" /><Relationship Type="http://schemas.openxmlformats.org/officeDocument/2006/relationships/sharedStrings" Target="/xl/sharedStrings.xml" Id="Rbedd56770f304616" /><Relationship Type="http://schemas.openxmlformats.org/officeDocument/2006/relationships/worksheet" Target="/xl/worksheets/sheet1.xml" Id="R18c45140538947e4" /><Relationship Type="http://schemas.openxmlformats.org/officeDocument/2006/relationships/worksheet" Target="/xl/worksheets/sheet2.xml" Id="Ra1159e3120324ba3" /><Relationship Type="http://schemas.openxmlformats.org/officeDocument/2006/relationships/worksheet" Target="/xl/worksheets/sheet3.xml" Id="R65f1ab1ce36f4a64" /><Relationship Type="http://schemas.openxmlformats.org/officeDocument/2006/relationships/worksheet" Target="/xl/worksheets/sheet4.xml" Id="R139d876c19984027" /><Relationship Type="http://schemas.openxmlformats.org/officeDocument/2006/relationships/worksheet" Target="/xl/worksheets/sheet5.xml" Id="Rdcbe5f57a53e4cde" /><Relationship Type="http://schemas.openxmlformats.org/officeDocument/2006/relationships/worksheet" Target="/xl/worksheets/sheet6.xml" Id="R2d17ef12ffbb41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85SpeciesTable" displayName="EEZ585SpeciesTable" ref="A1:U57" headerRowCount="1" totalsRowCount="0" totalsRowShown="0">
  <x:autoFilter ref="A1:U5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85CommercialTable" displayName="EEZ585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85FunctionalTable" displayName="EEZ585FunctionalTable" ref="A1:E10" headerRowCount="1" totalsRowCount="0" totalsRowShown="0">
  <x:autoFilter ref="A1:E1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85ValidationTable" displayName="EEZ58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b5153d09c641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d0bb56906244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4a36974d1d47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b210b5a19441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EEZ_585</x:v>
      </x:c>
      <x:c r="B2" s="24" t="str">
        <x:v>Palau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3613.4302041461</x:v>
      </x:c>
      <x:c r="J2" s="31" t="n">
        <x:v>3598.7022679696997</x:v>
      </x:c>
      <x:c r="K2" s="31" t="n">
        <x:v>14.7279361764</x:v>
      </x:c>
      <x:c r="L2" s="31" t="n">
        <x:v>3598.7022679696997</x:v>
      </x:c>
      <x:c r="M2" s="31" t="n">
        <x:v>14.7279361764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9725673.156019961</x:v>
      </x:c>
    </x:row>
    <x:row r="3" ht="18" customHeight="1">
      <x:c r="A3" s="24" t="str">
        <x:v>EEZ_585</x:v>
      </x:c>
      <x:c r="B3" s="24" t="str">
        <x:v>Palau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1791.157797709</x:v>
      </x:c>
      <x:c r="J3" s="31" t="n">
        <x:v>1784.5914639028</x:v>
      </x:c>
      <x:c r="K3" s="31" t="n">
        <x:v>6.5663338062</x:v>
      </x:c>
      <x:c r="L3" s="31" t="n">
        <x:v>1784.5914639028</x:v>
      </x:c>
      <x:c r="M3" s="31" t="n">
        <x:v>6.5663338062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4603984.449504781</x:v>
      </x:c>
    </x:row>
    <x:row r="4" ht="18" customHeight="1">
      <x:c r="A4" s="24" t="str">
        <x:v>EEZ_585</x:v>
      </x:c>
      <x:c r="B4" s="24" t="str">
        <x:v>Palau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1112.7292544951</x:v>
      </x:c>
      <x:c r="J4" s="31" t="n">
        <x:v>633.2758480957</x:v>
      </x:c>
      <x:c r="K4" s="31" t="n">
        <x:v>479.4534063994</x:v>
      </x:c>
      <x:c r="L4" s="31" t="n">
        <x:v>633.2758480957</x:v>
      </x:c>
      <x:c r="M4" s="31" t="n">
        <x:v>479.4534063994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2491090.503541568</x:v>
      </x:c>
    </x:row>
    <x:row r="5" ht="18" customHeight="1">
      <x:c r="A5" s="24" t="str">
        <x:v>EEZ_585</x:v>
      </x:c>
      <x:c r="B5" s="24" t="str">
        <x:v>Palau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540.4469719238</x:v>
      </x:c>
      <x:c r="J5" s="31" t="n">
        <x:v>531.2817195437</x:v>
      </x:c>
      <x:c r="K5" s="31" t="n">
        <x:v>9.1652523801</x:v>
      </x:c>
      <x:c r="L5" s="31" t="n">
        <x:v>531.2817195437</x:v>
      </x:c>
      <x:c r="M5" s="31" t="n">
        <x:v>9.1652523801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1670140.8088519205</x:v>
      </x:c>
    </x:row>
    <x:row r="6" ht="18" customHeight="1">
      <x:c r="A6" s="24" t="str">
        <x:v>EEZ_585</x:v>
      </x:c>
      <x:c r="B6" s="24" t="str">
        <x:v>Palau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415.9950593001</x:v>
      </x:c>
      <x:c r="J6" s="31" t="n">
        <x:v>100.75204542579999</x:v>
      </x:c>
      <x:c r="K6" s="31" t="n">
        <x:v>315.2430138743</x:v>
      </x:c>
      <x:c r="L6" s="31" t="n">
        <x:v>94.3730316468</x:v>
      </x:c>
      <x:c r="M6" s="31" t="n">
        <x:v>321.6220276533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79266.22443631319</x:v>
      </x:c>
    </x:row>
    <x:row r="7" ht="18" customHeight="1">
      <x:c r="A7" s="24" t="str">
        <x:v>EEZ_585</x:v>
      </x:c>
      <x:c r="B7" s="24" t="str">
        <x:v>Palau</x:v>
      </x:c>
      <x:c r="C7" s="24" t="str">
        <x:v>EEZ</x:v>
      </x:c>
      <x:c r="D7" s="30" t="n">
        <x:v>2019</x:v>
      </x:c>
      <x:c r="E7" s="24" t="str">
        <x:v>Lethrinidae</x:v>
      </x:c>
      <x:c r="F7" s="24" t="str">
        <x:v>Emperors, scavengers</x:v>
      </x:c>
      <x:c r="G7" s="24" t="str">
        <x:v>Medium reef assoc. fish (30 - 89 cm)</x:v>
      </x:c>
      <x:c r="H7" s="24" t="str">
        <x:v>Perch-likes</x:v>
      </x:c>
      <x:c r="I7" s="31" t="n">
        <x:v>281.1958266</x:v>
      </x:c>
      <x:c r="J7" s="31" t="n">
        <x:v>281.1958266</x:v>
      </x:c>
      <x:c r="K7" s="31" t="n">
        <x:v>0</x:v>
      </x:c>
      <x:c r="L7" s="31" t="n">
        <x:v>102.7375249</x:v>
      </x:c>
      <x:c r="M7" s="31" t="n">
        <x:v>178.4583017</x:v>
      </x:c>
      <x:c r="N7" s="24" t="str">
        <x:v>lethrinidae</x:v>
      </x:c>
      <x:c r="O7" s="32" t="n">
        <x:v>3.59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Lethrinidae</x:v>
      </x:c>
      <x:c r="T7" s="32" t="n">
        <x:f>IF(O7="","",(1/'Metadata'!$B$5)^(O7-1))</x:f>
        <x:v>389.04514499428046</x:v>
      </x:c>
      <x:c r="U7" s="31" t="n">
        <x:f>IF(T7="","",I7*T7)</x:f>
        <x:v>109397.87113138354</x:v>
      </x:c>
    </x:row>
    <x:row r="8" ht="18" customHeight="1">
      <x:c r="A8" s="24" t="str">
        <x:v>EEZ_585</x:v>
      </x:c>
      <x:c r="B8" s="24" t="str">
        <x:v>Palau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228.3474100064</x:v>
      </x:c>
      <x:c r="J8" s="31" t="n">
        <x:v>201.58684597799999</x:v>
      </x:c>
      <x:c r="K8" s="31" t="n">
        <x:v>26.7605640284</x:v>
      </x:c>
      <x:c r="L8" s="31" t="n">
        <x:v>201.58684597799999</x:v>
      </x:c>
      <x:c r="M8" s="31" t="n">
        <x:v>26.7605640284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51120.617371865934</x:v>
      </x:c>
    </x:row>
    <x:row r="9" ht="18" customHeight="1">
      <x:c r="A9" s="24" t="str">
        <x:v>EEZ_585</x:v>
      </x:c>
      <x:c r="B9" s="24" t="str">
        <x:v>Palau</x:v>
      </x:c>
      <x:c r="C9" s="24" t="str">
        <x:v>EEZ</x:v>
      </x:c>
      <x:c r="D9" s="30" t="n">
        <x:v>2019</x:v>
      </x:c>
      <x:c r="E9" s="24" t="str">
        <x:v>Siganus</x:v>
      </x:c>
      <x:c r="F9" s="24" t="str">
        <x:v>Spinefoots</x:v>
      </x:c>
      <x:c r="G9" s="24" t="str">
        <x:v>Medium reef assoc. fish (30 - 89 cm)</x:v>
      </x:c>
      <x:c r="H9" s="24" t="str">
        <x:v>Perch-likes</x:v>
      </x:c>
      <x:c r="I9" s="31" t="n">
        <x:v>216.010897165</x:v>
      </x:c>
      <x:c r="J9" s="31" t="n">
        <x:v>216.010897165</x:v>
      </x:c>
      <x:c r="K9" s="31" t="n">
        <x:v>0</x:v>
      </x:c>
      <x:c r="L9" s="31" t="n">
        <x:v>78.921601365</x:v>
      </x:c>
      <x:c r="M9" s="31" t="n">
        <x:v>137.0892958</x:v>
      </x:c>
      <x:c r="N9" s="24" t="str">
        <x:v>siganus</x:v>
      </x:c>
      <x:c r="O9" s="32" t="n">
        <x:v>2.11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Siganus</x:v>
      </x:c>
      <x:c r="T9" s="32" t="n">
        <x:f>IF(O9="","",(1/'Metadata'!$B$5)^(O9-1))</x:f>
        <x:v>12.882495516931336</x:v>
      </x:c>
      <x:c r="U9" s="31" t="n">
        <x:f>IF(T9="","",I9*T9)</x:f>
        <x:v>2782.759414336428</x:v>
      </x:c>
    </x:row>
    <x:row r="10" ht="18" customHeight="1">
      <x:c r="A10" s="24" t="str">
        <x:v>EEZ_585</x:v>
      </x:c>
      <x:c r="B10" s="24" t="str">
        <x:v>Palau</x:v>
      </x:c>
      <x:c r="C10" s="24" t="str">
        <x:v>EEZ</x:v>
      </x:c>
      <x:c r="D10" s="30" t="n">
        <x:v>2019</x:v>
      </x:c>
      <x:c r="E10" s="24" t="str">
        <x:v>Lutjanus gibbus</x:v>
      </x:c>
      <x:c r="F10" s="24" t="str">
        <x:v>Humpback red snapper</x:v>
      </x:c>
      <x:c r="G10" s="24" t="str">
        <x:v>Medium reef assoc. fish (30 - 89 cm)</x:v>
      </x:c>
      <x:c r="H10" s="24" t="str">
        <x:v>Perch-likes</x:v>
      </x:c>
      <x:c r="I10" s="31" t="n">
        <x:v>180.602712269</x:v>
      </x:c>
      <x:c r="J10" s="31" t="n">
        <x:v>180.602712269</x:v>
      </x:c>
      <x:c r="K10" s="31" t="n">
        <x:v>0</x:v>
      </x:c>
      <x:c r="L10" s="31" t="n">
        <x:v>65.984889869</x:v>
      </x:c>
      <x:c r="M10" s="31" t="n">
        <x:v>114.6178224</x:v>
      </x:c>
      <x:c r="N10" s="24" t="str">
        <x:v>lutjanus gibbus</x:v>
      </x:c>
      <x:c r="O10" s="32" t="n">
        <x:v>4.12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Lutjanus gibbus</x:v>
      </x:c>
      <x:c r="T10" s="32" t="n">
        <x:f>IF(O10="","",(1/'Metadata'!$B$5)^(O10-1))</x:f>
        <x:v>1318.2567385564075</x:v>
      </x:c>
      <x:c r="U10" s="31" t="n">
        <x:f>IF(T10="","",I10*T10)</x:f>
        <x:v>238080.74245017322</x:v>
      </x:c>
    </x:row>
    <x:row r="11" ht="18" customHeight="1">
      <x:c r="A11" s="24" t="str">
        <x:v>EEZ_585</x:v>
      </x:c>
      <x:c r="B11" s="24" t="str">
        <x:v>Palau</x:v>
      </x:c>
      <x:c r="C11" s="24" t="str">
        <x:v>EEZ</x:v>
      </x:c>
      <x:c r="D11" s="30" t="n">
        <x:v>2019</x:v>
      </x:c>
      <x:c r="E11" s="24" t="str">
        <x:v>Alopias</x:v>
      </x:c>
      <x:c r="F11" s="24" t="str">
        <x:v>Thresher sharks</x:v>
      </x:c>
      <x:c r="G11" s="24" t="str">
        <x:v>Large sharks (&gt;=90 cm)</x:v>
      </x:c>
      <x:c r="H11" s="24" t="str">
        <x:v>Sharks &amp; rays</x:v>
      </x:c>
      <x:c r="I11" s="31" t="n">
        <x:v>162.4289604837</x:v>
      </x:c>
      <x:c r="J11" s="31" t="n">
        <x:v>158.9465473964</x:v>
      </x:c>
      <x:c r="K11" s="31" t="n">
        <x:v>3.4824130873000003</x:v>
      </x:c>
      <x:c r="L11" s="31" t="n">
        <x:v>158.9465473964</x:v>
      </x:c>
      <x:c r="M11" s="31" t="n">
        <x:v>3.4824130873000003</x:v>
      </x:c>
      <x:c r="N11" s="24" t="str">
        <x:v>alopias</x:v>
      </x:c>
      <x:c r="O11" s="32" t="n">
        <x:v>4.5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Alopias</x:v>
      </x:c>
      <x:c r="T11" s="32" t="n">
        <x:f>IF(O11="","",(1/'Metadata'!$B$5)^(O11-1))</x:f>
        <x:v>3162.2776601683795</x:v>
      </x:c>
      <x:c r="U11" s="31" t="n">
        <x:f>IF(T11="","",I11*T11)</x:f>
        <x:v>513645.473101977</x:v>
      </x:c>
    </x:row>
    <x:row r="12" ht="18" customHeight="1">
      <x:c r="A12" s="24" t="str">
        <x:v>EEZ_585</x:v>
      </x:c>
      <x:c r="B12" s="24" t="str">
        <x:v>Palau</x:v>
      </x:c>
      <x:c r="C12" s="24" t="str">
        <x:v>EEZ</x:v>
      </x:c>
      <x:c r="D12" s="30" t="n">
        <x:v>2019</x:v>
      </x:c>
      <x:c r="E12" s="24" t="str">
        <x:v>Scarus rubroviolaceus</x:v>
      </x:c>
      <x:c r="F12" s="24" t="str">
        <x:v>Ember parrotfish</x:v>
      </x:c>
      <x:c r="G12" s="24" t="str">
        <x:v>Medium reef assoc. fish (30 - 89 cm)</x:v>
      </x:c>
      <x:c r="H12" s="24" t="str">
        <x:v>Perch-likes</x:v>
      </x:c>
      <x:c r="I12" s="31" t="n">
        <x:v>141.08157065</x:v>
      </x:c>
      <x:c r="J12" s="31" t="n">
        <x:v>141.08157065</x:v>
      </x:c>
      <x:c r="K12" s="31" t="n">
        <x:v>0</x:v>
      </x:c>
      <x:c r="L12" s="31" t="n">
        <x:v>51.54547119</x:v>
      </x:c>
      <x:c r="M12" s="31" t="n">
        <x:v>89.53609946</x:v>
      </x:c>
      <x:c r="N12" s="24" t="str">
        <x:v>scarus rubroviolaceus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Scarus rubroviolaceus</x:v>
      </x:c>
      <x:c r="T12" s="32" t="n">
        <x:f>IF(O12="","",(1/'Metadata'!$B$5)^(O12-1))</x:f>
        <x:v>10</x:v>
      </x:c>
      <x:c r="U12" s="31" t="n">
        <x:f>IF(T12="","",I12*T12)</x:f>
        <x:v>1410.8157065</x:v>
      </x:c>
    </x:row>
    <x:row r="13" ht="18" customHeight="1">
      <x:c r="A13" s="24" t="str">
        <x:v>EEZ_585</x:v>
      </x:c>
      <x:c r="B13" s="24" t="str">
        <x:v>Palau</x:v>
      </x:c>
      <x:c r="C13" s="24" t="str">
        <x:v>EEZ</x:v>
      </x:c>
      <x:c r="D13" s="30" t="n">
        <x:v>2019</x:v>
      </x:c>
      <x:c r="E13" s="24" t="str">
        <x:v>Scaridae</x:v>
      </x:c>
      <x:c r="F13" s="24" t="str">
        <x:v>Parrotfishes</x:v>
      </x:c>
      <x:c r="G13" s="24" t="str">
        <x:v>Medium reef assoc. fish (30 - 89 cm)</x:v>
      </x:c>
      <x:c r="H13" s="24" t="str">
        <x:v>Perch-likes</x:v>
      </x:c>
      <x:c r="I13" s="31" t="n">
        <x:v>104.004990755</x:v>
      </x:c>
      <x:c r="J13" s="31" t="n">
        <x:v>104.004990755</x:v>
      </x:c>
      <x:c r="K13" s="31" t="n">
        <x:v>0</x:v>
      </x:c>
      <x:c r="L13" s="31" t="n">
        <x:v>44.345602475</x:v>
      </x:c>
      <x:c r="M13" s="31" t="n">
        <x:v>59.65938828</x:v>
      </x:c>
      <x:c r="N13" s="24" t="str">
        <x:v>scaridae</x:v>
      </x:c>
      <x:c r="O13" s="32" t="n">
        <x:v>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Scaridae</x:v>
      </x:c>
      <x:c r="T13" s="32" t="n">
        <x:f>IF(O13="","",(1/'Metadata'!$B$5)^(O13-1))</x:f>
        <x:v>10</x:v>
      </x:c>
      <x:c r="U13" s="31" t="n">
        <x:f>IF(T13="","",I13*T13)</x:f>
        <x:v>1040.04990755</x:v>
      </x:c>
    </x:row>
    <x:row r="14" ht="18" customHeight="1">
      <x:c r="A14" s="24" t="str">
        <x:v>EEZ_585</x:v>
      </x:c>
      <x:c r="B14" s="24" t="str">
        <x:v>Palau</x:v>
      </x:c>
      <x:c r="C14" s="24" t="str">
        <x:v>EEZ</x:v>
      </x:c>
      <x:c r="D14" s="30" t="n">
        <x:v>2019</x:v>
      </x:c>
      <x:c r="E14" s="24" t="str">
        <x:v>Lethrinus olivaceus</x:v>
      </x:c>
      <x:c r="F14" s="24" t="str">
        <x:v>Longface emperor</x:v>
      </x:c>
      <x:c r="G14" s="24" t="str">
        <x:v>Medium demersals (30 - 89 cm)</x:v>
      </x:c>
      <x:c r="H14" s="24" t="str">
        <x:v>Perch-likes</x:v>
      </x:c>
      <x:c r="I14" s="31" t="n">
        <x:v>102.758709172</x:v>
      </x:c>
      <x:c r="J14" s="31" t="n">
        <x:v>102.758709172</x:v>
      </x:c>
      <x:c r="K14" s="31" t="n">
        <x:v>0</x:v>
      </x:c>
      <x:c r="L14" s="31" t="n">
        <x:v>37.543855362</x:v>
      </x:c>
      <x:c r="M14" s="31" t="n">
        <x:v>65.21485381</x:v>
      </x:c>
      <x:c r="N14" s="24" t="str">
        <x:v>lethrinus olivaceus</x:v>
      </x:c>
      <x:c r="O14" s="32" t="n">
        <x:v>3.95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Lethrinus olivaceus</x:v>
      </x:c>
      <x:c r="T14" s="32" t="n">
        <x:f>IF(O14="","",(1/'Metadata'!$B$5)^(O14-1))</x:f>
        <x:v>891.2509381337459</x:v>
      </x:c>
      <x:c r="U14" s="31" t="n">
        <x:f>IF(T14="","",I14*T14)</x:f>
        <x:v>91583.79595095775</x:v>
      </x:c>
    </x:row>
    <x:row r="15" ht="18" customHeight="1">
      <x:c r="A15" s="24" t="str">
        <x:v>EEZ_585</x:v>
      </x:c>
      <x:c r="B15" s="24" t="str">
        <x:v>Palau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99.4752112922</x:v>
      </x:c>
      <x:c r="J15" s="31" t="n">
        <x:v>0</x:v>
      </x:c>
      <x:c r="K15" s="31" t="n">
        <x:v>99.4752112922</x:v>
      </x:c>
      <x:c r="L15" s="31" t="n">
        <x:v>0</x:v>
      </x:c>
      <x:c r="M15" s="31" t="n">
        <x:v>99.4752112922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181015.12739882577</x:v>
      </x:c>
    </x:row>
    <x:row r="16" ht="18" customHeight="1">
      <x:c r="A16" s="24" t="str">
        <x:v>EEZ_585</x:v>
      </x:c>
      <x:c r="B16" s="24" t="str">
        <x:v>Palau</x:v>
      </x:c>
      <x:c r="C16" s="24" t="str">
        <x:v>EEZ</x:v>
      </x:c>
      <x:c r="D16" s="30" t="n">
        <x:v>2019</x:v>
      </x:c>
      <x:c r="E16" s="24" t="str">
        <x:v>Epinephelus</x:v>
      </x:c>
      <x:c r="F16" s="24" t="str">
        <x:v>Seabasses, hinds</x:v>
      </x:c>
      <x:c r="G16" s="24" t="str">
        <x:v>Medium reef assoc. fish (30 - 89 cm)</x:v>
      </x:c>
      <x:c r="H16" s="24" t="str">
        <x:v>Perch-likes</x:v>
      </x:c>
      <x:c r="I16" s="31" t="n">
        <x:v>94.512603098</x:v>
      </x:c>
      <x:c r="J16" s="31" t="n">
        <x:v>94.512603098</x:v>
      </x:c>
      <x:c r="K16" s="31" t="n">
        <x:v>0</x:v>
      </x:c>
      <x:c r="L16" s="31" t="n">
        <x:v>34.531063398</x:v>
      </x:c>
      <x:c r="M16" s="31" t="n">
        <x:v>59.9815397</x:v>
      </x:c>
      <x:c r="N16" s="24" t="str">
        <x:v>epinephelus</x:v>
      </x:c>
      <x:c r="O16" s="32" t="n">
        <x:v>3.84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Epinephelus</x:v>
      </x:c>
      <x:c r="T16" s="32" t="n">
        <x:f>IF(O16="","",(1/'Metadata'!$B$5)^(O16-1))</x:f>
        <x:v>691.8309709189363</x:v>
      </x:c>
      <x:c r="U16" s="31" t="n">
        <x:f>IF(T16="","",I16*T16)</x:f>
        <x:v>65386.7459653654</x:v>
      </x:c>
    </x:row>
    <x:row r="17" ht="18" customHeight="1">
      <x:c r="A17" s="24" t="str">
        <x:v>EEZ_585</x:v>
      </x:c>
      <x:c r="B17" s="24" t="str">
        <x:v>Palau</x:v>
      </x:c>
      <x:c r="C17" s="24" t="str">
        <x:v>EEZ</x:v>
      </x:c>
      <x:c r="D17" s="30" t="n">
        <x:v>2019</x:v>
      </x:c>
      <x:c r="E17" s="24" t="str">
        <x:v>Xiphias gladius</x:v>
      </x:c>
      <x:c r="F17" s="24" t="str">
        <x:v>Swordfish</x:v>
      </x:c>
      <x:c r="G17" s="24" t="str">
        <x:v>Large pelagics (&gt;=90 cm)</x:v>
      </x:c>
      <x:c r="H17" s="24" t="str">
        <x:v>Tuna &amp; billfishes</x:v>
      </x:c>
      <x:c r="I17" s="31" t="n">
        <x:v>88.75015403489999</x:v>
      </x:c>
      <x:c r="J17" s="31" t="n">
        <x:v>29.0477708271</x:v>
      </x:c>
      <x:c r="K17" s="31" t="n">
        <x:v>59.702383207800004</x:v>
      </x:c>
      <x:c r="L17" s="31" t="n">
        <x:v>29.0477708271</x:v>
      </x:c>
      <x:c r="M17" s="31" t="n">
        <x:v>59.702383207800004</x:v>
      </x:c>
      <x:c r="N17" s="24" t="str">
        <x:v>xiphias gladius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Xiphias gladius</x:v>
      </x:c>
      <x:c r="T17" s="32" t="n">
        <x:f>IF(O17="","",(1/'Metadata'!$B$5)^(O17-1))</x:f>
        <x:v>3388.4415613920273</x:v>
      </x:c>
      <x:c r="U17" s="31" t="n">
        <x:f>IF(T17="","",I17*T17)</x:f>
        <x:v>300724.71051179944</x:v>
      </x:c>
    </x:row>
    <x:row r="18" ht="18" customHeight="1">
      <x:c r="A18" s="24" t="str">
        <x:v>EEZ_585</x:v>
      </x:c>
      <x:c r="B18" s="24" t="str">
        <x:v>Palau</x:v>
      </x:c>
      <x:c r="C18" s="24" t="str">
        <x:v>EEZ</x:v>
      </x:c>
      <x:c r="D18" s="30" t="n">
        <x:v>2019</x:v>
      </x:c>
      <x:c r="E18" s="24" t="str">
        <x:v>Lethrinus xanthochilus</x:v>
      </x:c>
      <x:c r="F18" s="24" t="str">
        <x:v>Yellowlip emperor</x:v>
      </x:c>
      <x:c r="G18" s="24" t="str">
        <x:v>Medium reef assoc. fish (30 - 89 cm)</x:v>
      </x:c>
      <x:c r="H18" s="24" t="str">
        <x:v>Perch-likes</x:v>
      </x:c>
      <x:c r="I18" s="31" t="n">
        <x:v>83.206329963</x:v>
      </x:c>
      <x:c r="J18" s="31" t="n">
        <x:v>83.206329963</x:v>
      </x:c>
      <x:c r="K18" s="31" t="n">
        <x:v>0</x:v>
      </x:c>
      <x:c r="L18" s="31" t="n">
        <x:v>30.400210772999998</x:v>
      </x:c>
      <x:c r="M18" s="31" t="n">
        <x:v>52.80611919</x:v>
      </x:c>
      <x:c r="N18" s="24" t="str">
        <x:v>lethrinus xanthochilus</x:v>
      </x:c>
      <x:c r="O18" s="32" t="n">
        <x:v>3.78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Lethrinus xanthochilus</x:v>
      </x:c>
      <x:c r="T18" s="32" t="n">
        <x:f>IF(O18="","",(1/'Metadata'!$B$5)^(O18-1))</x:f>
        <x:v>602.5595860743575</x:v>
      </x:c>
      <x:c r="U18" s="31" t="n">
        <x:f>IF(T18="","",I18*T18)</x:f>
        <x:v>50136.771741271696</x:v>
      </x:c>
    </x:row>
    <x:row r="19" ht="18" customHeight="1">
      <x:c r="A19" s="24" t="str">
        <x:v>EEZ_585</x:v>
      </x:c>
      <x:c r="B19" s="24" t="str">
        <x:v>Palau</x:v>
      </x:c>
      <x:c r="C19" s="24" t="str">
        <x:v>EEZ</x:v>
      </x:c>
      <x:c r="D19" s="30" t="n">
        <x:v>2019</x:v>
      </x:c>
      <x:c r="E19" s="24" t="str">
        <x:v>Naso lituratus</x:v>
      </x:c>
      <x:c r="F19" s="24" t="str">
        <x:v>Orangespine unicornfish</x:v>
      </x:c>
      <x:c r="G19" s="24" t="str">
        <x:v>Medium reef assoc. fish (30 - 89 cm)</x:v>
      </x:c>
      <x:c r="H19" s="24" t="str">
        <x:v>Perch-likes</x:v>
      </x:c>
      <x:c r="I19" s="31" t="n">
        <x:v>72.46418623100001</x:v>
      </x:c>
      <x:c r="J19" s="31" t="n">
        <x:v>72.46418623100001</x:v>
      </x:c>
      <x:c r="K19" s="31" t="n">
        <x:v>0</x:v>
      </x:c>
      <x:c r="L19" s="31" t="n">
        <x:v>26.475468101</x:v>
      </x:c>
      <x:c r="M19" s="31" t="n">
        <x:v>45.98871813</x:v>
      </x:c>
      <x:c r="N19" s="24" t="str">
        <x:v>naso lituratus</x:v>
      </x:c>
      <x:c r="O19" s="32" t="n">
        <x:v>2.32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Naso lituratus</x:v>
      </x:c>
      <x:c r="T19" s="32" t="n">
        <x:f>IF(O19="","",(1/'Metadata'!$B$5)^(O19-1))</x:f>
        <x:v>20.892961308540386</x:v>
      </x:c>
      <x:c r="U19" s="31" t="n">
        <x:f>IF(T19="","",I19*T19)</x:f>
        <x:v>1513.9914391791483</x:v>
      </x:c>
    </x:row>
    <x:row r="20" ht="18" customHeight="1">
      <x:c r="A20" s="24" t="str">
        <x:v>EEZ_585</x:v>
      </x:c>
      <x:c r="B20" s="24" t="str">
        <x:v>Palau</x:v>
      </x:c>
      <x:c r="C20" s="24" t="str">
        <x:v>EEZ</x:v>
      </x:c>
      <x:c r="D20" s="30" t="n">
        <x:v>2019</x:v>
      </x:c>
      <x:c r="E20" s="24" t="str">
        <x:v>Isurus</x:v>
      </x:c>
      <x:c r="F20" s="24" t="str">
        <x:v>Mako sharks</x:v>
      </x:c>
      <x:c r="G20" s="24" t="str">
        <x:v>Large sharks (&gt;=90 cm)</x:v>
      </x:c>
      <x:c r="H20" s="24" t="str">
        <x:v>Sharks &amp; rays</x:v>
      </x:c>
      <x:c r="I20" s="31" t="n">
        <x:v>69.8114860482</x:v>
      </x:c>
      <x:c r="J20" s="31" t="n">
        <x:v>23.4161863158</x:v>
      </x:c>
      <x:c r="K20" s="31" t="n">
        <x:v>46.3952997324</x:v>
      </x:c>
      <x:c r="L20" s="31" t="n">
        <x:v>23.4161863158</x:v>
      </x:c>
      <x:c r="M20" s="31" t="n">
        <x:v>46.3952997324</x:v>
      </x:c>
      <x:c r="N20" s="24" t="str">
        <x:v>isurus</x:v>
      </x:c>
      <x:c r="O20" s="32" t="n">
        <x:v>4.5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Isurus</x:v>
      </x:c>
      <x:c r="T20" s="32" t="n">
        <x:f>IF(O20="","",(1/'Metadata'!$B$5)^(O20-1))</x:f>
        <x:v>3162.2776601683795</x:v>
      </x:c>
      <x:c r="U20" s="31" t="n">
        <x:f>IF(T20="","",I20*T20)</x:f>
        <x:v>220763.30275337936</x:v>
      </x:c>
    </x:row>
    <x:row r="21" ht="18" customHeight="1">
      <x:c r="A21" s="24" t="str">
        <x:v>EEZ_585</x:v>
      </x:c>
      <x:c r="B21" s="24" t="str">
        <x:v>Palau</x:v>
      </x:c>
      <x:c r="C21" s="24" t="str">
        <x:v>EEZ</x:v>
      </x:c>
      <x:c r="D21" s="30" t="n">
        <x:v>2019</x:v>
      </x:c>
      <x:c r="E21" s="24" t="str">
        <x:v>Coryphaena hippurus</x:v>
      </x:c>
      <x:c r="F21" s="24" t="str">
        <x:v>Common dolphinfish</x:v>
      </x:c>
      <x:c r="G21" s="24" t="str">
        <x:v>Large pelagics (&gt;=90 cm)</x:v>
      </x:c>
      <x:c r="H21" s="24" t="str">
        <x:v>Perch-likes</x:v>
      </x:c>
      <x:c r="I21" s="31" t="n">
        <x:v>63.7359747994</x:v>
      </x:c>
      <x:c r="J21" s="31" t="n">
        <x:v>0</x:v>
      </x:c>
      <x:c r="K21" s="31" t="n">
        <x:v>63.7359747994</x:v>
      </x:c>
      <x:c r="L21" s="31" t="n">
        <x:v>0</x:v>
      </x:c>
      <x:c r="M21" s="31" t="n">
        <x:v>63.7359747994</x:v>
      </x:c>
      <x:c r="N21" s="24" t="str">
        <x:v>coryphaena hippurus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Coryphaena hippurus</x:v>
      </x:c>
      <x:c r="T21" s="32" t="n">
        <x:f>IF(O21="","",(1/'Metadata'!$B$5)^(O21-1))</x:f>
        <x:v>2344.228815319923</x:v>
      </x:c>
      <x:c r="U21" s="31" t="n">
        <x:f>IF(T21="","",I21*T21)</x:f>
        <x:v>149411.7086972579</x:v>
      </x:c>
    </x:row>
    <x:row r="22" ht="18" customHeight="1">
      <x:c r="A22" s="24" t="str">
        <x:v>EEZ_585</x:v>
      </x:c>
      <x:c r="B22" s="24" t="str">
        <x:v>Palau</x:v>
      </x:c>
      <x:c r="C22" s="24" t="str">
        <x:v>EEZ</x:v>
      </x:c>
      <x:c r="D22" s="30" t="n">
        <x:v>2019</x:v>
      </x:c>
      <x:c r="E22" s="24" t="str">
        <x:v>Acanthuridae</x:v>
      </x:c>
      <x:c r="F22" s="24" t="str">
        <x:v>Surgeons, tangs, unicornfishes</x:v>
      </x:c>
      <x:c r="G22" s="24" t="str">
        <x:v>Small reef assoc. fish (&lt;30 cm)</x:v>
      </x:c>
      <x:c r="H22" s="24" t="str">
        <x:v>Perch-likes</x:v>
      </x:c>
      <x:c r="I22" s="31" t="n">
        <x:v>58.570238984</x:v>
      </x:c>
      <x:c r="J22" s="31" t="n">
        <x:v>58.570238984</x:v>
      </x:c>
      <x:c r="K22" s="31" t="n">
        <x:v>0</x:v>
      </x:c>
      <x:c r="L22" s="31" t="n">
        <x:v>27.745591024</x:v>
      </x:c>
      <x:c r="M22" s="31" t="n">
        <x:v>30.82464796</x:v>
      </x:c>
      <x:c r="N22" s="24" t="str">
        <x:v>acanthuridae</x:v>
      </x:c>
      <x:c r="O22" s="32" t="n">
        <x:v>2.28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Acanthuridae</x:v>
      </x:c>
      <x:c r="T22" s="32" t="n">
        <x:f>IF(O22="","",(1/'Metadata'!$B$5)^(O22-1))</x:f>
        <x:v>19.054607179632463</x:v>
      </x:c>
      <x:c r="U22" s="31" t="n">
        <x:f>IF(T22="","",I22*T22)</x:f>
        <x:v>1116.0328962573155</x:v>
      </x:c>
    </x:row>
    <x:row r="23" ht="18" customHeight="1">
      <x:c r="A23" s="24" t="str">
        <x:v>EEZ_585</x:v>
      </x:c>
      <x:c r="B23" s="24" t="str">
        <x:v>Palau</x:v>
      </x:c>
      <x:c r="C23" s="24" t="str">
        <x:v>EEZ</x:v>
      </x:c>
      <x:c r="D23" s="30" t="n">
        <x:v>2019</x:v>
      </x:c>
      <x:c r="E23" s="24" t="str">
        <x:v>Thunnus alalunga</x:v>
      </x:c>
      <x:c r="F23" s="24" t="str">
        <x:v>Albacore</x:v>
      </x:c>
      <x:c r="G23" s="24" t="str">
        <x:v>Large pelagics (&gt;=90 cm)</x:v>
      </x:c>
      <x:c r="H23" s="24" t="str">
        <x:v>Tuna &amp; billfishes</x:v>
      </x:c>
      <x:c r="I23" s="31" t="n">
        <x:v>56.050121805799996</x:v>
      </x:c>
      <x:c r="J23" s="31" t="n">
        <x:v>56.047107548999996</x:v>
      </x:c>
      <x:c r="K23" s="31" t="n">
        <x:v>0.0030142568</x:v>
      </x:c>
      <x:c r="L23" s="31" t="n">
        <x:v>56.047107548999996</x:v>
      </x:c>
      <x:c r="M23" s="31" t="n">
        <x:v>0.0030142568</x:v>
      </x:c>
      <x:c r="N23" s="24" t="str">
        <x:v>thunnus alalunga</x:v>
      </x:c>
      <x:c r="O23" s="32" t="n">
        <x:v>4.3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alalunga</x:v>
      </x:c>
      <x:c r="T23" s="32" t="n">
        <x:f>IF(O23="","",(1/'Metadata'!$B$5)^(O23-1))</x:f>
        <x:v>1995.2623149688789</x:v>
      </x:c>
      <x:c r="U23" s="31" t="n">
        <x:f>IF(T23="","",I23*T23)</x:f>
        <x:v>111834.69578852813</x:v>
      </x:c>
    </x:row>
    <x:row r="24" ht="18" customHeight="1">
      <x:c r="A24" s="24" t="str">
        <x:v>EEZ_585</x:v>
      </x:c>
      <x:c r="B24" s="24" t="str">
        <x:v>Palau</x:v>
      </x:c>
      <x:c r="C24" s="24" t="str">
        <x:v>EEZ</x:v>
      </x:c>
      <x:c r="D24" s="30" t="n">
        <x:v>2019</x:v>
      </x:c>
      <x:c r="E24" s="24" t="str">
        <x:v>Carcharhinus falciformis</x:v>
      </x:c>
      <x:c r="F24" s="24" t="str">
        <x:v>Silky shark</x:v>
      </x:c>
      <x:c r="G24" s="24" t="str">
        <x:v>Large sharks (&gt;=90 cm)</x:v>
      </x:c>
      <x:c r="H24" s="24" t="str">
        <x:v>Sharks &amp; rays</x:v>
      </x:c>
      <x:c r="I24" s="31" t="n">
        <x:v>54.711657628299996</x:v>
      </x:c>
      <x:c r="J24" s="31" t="n">
        <x:v>34.16281334349999</x:v>
      </x:c>
      <x:c r="K24" s="31" t="n">
        <x:v>20.5488442848</x:v>
      </x:c>
      <x:c r="L24" s="31" t="n">
        <x:v>34.16281334349999</x:v>
      </x:c>
      <x:c r="M24" s="31" t="n">
        <x:v>20.5488442848</x:v>
      </x:c>
      <x:c r="N24" s="24" t="str">
        <x:v>carcharhinus falciformis</x:v>
      </x:c>
      <x:c r="O24" s="32" t="n">
        <x:v>4.51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Carcharhinus falciformis</x:v>
      </x:c>
      <x:c r="T24" s="32" t="n">
        <x:f>IF(O24="","",(1/'Metadata'!$B$5)^(O24-1))</x:f>
        <x:v>3235.936569296281</x:v>
      </x:c>
      <x:c r="U24" s="31" t="n">
        <x:f>IF(T24="","",I24*T24)</x:f>
        <x:v>177043.45368623378</x:v>
      </x:c>
    </x:row>
    <x:row r="25" ht="18" customHeight="1">
      <x:c r="A25" s="24" t="str">
        <x:v>EEZ_585</x:v>
      </x:c>
      <x:c r="B25" s="24" t="str">
        <x:v>Palau</x:v>
      </x:c>
      <x:c r="C25" s="24" t="str">
        <x:v>EEZ</x:v>
      </x:c>
      <x:c r="D25" s="30" t="n">
        <x:v>2019</x:v>
      </x:c>
      <x:c r="E25" s="24" t="str">
        <x:v>Plectropomus leopardus</x:v>
      </x:c>
      <x:c r="F25" s="24" t="str">
        <x:v>Leopard coralgrouper</x:v>
      </x:c>
      <x:c r="G25" s="24" t="str">
        <x:v>Large reef assoc. fish (&gt;=90 cm)</x:v>
      </x:c>
      <x:c r="H25" s="24" t="str">
        <x:v>Perch-likes</x:v>
      </x:c>
      <x:c r="I25" s="31" t="n">
        <x:v>52.982827994</x:v>
      </x:c>
      <x:c r="J25" s="31" t="n">
        <x:v>52.982827994</x:v>
      </x:c>
      <x:c r="K25" s="31" t="n">
        <x:v>0</x:v>
      </x:c>
      <x:c r="L25" s="31" t="n">
        <x:v>19.357771684</x:v>
      </x:c>
      <x:c r="M25" s="31" t="n">
        <x:v>33.62505631</x:v>
      </x:c>
      <x:c r="N25" s="24" t="str">
        <x:v>plectropomus leopardus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Plectropomus leopardus</x:v>
      </x:c>
      <x:c r="T25" s="32" t="n">
        <x:f>IF(O25="","",(1/'Metadata'!$B$5)^(O25-1))</x:f>
        <x:v>2630.2679918953813</x:v>
      </x:c>
      <x:c r="U25" s="31" t="n">
        <x:f>IF(T25="","",I25*T25)</x:f>
        <x:v>139359.03659271676</x:v>
      </x:c>
    </x:row>
    <x:row r="26" ht="18" customHeight="1">
      <x:c r="A26" s="24" t="str">
        <x:v>EEZ_585</x:v>
      </x:c>
      <x:c r="B26" s="24" t="str">
        <x:v>Palau</x:v>
      </x:c>
      <x:c r="C26" s="24" t="str">
        <x:v>EEZ</x:v>
      </x:c>
      <x:c r="D26" s="30" t="n">
        <x:v>2019</x:v>
      </x:c>
      <x:c r="E26" s="24" t="str">
        <x:v>Lethrinus harak</x:v>
      </x:c>
      <x:c r="F26" s="24" t="str">
        <x:v>Thumbprint emperor</x:v>
      </x:c>
      <x:c r="G26" s="24" t="str">
        <x:v>Medium reef assoc. fish (30 - 89 cm)</x:v>
      </x:c>
      <x:c r="H26" s="24" t="str">
        <x:v>Perch-likes</x:v>
      </x:c>
      <x:c r="I26" s="31" t="n">
        <x:v>50.284381837</x:v>
      </x:c>
      <x:c r="J26" s="31" t="n">
        <x:v>50.284381837</x:v>
      </x:c>
      <x:c r="K26" s="31" t="n">
        <x:v>0</x:v>
      </x:c>
      <x:c r="L26" s="31" t="n">
        <x:v>18.371869146999998</x:v>
      </x:c>
      <x:c r="M26" s="31" t="n">
        <x:v>31.91251269</x:v>
      </x:c>
      <x:c r="N26" s="24" t="str">
        <x:v>lethrinus harak</x:v>
      </x:c>
      <x:c r="O26" s="32" t="n">
        <x:v>3.59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Lethrinus harak</x:v>
      </x:c>
      <x:c r="T26" s="32" t="n">
        <x:f>IF(O26="","",(1/'Metadata'!$B$5)^(O26-1))</x:f>
        <x:v>389.04514499428046</x:v>
      </x:c>
      <x:c r="U26" s="31" t="n">
        <x:f>IF(T26="","",I26*T26)</x:f>
        <x:v>19562.894622723426</x:v>
      </x:c>
    </x:row>
    <x:row r="27" ht="18" customHeight="1">
      <x:c r="A27" s="24" t="str">
        <x:v>EEZ_585</x:v>
      </x:c>
      <x:c r="B27" s="24" t="str">
        <x:v>Palau</x:v>
      </x:c>
      <x:c r="C27" s="24" t="str">
        <x:v>EEZ</x:v>
      </x:c>
      <x:c r="D27" s="30" t="n">
        <x:v>2019</x:v>
      </x:c>
      <x:c r="E27" s="24" t="str">
        <x:v>Mugilidae</x:v>
      </x:c>
      <x:c r="F27" s="24" t="str">
        <x:v>Mullets, grey mullets</x:v>
      </x:c>
      <x:c r="G27" s="24" t="str">
        <x:v>Medium reef assoc. fish (30 - 89 cm)</x:v>
      </x:c>
      <x:c r="H27" s="24" t="str">
        <x:v>Perch-likes</x:v>
      </x:c>
      <x:c r="I27" s="31" t="n">
        <x:v>48.649462195</x:v>
      </x:c>
      <x:c r="J27" s="31" t="n">
        <x:v>48.649462195</x:v>
      </x:c>
      <x:c r="K27" s="31" t="n">
        <x:v>0</x:v>
      </x:c>
      <x:c r="L27" s="31" t="n">
        <x:v>17.774535965</x:v>
      </x:c>
      <x:c r="M27" s="31" t="n">
        <x:v>30.87492623</x:v>
      </x:c>
      <x:c r="N27" s="24" t="str">
        <x:v>mugilidae</x:v>
      </x:c>
      <x:c r="O27" s="32" t="n">
        <x:v>2.53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Mugilidae</x:v>
      </x:c>
      <x:c r="T27" s="32" t="n">
        <x:f>IF(O27="","",(1/'Metadata'!$B$5)^(O27-1))</x:f>
        <x:v>33.88441561392024</x:v>
      </x:c>
      <x:c r="U27" s="31" t="n">
        <x:f>IF(T27="","",I27*T27)</x:f>
        <x:v>1648.4585964090804</x:v>
      </x:c>
    </x:row>
    <x:row r="28" ht="18" customHeight="1">
      <x:c r="A28" s="24" t="str">
        <x:v>EEZ_585</x:v>
      </x:c>
      <x:c r="B28" s="24" t="str">
        <x:v>Palau</x:v>
      </x:c>
      <x:c r="C28" s="24" t="str">
        <x:v>EEZ</x:v>
      </x:c>
      <x:c r="D28" s="30" t="n">
        <x:v>2019</x:v>
      </x:c>
      <x:c r="E28" s="24" t="str">
        <x:v>Plectropomus areolatus</x:v>
      </x:c>
      <x:c r="F28" s="24" t="str">
        <x:v>Squaretail coralgrouper</x:v>
      </x:c>
      <x:c r="G28" s="24" t="str">
        <x:v>Medium reef assoc. fish (30 - 89 cm)</x:v>
      </x:c>
      <x:c r="H28" s="24" t="str">
        <x:v>Perch-likes</x:v>
      </x:c>
      <x:c r="I28" s="31" t="n">
        <x:v>48.38969204</x:v>
      </x:c>
      <x:c r="J28" s="31" t="n">
        <x:v>48.38969204</x:v>
      </x:c>
      <x:c r="K28" s="31" t="n">
        <x:v>0</x:v>
      </x:c>
      <x:c r="L28" s="31" t="n">
        <x:v>17.679626510000002</x:v>
      </x:c>
      <x:c r="M28" s="31" t="n">
        <x:v>30.71006553</x:v>
      </x:c>
      <x:c r="N28" s="24" t="str">
        <x:v>plectropomus areolatus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Plectropomus areolatus</x:v>
      </x:c>
      <x:c r="T28" s="32" t="n">
        <x:f>IF(O28="","",(1/'Metadata'!$B$5)^(O28-1))</x:f>
        <x:v>3162.2776601683795</x:v>
      </x:c>
      <x:c r="U28" s="31" t="n">
        <x:f>IF(T28="","",I28*T28)</x:f>
        <x:v>153021.64212051965</x:v>
      </x:c>
    </x:row>
    <x:row r="29" ht="18" customHeight="1">
      <x:c r="A29" s="24" t="str">
        <x:v>EEZ_585</x:v>
      </x:c>
      <x:c r="B29" s="24" t="str">
        <x:v>Palau</x:v>
      </x:c>
      <x:c r="C29" s="24" t="str">
        <x:v>EEZ</x:v>
      </x:c>
      <x:c r="D29" s="30" t="n">
        <x:v>2019</x:v>
      </x:c>
      <x:c r="E29" s="24" t="str">
        <x:v>Scarus ghobban</x:v>
      </x:c>
      <x:c r="F29" s="24" t="str">
        <x:v>Blue-barred parrotfish</x:v>
      </x:c>
      <x:c r="G29" s="24" t="str">
        <x:v>Medium reef assoc. fish (30 - 89 cm)</x:v>
      </x:c>
      <x:c r="H29" s="24" t="str">
        <x:v>Perch-likes</x:v>
      </x:c>
      <x:c r="I29" s="31" t="n">
        <x:v>47.558879981000004</x:v>
      </x:c>
      <x:c r="J29" s="31" t="n">
        <x:v>47.558879981000004</x:v>
      </x:c>
      <x:c r="K29" s="31" t="n">
        <x:v>0</x:v>
      </x:c>
      <x:c r="L29" s="31" t="n">
        <x:v>17.376081561</x:v>
      </x:c>
      <x:c r="M29" s="31" t="n">
        <x:v>30.18279842</x:v>
      </x:c>
      <x:c r="N29" s="24" t="str">
        <x:v>scarus ghobban</x:v>
      </x:c>
      <x:c r="O29" s="32" t="n">
        <x:v>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Scarus ghobban</x:v>
      </x:c>
      <x:c r="T29" s="32" t="n">
        <x:f>IF(O29="","",(1/'Metadata'!$B$5)^(O29-1))</x:f>
        <x:v>10</x:v>
      </x:c>
      <x:c r="U29" s="31" t="n">
        <x:f>IF(T29="","",I29*T29)</x:f>
        <x:v>475.58879981000007</x:v>
      </x:c>
    </x:row>
    <x:row r="30" ht="18" customHeight="1">
      <x:c r="A30" s="24" t="str">
        <x:v>EEZ_585</x:v>
      </x:c>
      <x:c r="B30" s="24" t="str">
        <x:v>Palau</x:v>
      </x:c>
      <x:c r="C30" s="24" t="str">
        <x:v>EEZ</x:v>
      </x:c>
      <x:c r="D30" s="30" t="n">
        <x:v>2019</x:v>
      </x:c>
      <x:c r="E30" s="24" t="str">
        <x:v>Acanthurus xanthopterus</x:v>
      </x:c>
      <x:c r="F30" s="24" t="str">
        <x:v>Yellowfin surgeonfish</x:v>
      </x:c>
      <x:c r="G30" s="24" t="str">
        <x:v>Medium reef assoc. fish (30 - 89 cm)</x:v>
      </x:c>
      <x:c r="H30" s="24" t="str">
        <x:v>Perch-likes</x:v>
      </x:c>
      <x:c r="I30" s="31" t="n">
        <x:v>47.481408461</x:v>
      </x:c>
      <x:c r="J30" s="31" t="n">
        <x:v>47.481408461</x:v>
      </x:c>
      <x:c r="K30" s="31" t="n">
        <x:v>0</x:v>
      </x:c>
      <x:c r="L30" s="31" t="n">
        <x:v>17.347776611</x:v>
      </x:c>
      <x:c r="M30" s="31" t="n">
        <x:v>30.13363185</x:v>
      </x:c>
      <x:c r="N30" s="24" t="str">
        <x:v>acanthurus xanthopterus</x:v>
      </x:c>
      <x:c r="O30" s="32" t="n">
        <x:v>2.87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Acanthurus xanthopterus</x:v>
      </x:c>
      <x:c r="T30" s="32" t="n">
        <x:f>IF(O30="","",(1/'Metadata'!$B$5)^(O30-1))</x:f>
        <x:v>74.13102413009177</x:v>
      </x:c>
      <x:c r="U30" s="31" t="n">
        <x:f>IF(T30="","",I30*T30)</x:f>
        <x:v>3519.8454363531346</x:v>
      </x:c>
    </x:row>
    <x:row r="31" ht="18" customHeight="1">
      <x:c r="A31" s="24" t="str">
        <x:v>EEZ_585</x:v>
      </x:c>
      <x:c r="B31" s="24" t="str">
        <x:v>Palau</x:v>
      </x:c>
      <x:c r="C31" s="24" t="str">
        <x:v>EEZ</x:v>
      </x:c>
      <x:c r="D31" s="30" t="n">
        <x:v>2019</x:v>
      </x:c>
      <x:c r="E31" s="24" t="str">
        <x:v>Mullidae</x:v>
      </x:c>
      <x:c r="F31" s="24" t="str">
        <x:v>Goatfishes</x:v>
      </x:c>
      <x:c r="G31" s="24" t="str">
        <x:v>Medium reef assoc. fish (30 - 89 cm)</x:v>
      </x:c>
      <x:c r="H31" s="24" t="str">
        <x:v>Perch-likes</x:v>
      </x:c>
      <x:c r="I31" s="31" t="n">
        <x:v>47.210849937</x:v>
      </x:c>
      <x:c r="J31" s="31" t="n">
        <x:v>47.210849937</x:v>
      </x:c>
      <x:c r="K31" s="31" t="n">
        <x:v>0</x:v>
      </x:c>
      <x:c r="L31" s="31" t="n">
        <x:v>17.248925527</x:v>
      </x:c>
      <x:c r="M31" s="31" t="n">
        <x:v>29.96192441</x:v>
      </x:c>
      <x:c r="N31" s="24" t="str">
        <x:v>mullidae</x:v>
      </x:c>
      <x:c r="O31" s="32" t="n">
        <x:v>3.46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Mullidae</x:v>
      </x:c>
      <x:c r="T31" s="32" t="n">
        <x:f>IF(O31="","",(1/'Metadata'!$B$5)^(O31-1))</x:f>
        <x:v>288.40315031266056</x:v>
      </x:c>
      <x:c r="U31" s="31" t="n">
        <x:f>IF(T31="","",I31*T31)</x:f>
        <x:v>13615.757850769072</x:v>
      </x:c>
    </x:row>
    <x:row r="32" ht="18" customHeight="1">
      <x:c r="A32" s="24" t="str">
        <x:v>EEZ_585</x:v>
      </x:c>
      <x:c r="B32" s="24" t="str">
        <x:v>Palau</x:v>
      </x:c>
      <x:c r="C32" s="24" t="str">
        <x:v>EEZ</x:v>
      </x:c>
      <x:c r="D32" s="30" t="n">
        <x:v>2019</x:v>
      </x:c>
      <x:c r="E32" s="24" t="str">
        <x:v>Elasmobranchii</x:v>
      </x:c>
      <x:c r="F32" s="24" t="str">
        <x:v>Sharks, rays, skates</x:v>
      </x:c>
      <x:c r="G32" s="24" t="str">
        <x:v>Large sharks (&gt;=90 cm)</x:v>
      </x:c>
      <x:c r="H32" s="24" t="str">
        <x:v>Sharks &amp; rays</x:v>
      </x:c>
      <x:c r="I32" s="31" t="n">
        <x:v>45.2824061239</x:v>
      </x:c>
      <x:c r="J32" s="31" t="n">
        <x:v>0</x:v>
      </x:c>
      <x:c r="K32" s="31" t="n">
        <x:v>45.2824061239</x:v>
      </x:c>
      <x:c r="L32" s="31" t="n">
        <x:v>0</x:v>
      </x:c>
      <x:c r="M32" s="31" t="n">
        <x:v>45.2824061239</x:v>
      </x:c>
      <x:c r="N32" s="24" t="str">
        <x:v>elasmobranchii</x:v>
      </x:c>
      <x:c r="O32" s="32" t="n">
        <x:v>4.05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Elasmobranchii</x:v>
      </x:c>
      <x:c r="T32" s="32" t="n">
        <x:f>IF(O32="","",(1/'Metadata'!$B$5)^(O32-1))</x:f>
        <x:v>1122.018454301963</x:v>
      </x:c>
      <x:c r="U32" s="31" t="n">
        <x:f>IF(T32="","",I32*T32)</x:f>
        <x:v>50807.69532621202</x:v>
      </x:c>
    </x:row>
    <x:row r="33" ht="18" customHeight="1">
      <x:c r="A33" s="24" t="str">
        <x:v>EEZ_585</x:v>
      </x:c>
      <x:c r="B33" s="24" t="str">
        <x:v>Palau</x:v>
      </x:c>
      <x:c r="C33" s="24" t="str">
        <x:v>EEZ</x:v>
      </x:c>
      <x:c r="D33" s="30" t="n">
        <x:v>2019</x:v>
      </x:c>
      <x:c r="E33" s="24" t="str">
        <x:v>Naso unicornis</x:v>
      </x:c>
      <x:c r="F33" s="24" t="str">
        <x:v>Bluespine unicornfish</x:v>
      </x:c>
      <x:c r="G33" s="24" t="str">
        <x:v>Medium reef assoc. fish (30 - 89 cm)</x:v>
      </x:c>
      <x:c r="H33" s="24" t="str">
        <x:v>Perch-likes</x:v>
      </x:c>
      <x:c r="I33" s="31" t="n">
        <x:v>45.201718291999995</x:v>
      </x:c>
      <x:c r="J33" s="31" t="n">
        <x:v>45.201718291999995</x:v>
      </x:c>
      <x:c r="K33" s="31" t="n">
        <x:v>0</x:v>
      </x:c>
      <x:c r="L33" s="31" t="n">
        <x:v>16.514870492</x:v>
      </x:c>
      <x:c r="M33" s="31" t="n">
        <x:v>28.6868478</x:v>
      </x:c>
      <x:c r="N33" s="24" t="str">
        <x:v>naso unicornis</x:v>
      </x:c>
      <x:c r="O33" s="32" t="n">
        <x:v>2.17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Naso unicornis</x:v>
      </x:c>
      <x:c r="T33" s="32" t="n">
        <x:f>IF(O33="","",(1/'Metadata'!$B$5)^(O33-1))</x:f>
        <x:v>14.791083881682072</x:v>
      </x:c>
      <x:c r="U33" s="31" t="n">
        <x:f>IF(T33="","",I33*T33)</x:f>
        <x:v>668.5824068531348</x:v>
      </x:c>
    </x:row>
    <x:row r="34" ht="18" customHeight="1">
      <x:c r="A34" s="24" t="str">
        <x:v>EEZ_585</x:v>
      </x:c>
      <x:c r="B34" s="24" t="str">
        <x:v>Palau</x:v>
      </x:c>
      <x:c r="C34" s="24" t="str">
        <x:v>EEZ</x:v>
      </x:c>
      <x:c r="D34" s="30" t="n">
        <x:v>2019</x:v>
      </x:c>
      <x:c r="E34" s="24" t="str">
        <x:v>Lutjanus bohar</x:v>
      </x:c>
      <x:c r="F34" s="24" t="str">
        <x:v>Two-spot red snapper</x:v>
      </x:c>
      <x:c r="G34" s="24" t="str">
        <x:v>Medium reef assoc. fish (30 - 89 cm)</x:v>
      </x:c>
      <x:c r="H34" s="24" t="str">
        <x:v>Perch-likes</x:v>
      </x:c>
      <x:c r="I34" s="31" t="n">
        <x:v>43.279360928</x:v>
      </x:c>
      <x:c r="J34" s="31" t="n">
        <x:v>43.279360928</x:v>
      </x:c>
      <x:c r="K34" s="31" t="n">
        <x:v>0</x:v>
      </x:c>
      <x:c r="L34" s="31" t="n">
        <x:v>15.812519248</x:v>
      </x:c>
      <x:c r="M34" s="31" t="n">
        <x:v>27.46684168</x:v>
      </x:c>
      <x:c r="N34" s="24" t="str">
        <x:v>lutjanus bohar</x:v>
      </x:c>
      <x:c r="O34" s="32" t="n">
        <x:v>4.27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bohar</x:v>
      </x:c>
      <x:c r="T34" s="32" t="n">
        <x:f>IF(O34="","",(1/'Metadata'!$B$5)^(O34-1))</x:f>
        <x:v>1862.0871366628655</x:v>
      </x:c>
      <x:c r="U34" s="31" t="n">
        <x:f>IF(T34="","",I34*T34)</x:f>
        <x:v>80589.94126701822</x:v>
      </x:c>
    </x:row>
    <x:row r="35" ht="18" customHeight="1">
      <x:c r="A35" s="24" t="str">
        <x:v>EEZ_585</x:v>
      </x:c>
      <x:c r="B35" s="24" t="str">
        <x:v>Palau</x:v>
      </x:c>
      <x:c r="C35" s="24" t="str">
        <x:v>EEZ</x:v>
      </x:c>
      <x:c r="D35" s="30" t="n">
        <x:v>2019</x:v>
      </x:c>
      <x:c r="E35" s="24" t="str">
        <x:v>Thunnus orientalis</x:v>
      </x:c>
      <x:c r="F35" s="24" t="str">
        <x:v>Pacific bluefin tuna</x:v>
      </x:c>
      <x:c r="G35" s="24" t="str">
        <x:v>Large pelagics (&gt;=90 cm)</x:v>
      </x:c>
      <x:c r="H35" s="24" t="str">
        <x:v>Tuna &amp; billfishes</x:v>
      </x:c>
      <x:c r="I35" s="31" t="n">
        <x:v>38.41235366</x:v>
      </x:c>
      <x:c r="J35" s="31" t="n">
        <x:v>38.2043455069</x:v>
      </x:c>
      <x:c r="K35" s="31" t="n">
        <x:v>0.2080081531</x:v>
      </x:c>
      <x:c r="L35" s="31" t="n">
        <x:v>38.2043455069</x:v>
      </x:c>
      <x:c r="M35" s="31" t="n">
        <x:v>0.2080081531</x:v>
      </x:c>
      <x:c r="N35" s="24" t="str">
        <x:v>thunnus orientalis</x:v>
      </x:c>
      <x:c r="O35" s="32" t="n">
        <x:v>4.05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orientalis</x:v>
      </x:c>
      <x:c r="T35" s="32" t="n">
        <x:f>IF(O35="","",(1/'Metadata'!$B$5)^(O35-1))</x:f>
        <x:v>1122.018454301963</x:v>
      </x:c>
      <x:c r="U35" s="31" t="n">
        <x:f>IF(T35="","",I35*T35)</x:f>
        <x:v>43099.36967969355</x:v>
      </x:c>
    </x:row>
    <x:row r="36" ht="18" customHeight="1">
      <x:c r="A36" s="24" t="str">
        <x:v>EEZ_585</x:v>
      </x:c>
      <x:c r="B36" s="24" t="str">
        <x:v>Palau</x:v>
      </x:c>
      <x:c r="C36" s="24" t="str">
        <x:v>EEZ</x:v>
      </x:c>
      <x:c r="D36" s="30" t="n">
        <x:v>2019</x:v>
      </x:c>
      <x:c r="E36" s="24" t="str">
        <x:v>Lutjanidae</x:v>
      </x:c>
      <x:c r="F36" s="24" t="str">
        <x:v>Snappers</x:v>
      </x:c>
      <x:c r="G36" s="24" t="str">
        <x:v>Medium reef assoc. fish (30 - 89 cm)</x:v>
      </x:c>
      <x:c r="H36" s="24" t="str">
        <x:v>Perch-likes</x:v>
      </x:c>
      <x:c r="I36" s="31" t="n">
        <x:v>36.230985711</x:v>
      </x:c>
      <x:c r="J36" s="31" t="n">
        <x:v>36.230985711</x:v>
      </x:c>
      <x:c r="K36" s="31" t="n">
        <x:v>0</x:v>
      </x:c>
      <x:c r="L36" s="31" t="n">
        <x:v>13.237329450999999</x:v>
      </x:c>
      <x:c r="M36" s="31" t="n">
        <x:v>22.99365626</x:v>
      </x:c>
      <x:c r="N36" s="24" t="str">
        <x:v>lutjanidae</x:v>
      </x:c>
      <x:c r="O36" s="32" t="n">
        <x:v>4.02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Lutjanidae</x:v>
      </x:c>
      <x:c r="T36" s="32" t="n">
        <x:f>IF(O36="","",(1/'Metadata'!$B$5)^(O36-1))</x:f>
        <x:v>1047.1285480508984</x:v>
      </x:c>
      <x:c r="U36" s="31" t="n">
        <x:f>IF(T36="","",I36*T36)</x:f>
        <x:v>37938.49946201228</x:v>
      </x:c>
    </x:row>
    <x:row r="37" ht="18" customHeight="1">
      <x:c r="A37" s="24" t="str">
        <x:v>EEZ_585</x:v>
      </x:c>
      <x:c r="B37" s="24" t="str">
        <x:v>Palau</x:v>
      </x:c>
      <x:c r="C37" s="24" t="str">
        <x:v>EEZ</x:v>
      </x:c>
      <x:c r="D37" s="30" t="n">
        <x:v>2019</x:v>
      </x:c>
      <x:c r="E37" s="24" t="str">
        <x:v>Serranidae</x:v>
      </x:c>
      <x:c r="F37" s="24" t="str">
        <x:v>Basses, groupers, hinds</x:v>
      </x:c>
      <x:c r="G37" s="24" t="str">
        <x:v>Medium reef assoc. fish (30 - 89 cm)</x:v>
      </x:c>
      <x:c r="H37" s="24" t="str">
        <x:v>Perch-likes</x:v>
      </x:c>
      <x:c r="I37" s="31" t="n">
        <x:v>35.384550598</x:v>
      </x:c>
      <x:c r="J37" s="31" t="n">
        <x:v>35.384550598</x:v>
      </x:c>
      <x:c r="K37" s="31" t="n">
        <x:v>0</x:v>
      </x:c>
      <x:c r="L37" s="31" t="n">
        <x:v>12.928076468</x:v>
      </x:c>
      <x:c r="M37" s="31" t="n">
        <x:v>22.45647413</x:v>
      </x:c>
      <x:c r="N37" s="24" t="str">
        <x:v>serranidae</x:v>
      </x:c>
      <x:c r="O37" s="32" t="n">
        <x:v>3.98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Serranidae</x:v>
      </x:c>
      <x:c r="T37" s="32" t="n">
        <x:f>IF(O37="","",(1/'Metadata'!$B$5)^(O37-1))</x:f>
        <x:v>954.992586021436</x:v>
      </x:c>
      <x:c r="U37" s="31" t="n">
        <x:f>IF(T37="","",I37*T37)</x:f>
        <x:v>33791.98348079037</x:v>
      </x:c>
    </x:row>
    <x:row r="38" ht="18" customHeight="1">
      <x:c r="A38" s="24" t="str">
        <x:v>EEZ_585</x:v>
      </x:c>
      <x:c r="B38" s="24" t="str">
        <x:v>Palau</x:v>
      </x:c>
      <x:c r="C38" s="24" t="str">
        <x:v>EEZ</x:v>
      </x:c>
      <x:c r="D38" s="30" t="n">
        <x:v>2019</x:v>
      </x:c>
      <x:c r="E38" s="24" t="str">
        <x:v>Carangidae</x:v>
      </x:c>
      <x:c r="F38" s="24" t="str">
        <x:v>Jacks, pompanos</x:v>
      </x:c>
      <x:c r="G38" s="24" t="str">
        <x:v>Medium pelagics (30 - 89 cm)</x:v>
      </x:c>
      <x:c r="H38" s="24" t="str">
        <x:v>Perch-likes</x:v>
      </x:c>
      <x:c r="I38" s="31" t="n">
        <x:v>34.8567624411</x:v>
      </x:c>
      <x:c r="J38" s="31" t="n">
        <x:v>15.127919681000002</x:v>
      </x:c>
      <x:c r="K38" s="31" t="n">
        <x:v>19.7288427601</x:v>
      </x:c>
      <x:c r="L38" s="31" t="n">
        <x:v>5.527126927</x:v>
      </x:c>
      <x:c r="M38" s="31" t="n">
        <x:v>29.329635514099998</x:v>
      </x:c>
      <x:c r="N38" s="24" t="str">
        <x:v>carangidae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Carangidae</x:v>
      </x:c>
      <x:c r="T38" s="32" t="n">
        <x:f>IF(O38="","",(1/'Metadata'!$B$5)^(O38-1))</x:f>
        <x:v>1122.018454301963</x:v>
      </x:c>
      <x:c r="U38" s="31" t="n">
        <x:f>IF(T38="","",I38*T38)</x:f>
        <x:v>39109.93071613374</x:v>
      </x:c>
    </x:row>
    <x:row r="39" ht="18" customHeight="1">
      <x:c r="A39" s="24" t="str">
        <x:v>EEZ_585</x:v>
      </x:c>
      <x:c r="B39" s="24" t="str">
        <x:v>Palau</x:v>
      </x:c>
      <x:c r="C39" s="24" t="str">
        <x:v>EEZ</x:v>
      </x:c>
      <x:c r="D39" s="30" t="n">
        <x:v>2019</x:v>
      </x:c>
      <x:c r="E39" s="24" t="str">
        <x:v>Scarus</x:v>
      </x:c>
      <x:c r="F39" s="24" t="str">
        <x:v>Parrots</x:v>
      </x:c>
      <x:c r="G39" s="24" t="str">
        <x:v>Medium reef assoc. fish (30 - 89 cm)</x:v>
      </x:c>
      <x:c r="H39" s="24" t="str">
        <x:v>Perch-likes</x:v>
      </x:c>
      <x:c r="I39" s="31" t="n">
        <x:v>33.627707416999996</x:v>
      </x:c>
      <x:c r="J39" s="31" t="n">
        <x:v>33.627707416999996</x:v>
      </x:c>
      <x:c r="K39" s="31" t="n">
        <x:v>0</x:v>
      </x:c>
      <x:c r="L39" s="31" t="n">
        <x:v>12.286197376999999</x:v>
      </x:c>
      <x:c r="M39" s="31" t="n">
        <x:v>21.34151004</x:v>
      </x:c>
      <x:c r="N39" s="24" t="str">
        <x:v>scarus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Scarus</x:v>
      </x:c>
      <x:c r="T39" s="32" t="n">
        <x:f>IF(O39="","",(1/'Metadata'!$B$5)^(O39-1))</x:f>
        <x:v>10</x:v>
      </x:c>
      <x:c r="U39" s="31" t="n">
        <x:f>IF(T39="","",I39*T39)</x:f>
        <x:v>336.27707417</x:v>
      </x:c>
    </x:row>
    <x:row r="40" ht="18" customHeight="1">
      <x:c r="A40" s="24" t="str">
        <x:v>EEZ_585</x:v>
      </x:c>
      <x:c r="B40" s="24" t="str">
        <x:v>Palau</x:v>
      </x:c>
      <x:c r="C40" s="24" t="str">
        <x:v>EEZ</x:v>
      </x:c>
      <x:c r="D40" s="30" t="n">
        <x:v>2019</x:v>
      </x:c>
      <x:c r="E40" s="24" t="str">
        <x:v>Lethrinus rubrioperculatus</x:v>
      </x:c>
      <x:c r="F40" s="24" t="str">
        <x:v>Spotcheek emperor</x:v>
      </x:c>
      <x:c r="G40" s="24" t="str">
        <x:v>Medium reef assoc. fish (30 - 89 cm)</x:v>
      </x:c>
      <x:c r="H40" s="24" t="str">
        <x:v>Perch-likes</x:v>
      </x:c>
      <x:c r="I40" s="31" t="n">
        <x:v>31.750747691</x:v>
      </x:c>
      <x:c r="J40" s="31" t="n">
        <x:v>31.750747691</x:v>
      </x:c>
      <x:c r="K40" s="31" t="n">
        <x:v>0</x:v>
      </x:c>
      <x:c r="L40" s="31" t="n">
        <x:v>11.600432590999999</x:v>
      </x:c>
      <x:c r="M40" s="31" t="n">
        <x:v>20.1503151</x:v>
      </x:c>
      <x:c r="N40" s="24" t="str">
        <x:v>lethrinus rubrioperculatus</x:v>
      </x:c>
      <x:c r="O40" s="32" t="n">
        <x:v>3.75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Lethrinus rubrioperculatus</x:v>
      </x:c>
      <x:c r="T40" s="32" t="n">
        <x:f>IF(O40="","",(1/'Metadata'!$B$5)^(O40-1))</x:f>
        <x:v>562.341325190349</x:v>
      </x:c>
      <x:c r="U40" s="31" t="n">
        <x:f>IF(T40="","",I40*T40)</x:f>
        <x:v>17854.757532341355</x:v>
      </x:c>
    </x:row>
    <x:row r="41" ht="18" customHeight="1">
      <x:c r="A41" s="24" t="str">
        <x:v>EEZ_585</x:v>
      </x:c>
      <x:c r="B41" s="24" t="str">
        <x:v>Palau</x:v>
      </x:c>
      <x:c r="C41" s="24" t="str">
        <x:v>EEZ</x:v>
      </x:c>
      <x:c r="D41" s="30" t="n">
        <x:v>2019</x:v>
      </x:c>
      <x:c r="E41" s="24" t="str">
        <x:v>Aprion virescens</x:v>
      </x:c>
      <x:c r="F41" s="24" t="str">
        <x:v>Green jobfish</x:v>
      </x:c>
      <x:c r="G41" s="24" t="str">
        <x:v>Large reef assoc. fish (&gt;=90 cm)</x:v>
      </x:c>
      <x:c r="H41" s="24" t="str">
        <x:v>Perch-likes</x:v>
      </x:c>
      <x:c r="I41" s="31" t="n">
        <x:v>27.007390126</x:v>
      </x:c>
      <x:c r="J41" s="31" t="n">
        <x:v>27.007390126</x:v>
      </x:c>
      <x:c r="K41" s="31" t="n">
        <x:v>0</x:v>
      </x:c>
      <x:c r="L41" s="31" t="n">
        <x:v>9.867402546</x:v>
      </x:c>
      <x:c r="M41" s="31" t="n">
        <x:v>17.13998758</x:v>
      </x:c>
      <x:c r="N41" s="24" t="str">
        <x:v>aprion virescens</x:v>
      </x:c>
      <x:c r="O41" s="32" t="n">
        <x:v>4.28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Aprion virescens</x:v>
      </x:c>
      <x:c r="T41" s="32" t="n">
        <x:f>IF(O41="","",(1/'Metadata'!$B$5)^(O41-1))</x:f>
        <x:v>1905.4607179632483</x:v>
      </x:c>
      <x:c r="U41" s="31" t="n">
        <x:f>IF(T41="","",I41*T41)</x:f>
        <x:v>51461.520979801506</x:v>
      </x:c>
    </x:row>
    <x:row r="42" ht="18" customHeight="1">
      <x:c r="A42" s="24" t="str">
        <x:v>EEZ_585</x:v>
      </x:c>
      <x:c r="B42" s="24" t="str">
        <x:v>Palau</x:v>
      </x:c>
      <x:c r="C42" s="24" t="str">
        <x:v>EEZ</x:v>
      </x:c>
      <x:c r="D42" s="30" t="n">
        <x:v>2019</x:v>
      </x:c>
      <x:c r="E42" s="24" t="str">
        <x:v>Holocentridae</x:v>
      </x:c>
      <x:c r="F42" s="24" t="str">
        <x:v>Squirrel-, soldierfishes</x:v>
      </x:c>
      <x:c r="G42" s="24" t="str">
        <x:v>Small reef assoc. fish (&lt;30 cm)</x:v>
      </x:c>
      <x:c r="H42" s="24" t="str">
        <x:v>Other fishes &amp; inverts</x:v>
      </x:c>
      <x:c r="I42" s="31" t="n">
        <x:v>22.672156628</x:v>
      </x:c>
      <x:c r="J42" s="31" t="n">
        <x:v>22.672156628</x:v>
      </x:c>
      <x:c r="K42" s="31" t="n">
        <x:v>0</x:v>
      </x:c>
      <x:c r="L42" s="31" t="n">
        <x:v>8.283484448</x:v>
      </x:c>
      <x:c r="M42" s="31" t="n">
        <x:v>14.38867218</x:v>
      </x:c>
      <x:c r="N42" s="24" t="str">
        <x:v>holocentridae</x:v>
      </x:c>
      <x:c r="O42" s="32" t="n">
        <x:v>3.49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Holocentridae</x:v>
      </x:c>
      <x:c r="T42" s="32" t="n">
        <x:f>IF(O42="","",(1/'Metadata'!$B$5)^(O42-1))</x:f>
        <x:v>309.0295432513592</x:v>
      </x:c>
      <x:c r="U42" s="31" t="n">
        <x:f>IF(T42="","",I42*T42)</x:f>
        <x:v>7006.366207274116</x:v>
      </x:c>
    </x:row>
    <x:row r="43" ht="18" customHeight="1">
      <x:c r="A43" s="24" t="str">
        <x:v>EEZ_585</x:v>
      </x:c>
      <x:c r="B43" s="24" t="str">
        <x:v>Palau</x:v>
      </x:c>
      <x:c r="C43" s="24" t="str">
        <x:v>EEZ</x:v>
      </x:c>
      <x:c r="D43" s="30" t="n">
        <x:v>2019</x:v>
      </x:c>
      <x:c r="E43" s="24" t="str">
        <x:v>Gerreidae</x:v>
      </x:c>
      <x:c r="F43" s="24" t="str">
        <x:v>Mojarras, silverbellies</x:v>
      </x:c>
      <x:c r="G43" s="24" t="str">
        <x:v>Small benthopelagics (&lt;30 cm)</x:v>
      </x:c>
      <x:c r="H43" s="24" t="str">
        <x:v>Perch-likes</x:v>
      </x:c>
      <x:c r="I43" s="31" t="n">
        <x:v>22.261457768</x:v>
      </x:c>
      <x:c r="J43" s="31" t="n">
        <x:v>22.261457768</x:v>
      </x:c>
      <x:c r="K43" s="31" t="n">
        <x:v>0</x:v>
      </x:c>
      <x:c r="L43" s="31" t="n">
        <x:v>8.133431778</x:v>
      </x:c>
      <x:c r="M43" s="31" t="n">
        <x:v>14.12802599</x:v>
      </x:c>
      <x:c r="N43" s="24" t="str">
        <x:v>gerreidae</x:v>
      </x:c>
      <x:c r="O43" s="32" t="n">
        <x:v>3.03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Gerreidae</x:v>
      </x:c>
      <x:c r="T43" s="32" t="n">
        <x:f>IF(O43="","",(1/'Metadata'!$B$5)^(O43-1))</x:f>
        <x:v>107.1519305237606</x:v>
      </x:c>
      <x:c r="U43" s="31" t="n">
        <x:f>IF(T43="","",I43*T43)</x:f>
        <x:v>2385.3581761143664</x:v>
      </x:c>
    </x:row>
    <x:row r="44" ht="18" customHeight="1">
      <x:c r="A44" s="24" t="str">
        <x:v>EEZ_585</x:v>
      </x:c>
      <x:c r="B44" s="24" t="str">
        <x:v>Palau</x:v>
      </x:c>
      <x:c r="C44" s="24" t="str">
        <x:v>EEZ</x:v>
      </x:c>
      <x:c r="D44" s="30" t="n">
        <x:v>2019</x:v>
      </x:c>
      <x:c r="E44" s="24" t="str">
        <x:v>Caranx melampygus</x:v>
      </x:c>
      <x:c r="F44" s="24" t="str">
        <x:v>Bluefin trevally</x:v>
      </x:c>
      <x:c r="G44" s="24" t="str">
        <x:v>Large reef assoc. fish (&gt;=90 cm)</x:v>
      </x:c>
      <x:c r="H44" s="24" t="str">
        <x:v>Perch-likes</x:v>
      </x:c>
      <x:c r="I44" s="31" t="n">
        <x:v>20.048029786</x:v>
      </x:c>
      <x:c r="J44" s="31" t="n">
        <x:v>20.048029786</x:v>
      </x:c>
      <x:c r="K44" s="31" t="n">
        <x:v>0</x:v>
      </x:c>
      <x:c r="L44" s="31" t="n">
        <x:v>7.324735166</x:v>
      </x:c>
      <x:c r="M44" s="31" t="n">
        <x:v>12.72329462</x:v>
      </x:c>
      <x:c r="N44" s="24" t="str">
        <x:v>caranx melampygus</x:v>
      </x:c>
      <x:c r="O44" s="32" t="n">
        <x:v>4.49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Caranx melampygus</x:v>
      </x:c>
      <x:c r="T44" s="32" t="n">
        <x:f>IF(O44="","",(1/'Metadata'!$B$5)^(O44-1))</x:f>
        <x:v>3090.295432513592</x:v>
      </x:c>
      <x:c r="U44" s="31" t="n">
        <x:f>IF(T44="","",I44*T44)</x:f>
        <x:v>61954.33487857225</x:v>
      </x:c>
    </x:row>
    <x:row r="45" ht="18" customHeight="1">
      <x:c r="A45" s="24" t="str">
        <x:v>EEZ_585</x:v>
      </x:c>
      <x:c r="B45" s="24" t="str">
        <x:v>Palau</x:v>
      </x:c>
      <x:c r="C45" s="24" t="str">
        <x:v>EEZ</x:v>
      </x:c>
      <x:c r="D45" s="30" t="n">
        <x:v>2019</x:v>
      </x:c>
      <x:c r="E45" s="24" t="str">
        <x:v>Istiophoridae</x:v>
      </x:c>
      <x:c r="F45" s="24" t="str">
        <x:v>Billfishes</x:v>
      </x:c>
      <x:c r="G45" s="24" t="str">
        <x:v>Large pelagics (&gt;=90 cm)</x:v>
      </x:c>
      <x:c r="H45" s="24" t="str">
        <x:v>Tuna &amp; billfishes</x:v>
      </x:c>
      <x:c r="I45" s="31" t="n">
        <x:v>19.5778844265</x:v>
      </x:c>
      <x:c r="J45" s="31" t="n">
        <x:v>0</x:v>
      </x:c>
      <x:c r="K45" s="31" t="n">
        <x:v>19.5778844265</x:v>
      </x:c>
      <x:c r="L45" s="31" t="n">
        <x:v>0</x:v>
      </x:c>
      <x:c r="M45" s="31" t="n">
        <x:v>19.5778844265</x:v>
      </x:c>
      <x:c r="N45" s="24" t="str">
        <x:v>istiophoridae</x:v>
      </x:c>
      <x:c r="O45" s="32" t="n">
        <x:v>4.48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Istiophoridae</x:v>
      </x:c>
      <x:c r="T45" s="32" t="n">
        <x:f>IF(O45="","",(1/'Metadata'!$B$5)^(O45-1))</x:f>
        <x:v>3019.951720402019</x:v>
      </x:c>
      <x:c r="U45" s="31" t="n">
        <x:f>IF(T45="","",I45*T45)</x:f>
        <x:v>59124.26575564057</x:v>
      </x:c>
    </x:row>
    <x:row r="46" ht="18" customHeight="1">
      <x:c r="A46" s="24" t="str">
        <x:v>EEZ_585</x:v>
      </x:c>
      <x:c r="B46" s="24" t="str">
        <x:v>Palau</x:v>
      </x:c>
      <x:c r="C46" s="24" t="str">
        <x:v>EEZ</x:v>
      </x:c>
      <x:c r="D46" s="30" t="n">
        <x:v>2019</x:v>
      </x:c>
      <x:c r="E46" s="24" t="str">
        <x:v>Carcharhinus longimanus</x:v>
      </x:c>
      <x:c r="F46" s="24" t="str">
        <x:v>Oceanic whitetip shark</x:v>
      </x:c>
      <x:c r="G46" s="24" t="str">
        <x:v>Large sharks (&gt;=90 cm)</x:v>
      </x:c>
      <x:c r="H46" s="24" t="str">
        <x:v>Sharks &amp; rays</x:v>
      </x:c>
      <x:c r="I46" s="31" t="n">
        <x:v>18.589283247</x:v>
      </x:c>
      <x:c r="J46" s="31" t="n">
        <x:v>2.6556537897</x:v>
      </x:c>
      <x:c r="K46" s="31" t="n">
        <x:v>15.9336294573</x:v>
      </x:c>
      <x:c r="L46" s="31" t="n">
        <x:v>2.6556537897</x:v>
      </x:c>
      <x:c r="M46" s="31" t="n">
        <x:v>15.9336294573</x:v>
      </x:c>
      <x:c r="N46" s="24" t="str">
        <x:v>carcharhinus longimanus</x:v>
      </x:c>
      <x:c r="O46" s="32" t="n">
        <x:v>4.16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Carcharhinus longimanus</x:v>
      </x:c>
      <x:c r="T46" s="32" t="n">
        <x:f>IF(O46="","",(1/'Metadata'!$B$5)^(O46-1))</x:f>
        <x:v>1445.439770745928</x:v>
      </x:c>
      <x:c r="U46" s="31" t="n">
        <x:f>IF(T46="","",I46*T46)</x:f>
        <x:v>26869.6893148748</x:v>
      </x:c>
    </x:row>
    <x:row r="47" ht="18" customHeight="1">
      <x:c r="A47" s="24" t="str">
        <x:v>EEZ_585</x:v>
      </x:c>
      <x:c r="B47" s="24" t="str">
        <x:v>Palau</x:v>
      </x:c>
      <x:c r="C47" s="24" t="str">
        <x:v>EEZ</x:v>
      </x:c>
      <x:c r="D47" s="30" t="n">
        <x:v>2019</x:v>
      </x:c>
      <x:c r="E47" s="24" t="str">
        <x:v>Plectorhinchus</x:v>
      </x:c>
      <x:c r="F47" s="24" t="str">
        <x:v>Sweetlips</x:v>
      </x:c>
      <x:c r="G47" s="24" t="str">
        <x:v>Medium reef assoc. fish (30 - 89 cm)</x:v>
      </x:c>
      <x:c r="H47" s="24" t="str">
        <x:v>Perch-likes</x:v>
      </x:c>
      <x:c r="I47" s="31" t="n">
        <x:v>15.324041731</x:v>
      </x:c>
      <x:c r="J47" s="31" t="n">
        <x:v>15.324041731</x:v>
      </x:c>
      <x:c r="K47" s="31" t="n">
        <x:v>0</x:v>
      </x:c>
      <x:c r="L47" s="31" t="n">
        <x:v>5.598781952</x:v>
      </x:c>
      <x:c r="M47" s="31" t="n">
        <x:v>9.725259779</x:v>
      </x:c>
      <x:c r="N47" s="24" t="str">
        <x:v>plectorhinchus</x:v>
      </x:c>
      <x:c r="O47" s="32" t="n">
        <x:v>3.43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Plectorhinchus</x:v>
      </x:c>
      <x:c r="T47" s="32" t="n">
        <x:f>IF(O47="","",(1/'Metadata'!$B$5)^(O47-1))</x:f>
        <x:v>269.1534803926917</x:v>
      </x:c>
      <x:c r="U47" s="31" t="n">
        <x:f>IF(T47="","",I47*T47)</x:f>
        <x:v>4124.519165581497</x:v>
      </x:c>
    </x:row>
    <x:row r="48" ht="18" customHeight="1">
      <x:c r="A48" s="24" t="str">
        <x:v>EEZ_585</x:v>
      </x:c>
      <x:c r="B48" s="24" t="str">
        <x:v>Palau</x:v>
      </x:c>
      <x:c r="C48" s="24" t="str">
        <x:v>EEZ</x:v>
      </x:c>
      <x:c r="D48" s="30" t="n">
        <x:v>2019</x:v>
      </x:c>
      <x:c r="E48" s="24" t="str">
        <x:v>Labridae</x:v>
      </x:c>
      <x:c r="F48" s="24" t="str">
        <x:v>Wrasses, gropers, tuskfishes</x:v>
      </x:c>
      <x:c r="G48" s="24" t="str">
        <x:v>Medium reef assoc. fish (30 - 89 cm)</x:v>
      </x:c>
      <x:c r="H48" s="24" t="str">
        <x:v>Perch-likes</x:v>
      </x:c>
      <x:c r="I48" s="31" t="n">
        <x:v>11.706623126</x:v>
      </x:c>
      <x:c r="J48" s="31" t="n">
        <x:v>11.706623126</x:v>
      </x:c>
      <x:c r="K48" s="31" t="n">
        <x:v>0</x:v>
      </x:c>
      <x:c r="L48" s="31" t="n">
        <x:v>4.277124236</x:v>
      </x:c>
      <x:c r="M48" s="31" t="n">
        <x:v>7.42949889</x:v>
      </x:c>
      <x:c r="N48" s="24" t="str">
        <x:v>labridae</x:v>
      </x:c>
      <x:c r="O48" s="32" t="n">
        <x:v>3.46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Labridae</x:v>
      </x:c>
      <x:c r="T48" s="32" t="n">
        <x:f>IF(O48="","",(1/'Metadata'!$B$5)^(O48-1))</x:f>
        <x:v>288.40315031266056</x:v>
      </x:c>
      <x:c r="U48" s="31" t="n">
        <x:f>IF(T48="","",I48*T48)</x:f>
        <x:v>3376.226989061446</x:v>
      </x:c>
    </x:row>
    <x:row r="49" ht="18" customHeight="1">
      <x:c r="A49" s="24" t="str">
        <x:v>EEZ_585</x:v>
      </x:c>
      <x:c r="B49" s="24" t="str">
        <x:v>Palau</x:v>
      </x:c>
      <x:c r="C49" s="24" t="str">
        <x:v>EEZ</x:v>
      </x:c>
      <x:c r="D49" s="30" t="n">
        <x:v>2019</x:v>
      </x:c>
      <x:c r="E49" s="24" t="str">
        <x:v>Caranx ignobilis</x:v>
      </x:c>
      <x:c r="F49" s="24" t="str">
        <x:v>Giant trevally</x:v>
      </x:c>
      <x:c r="G49" s="24" t="str">
        <x:v>Large reef assoc. fish (&gt;=90 cm)</x:v>
      </x:c>
      <x:c r="H49" s="24" t="str">
        <x:v>Perch-likes</x:v>
      </x:c>
      <x:c r="I49" s="31" t="n">
        <x:v>10.937509894000002</x:v>
      </x:c>
      <x:c r="J49" s="31" t="n">
        <x:v>10.937509894000002</x:v>
      </x:c>
      <x:c r="K49" s="31" t="n">
        <x:v>0</x:v>
      </x:c>
      <x:c r="L49" s="31" t="n">
        <x:v>3.996121524</x:v>
      </x:c>
      <x:c r="M49" s="31" t="n">
        <x:v>6.94138837</x:v>
      </x:c>
      <x:c r="N49" s="24" t="str">
        <x:v>caranx ignobilis</x:v>
      </x:c>
      <x:c r="O49" s="32" t="n">
        <x:v>4.22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ignobilis</x:v>
      </x:c>
      <x:c r="T49" s="32" t="n">
        <x:f>IF(O49="","",(1/'Metadata'!$B$5)^(O49-1))</x:f>
        <x:v>1659.5869074375596</x:v>
      </x:c>
      <x:c r="U49" s="31" t="n">
        <x:f>IF(T49="","",I49*T49)</x:f>
        <x:v>18151.748220051173</x:v>
      </x:c>
    </x:row>
    <x:row r="50" ht="18" customHeight="1">
      <x:c r="A50" s="24" t="str">
        <x:v>EEZ_585</x:v>
      </x:c>
      <x:c r="B50" s="24" t="str">
        <x:v>Palau</x:v>
      </x:c>
      <x:c r="C50" s="24" t="str">
        <x:v>EEZ</x:v>
      </x:c>
      <x:c r="D50" s="30" t="n">
        <x:v>2019</x:v>
      </x:c>
      <x:c r="E50" s="24" t="str">
        <x:v>Acanthocybium solandri</x:v>
      </x:c>
      <x:c r="F50" s="24" t="str">
        <x:v>Wahoo</x:v>
      </x:c>
      <x:c r="G50" s="24" t="str">
        <x:v>Large pelagics (&gt;=90 cm)</x:v>
      </x:c>
      <x:c r="H50" s="24" t="str">
        <x:v>Perch-likes</x:v>
      </x:c>
      <x:c r="I50" s="31" t="n">
        <x:v>10.4173964536</x:v>
      </x:c>
      <x:c r="J50" s="31" t="n">
        <x:v>0</x:v>
      </x:c>
      <x:c r="K50" s="31" t="n">
        <x:v>10.4173964536</x:v>
      </x:c>
      <x:c r="L50" s="31" t="n">
        <x:v>0</x:v>
      </x:c>
      <x:c r="M50" s="31" t="n">
        <x:v>10.4173964536</x:v>
      </x:c>
      <x:c r="N50" s="24" t="str">
        <x:v>acanthocybium solandri</x:v>
      </x:c>
      <x:c r="O50" s="32" t="n">
        <x:v>4.26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Acanthocybium solandri</x:v>
      </x:c>
      <x:c r="T50" s="32" t="n">
        <x:f>IF(O50="","",(1/'Metadata'!$B$5)^(O50-1))</x:f>
        <x:v>1819.7008586099826</x:v>
      </x:c>
      <x:c r="U50" s="31" t="n">
        <x:f>IF(T50="","",I50*T50)</x:f>
        <x:v>18956.545271096507</x:v>
      </x:c>
    </x:row>
    <x:row r="51" ht="18" customHeight="1">
      <x:c r="A51" s="24" t="str">
        <x:v>EEZ_585</x:v>
      </x:c>
      <x:c r="B51" s="24" t="str">
        <x:v>Palau</x:v>
      </x:c>
      <x:c r="C51" s="24" t="str">
        <x:v>EEZ</x:v>
      </x:c>
      <x:c r="D51" s="30" t="n">
        <x:v>2019</x:v>
      </x:c>
      <x:c r="E51" s="24" t="str">
        <x:v>Miscellaneous marine crustaceans</x:v>
      </x:c>
      <x:c r="F51" s="24" t="str">
        <x:v>Marine crabs, shrimps, lobsters nei</x:v>
      </x:c>
      <x:c r="G51" s="24" t="str">
        <x:v>Shrimps</x:v>
      </x:c>
      <x:c r="H51" s="24" t="str">
        <x:v>Crustaceans</x:v>
      </x:c>
      <x:c r="I51" s="31" t="n">
        <x:v>10.076557597</x:v>
      </x:c>
      <x:c r="J51" s="31" t="n">
        <x:v>10.076557597</x:v>
      </x:c>
      <x:c r="K51" s="31" t="n">
        <x:v>0</x:v>
      </x:c>
      <x:c r="L51" s="31" t="n">
        <x:v>3.6975438179999998</x:v>
      </x:c>
      <x:c r="M51" s="31" t="n">
        <x:v>6.379013779</x:v>
      </x:c>
      <x:c r="N51" s="24" t="str">
        <x:v>miscellaneous marine crustaceans</x:v>
      </x:c>
      <x:c r="O51" s="32" t="n">
        <x:v>2.7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Miscellaneous marine crustaceans</x:v>
      </x:c>
      <x:c r="T51" s="32" t="n">
        <x:f>IF(O51="","",(1/'Metadata'!$B$5)^(O51-1))</x:f>
        <x:v>50.11872336272725</x:v>
      </x:c>
      <x:c r="U51" s="31" t="n">
        <x:f>IF(T51="","",I51*T51)</x:f>
        <x:v>505.0242026526307</x:v>
      </x:c>
    </x:row>
    <x:row r="52" ht="18" customHeight="1">
      <x:c r="A52" s="24" t="str">
        <x:v>EEZ_585</x:v>
      </x:c>
      <x:c r="B52" s="24" t="str">
        <x:v>Palau</x:v>
      </x:c>
      <x:c r="C52" s="24" t="str">
        <x:v>EEZ</x:v>
      </x:c>
      <x:c r="D52" s="30" t="n">
        <x:v>2019</x:v>
      </x:c>
      <x:c r="E52" s="24" t="str">
        <x:v>Cheilinus</x:v>
      </x:c>
      <x:c r="F52" s="24" t="str">
        <x:v>Wrasses</x:v>
      </x:c>
      <x:c r="G52" s="24" t="str">
        <x:v>Medium reef assoc. fish (30 - 89 cm)</x:v>
      </x:c>
      <x:c r="H52" s="24" t="str">
        <x:v>Perch-likes</x:v>
      </x:c>
      <x:c r="I52" s="31" t="n">
        <x:v>5.017124197</x:v>
      </x:c>
      <x:c r="J52" s="31" t="n">
        <x:v>5.017124197</x:v>
      </x:c>
      <x:c r="K52" s="31" t="n">
        <x:v>0</x:v>
      </x:c>
      <x:c r="L52" s="31" t="n">
        <x:v>1.833053244</x:v>
      </x:c>
      <x:c r="M52" s="31" t="n">
        <x:v>3.184070953</x:v>
      </x:c>
      <x:c r="N52" s="24" t="str">
        <x:v>cheilinus</x:v>
      </x:c>
      <x:c r="O52" s="32" t="n">
        <x:v>3.44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Cheilinus</x:v>
      </x:c>
      <x:c r="T52" s="32" t="n">
        <x:f>IF(O52="","",(1/'Metadata'!$B$5)^(O52-1))</x:f>
        <x:v>275.4228703338166</x:v>
      </x:c>
      <x:c r="U52" s="31" t="n">
        <x:f>IF(T52="","",I52*T52)</x:f>
        <x:v>1381.8307471589849</x:v>
      </x:c>
    </x:row>
    <x:row r="53" ht="18" customHeight="1">
      <x:c r="A53" s="24" t="str">
        <x:v>EEZ_585</x:v>
      </x:c>
      <x:c r="B53" s="24" t="str">
        <x:v>Palau</x:v>
      </x:c>
      <x:c r="C53" s="24" t="str">
        <x:v>EEZ</x:v>
      </x:c>
      <x:c r="D53" s="30" t="n">
        <x:v>2019</x:v>
      </x:c>
      <x:c r="E53" s="24" t="str">
        <x:v>Siganidae</x:v>
      </x:c>
      <x:c r="F53" s="24" t="str">
        <x:v>Rabbitfishes</x:v>
      </x:c>
      <x:c r="G53" s="24" t="str">
        <x:v>Medium reef assoc. fish (30 - 89 cm)</x:v>
      </x:c>
      <x:c r="H53" s="24" t="str">
        <x:v>Perch-likes</x:v>
      </x:c>
      <x:c r="I53" s="31" t="n">
        <x:v>5</x:v>
      </x:c>
      <x:c r="J53" s="31" t="n">
        <x:v>5</x:v>
      </x:c>
      <x:c r="K53" s="31" t="n">
        <x:v>0</x:v>
      </x:c>
      <x:c r="L53" s="31" t="n">
        <x:v>5</x:v>
      </x:c>
      <x:c r="M53" s="31" t="n">
        <x:v>0</x:v>
      </x:c>
      <x:c r="N53" s="24" t="str">
        <x:v>siganidae</x:v>
      </x:c>
      <x:c r="O53" s="32" t="n">
        <x:v>2.11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Siganidae</x:v>
      </x:c>
      <x:c r="T53" s="32" t="n">
        <x:f>IF(O53="","",(1/'Metadata'!$B$5)^(O53-1))</x:f>
        <x:v>12.882495516931336</x:v>
      </x:c>
      <x:c r="U53" s="31" t="n">
        <x:f>IF(T53="","",I53*T53)</x:f>
        <x:v>64.41247758465667</x:v>
      </x:c>
    </x:row>
    <x:row r="54" ht="18" customHeight="1">
      <x:c r="A54" s="24" t="str">
        <x:v>EEZ_585</x:v>
      </x:c>
      <x:c r="B54" s="24" t="str">
        <x:v>Palau</x:v>
      </x:c>
      <x:c r="C54" s="24" t="str">
        <x:v>EEZ</x:v>
      </x:c>
      <x:c r="D54" s="30" t="n">
        <x:v>2019</x:v>
      </x:c>
      <x:c r="E54" s="24" t="str">
        <x:v>Sphyrna</x:v>
      </x:c>
      <x:c r="F54" s="24" t="str">
        <x:v>Hammerhead sharks</x:v>
      </x:c>
      <x:c r="G54" s="24" t="str">
        <x:v>Large sharks (&gt;=90 cm)</x:v>
      </x:c>
      <x:c r="H54" s="24" t="str">
        <x:v>Sharks &amp; rays</x:v>
      </x:c>
      <x:c r="I54" s="31" t="n">
        <x:v>4.3430592936000005</x:v>
      </x:c>
      <x:c r="J54" s="31" t="n">
        <x:v>4.3430592936000005</x:v>
      </x:c>
      <x:c r="K54" s="31" t="n">
        <x:v>0</x:v>
      </x:c>
      <x:c r="L54" s="31" t="n">
        <x:v>4.3430592936000005</x:v>
      </x:c>
      <x:c r="M54" s="31" t="n">
        <x:v>0</x:v>
      </x:c>
      <x:c r="N54" s="24" t="str">
        <x:v>sphyrna</x:v>
      </x:c>
      <x:c r="O54" s="32" t="n">
        <x:v>4.2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Sphyrna</x:v>
      </x:c>
      <x:c r="T54" s="32" t="n">
        <x:f>IF(O54="","",(1/'Metadata'!$B$5)^(O54-1))</x:f>
        <x:v>1584.893192461114</x:v>
      </x:c>
      <x:c r="U54" s="31" t="n">
        <x:f>IF(T54="","",I54*T54)</x:f>
        <x:v>6883.285108881616</x:v>
      </x:c>
    </x:row>
    <x:row r="55" ht="18" customHeight="1">
      <x:c r="A55" s="24" t="str">
        <x:v>EEZ_585</x:v>
      </x:c>
      <x:c r="B55" s="24" t="str">
        <x:v>Palau</x:v>
      </x:c>
      <x:c r="C55" s="24" t="str">
        <x:v>EEZ</x:v>
      </x:c>
      <x:c r="D55" s="30" t="n">
        <x:v>2019</x:v>
      </x:c>
      <x:c r="E55" s="24" t="str">
        <x:v>Istiompax indica</x:v>
      </x:c>
      <x:c r="F55" s="24" t="str">
        <x:v>Black marlin</x:v>
      </x:c>
      <x:c r="G55" s="24" t="str">
        <x:v>Large pelagics (&gt;=90 cm)</x:v>
      </x:c>
      <x:c r="H55" s="24" t="str">
        <x:v>Tuna &amp; billfishes</x:v>
      </x:c>
      <x:c r="I55" s="31" t="n">
        <x:v>3.5323711472</x:v>
      </x:c>
      <x:c r="J55" s="31" t="n">
        <x:v>3.5323711472</x:v>
      </x:c>
      <x:c r="K55" s="31" t="n">
        <x:v>0</x:v>
      </x:c>
      <x:c r="L55" s="31" t="n">
        <x:v>3.5323711472</x:v>
      </x:c>
      <x:c r="M55" s="31" t="n">
        <x:v>0</x:v>
      </x:c>
      <x:c r="N55" s="24" t="str">
        <x:v>istiompax indica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Istiompax indica</x:v>
      </x:c>
      <x:c r="T55" s="32" t="n">
        <x:f>IF(O55="","",(1/'Metadata'!$B$5)^(O55-1))</x:f>
        <x:v>3162.2776601683795</x:v>
      </x:c>
      <x:c r="U55" s="31" t="n">
        <x:f>IF(T55="","",I55*T55)</x:f>
        <x:v>11170.338366213911</x:v>
      </x:c>
    </x:row>
    <x:row r="56" ht="18" customHeight="1">
      <x:c r="A56" s="24" t="str">
        <x:v>EEZ_585</x:v>
      </x:c>
      <x:c r="B56" s="24" t="str">
        <x:v>Palau</x:v>
      </x:c>
      <x:c r="C56" s="24" t="str">
        <x:v>EEZ</x:v>
      </x:c>
      <x:c r="D56" s="30" t="n">
        <x:v>2019</x:v>
      </x:c>
      <x:c r="E56" s="24" t="str">
        <x:v>Kajikia audax</x:v>
      </x:c>
      <x:c r="F56" s="24" t="str">
        <x:v>Striped marlin</x:v>
      </x:c>
      <x:c r="G56" s="24" t="str">
        <x:v>Large pelagics (&gt;=90 cm)</x:v>
      </x:c>
      <x:c r="H56" s="24" t="str">
        <x:v>Tuna &amp; billfishes</x:v>
      </x:c>
      <x:c r="I56" s="31" t="n">
        <x:v>2.2663235064</x:v>
      </x:c>
      <x:c r="J56" s="31" t="n">
        <x:v>2.2663235064</x:v>
      </x:c>
      <x:c r="K56" s="31" t="n">
        <x:v>0</x:v>
      </x:c>
      <x:c r="L56" s="31" t="n">
        <x:v>2.2663235064</x:v>
      </x:c>
      <x:c r="M56" s="31" t="n">
        <x:v>0</x:v>
      </x:c>
      <x:c r="N56" s="24" t="str">
        <x:v>kajikia audax</x:v>
      </x:c>
      <x:c r="O56" s="32" t="n">
        <x:v>4.58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Kajikia audax</x:v>
      </x:c>
      <x:c r="T56" s="32" t="n">
        <x:f>IF(O56="","",(1/'Metadata'!$B$5)^(O56-1))</x:f>
        <x:v>3801.8939632056126</x:v>
      </x:c>
      <x:c r="U56" s="31" t="n">
        <x:f>IF(T56="","",I56*T56)</x:f>
        <x:v>8616.321657653136</x:v>
      </x:c>
    </x:row>
    <x:row r="57" ht="18" customHeight="1">
      <x:c r="A57" s="24" t="str">
        <x:v>EEZ_585</x:v>
      </x:c>
      <x:c r="B57" s="24" t="str">
        <x:v>Palau</x:v>
      </x:c>
      <x:c r="C57" s="24" t="str">
        <x:v>EEZ</x:v>
      </x:c>
      <x:c r="D57" s="30" t="n">
        <x:v>2019</x:v>
      </x:c>
      <x:c r="E57" s="24" t="str">
        <x:v>Isurus oxyrinchus</x:v>
      </x:c>
      <x:c r="F57" s="24" t="str">
        <x:v>Shortfin mako</x:v>
      </x:c>
      <x:c r="G57" s="24" t="str">
        <x:v>Large sharks (&gt;=90 cm)</x:v>
      </x:c>
      <x:c r="H57" s="24" t="str">
        <x:v>Sharks &amp; rays</x:v>
      </x:c>
      <x:c r="I57" s="31" t="n">
        <x:v>0.2824409008</x:v>
      </x:c>
      <x:c r="J57" s="31" t="n">
        <x:v>0.2824409008</x:v>
      </x:c>
      <x:c r="K57" s="31" t="n">
        <x:v>0</x:v>
      </x:c>
      <x:c r="L57" s="31" t="n">
        <x:v>0.2824409008</x:v>
      </x:c>
      <x:c r="M57" s="31" t="n">
        <x:v>0</x:v>
      </x:c>
      <x:c r="N57" s="24" t="str">
        <x:v>isurus oxyrinchus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Isurus oxyrinchus</x:v>
      </x:c>
      <x:c r="T57" s="32" t="n">
        <x:f>IF(O57="","",(1/'Metadata'!$B$5)^(O57-1))</x:f>
        <x:v>3162.2776601683795</x:v>
      </x:c>
      <x:c r="U57" s="31" t="n">
        <x:f>IF(T57="","",I57*T57)</x:f>
        <x:v>893.1565509176734</x:v>
      </x:c>
    </x:row>
  </x:sheetData>
  <x:conditionalFormatting sqref="R2:R5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cb5153d09c641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10.076557597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505.0242026526307</x:v>
      </x:c>
    </x:row>
    <x:row r="3" ht="18" customHeight="1">
      <x:c r="A3" s="24" t="str">
        <x:v>Other fishes &amp; inverts</x:v>
      </x:c>
      <x:c r="B3" s="31" t="n">
        <x:v>667.0146259345</x:v>
      </x:c>
      <x:c r="C3" s="32" t="n">
        <x:v>3.3111019740583094</x:v>
      </x:c>
      <x:c r="D3" s="32" t="n">
        <x:f>IF(C3="","",(1/'Metadata'!$B$5)^(C3-1))</x:f>
        <x:v>204.69252064193657</x:v>
      </x:c>
      <x:c r="E3" s="31" t="n">
        <x:f>IF(B3=0,"",B3*D3)</x:f>
        <x:v>136532.90508757124</x:v>
      </x:c>
    </x:row>
    <x:row r="4" ht="18" customHeight="1">
      <x:c r="A4" s="24" t="str">
        <x:v>Perch-likes</x:v>
      </x:c>
      <x:c r="B4" s="31" t="n">
        <x:v>2228.2281595833</x:v>
      </x:c>
      <x:c r="C4" s="32" t="n">
        <x:v>3.284419220129979</x:v>
      </x:c>
      <x:c r="D4" s="32" t="n">
        <x:f>IF(C4="","",(1/'Metadata'!$B$5)^(C4-1))</x:f>
        <x:v>192.49489664096143</x:v>
      </x:c>
      <x:c r="E4" s="31" t="n">
        <x:f>IF(B4=0,"",B4*D4)</x:f>
        <x:v>428922.5492714671</x:v>
      </x:c>
    </x:row>
    <x:row r="5" ht="18" customHeight="1">
      <x:c r="A5" s="24" t="str">
        <x:v>Sharks &amp; rays</x:v>
      </x:c>
      <x:c r="B5" s="31" t="n">
        <x:v>1468.1785482205999</x:v>
      </x:c>
      <x:c r="C5" s="32" t="n">
        <x:v>4.367616490731757</x:v>
      </x:c>
      <x:c r="D5" s="32" t="n">
        <x:f>IF(C5="","",(1/'Metadata'!$B$5)^(C5-1))</x:f>
        <x:v>2331.398381995284</x:v>
      </x:c>
      <x:c r="E5" s="31" t="n">
        <x:f>IF(B5=0,"",B5*D5)</x:f>
        <x:v>3422909.091801692</x:v>
      </x:c>
    </x:row>
    <x:row r="6" ht="18" customHeight="1">
      <x:c r="A6" s="24" t="str">
        <x:v>Tuna &amp; billfishes</x:v>
      </x:c>
      <x:c r="B6" s="31" t="n">
        <x:v>6153.624182359699</x:v>
      </x:c>
      <x:c r="C6" s="32" t="n">
        <x:v>4.427588669165764</x:v>
      </x:c>
      <x:c r="D6" s="32" t="n">
        <x:f>IF(C6="","",(1/'Metadata'!$B$5)^(C6-1))</x:f>
        <x:v>2676.632020823367</x:v>
      </x:c>
      <x:c r="E6" s="31" t="n">
        <x:f>IF(B6=0,"",B6*D6)</x:f>
        <x:v>16470987.53061698</x:v>
      </x:c>
    </x:row>
  </x:sheetData>
  <x:pageMargins left="0.7" right="0.7" top="0.75" bottom="0.75" header="0.3" footer="0.3"/>
  <x:tableParts count="1">
    <x:tablePart xmlns:r="http://schemas.openxmlformats.org/officeDocument/2006/relationships" r:id="R43d0bb56906244c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6227.7775536127</x:v>
      </x:c>
      <x:c r="C2" s="32" t="n">
        <x:v>4.4267189676505945</x:v>
      </x:c>
      <x:c r="D2" s="32" t="n">
        <x:f>IF(C2="","",(1/'Metadata'!$B$5)^(C2-1))</x:f>
        <x:v>2671.277263340947</x:v>
      </x:c>
      <x:c r="E2" s="31" t="n">
        <x:f>IF(B2=0,"",B2*D2)</x:f>
        <x:v>16636120.58011071</x:v>
      </x:c>
    </x:row>
    <x:row r="3" ht="18" customHeight="1">
      <x:c r="A3" s="24" t="str">
        <x:v>Large reef assoc. fish (&gt;=90 cm)</x:v>
      </x:c>
      <x:c r="B3" s="31" t="n">
        <x:v>110.9757578</x:v>
      </x:c>
      <x:c r="C3" s="32" t="n">
        <x:v>4.378863317521587</x:v>
      </x:c>
      <x:c r="D3" s="32" t="n">
        <x:f>IF(C3="","",(1/'Metadata'!$B$5)^(C3-1))</x:f>
        <x:v>2392.562643318626</x:v>
      </x:c>
      <x:c r="E3" s="31" t="n">
        <x:f>IF(B3=0,"",B3*D3)</x:f>
        <x:v>265516.4524262556</x:v>
      </x:c>
    </x:row>
    <x:row r="4" ht="18" customHeight="1">
      <x:c r="A4" s="24" t="str">
        <x:v>Large sharks (&gt;=90 cm)</x:v>
      </x:c>
      <x:c r="B4" s="31" t="n">
        <x:v>1468.1785482205999</x:v>
      </x:c>
      <x:c r="C4" s="32" t="n">
        <x:v>4.367616490731757</x:v>
      </x:c>
      <x:c r="D4" s="32" t="n">
        <x:f>IF(C4="","",(1/'Metadata'!$B$5)^(C4-1))</x:f>
        <x:v>2331.398381995284</x:v>
      </x:c>
      <x:c r="E4" s="31" t="n">
        <x:f>IF(B4=0,"",B4*D4)</x:f>
        <x:v>3422909.091801692</x:v>
      </x:c>
    </x:row>
    <x:row r="5" ht="18" customHeight="1">
      <x:c r="A5" s="24" t="str">
        <x:v>Medium demersals (30 - 89 cm)</x:v>
      </x:c>
      <x:c r="B5" s="31" t="n">
        <x:v>518.7537684721</x:v>
      </x:c>
      <x:c r="C5" s="32" t="n">
        <x:v>3.4127187180693084</x:v>
      </x:c>
      <x:c r="D5" s="32" t="n">
        <x:f>IF(C5="","",(1/'Metadata'!$B$5)^(C5-1))</x:f>
        <x:v>258.6537135590042</x:v>
      </x:c>
      <x:c r="E5" s="31" t="n">
        <x:f>IF(B5=0,"",B5*D5)</x:f>
        <x:v>134177.5886380365</x:v>
      </x:c>
    </x:row>
    <x:row r="6" ht="18" customHeight="1">
      <x:c r="A6" s="24" t="str">
        <x:v>Medium pelagics (30 - 89 cm)</x:v>
      </x:c>
      <x:c r="B6" s="31" t="n">
        <x:v>362.6793837397</x:v>
      </x:c>
      <x:c r="C6" s="32" t="n">
        <x:v>3.6668698887697273</x:v>
      </x:c>
      <x:c r="D6" s="32" t="n">
        <x:f>IF(C6="","",(1/'Metadata'!$B$5)^(C6-1))</x:f>
        <x:v>464.3761309234599</x:v>
      </x:c>
      <x:c r="E6" s="31" t="n">
        <x:f>IF(B6=0,"",B6*D6)</x:f>
        <x:v>168419.64898674667</x:v>
      </x:c>
    </x:row>
    <x:row r="7" ht="18" customHeight="1">
      <x:c r="A7" s="24" t="str">
        <x:v>Medium reef assoc. fish (30 - 89 cm)</x:v>
      </x:c>
      <x:c r="B7" s="31" t="n">
        <x:v>1725.1766508730002</x:v>
      </x:c>
      <x:c r="C7" s="32" t="n">
        <x:v>3.094036686966326</x:v>
      </x:c>
      <x:c r="D7" s="32" t="n">
        <x:f>IF(C7="","",(1/'Metadata'!$B$5)^(C7-1))</x:f>
        <x:v>124.17572004298023</x:v>
      </x:c>
      <x:c r="E7" s="31" t="n">
        <x:f>IF(B7=0,"",B7*D7)</x:f>
        <x:v>214225.05282349192</x:v>
      </x:c>
    </x:row>
    <x:row r="8" ht="18" customHeight="1">
      <x:c r="A8" s="24" t="str">
        <x:v>Shrimps</x:v>
      </x:c>
      <x:c r="B8" s="31" t="n">
        <x:v>10.076557597</x:v>
      </x:c>
      <x:c r="C8" s="32" t="n">
        <x:v>2.7</x:v>
      </x:c>
      <x:c r="D8" s="32" t="n">
        <x:f>IF(C8="","",(1/'Metadata'!$B$5)^(C8-1))</x:f>
        <x:v>50.11872336272725</x:v>
      </x:c>
      <x:c r="E8" s="31" t="n">
        <x:f>IF(B8=0,"",B8*D8)</x:f>
        <x:v>505.0242026526307</x:v>
      </x:c>
    </x:row>
    <x:row r="9" ht="18" customHeight="1">
      <x:c r="A9" s="24" t="str">
        <x:v>Small benthopelagics (&lt;30 cm)</x:v>
      </x:c>
      <x:c r="B9" s="31" t="n">
        <x:v>22.261457768</x:v>
      </x:c>
      <x:c r="C9" s="32" t="n">
        <x:v>3.0300000000000002</x:v>
      </x:c>
      <x:c r="D9" s="32" t="n">
        <x:f>IF(C9="","",(1/'Metadata'!$B$5)^(C9-1))</x:f>
        <x:v>107.1519305237607</x:v>
      </x:c>
      <x:c r="E9" s="31" t="n">
        <x:f>IF(B9=0,"",B9*D9)</x:f>
        <x:v>2385.3581761143687</x:v>
      </x:c>
    </x:row>
    <x:row r="10" ht="18" customHeight="1">
      <x:c r="A10" s="24" t="str">
        <x:v>Small reef assoc. fish (&lt;30 cm)</x:v>
      </x:c>
      <x:c r="B10" s="31" t="n">
        <x:v>81.242395612</x:v>
      </x:c>
      <x:c r="C10" s="32" t="n">
        <x:v>2.61767233613958</x:v>
      </x:c>
      <x:c r="D10" s="32" t="n">
        <x:f>IF(C10="","",(1/'Metadata'!$B$5)^(C10-1))</x:f>
        <x:v>41.46410887036174</x:v>
      </x:c>
      <x:c r="E10" s="31" t="n">
        <x:f>IF(B10=0,"",B10*D10)</x:f>
        <x:v>3368.643536544967</x:v>
      </x:c>
    </x:row>
  </x:sheetData>
  <x:pageMargins left="0.7" right="0.7" top="0.75" bottom="0.75" header="0.3" footer="0.3"/>
  <x:tableParts count="1">
    <x:tablePart xmlns:r="http://schemas.openxmlformats.org/officeDocument/2006/relationships" r:id="Rd54a36974d1d47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EEZ_585</x:v>
      </x:c>
      <x:c r="B2" s="24" t="str">
        <x:v>raw_filtered_tonnes</x:v>
      </x:c>
      <x:c r="C2" s="24" t="n">
        <x:v>10527.1220736951</x:v>
      </x:c>
      <x:c r="D2" s="24" t="str">
        <x:v>tonnes</x:v>
      </x:c>
    </x:row>
    <x:row r="3" ht="18" customHeight="1">
      <x:c r="A3" s="24" t="str">
        <x:v>EEZ_585</x:v>
      </x:c>
      <x:c r="B3" s="24" t="str">
        <x:v>species_catch_tonnes</x:v>
      </x:c>
      <x:c r="C3" s="24" t="n">
        <x:v>10527.122073695098</x:v>
      </x:c>
      <x:c r="D3" s="24" t="str">
        <x:v>tonnes</x:v>
      </x:c>
    </x:row>
    <x:row r="4" ht="18" customHeight="1">
      <x:c r="A4" s="24" t="str">
        <x:v>EEZ_585</x:v>
      </x:c>
      <x:c r="B4" s="24" t="str">
        <x:v>catch_difference_tonnes</x:v>
      </x:c>
      <x:c r="C4" s="24" t="n">
        <x:v>-1.8189894035458565e-12</x:v>
      </x:c>
      <x:c r="D4" s="24" t="str">
        <x:v>tonnes</x:v>
      </x:c>
    </x:row>
    <x:row r="5" ht="18" customHeight="1">
      <x:c r="A5" s="24" t="str">
        <x:v>EEZ_585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EEZ_585</x:v>
      </x:c>
      <x:c r="B6" s="24" t="str">
        <x:v>matched_catch_tonnes</x:v>
      </x:c>
      <x:c r="C6" s="24" t="n">
        <x:v>10527.122073695098</x:v>
      </x:c>
      <x:c r="D6" s="24" t="str">
        <x:v>tonnes</x:v>
      </x:c>
    </x:row>
    <x:row r="7" ht="18" customHeight="1">
      <x:c r="A7" s="24" t="str">
        <x:v>EEZ_585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EEZ_585</x:v>
      </x:c>
      <x:c r="B8" s="24" t="str">
        <x:v>taxa_count</x:v>
      </x:c>
      <x:c r="C8" s="24" t="n">
        <x:v>56</x:v>
      </x:c>
      <x:c r="D8" s="24" t="str">
        <x:v>count</x:v>
      </x:c>
    </x:row>
    <x:row r="9" ht="18" customHeight="1">
      <x:c r="A9" s="24" t="str">
        <x:v>EEZ_585</x:v>
      </x:c>
      <x:c r="B9" s="24" t="str">
        <x:v>matched_taxa_count</x:v>
      </x:c>
      <x:c r="C9" s="24" t="n">
        <x:v>56</x:v>
      </x:c>
      <x:c r="D9" s="24" t="str">
        <x:v>count</x:v>
      </x:c>
    </x:row>
    <x:row r="10" ht="18" customHeight="1">
      <x:c r="A10" s="24" t="str">
        <x:v>EEZ_585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EEZ_585</x:v>
      </x:c>
      <x:c r="B11" s="24" t="str">
        <x:v>species_ppr</x:v>
      </x:c>
      <x:c r="C11" s="24" t="n">
        <x:v>21756489.01330104</x:v>
      </x:c>
      <x:c r="D11" s="24" t="str">
        <x:v>tonnes_primary_production_equivalent</x:v>
      </x:c>
    </x:row>
    <x:row r="12" ht="18" customHeight="1">
      <x:c r="A12" s="24" t="str">
        <x:v>EEZ_585</x:v>
      </x:c>
      <x:c r="B12" s="24" t="str">
        <x:v>commercial_ppr</x:v>
      </x:c>
      <x:c r="C12" s="24" t="n">
        <x:v>20459857.100980364</x:v>
      </x:c>
      <x:c r="D12" s="24" t="str">
        <x:v>tonnes_primary_production_equivalent</x:v>
      </x:c>
    </x:row>
    <x:row r="13" ht="18" customHeight="1">
      <x:c r="A13" s="24" t="str">
        <x:v>EEZ_585</x:v>
      </x:c>
      <x:c r="B13" s="24" t="str">
        <x:v>functional_ppr</x:v>
      </x:c>
      <x:c r="C13" s="24" t="n">
        <x:v>20847627.440702245</x:v>
      </x:c>
      <x:c r="D13" s="24" t="str">
        <x:v>tonnes_primary_production_equivalent</x:v>
      </x:c>
    </x:row>
    <x:row r="14" ht="18" customHeight="1">
      <x:c r="A14" s="24" t="str">
        <x:v>EEZ_585</x:v>
      </x:c>
      <x:c r="B14" s="24" t="str">
        <x:v>commercial_ppr_difference</x:v>
      </x:c>
      <x:c r="C14" s="24" t="n">
        <x:v>-1296631.9123206772</x:v>
      </x:c>
      <x:c r="D14" s="24" t="str">
        <x:v>tonnes_primary_production_equivalent</x:v>
      </x:c>
    </x:row>
    <x:row r="15" ht="18" customHeight="1">
      <x:c r="A15" s="24" t="str">
        <x:v>EEZ_585</x:v>
      </x:c>
      <x:c r="B15" s="24" t="str">
        <x:v>functional_ppr_difference</x:v>
      </x:c>
      <x:c r="C15" s="24" t="n">
        <x:v>-908861.5725987963</x:v>
      </x:c>
      <x:c r="D15" s="24" t="str">
        <x:v>tonnes_primary_production_equivalent</x:v>
      </x:c>
    </x:row>
    <x:row r="16" ht="18" customHeight="1">
      <x:c r="A16" s="24" t="str">
        <x:v>EEZ_585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EEZ_585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2b210b5a19441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EEZ_585 - Palau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EEZ_585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raw_data/SAU_downloads/EEZ_585-catch.zip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