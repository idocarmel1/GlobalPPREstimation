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6b9f0630c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e3075ec49a846aa"/>
    <x:sheet xmlns:r="http://schemas.openxmlformats.org/officeDocument/2006/relationships" name="Commercial" sheetId="2" r:id="R4992d599db084c2a"/>
    <x:sheet xmlns:r="http://schemas.openxmlformats.org/officeDocument/2006/relationships" name="Functional" sheetId="3" r:id="R4119714624c24fa5"/>
    <x:sheet xmlns:r="http://schemas.openxmlformats.org/officeDocument/2006/relationships" name="Missing TL" sheetId="4" r:id="R7b6ef6d0b5ae406c"/>
    <x:sheet xmlns:r="http://schemas.openxmlformats.org/officeDocument/2006/relationships" name="Validation" sheetId="5" r:id="R2862fffb437c4974"/>
    <x:sheet xmlns:r="http://schemas.openxmlformats.org/officeDocument/2006/relationships" name="Metadata" sheetId="6" r:id="R7b0f9020e05c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9cf8fe62b408a" /><Relationship Type="http://schemas.openxmlformats.org/officeDocument/2006/relationships/theme" Target="/xl/theme/theme1.xml" Id="Rb45e95154d9b4a11" /><Relationship Type="http://schemas.microsoft.com/office/2022/11/relationships/FeaturePropertyBag" Target="/xl/featurePropertyBag/featurePropertyBag.xml" Id="Rc94ec448893e42ab" /><Relationship Type="http://schemas.openxmlformats.org/officeDocument/2006/relationships/sharedStrings" Target="/xl/sharedStrings.xml" Id="Re85b3d03b915476c" /><Relationship Type="http://schemas.openxmlformats.org/officeDocument/2006/relationships/worksheet" Target="/xl/worksheets/sheet1.xml" Id="R7e3075ec49a846aa" /><Relationship Type="http://schemas.openxmlformats.org/officeDocument/2006/relationships/worksheet" Target="/xl/worksheets/sheet2.xml" Id="R4992d599db084c2a" /><Relationship Type="http://schemas.openxmlformats.org/officeDocument/2006/relationships/worksheet" Target="/xl/worksheets/sheet3.xml" Id="R4119714624c24fa5" /><Relationship Type="http://schemas.openxmlformats.org/officeDocument/2006/relationships/worksheet" Target="/xl/worksheets/sheet4.xml" Id="R7b6ef6d0b5ae406c" /><Relationship Type="http://schemas.openxmlformats.org/officeDocument/2006/relationships/worksheet" Target="/xl/worksheets/sheet5.xml" Id="R2862fffb437c4974" /><Relationship Type="http://schemas.openxmlformats.org/officeDocument/2006/relationships/worksheet" Target="/xl/worksheets/sheet6.xml" Id="R7b0f9020e05c48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9SpeciesTable" displayName="EEZ909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9CommercialTable" displayName="EEZ909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9FunctionalTable" displayName="EEZ909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9ValidationTable" displayName="EEZ90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970816813444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b8ffdef89443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f66a307e2c49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7528a76d7b47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EEZ_909</x:v>
      </x:c>
      <x:c r="B2" s="24" t="str">
        <x:v>Sint Maarten (Netherlands)</x:v>
      </x:c>
      <x:c r="C2" s="24" t="str">
        <x:v>EEZ</x:v>
      </x:c>
      <x:c r="D2" s="30" t="n">
        <x:v>2019</x:v>
      </x:c>
      <x:c r="E2" s="24" t="str">
        <x:v>Lutjanus vivanus</x:v>
      </x:c>
      <x:c r="F2" s="24" t="str">
        <x:v>Silk snapper</x:v>
      </x:c>
      <x:c r="G2" s="24" t="str">
        <x:v>Medium demersals (30 - 89 cm)</x:v>
      </x:c>
      <x:c r="H2" s="24" t="str">
        <x:v>Perch-likes</x:v>
      </x:c>
      <x:c r="I2" s="31" t="n">
        <x:v>22.603203866500003</x:v>
      </x:c>
      <x:c r="J2" s="31" t="n">
        <x:v>22.603203866500003</x:v>
      </x:c>
      <x:c r="K2" s="31" t="n">
        <x:v>0</x:v>
      </x:c>
      <x:c r="L2" s="31" t="n">
        <x:v>10.2814516012</x:v>
      </x:c>
      <x:c r="M2" s="31" t="n">
        <x:v>12.3217522653</x:v>
      </x:c>
      <x:c r="N2" s="24" t="str">
        <x:v>lutjanus vivanus</x:v>
      </x:c>
      <x:c r="O2" s="32" t="n">
        <x:v>3.09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Lutjanus vivanus</x:v>
      </x:c>
      <x:c r="T2" s="32" t="n">
        <x:f>IF(O2="","",(1/'Metadata'!$B$5)^(O2-1))</x:f>
        <x:v>123.02687708123811</x:v>
      </x:c>
      <x:c r="U2" s="31" t="n">
        <x:f>IF(T2="","",I2*T2)</x:f>
        <x:v>2780.801583726062</x:v>
      </x:c>
    </x:row>
    <x:row r="3" ht="18" customHeight="1">
      <x:c r="A3" s="24" t="str">
        <x:v>EEZ_909</x:v>
      </x:c>
      <x:c r="B3" s="24" t="str">
        <x:v>Sint Maarten (Netherlands)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15.779140359</x:v>
      </x:c>
      <x:c r="J3" s="31" t="n">
        <x:v>15.779140359</x:v>
      </x:c>
      <x:c r="K3" s="31" t="n">
        <x:v>0</x:v>
      </x:c>
      <x:c r="L3" s="31" t="n">
        <x:v>13.338793319499999</x:v>
      </x:c>
      <x:c r="M3" s="31" t="n">
        <x:v>2.4403470395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244.38994820171854</x:v>
      </x:c>
    </x:row>
    <x:row r="4" ht="18" customHeight="1">
      <x:c r="A4" s="24" t="str">
        <x:v>EEZ_909</x:v>
      </x:c>
      <x:c r="B4" s="24" t="str">
        <x:v>Sint Maarten (Netherlands)</x:v>
      </x:c>
      <x:c r="C4" s="24" t="str">
        <x:v>EEZ</x:v>
      </x:c>
      <x:c r="D4" s="30" t="n">
        <x:v>2019</x:v>
      </x:c>
      <x:c r="E4" s="24" t="str">
        <x:v>Lutjanus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12.1088592147</x:v>
      </x:c>
      <x:c r="J4" s="31" t="n">
        <x:v>12.1088592147</x:v>
      </x:c>
      <x:c r="K4" s="31" t="n">
        <x:v>0</x:v>
      </x:c>
      <x:c r="L4" s="31" t="n">
        <x:v>5.5079205012</x:v>
      </x:c>
      <x:c r="M4" s="31" t="n">
        <x:v>6.6009387135</x:v>
      </x:c>
      <x:c r="N4" s="24" t="str">
        <x:v>lutjanus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Lutjanus</x:v>
      </x:c>
      <x:c r="T4" s="32" t="n">
        <x:f>IF(O4="","",(1/'Metadata'!$B$5)^(O4-1))</x:f>
        <x:v>1047.1285480508984</x:v>
      </x:c>
      <x:c r="U4" s="31" t="n">
        <x:f>IF(T4="","",I4*T4)</x:f>
        <x:v>12679.532168041555</x:v>
      </x:c>
    </x:row>
    <x:row r="5" ht="18" customHeight="1">
      <x:c r="A5" s="24" t="str">
        <x:v>EEZ_909</x:v>
      </x:c>
      <x:c r="B5" s="24" t="str">
        <x:v>Sint Maarten (Netherlands)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6.4237629469</x:v>
      </x:c>
      <x:c r="J5" s="31" t="n">
        <x:v>6.4237629469</x:v>
      </x:c>
      <x:c r="K5" s="31" t="n">
        <x:v>0</x:v>
      </x:c>
      <x:c r="L5" s="31" t="n">
        <x:v>4.4234784883</x:v>
      </x:c>
      <x:c r="M5" s="31" t="n">
        <x:v>2.0002844586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16511.613188218653</x:v>
      </x:c>
    </x:row>
    <x:row r="6" ht="18" customHeight="1">
      <x:c r="A6" s="24" t="str">
        <x:v>EEZ_909</x:v>
      </x:c>
      <x:c r="B6" s="24" t="str">
        <x:v>Sint Maarten (Netherlands)</x:v>
      </x:c>
      <x:c r="C6" s="24" t="str">
        <x:v>EEZ</x:v>
      </x:c>
      <x:c r="D6" s="30" t="n">
        <x:v>2019</x:v>
      </x:c>
      <x:c r="E6" s="24" t="str">
        <x:v>Makaira nigricans</x:v>
      </x:c>
      <x:c r="F6" s="24" t="str">
        <x:v>Blue marlin</x:v>
      </x:c>
      <x:c r="G6" s="24" t="str">
        <x:v>Large pelagics (&gt;=90 cm)</x:v>
      </x:c>
      <x:c r="H6" s="24" t="str">
        <x:v>Tuna &amp; billfishes</x:v>
      </x:c>
      <x:c r="I6" s="31" t="n">
        <x:v>2.9106179303</x:v>
      </x:c>
      <x:c r="J6" s="31" t="n">
        <x:v>2.9106179303</x:v>
      </x:c>
      <x:c r="K6" s="31" t="n">
        <x:v>0</x:v>
      </x:c>
      <x:c r="L6" s="31" t="n">
        <x:v>0.9103334717</x:v>
      </x:c>
      <x:c r="M6" s="31" t="n">
        <x:v>2.0002844586</x:v>
      </x:c>
      <x:c r="N6" s="24" t="str">
        <x:v>makaira nigricans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Makaira nigricans</x:v>
      </x:c>
      <x:c r="T6" s="32" t="n">
        <x:f>IF(O6="","",(1/'Metadata'!$B$5)^(O6-1))</x:f>
        <x:v>3090.295432513592</x:v>
      </x:c>
      <x:c r="U6" s="31" t="n">
        <x:f>IF(T6="","",I6*T6)</x:f>
        <x:v>8994.669295798254</x:v>
      </x:c>
    </x:row>
    <x:row r="7" ht="18" customHeight="1">
      <x:c r="A7" s="24" t="str">
        <x:v>EEZ_909</x:v>
      </x:c>
      <x:c r="B7" s="24" t="str">
        <x:v>Sint Maarten (Netherlands)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2.6783188042</x:v>
      </x:c>
      <x:c r="J7" s="31" t="n">
        <x:v>2.0997754826</x:v>
      </x:c>
      <x:c r="K7" s="31" t="n">
        <x:v>0.5785433216</x:v>
      </x:c>
      <x:c r="L7" s="31" t="n">
        <x:v>0.09949102400000001</x:v>
      </x:c>
      <x:c r="M7" s="31" t="n">
        <x:v>2.5788277802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510.3431271585395</x:v>
      </x:c>
    </x:row>
    <x:row r="8" ht="18" customHeight="1">
      <x:c r="A8" s="24" t="str">
        <x:v>EEZ_909</x:v>
      </x:c>
      <x:c r="B8" s="24" t="str">
        <x:v>Sint Maarten (Netherlands)</x:v>
      </x:c>
      <x:c r="C8" s="24" t="str">
        <x:v>EEZ</x:v>
      </x:c>
      <x:c r="D8" s="30" t="n">
        <x:v>2019</x:v>
      </x:c>
      <x:c r="E8" s="24" t="str">
        <x:v>Thunnus atlanticus</x:v>
      </x:c>
      <x:c r="F8" s="24" t="str">
        <x:v>Blackfin tuna</x:v>
      </x:c>
      <x:c r="G8" s="24" t="str">
        <x:v>Large pelagics (&gt;=90 cm)</x:v>
      </x:c>
      <x:c r="H8" s="24" t="str">
        <x:v>Tuna &amp; billfishes</x:v>
      </x:c>
      <x:c r="I8" s="31" t="n">
        <x:v>2.4203635175</x:v>
      </x:c>
      <x:c r="J8" s="31" t="n">
        <x:v>2.4203635175</x:v>
      </x:c>
      <x:c r="K8" s="31" t="n">
        <x:v>0</x:v>
      </x:c>
      <x:c r="L8" s="31" t="n">
        <x:v>0.42007905889999997</x:v>
      </x:c>
      <x:c r="M8" s="31" t="n">
        <x:v>2.0002844586</x:v>
      </x:c>
      <x:c r="N8" s="24" t="str">
        <x:v>thunnus atlanticus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atlanticus</x:v>
      </x:c>
      <x:c r="T8" s="32" t="n">
        <x:f>IF(O8="","",(1/'Metadata'!$B$5)^(O8-1))</x:f>
        <x:v>2238.7211385683377</x:v>
      </x:c>
      <x:c r="U8" s="31" t="n">
        <x:f>IF(T8="","",I8*T8)</x:f>
        <x:v>5418.518969646866</x:v>
      </x:c>
    </x:row>
    <x:row r="9" ht="18" customHeight="1">
      <x:c r="A9" s="24" t="str">
        <x:v>EEZ_909</x:v>
      </x:c>
      <x:c r="B9" s="24" t="str">
        <x:v>Sint Maarten (Netherlands)</x:v>
      </x:c>
      <x:c r="C9" s="24" t="str">
        <x:v>EEZ</x:v>
      </x:c>
      <x:c r="D9" s="30" t="n">
        <x:v>2019</x:v>
      </x:c>
      <x:c r="E9" s="24" t="str">
        <x:v>Acanthocybium solandri</x:v>
      </x:c>
      <x:c r="F9" s="24" t="str">
        <x:v>Wahoo</x:v>
      </x:c>
      <x:c r="G9" s="24" t="str">
        <x:v>Large pelagics (&gt;=90 cm)</x:v>
      </x:c>
      <x:c r="H9" s="24" t="str">
        <x:v>Perch-likes</x:v>
      </x:c>
      <x:c r="I9" s="31" t="n">
        <x:v>2.3589766531</x:v>
      </x:c>
      <x:c r="J9" s="31" t="n">
        <x:v>2.3589766531</x:v>
      </x:c>
      <x:c r="K9" s="31" t="n">
        <x:v>0</x:v>
      </x:c>
      <x:c r="L9" s="31" t="n">
        <x:v>0.3586921945</x:v>
      </x:c>
      <x:c r="M9" s="31" t="n">
        <x:v>2.0002844586</x:v>
      </x:c>
      <x:c r="N9" s="24" t="str">
        <x:v>acanthocybium solandri</x:v>
      </x:c>
      <x:c r="O9" s="32" t="n">
        <x:v>4.26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Acanthocybium solandri</x:v>
      </x:c>
      <x:c r="T9" s="32" t="n">
        <x:f>IF(O9="","",(1/'Metadata'!$B$5)^(O9-1))</x:f>
        <x:v>1819.7008586099826</x:v>
      </x:c>
      <x:c r="U9" s="31" t="n">
        <x:f>IF(T9="","",I9*T9)</x:f>
        <x:v>4292.6318410869735</x:v>
      </x:c>
    </x:row>
    <x:row r="10" ht="18" customHeight="1">
      <x:c r="A10" s="24" t="str">
        <x:v>EEZ_909</x:v>
      </x:c>
      <x:c r="B10" s="24" t="str">
        <x:v>Sint Maarten (Netherlands)</x:v>
      </x:c>
      <x:c r="C10" s="24" t="str">
        <x:v>EEZ</x:v>
      </x:c>
      <x:c r="D10" s="30" t="n">
        <x:v>2019</x:v>
      </x:c>
      <x:c r="E10" s="24" t="str">
        <x:v>Istiophorus albicans</x:v>
      </x:c>
      <x:c r="F10" s="24" t="str">
        <x:v>Atlantic sailfish</x:v>
      </x:c>
      <x:c r="G10" s="24" t="str">
        <x:v>Large pelagics (&gt;=90 cm)</x:v>
      </x:c>
      <x:c r="H10" s="24" t="str">
        <x:v>Tuna &amp; billfishes</x:v>
      </x:c>
      <x:c r="I10" s="31" t="n">
        <x:v>2.0525340957</x:v>
      </x:c>
      <x:c r="J10" s="31" t="n">
        <x:v>2.0525340957</x:v>
      </x:c>
      <x:c r="K10" s="31" t="n">
        <x:v>0</x:v>
      </x:c>
      <x:c r="L10" s="31" t="n">
        <x:v>0.052249637099999996</x:v>
      </x:c>
      <x:c r="M10" s="31" t="n">
        <x:v>2.0002844586</x:v>
      </x:c>
      <x:c r="N10" s="24" t="str">
        <x:v>istiophorus albicans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Istiophorus albicans</x:v>
      </x:c>
      <x:c r="T10" s="32" t="n">
        <x:f>IF(O10="","",(1/'Metadata'!$B$5)^(O10-1))</x:f>
        <x:v>3162.2776601683795</x:v>
      </x:c>
      <x:c r="U10" s="31" t="n">
        <x:f>IF(T10="","",I10*T10)</x:f>
        <x:v>6490.682717566016</x:v>
      </x:c>
    </x:row>
    <x:row r="11" ht="18" customHeight="1">
      <x:c r="A11" s="24" t="str">
        <x:v>EEZ_909</x:v>
      </x:c>
      <x:c r="B11" s="24" t="str">
        <x:v>Sint Maarten (Netherlands)</x:v>
      </x:c>
      <x:c r="C11" s="24" t="str">
        <x:v>EEZ</x:v>
      </x:c>
      <x:c r="D11" s="30" t="n">
        <x:v>2019</x:v>
      </x:c>
      <x:c r="E11" s="24" t="str">
        <x:v>Sphyraena</x:v>
      </x:c>
      <x:c r="F11" s="24" t="str">
        <x:v>Barracudas, sennets</x:v>
      </x:c>
      <x:c r="G11" s="24" t="str">
        <x:v>Large pelagics (&gt;=90 cm)</x:v>
      </x:c>
      <x:c r="H11" s="24" t="str">
        <x:v>Perch-likes</x:v>
      </x:c>
      <x:c r="I11" s="31" t="n">
        <x:v>2.000284459</x:v>
      </x:c>
      <x:c r="J11" s="31" t="n">
        <x:v>2.000284459</x:v>
      </x:c>
      <x:c r="K11" s="31" t="n">
        <x:v>0</x:v>
      </x:c>
      <x:c r="L11" s="31" t="n">
        <x:v>0</x:v>
      </x:c>
      <x:c r="M11" s="31" t="n">
        <x:v>2.000284459</x:v>
      </x:c>
      <x:c r="N11" s="24" t="str">
        <x:v>sphyraena</x:v>
      </x:c>
      <x:c r="O11" s="32" t="n">
        <x:v>4.4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Sphyraena</x:v>
      </x:c>
      <x:c r="T11" s="32" t="n">
        <x:f>IF(O11="","",(1/'Metadata'!$B$5)^(O11-1))</x:f>
        <x:v>2511.886431509582</x:v>
      </x:c>
      <x:c r="U11" s="31" t="n">
        <x:f>IF(T11="","",I11*T11)</x:f>
        <x:v>5024.487391721585</x:v>
      </x:c>
    </x:row>
    <x:row r="12" ht="18" customHeight="1">
      <x:c r="A12" s="24" t="str">
        <x:v>EEZ_909</x:v>
      </x:c>
      <x:c r="B12" s="24" t="str">
        <x:v>Sint Maarten (Netherlands)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2.0002844586</x:v>
      </x:c>
      <x:c r="J12" s="31" t="n">
        <x:v>2.0002844586</x:v>
      </x:c>
      <x:c r="K12" s="31" t="n">
        <x:v>0</x:v>
      </x:c>
      <x:c r="L12" s="31" t="n">
        <x:v>0</x:v>
      </x:c>
      <x:c r="M12" s="31" t="n">
        <x:v>2.0002844586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4689.1244666867315</x:v>
      </x:c>
    </x:row>
    <x:row r="13" ht="18" customHeight="1">
      <x:c r="A13" s="24" t="str">
        <x:v>EEZ_909</x:v>
      </x:c>
      <x:c r="B13" s="24" t="str">
        <x:v>Sint Maarten (Netherlands)</x:v>
      </x:c>
      <x:c r="C13" s="24" t="str">
        <x:v>EEZ</x:v>
      </x:c>
      <x:c r="D13" s="30" t="n">
        <x:v>2019</x:v>
      </x:c>
      <x:c r="E13" s="24" t="str">
        <x:v>Kajikia albida</x:v>
      </x:c>
      <x:c r="F13" s="24" t="str">
        <x:v>Atlantic white marlin</x:v>
      </x:c>
      <x:c r="G13" s="24" t="str">
        <x:v>Large pelagics (&gt;=90 cm)</x:v>
      </x:c>
      <x:c r="H13" s="24" t="str">
        <x:v>Tuna &amp; billfishes</x:v>
      </x:c>
      <x:c r="I13" s="31" t="n">
        <x:v>2.0002844586</x:v>
      </x:c>
      <x:c r="J13" s="31" t="n">
        <x:v>2.0002844586</x:v>
      </x:c>
      <x:c r="K13" s="31" t="n">
        <x:v>0</x:v>
      </x:c>
      <x:c r="L13" s="31" t="n">
        <x:v>0</x:v>
      </x:c>
      <x:c r="M13" s="31" t="n">
        <x:v>2.0002844586</x:v>
      </x:c>
      <x:c r="N13" s="24" t="str">
        <x:v>kajikia albida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albida</x:v>
      </x:c>
      <x:c r="T13" s="32" t="n">
        <x:f>IF(O13="","",(1/'Metadata'!$B$5)^(O13-1))</x:f>
        <x:v>3090.295432513592</x:v>
      </x:c>
      <x:c r="U13" s="31" t="n">
        <x:f>IF(T13="","",I13*T13)</x:f>
        <x:v>6181.469926139503</x:v>
      </x:c>
    </x:row>
    <x:row r="14" ht="18" customHeight="1">
      <x:c r="A14" s="24" t="str">
        <x:v>EEZ_909</x:v>
      </x:c>
      <x:c r="B14" s="24" t="str">
        <x:v>Sint Maarten (Netherlands)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2.0002844586</x:v>
      </x:c>
      <x:c r="J14" s="31" t="n">
        <x:v>2.0002844586</x:v>
      </x:c>
      <x:c r="K14" s="31" t="n">
        <x:v>0</x:v>
      </x:c>
      <x:c r="L14" s="31" t="n">
        <x:v>0</x:v>
      </x:c>
      <x:c r="M14" s="31" t="n">
        <x:v>2.0002844586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3639.919346778624</x:v>
      </x:c>
    </x:row>
    <x:row r="15" ht="18" customHeight="1">
      <x:c r="A15" s="24" t="str">
        <x:v>EEZ_909</x:v>
      </x:c>
      <x:c r="B15" s="24" t="str">
        <x:v>Sint Maarten (Netherlands)</x:v>
      </x:c>
      <x:c r="C15" s="24" t="str">
        <x:v>EEZ</x:v>
      </x:c>
      <x:c r="D15" s="30" t="n">
        <x:v>2019</x:v>
      </x:c>
      <x:c r="E15" s="24" t="str">
        <x:v>Rhomboplites aurorubens</x:v>
      </x:c>
      <x:c r="F15" s="24" t="str">
        <x:v>Vermilion snapper</x:v>
      </x:c>
      <x:c r="G15" s="24" t="str">
        <x:v>Medium demersals (30 - 89 cm)</x:v>
      </x:c>
      <x:c r="H15" s="24" t="str">
        <x:v>Perch-likes</x:v>
      </x:c>
      <x:c r="I15" s="31" t="n">
        <x:v>1.6145145615</x:v>
      </x:c>
      <x:c r="J15" s="31" t="n">
        <x:v>1.6145145615</x:v>
      </x:c>
      <x:c r="K15" s="31" t="n">
        <x:v>0</x:v>
      </x:c>
      <x:c r="L15" s="31" t="n">
        <x:v>0.7343893997</x:v>
      </x:c>
      <x:c r="M15" s="31" t="n">
        <x:v>0.8801251618</x:v>
      </x:c>
      <x:c r="N15" s="24" t="str">
        <x:v>rhomboplites aurorubens</x:v>
      </x:c>
      <x:c r="O15" s="32" t="n">
        <x:v>4.36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Rhomboplites aurorubens</x:v>
      </x:c>
      <x:c r="T15" s="32" t="n">
        <x:f>IF(O15="","",(1/'Metadata'!$B$5)^(O15-1))</x:f>
        <x:v>2290.867652767775</x:v>
      </x:c>
      <x:c r="U15" s="31" t="n">
        <x:f>IF(T15="","",I15*T15)</x:f>
        <x:v>3698.6391838628983</x:v>
      </x:c>
    </x:row>
    <x:row r="16" ht="18" customHeight="1">
      <x:c r="A16" s="24" t="str">
        <x:v>EEZ_909</x:v>
      </x:c>
      <x:c r="B16" s="24" t="str">
        <x:v>Sint Maarten (Netherlands)</x:v>
      </x:c>
      <x:c r="C16" s="24" t="str">
        <x:v>EEZ</x:v>
      </x:c>
      <x:c r="D16" s="30" t="n">
        <x:v>2019</x:v>
      </x:c>
      <x:c r="E16" s="24" t="str">
        <x:v>Epinephelus guttatus</x:v>
      </x:c>
      <x:c r="F16" s="24" t="str">
        <x:v>Red hind</x:v>
      </x:c>
      <x:c r="G16" s="24" t="str">
        <x:v>Medium reef assoc. fish (30 - 89 cm)</x:v>
      </x:c>
      <x:c r="H16" s="24" t="str">
        <x:v>Perch-likes</x:v>
      </x:c>
      <x:c r="I16" s="31" t="n">
        <x:v>1.5048324341</x:v>
      </x:c>
      <x:c r="J16" s="31" t="n">
        <x:v>1.5048324341</x:v>
      </x:c>
      <x:c r="K16" s="31" t="n">
        <x:v>0</x:v>
      </x:c>
      <x:c r="L16" s="31" t="n">
        <x:v>0.6687135304</x:v>
      </x:c>
      <x:c r="M16" s="31" t="n">
        <x:v>0.8361189037</x:v>
      </x:c>
      <x:c r="N16" s="24" t="str">
        <x:v>epinephelus guttatus</x:v>
      </x:c>
      <x:c r="O16" s="32" t="n">
        <x:v>3.84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Epinephelus guttatus</x:v>
      </x:c>
      <x:c r="T16" s="32" t="n">
        <x:f>IF(O16="","",(1/'Metadata'!$B$5)^(O16-1))</x:f>
        <x:v>691.8309709189363</x:v>
      </x:c>
      <x:c r="U16" s="31" t="n">
        <x:f>IF(T16="","",I16*T16)</x:f>
        <x:v>1041.089683953709</x:v>
      </x:c>
    </x:row>
    <x:row r="17" ht="18" customHeight="1">
      <x:c r="A17" s="24" t="str">
        <x:v>EEZ_909</x:v>
      </x:c>
      <x:c r="B17" s="24" t="str">
        <x:v>Sint Maarten (Netherlands)</x:v>
      </x:c>
      <x:c r="C17" s="24" t="str">
        <x:v>EEZ</x:v>
      </x:c>
      <x:c r="D17" s="30" t="n">
        <x:v>2019</x:v>
      </x:c>
      <x:c r="E17" s="24" t="str">
        <x:v>Epinephelus</x:v>
      </x:c>
      <x:c r="F17" s="24" t="str">
        <x:v>Seabasses, hinds</x:v>
      </x:c>
      <x:c r="G17" s="24" t="str">
        <x:v>Medium reef assoc. fish (30 - 89 cm)</x:v>
      </x:c>
      <x:c r="H17" s="24" t="str">
        <x:v>Perch-likes</x:v>
      </x:c>
      <x:c r="I17" s="31" t="n">
        <x:v>1.1088238980999998</x:v>
      </x:c>
      <x:c r="J17" s="31" t="n">
        <x:v>1.1088238980999998</x:v>
      </x:c>
      <x:c r="K17" s="31" t="n">
        <x:v>0</x:v>
      </x:c>
      <x:c r="L17" s="31" t="n">
        <x:v>0.4927362848</x:v>
      </x:c>
      <x:c r="M17" s="31" t="n">
        <x:v>0.6160876133</x:v>
      </x:c>
      <x:c r="N17" s="24" t="str">
        <x:v>epinephelus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Epinephelus</x:v>
      </x:c>
      <x:c r="T17" s="32" t="n">
        <x:f>IF(O17="","",(1/'Metadata'!$B$5)^(O17-1))</x:f>
        <x:v>691.8309709189363</x:v>
      </x:c>
      <x:c r="U17" s="31" t="n">
        <x:f>IF(T17="","",I17*T17)</x:f>
        <x:v>767.1187140006425</x:v>
      </x:c>
    </x:row>
    <x:row r="18" ht="18" customHeight="1">
      <x:c r="A18" s="24" t="str">
        <x:v>EEZ_909</x:v>
      </x:c>
      <x:c r="B18" s="24" t="str">
        <x:v>Sint Maarten (Netherlands)</x:v>
      </x:c>
      <x:c r="C18" s="24" t="str">
        <x:v>EEZ</x:v>
      </x:c>
      <x:c r="D18" s="30" t="n">
        <x:v>2019</x:v>
      </x:c>
      <x:c r="E18" s="24" t="str">
        <x:v>Lutjanus synagris</x:v>
      </x:c>
      <x:c r="F18" s="24" t="str">
        <x:v>Lane snapper</x:v>
      </x:c>
      <x:c r="G18" s="24" t="str">
        <x:v>Medium reef assoc. fish (30 - 89 cm)</x:v>
      </x:c>
      <x:c r="H18" s="24" t="str">
        <x:v>Perch-likes</x:v>
      </x:c>
      <x:c r="I18" s="31" t="n">
        <x:v>0.5650800969</x:v>
      </x:c>
      <x:c r="J18" s="31" t="n">
        <x:v>0.5650800969</x:v>
      </x:c>
      <x:c r="K18" s="31" t="n">
        <x:v>0</x:v>
      </x:c>
      <x:c r="L18" s="31" t="n">
        <x:v>0.2570362903</x:v>
      </x:c>
      <x:c r="M18" s="31" t="n">
        <x:v>0.3080438066</x:v>
      </x:c>
      <x:c r="N18" s="24" t="str">
        <x:v>lutjanus synagris</x:v>
      </x:c>
      <x:c r="O18" s="32" t="n">
        <x:v>3.82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Lutjanus synagris</x:v>
      </x:c>
      <x:c r="T18" s="32" t="n">
        <x:f>IF(O18="","",(1/'Metadata'!$B$5)^(O18-1))</x:f>
        <x:v>660.6934480075957</x:v>
      </x:c>
      <x:c r="U18" s="31" t="n">
        <x:f>IF(T18="","",I18*T18)</x:f>
        <x:v>373.34471762132733</x:v>
      </x:c>
    </x:row>
    <x:row r="19" ht="18" customHeight="1">
      <x:c r="A19" s="24" t="str">
        <x:v>EEZ_909</x:v>
      </x:c>
      <x:c r="B19" s="24" t="str">
        <x:v>Sint Maarten (Netherlands)</x:v>
      </x:c>
      <x:c r="C19" s="24" t="str">
        <x:v>EEZ</x:v>
      </x:c>
      <x:c r="D19" s="30" t="n">
        <x:v>2019</x:v>
      </x:c>
      <x:c r="E19" s="24" t="str">
        <x:v>Thunnus</x:v>
      </x:c>
      <x:c r="F19" s="24" t="str">
        <x:v>Tunas</x:v>
      </x:c>
      <x:c r="G19" s="24" t="str">
        <x:v>Large pelagics (&gt;=90 cm)</x:v>
      </x:c>
      <x:c r="H19" s="24" t="str">
        <x:v>Tuna &amp; billfishes</x:v>
      </x:c>
      <x:c r="I19" s="31" t="n">
        <x:v>0.2391828908</x:v>
      </x:c>
      <x:c r="J19" s="31" t="n">
        <x:v>0.2391828908</x:v>
      </x:c>
      <x:c r="K19" s="31" t="n">
        <x:v>0</x:v>
      </x:c>
      <x:c r="L19" s="31" t="n">
        <x:v>0.2391828908</x:v>
      </x:c>
      <x:c r="M19" s="31" t="n">
        <x:v>0</x:v>
      </x:c>
      <x:c r="N19" s="24" t="str">
        <x:v>thunnus</x:v>
      </x:c>
      <x:c r="O19" s="32" t="n">
        <x:v>4.34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Thunnus</x:v>
      </x:c>
      <x:c r="T19" s="32" t="n">
        <x:f>IF(O19="","",(1/'Metadata'!$B$5)^(O19-1))</x:f>
        <x:v>2187.761623949552</x:v>
      </x:c>
      <x:c r="U19" s="31" t="n">
        <x:f>IF(T19="","",I19*T19)</x:f>
        <x:v>523.2751495975563</x:v>
      </x:c>
    </x:row>
    <x:row r="20" ht="18" customHeight="1">
      <x:c r="A20" s="24" t="str">
        <x:v>EEZ_909</x:v>
      </x:c>
      <x:c r="B20" s="24" t="str">
        <x:v>Sint Maarten (Netherlands)</x:v>
      </x:c>
      <x:c r="C20" s="24" t="str">
        <x:v>EEZ</x:v>
      </x:c>
      <x:c r="D20" s="30" t="n">
        <x:v>2019</x:v>
      </x:c>
      <x:c r="E20" s="24" t="str">
        <x:v>Katsuwonus pelamis</x:v>
      </x:c>
      <x:c r="F20" s="24" t="str">
        <x:v>Skipjack tuna</x:v>
      </x:c>
      <x:c r="G20" s="24" t="str">
        <x:v>Large pelagics (&gt;=90 cm)</x:v>
      </x:c>
      <x:c r="H20" s="24" t="str">
        <x:v>Tuna &amp; billfishes</x:v>
      </x:c>
      <x:c r="I20" s="31" t="n">
        <x:v>0.1766345249</x:v>
      </x:c>
      <x:c r="J20" s="31" t="n">
        <x:v>0.1766345249</x:v>
      </x:c>
      <x:c r="K20" s="31" t="n">
        <x:v>0</x:v>
      </x:c>
      <x:c r="L20" s="31" t="n">
        <x:v>0.1766345249</x:v>
      </x:c>
      <x:c r="M20" s="31" t="n">
        <x:v>0</x:v>
      </x:c>
      <x:c r="N20" s="24" t="str">
        <x:v>katsuwonus pelamis</x:v>
      </x:c>
      <x:c r="O20" s="32" t="n">
        <x:v>4.43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Katsuwonus pelamis</x:v>
      </x:c>
      <x:c r="T20" s="32" t="n">
        <x:f>IF(O20="","",(1/'Metadata'!$B$5)^(O20-1))</x:f>
        <x:v>2691.534803926914</x:v>
      </x:c>
      <x:c r="U20" s="31" t="n">
        <x:f>IF(T20="","",I20*T20)</x:f>
        <x:v>475.4179713434451</x:v>
      </x:c>
    </x:row>
    <x:row r="21" ht="18" customHeight="1">
      <x:c r="A21" s="24" t="str">
        <x:v>EEZ_909</x:v>
      </x:c>
      <x:c r="B21" s="24" t="str">
        <x:v>Sint Maarten (Netherlands)</x:v>
      </x:c>
      <x:c r="C21" s="24" t="str">
        <x:v>EEZ</x:v>
      </x:c>
      <x:c r="D21" s="30" t="n">
        <x:v>2019</x:v>
      </x:c>
      <x:c r="E21" s="24" t="str">
        <x:v>Sphyraena barracuda</x:v>
      </x:c>
      <x:c r="F21" s="24" t="str">
        <x:v>Great barracuda</x:v>
      </x:c>
      <x:c r="G21" s="24" t="str">
        <x:v>Large pelagics (&gt;=90 cm)</x:v>
      </x:c>
      <x:c r="H21" s="24" t="str">
        <x:v>Perch-likes</x:v>
      </x:c>
      <x:c r="I21" s="31" t="n">
        <x:v>0.1638349855</x:v>
      </x:c>
      <x:c r="J21" s="31" t="n">
        <x:v>0.1638349855</x:v>
      </x:c>
      <x:c r="K21" s="31" t="n">
        <x:v>0</x:v>
      </x:c>
      <x:c r="L21" s="31" t="n">
        <x:v>0.1638349855</x:v>
      </x:c>
      <x:c r="M21" s="31" t="n">
        <x:v>0</x:v>
      </x:c>
      <x:c r="N21" s="24" t="str">
        <x:v>sphyraena barracuda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Sphyraena barracuda</x:v>
      </x:c>
      <x:c r="T21" s="32" t="n">
        <x:f>IF(O21="","",(1/'Metadata'!$B$5)^(O21-1))</x:f>
        <x:v>3090.295432513592</x:v>
      </x:c>
      <x:c r="U21" s="31" t="n">
        <x:f>IF(T21="","",I21*T21)</x:f>
        <x:v>506.2985073765806</x:v>
      </x:c>
    </x:row>
    <x:row r="22" ht="18" customHeight="1">
      <x:c r="A22" s="24" t="str">
        <x:v>EEZ_909</x:v>
      </x:c>
      <x:c r="B22" s="24" t="str">
        <x:v>Sint Maarten (Netherlands)</x:v>
      </x:c>
      <x:c r="C22" s="24" t="str">
        <x:v>EEZ</x:v>
      </x:c>
      <x:c r="D22" s="30" t="n">
        <x:v>2019</x:v>
      </x:c>
      <x:c r="E22" s="24" t="str">
        <x:v>Caranx crysos</x:v>
      </x:c>
      <x:c r="F22" s="24" t="str">
        <x:v>Blue runner</x:v>
      </x:c>
      <x:c r="G22" s="24" t="str">
        <x:v>Medium reef assoc. fish (30 - 89 cm)</x:v>
      </x:c>
      <x:c r="H22" s="24" t="str">
        <x:v>Perch-likes</x:v>
      </x:c>
      <x:c r="I22" s="31" t="n">
        <x:v>0.1019403298</x:v>
      </x:c>
      <x:c r="J22" s="31" t="n">
        <x:v>0.1019403298</x:v>
      </x:c>
      <x:c r="K22" s="31" t="n">
        <x:v>0</x:v>
      </x:c>
      <x:c r="L22" s="31" t="n">
        <x:v>0.1019403298</x:v>
      </x:c>
      <x:c r="M22" s="31" t="n">
        <x:v>0</x:v>
      </x:c>
      <x:c r="N22" s="24" t="str">
        <x:v>caranx crysos</x:v>
      </x:c>
      <x:c r="O22" s="32" t="n">
        <x:v>4.13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crysos</x:v>
      </x:c>
      <x:c r="T22" s="32" t="n">
        <x:f>IF(O22="","",(1/'Metadata'!$B$5)^(O22-1))</x:f>
        <x:v>1348.9628825916532</x:v>
      </x:c>
      <x:c r="U22" s="31" t="n">
        <x:f>IF(T22="","",I22*T22)</x:f>
        <x:v>137.51372113935182</x:v>
      </x:c>
    </x:row>
    <x:row r="23" ht="18" customHeight="1">
      <x:c r="A23" s="24" t="str">
        <x:v>EEZ_909</x:v>
      </x:c>
      <x:c r="B23" s="24" t="str">
        <x:v>Sint Maarten (Netherlands)</x:v>
      </x:c>
      <x:c r="C23" s="24" t="str">
        <x:v>EEZ</x:v>
      </x:c>
      <x:c r="D23" s="30" t="n">
        <x:v>2019</x:v>
      </x:c>
      <x:c r="E23" s="24" t="str">
        <x:v>Euthynnus alletteratus</x:v>
      </x:c>
      <x:c r="F23" s="24" t="str">
        <x:v>Little tunny </x:v>
      </x:c>
      <x:c r="G23" s="24" t="str">
        <x:v>Large pelagics (&gt;=90 cm)</x:v>
      </x:c>
      <x:c r="H23" s="24" t="str">
        <x:v>Tuna &amp; billfishes</x:v>
      </x:c>
      <x:c r="I23" s="31" t="n">
        <x:v>0.0943146242</x:v>
      </x:c>
      <x:c r="J23" s="31" t="n">
        <x:v>0.0943146242</x:v>
      </x:c>
      <x:c r="K23" s="31" t="n">
        <x:v>0</x:v>
      </x:c>
      <x:c r="L23" s="31" t="n">
        <x:v>0.0943146242</x:v>
      </x:c>
      <x:c r="M23" s="31" t="n">
        <x:v>0</x:v>
      </x:c>
      <x:c r="N23" s="24" t="str">
        <x:v>euthynnus alletteratus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Euthynnus alletteratus</x:v>
      </x:c>
      <x:c r="T23" s="32" t="n">
        <x:f>IF(O23="","",(1/'Metadata'!$B$5)^(O23-1))</x:f>
        <x:v>3090.295432513592</x:v>
      </x:c>
      <x:c r="U23" s="31" t="n">
        <x:f>IF(T23="","",I23*T23)</x:f>
        <x:v>291.4600523844959</x:v>
      </x:c>
    </x:row>
    <x:row r="24" ht="18" customHeight="1">
      <x:c r="A24" s="24" t="str">
        <x:v>EEZ_909</x:v>
      </x:c>
      <x:c r="B24" s="24" t="str">
        <x:v>Sint Maarten (Netherlands)</x:v>
      </x:c>
      <x:c r="C24" s="24" t="str">
        <x:v>EEZ</x:v>
      </x:c>
      <x:c r="D24" s="30" t="n">
        <x:v>2019</x:v>
      </x:c>
      <x:c r="E24" s="24" t="str">
        <x:v>Sarda sarda</x:v>
      </x:c>
      <x:c r="F24" s="24" t="str">
        <x:v>Atlantic bonito</x:v>
      </x:c>
      <x:c r="G24" s="24" t="str">
        <x:v>Medium pelagics (30 - 89 cm)</x:v>
      </x:c>
      <x:c r="H24" s="24" t="str">
        <x:v>Tuna &amp; billfishes</x:v>
      </x:c>
      <x:c r="I24" s="31" t="n">
        <x:v>0.0720332761</x:v>
      </x:c>
      <x:c r="J24" s="31" t="n">
        <x:v>0.0720332761</x:v>
      </x:c>
      <x:c r="K24" s="31" t="n">
        <x:v>0</x:v>
      </x:c>
      <x:c r="L24" s="31" t="n">
        <x:v>0.0720332761</x:v>
      </x:c>
      <x:c r="M24" s="31" t="n">
        <x:v>0</x:v>
      </x:c>
      <x:c r="N24" s="24" t="str">
        <x:v>sarda sarda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Sarda sarda</x:v>
      </x:c>
      <x:c r="T24" s="32" t="n">
        <x:f>IF(O24="","",(1/'Metadata'!$B$5)^(O24-1))</x:f>
        <x:v>3162.2776601683795</x:v>
      </x:c>
      <x:c r="U24" s="31" t="n">
        <x:f>IF(T24="","",I24*T24)</x:f>
        <x:v>227.78921979977085</x:v>
      </x:c>
    </x:row>
    <x:row r="25" ht="18" customHeight="1">
      <x:c r="A25" s="24" t="str">
        <x:v>EEZ_909</x:v>
      </x:c>
      <x:c r="B25" s="24" t="str">
        <x:v>Sint Maarten (Netherlands)</x:v>
      </x:c>
      <x:c r="C25" s="24" t="str">
        <x:v>EEZ</x:v>
      </x:c>
      <x:c r="D25" s="30" t="n">
        <x:v>2019</x:v>
      </x:c>
      <x:c r="E25" s="24" t="str">
        <x:v>Thunnus alalunga</x:v>
      </x:c>
      <x:c r="F25" s="24" t="str">
        <x:v>Albacore</x:v>
      </x:c>
      <x:c r="G25" s="24" t="str">
        <x:v>Large pelagics (&gt;=90 cm)</x:v>
      </x:c>
      <x:c r="H25" s="24" t="str">
        <x:v>Tuna &amp; billfishes</x:v>
      </x:c>
      <x:c r="I25" s="31" t="n">
        <x:v>0.0198677111</x:v>
      </x:c>
      <x:c r="J25" s="31" t="n">
        <x:v>0.0198677111</x:v>
      </x:c>
      <x:c r="K25" s="31" t="n">
        <x:v>0</x:v>
      </x:c>
      <x:c r="L25" s="31" t="n">
        <x:v>0.0198677111</x:v>
      </x:c>
      <x:c r="M25" s="31" t="n">
        <x:v>0</x:v>
      </x:c>
      <x:c r="N25" s="24" t="str">
        <x:v>thunnus alalunga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alalunga</x:v>
      </x:c>
      <x:c r="T25" s="32" t="n">
        <x:f>IF(O25="","",(1/'Metadata'!$B$5)^(O25-1))</x:f>
        <x:v>1995.2623149688789</x:v>
      </x:c>
      <x:c r="U25" s="31" t="n">
        <x:f>IF(T25="","",I25*T25)</x:f>
        <x:v>39.64129524251889</x:v>
      </x:c>
    </x:row>
    <x:row r="26" ht="18" customHeight="1">
      <x:c r="A26" s="24" t="str">
        <x:v>EEZ_909</x:v>
      </x:c>
      <x:c r="B26" s="24" t="str">
        <x:v>Sint Maarten (Netherlands)</x:v>
      </x:c>
      <x:c r="C26" s="24" t="str">
        <x:v>EEZ</x:v>
      </x:c>
      <x:c r="D26" s="30" t="n">
        <x:v>2019</x:v>
      </x:c>
      <x:c r="E26" s="24" t="str">
        <x:v>Scomberomorus cavalla</x:v>
      </x:c>
      <x:c r="F26" s="24" t="str">
        <x:v>King mackerel</x:v>
      </x:c>
      <x:c r="G26" s="24" t="str">
        <x:v>Large pelagics (&gt;=90 cm)</x:v>
      </x:c>
      <x:c r="H26" s="24" t="str">
        <x:v>Perch-likes</x:v>
      </x:c>
      <x:c r="I26" s="31" t="n">
        <x:v>0.018569798499999998</x:v>
      </x:c>
      <x:c r="J26" s="31" t="n">
        <x:v>0.018569798499999998</x:v>
      </x:c>
      <x:c r="K26" s="31" t="n">
        <x:v>0</x:v>
      </x:c>
      <x:c r="L26" s="31" t="n">
        <x:v>0.018569798499999998</x:v>
      </x:c>
      <x:c r="M26" s="31" t="n">
        <x:v>0</x:v>
      </x:c>
      <x:c r="N26" s="24" t="str">
        <x:v>scomberomorus cavalla</x:v>
      </x:c>
      <x:c r="O26" s="32" t="n">
        <x:v>4.42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Scomberomorus cavalla</x:v>
      </x:c>
      <x:c r="T26" s="32" t="n">
        <x:f>IF(O26="","",(1/'Metadata'!$B$5)^(O26-1))</x:f>
        <x:v>2630.2679918953813</x:v>
      </x:c>
      <x:c r="U26" s="31" t="n">
        <x:f>IF(T26="","",I26*T26)</x:f>
        <x:v>48.84354661049686</x:v>
      </x:c>
    </x:row>
    <x:row r="27" ht="18" customHeight="1">
      <x:c r="A27" s="24" t="str">
        <x:v>EEZ_909</x:v>
      </x:c>
      <x:c r="B27" s="24" t="str">
        <x:v>Sint Maarten (Netherlands)</x:v>
      </x:c>
      <x:c r="C27" s="24" t="str">
        <x:v>EEZ</x:v>
      </x:c>
      <x:c r="D27" s="30" t="n">
        <x:v>2019</x:v>
      </x:c>
      <x:c r="E27" s="24" t="str">
        <x:v>Scomberomorus regalis</x:v>
      </x:c>
      <x:c r="F27" s="24" t="str">
        <x:v>Cero</x:v>
      </x:c>
      <x:c r="G27" s="24" t="str">
        <x:v>Large reef assoc. fish (&gt;=90 cm)</x:v>
      </x:c>
      <x:c r="H27" s="24" t="str">
        <x:v>Perch-likes</x:v>
      </x:c>
      <x:c r="I27" s="31" t="n">
        <x:v>0.017289365100000002</x:v>
      </x:c>
      <x:c r="J27" s="31" t="n">
        <x:v>0.017289365100000002</x:v>
      </x:c>
      <x:c r="K27" s="31" t="n">
        <x:v>0</x:v>
      </x:c>
      <x:c r="L27" s="31" t="n">
        <x:v>0.017289365100000002</x:v>
      </x:c>
      <x:c r="M27" s="31" t="n">
        <x:v>0</x:v>
      </x:c>
      <x:c r="N27" s="24" t="str">
        <x:v>scomberomorus regalis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Scomberomorus regalis</x:v>
      </x:c>
      <x:c r="T27" s="32" t="n">
        <x:f>IF(O27="","",(1/'Metadata'!$B$5)^(O27-1))</x:f>
        <x:v>3235.936569296281</x:v>
      </x:c>
      <x:c r="U27" s="31" t="n">
        <x:f>IF(T27="","",I27*T27)</x:f>
        <x:v>55.94728878700486</x:v>
      </x:c>
    </x:row>
    <x:row r="28" ht="18" customHeight="1">
      <x:c r="A28" s="24" t="str">
        <x:v>EEZ_909</x:v>
      </x:c>
      <x:c r="B28" s="24" t="str">
        <x:v>Sint Maarten (Netherlands)</x:v>
      </x:c>
      <x:c r="C28" s="24" t="str">
        <x:v>EEZ</x:v>
      </x:c>
      <x:c r="D28" s="30" t="n">
        <x:v>2019</x:v>
      </x:c>
      <x:c r="E28" s="24" t="str">
        <x:v>Caranx hippos</x:v>
      </x:c>
      <x:c r="F28" s="24" t="str">
        <x:v>Crevalle jack</x:v>
      </x:c>
      <x:c r="G28" s="24" t="str">
        <x:v>Large reef assoc. fish (&gt;=90 cm)</x:v>
      </x:c>
      <x:c r="H28" s="24" t="str">
        <x:v>Perch-likes</x:v>
      </x:c>
      <x:c r="I28" s="31" t="n">
        <x:v>0.016564899100000002</x:v>
      </x:c>
      <x:c r="J28" s="31" t="n">
        <x:v>0.016564899100000002</x:v>
      </x:c>
      <x:c r="K28" s="31" t="n">
        <x:v>0</x:v>
      </x:c>
      <x:c r="L28" s="31" t="n">
        <x:v>0.016564899100000002</x:v>
      </x:c>
      <x:c r="M28" s="31" t="n">
        <x:v>0</x:v>
      </x:c>
      <x:c r="N28" s="24" t="str">
        <x:v>caranx hippos</x:v>
      </x:c>
      <x:c r="O28" s="32" t="n">
        <x:v>3.56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Caranx hippos</x:v>
      </x:c>
      <x:c r="T28" s="32" t="n">
        <x:f>IF(O28="","",(1/'Metadata'!$B$5)^(O28-1))</x:f>
        <x:v>363.0780547701014</x:v>
      </x:c>
      <x:c r="U28" s="31" t="n">
        <x:f>IF(T28="","",I28*T28)</x:f>
        <x:v>6.014351342691004</x:v>
      </x:c>
    </x:row>
    <x:row r="29" ht="18" customHeight="1">
      <x:c r="A29" s="24" t="str">
        <x:v>EEZ_909</x:v>
      </x:c>
      <x:c r="B29" s="24" t="str">
        <x:v>Sint Maarten (Netherlands)</x:v>
      </x:c>
      <x:c r="C29" s="24" t="str">
        <x:v>EEZ</x:v>
      </x:c>
      <x:c r="D29" s="30" t="n">
        <x:v>2019</x:v>
      </x:c>
      <x:c r="E29" s="24" t="str">
        <x:v>Dasyatidae</x:v>
      </x:c>
      <x:c r="F29" s="24" t="str">
        <x:v>Whiptail stingrays</x:v>
      </x:c>
      <x:c r="G29" s="24" t="str">
        <x:v>Large rays (&gt;=90 cm)</x:v>
      </x:c>
      <x:c r="H29" s="24" t="str">
        <x:v>Sharks &amp; rays</x:v>
      </x:c>
      <x:c r="I29" s="31" t="n">
        <x:v>0.0116602514</x:v>
      </x:c>
      <x:c r="J29" s="31" t="n">
        <x:v>0.0116602514</x:v>
      </x:c>
      <x:c r="K29" s="31" t="n">
        <x:v>0</x:v>
      </x:c>
      <x:c r="L29" s="31" t="n">
        <x:v>0.0116602514</x:v>
      </x:c>
      <x:c r="M29" s="31" t="n">
        <x:v>0</x:v>
      </x:c>
      <x:c r="N29" s="24" t="str">
        <x:v>dasyatidae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Dasyatidae</x:v>
      </x:c>
      <x:c r="T29" s="32" t="n">
        <x:f>IF(O29="","",(1/'Metadata'!$B$5)^(O29-1))</x:f>
        <x:v>239.88329190194898</x:v>
      </x:c>
      <x:c r="U29" s="31" t="n">
        <x:f>IF(T29="","",I29*T29)</x:f>
        <x:v>2.797099490236309</x:v>
      </x:c>
    </x:row>
    <x:row r="30" ht="18" customHeight="1">
      <x:c r="A30" s="24" t="str">
        <x:v>EEZ_909</x:v>
      </x:c>
      <x:c r="B30" s="24" t="str">
        <x:v>Sint Maarten (Netherlands)</x:v>
      </x:c>
      <x:c r="C30" s="24" t="str">
        <x:v>EEZ</x:v>
      </x:c>
      <x:c r="D30" s="30" t="n">
        <x:v>2019</x:v>
      </x:c>
      <x:c r="E30" s="24" t="str">
        <x:v>Xiphias gladius</x:v>
      </x:c>
      <x:c r="F30" s="24" t="str">
        <x:v>Swordfish</x:v>
      </x:c>
      <x:c r="G30" s="24" t="str">
        <x:v>Large pelagics (&gt;=90 cm)</x:v>
      </x:c>
      <x:c r="H30" s="24" t="str">
        <x:v>Tuna &amp; billfishes</x:v>
      </x:c>
      <x:c r="I30" s="31" t="n">
        <x:v>0.005896525099999999</x:v>
      </x:c>
      <x:c r="J30" s="31" t="n">
        <x:v>0.005896525099999999</x:v>
      </x:c>
      <x:c r="K30" s="31" t="n">
        <x:v>0</x:v>
      </x:c>
      <x:c r="L30" s="31" t="n">
        <x:v>0.005896525099999999</x:v>
      </x:c>
      <x:c r="M30" s="31" t="n">
        <x:v>0</x:v>
      </x:c>
      <x:c r="N30" s="24" t="str">
        <x:v>xiphias gladius</x:v>
      </x:c>
      <x:c r="O30" s="32" t="n">
        <x:v>4.53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Xiphias gladius</x:v>
      </x:c>
      <x:c r="T30" s="32" t="n">
        <x:f>IF(O30="","",(1/'Metadata'!$B$5)^(O30-1))</x:f>
        <x:v>3388.4415613920273</x:v>
      </x:c>
      <x:c r="U30" s="31" t="n">
        <x:f>IF(T30="","",I30*T30)</x:f>
        <x:v>19.980030716631276</x:v>
      </x:c>
    </x:row>
    <x:row r="31" ht="18" customHeight="1">
      <x:c r="A31" s="24" t="str">
        <x:v>EEZ_909</x:v>
      </x:c>
      <x:c r="B31" s="24" t="str">
        <x:v>Sint Maarten (Netherlands)</x:v>
      </x:c>
      <x:c r="C31" s="24" t="str">
        <x:v>EEZ</x:v>
      </x:c>
      <x:c r="D31" s="30" t="n">
        <x:v>2019</x:v>
      </x:c>
      <x:c r="E31" s="24" t="str">
        <x:v>Seriola dumerili</x:v>
      </x:c>
      <x:c r="F31" s="24" t="str">
        <x:v>Greater amberjack</x:v>
      </x:c>
      <x:c r="G31" s="24" t="str">
        <x:v>Large reef assoc. fish (&gt;=90 cm)</x:v>
      </x:c>
      <x:c r="H31" s="24" t="str">
        <x:v>Perch-likes</x:v>
      </x:c>
      <x:c r="I31" s="31" t="n">
        <x:v>0.002891124</x:v>
      </x:c>
      <x:c r="J31" s="31" t="n">
        <x:v>0.002891124</x:v>
      </x:c>
      <x:c r="K31" s="31" t="n">
        <x:v>0</x:v>
      </x:c>
      <x:c r="L31" s="31" t="n">
        <x:v>0.002891124</x:v>
      </x:c>
      <x:c r="M31" s="31" t="n">
        <x:v>0</x:v>
      </x:c>
      <x:c r="N31" s="24" t="str">
        <x:v>seriola dumerili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Seriola dumerili</x:v>
      </x:c>
      <x:c r="T31" s="32" t="n">
        <x:f>IF(O31="","",(1/'Metadata'!$B$5)^(O31-1))</x:f>
        <x:v>3162.2776601683795</x:v>
      </x:c>
      <x:c r="U31" s="31" t="n">
        <x:f>IF(T31="","",I31*T31)</x:f>
        <x:v>9.142536837976646</x:v>
      </x:c>
    </x:row>
    <x:row r="32" ht="18" customHeight="1">
      <x:c r="A32" s="24" t="str">
        <x:v>EEZ_909</x:v>
      </x:c>
      <x:c r="B32" s="24" t="str">
        <x:v>Sint Maarten (Netherlands)</x:v>
      </x:c>
      <x:c r="C32" s="24" t="str">
        <x:v>EEZ</x:v>
      </x:c>
      <x:c r="D32" s="30" t="n">
        <x:v>2019</x:v>
      </x:c>
      <x:c r="E32" s="24" t="str">
        <x:v>Tetrapturus pfluegeri</x:v>
      </x:c>
      <x:c r="F32" s="24" t="str">
        <x:v>Longbill spearfish</x:v>
      </x:c>
      <x:c r="G32" s="24" t="str">
        <x:v>Large pelagics (&gt;=90 cm)</x:v>
      </x:c>
      <x:c r="H32" s="24" t="str">
        <x:v>Tuna &amp; billfishes</x:v>
      </x:c>
      <x:c r="I32" s="31" t="n">
        <x:v>0.0021579296</x:v>
      </x:c>
      <x:c r="J32" s="31" t="n">
        <x:v>0.0021579296</x:v>
      </x:c>
      <x:c r="K32" s="31" t="n">
        <x:v>0</x:v>
      </x:c>
      <x:c r="L32" s="31" t="n">
        <x:v>0.0021579296</x:v>
      </x:c>
      <x:c r="M32" s="31" t="n">
        <x:v>0</x:v>
      </x:c>
      <x:c r="N32" s="24" t="str">
        <x:v>tetrapturus pfluegeri</x:v>
      </x:c>
      <x:c r="O32" s="32" t="n">
        <x:v>4.4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Tetrapturus pfluegeri</x:v>
      </x:c>
      <x:c r="T32" s="32" t="n">
        <x:f>IF(O32="","",(1/'Metadata'!$B$5)^(O32-1))</x:f>
        <x:v>2511.886431509582</x:v>
      </x:c>
      <x:c r="U32" s="31" t="n">
        <x:f>IF(T32="","",I32*T32)</x:f>
        <x:v>5.4204740823929</x:v>
      </x:c>
    </x:row>
    <x:row r="33" ht="18" customHeight="1">
      <x:c r="A33" s="24" t="str">
        <x:v>EEZ_909</x:v>
      </x:c>
      <x:c r="B33" s="24" t="str">
        <x:v>Sint Maarten (Netherlands)</x:v>
      </x:c>
      <x:c r="C33" s="24" t="str">
        <x:v>EEZ</x:v>
      </x:c>
      <x:c r="D33" s="30" t="n">
        <x:v>2019</x:v>
      </x:c>
      <x:c r="E33" s="24" t="str">
        <x:v>Marine pelagic fishes not identified</x:v>
      </x:c>
      <x:c r="F33" s="24" t="str">
        <x:v>Pelagic fishes</x:v>
      </x:c>
      <x:c r="G33" s="24" t="str">
        <x:v>Medium pelagics (30 - 89 cm)</x:v>
      </x:c>
      <x:c r="H33" s="24" t="str">
        <x:v>Other fishes &amp; inverts</x:v>
      </x:c>
      <x:c r="I33" s="31" t="n">
        <x:v>0.0002386036</x:v>
      </x:c>
      <x:c r="J33" s="31" t="n">
        <x:v>0.0002386036</x:v>
      </x:c>
      <x:c r="K33" s="31" t="n">
        <x:v>0</x:v>
      </x:c>
      <x:c r="L33" s="31" t="n">
        <x:v>0.0002386036</x:v>
      </x:c>
      <x:c r="M33" s="31" t="n">
        <x:v>0</x:v>
      </x:c>
      <x:c r="N33" s="24" t="str">
        <x:v>marine pelagic fishes not identified</x:v>
      </x:c>
      <x:c r="O33" s="32" t="n">
        <x:v>3.35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pelagic fishes not identified</x:v>
      </x:c>
      <x:c r="T33" s="32" t="n">
        <x:f>IF(O33="","",(1/'Metadata'!$B$5)^(O33-1))</x:f>
        <x:v>223.872113856834</x:v>
      </x:c>
      <x:c r="U33" s="31" t="n">
        <x:f>IF(T33="","",I33*T33)</x:f>
        <x:v>0.05341669230585048</x:v>
      </x:c>
    </x:row>
    <x:row r="34" ht="18" customHeight="1">
      <x:c r="A34" s="24" t="str">
        <x:v>EEZ_909</x:v>
      </x:c>
      <x:c r="B34" s="24" t="str">
        <x:v>Sint Maarten (Netherlands)</x:v>
      </x:c>
      <x:c r="C34" s="24" t="str">
        <x:v>EEZ</x:v>
      </x:c>
      <x:c r="D34" s="30" t="n">
        <x:v>2019</x:v>
      </x:c>
      <x:c r="E34" s="24" t="str">
        <x:v>Carcharhinus longimanus</x:v>
      </x:c>
      <x:c r="F34" s="24" t="str">
        <x:v>Oceanic whitetip shark</x:v>
      </x:c>
      <x:c r="G34" s="24" t="str">
        <x:v>Large sharks (&gt;=90 cm)</x:v>
      </x:c>
      <x:c r="H34" s="24" t="str">
        <x:v>Sharks &amp; rays</x:v>
      </x:c>
      <x:c r="I34" s="31" t="n">
        <x:v>0.00010772329999999999</x:v>
      </x:c>
      <x:c r="J34" s="31" t="n">
        <x:v>0.00010772329999999999</x:v>
      </x:c>
      <x:c r="K34" s="31" t="n">
        <x:v>0</x:v>
      </x:c>
      <x:c r="L34" s="31" t="n">
        <x:v>0.00010772329999999999</x:v>
      </x:c>
      <x:c r="M34" s="31" t="n">
        <x:v>0</x:v>
      </x:c>
      <x:c r="N34" s="24" t="str">
        <x:v>carcharhinus longimanus</x:v>
      </x:c>
      <x:c r="O34" s="32" t="n">
        <x:v>4.16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Carcharhinus longimanus</x:v>
      </x:c>
      <x:c r="T34" s="32" t="n">
        <x:f>IF(O34="","",(1/'Metadata'!$B$5)^(O34-1))</x:f>
        <x:v>1445.439770745928</x:v>
      </x:c>
      <x:c r="U34" s="31" t="n">
        <x:f>IF(T34="","",I34*T34)</x:f>
        <x:v>0.1557075420559948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5970816813444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Molluscs</x:v>
      </x:c>
      <x:c r="B2" s="31" t="n">
        <x:v>15.779140359</x:v>
      </x:c>
      <x:c r="C2" s="32" t="n">
        <x:v>2.19</x:v>
      </x:c>
      <x:c r="D2" s="32" t="n">
        <x:f>IF(C2="","",(1/'Metadata'!$B$5)^(C2-1))</x:f>
        <x:v>15.488166189124811</x:v>
      </x:c>
      <x:c r="E2" s="31" t="n">
        <x:f>IF(B2=0,"",B2*D2)</x:f>
        <x:v>244.38994820171854</x:v>
      </x:c>
    </x:row>
    <x:row r="3" ht="18" customHeight="1">
      <x:c r="A3" s="24" t="str">
        <x:v>Other fishes &amp; inverts</x:v>
      </x:c>
      <x:c r="B3" s="31" t="n">
        <x:v>2.6785574078</x:v>
      </x:c>
      <x:c r="C3" s="32" t="n">
        <x:v>3.280006235540053</x:v>
      </x:c>
      <x:c r="D3" s="32" t="n">
        <x:f>IF(C3="","",(1/'Metadata'!$B$5)^(C3-1))</x:f>
        <x:v>190.54880765008727</x:v>
      </x:c>
      <x:c r="E3" s="31" t="n">
        <x:f>IF(B3=0,"",B3*D3)</x:f>
        <x:v>510.39592027859857</x:v>
      </x:c>
    </x:row>
    <x:row r="4" ht="18" customHeight="1">
      <x:c r="A4" s="24" t="str">
        <x:v>Perch-likes</x:v>
      </x:c>
      <x:c r="B4" s="31" t="n">
        <x:v>48.186234603100004</x:v>
      </x:c>
      <x:c r="C4" s="32" t="n">
        <x:v>3.6370855606241954</x:v>
      </x:c>
      <x:c r="D4" s="32" t="n">
        <x:f>IF(C4="","",(1/'Metadata'!$B$5)^(C4-1))</x:f>
        <x:v>433.5962930470327</x:v>
      </x:c>
      <x:c r="E4" s="31" t="n">
        <x:f>IF(B4=0,"",B4*D4)</x:f>
        <x:v>20893.372699798816</x:v>
      </x:c>
    </x:row>
    <x:row r="5" ht="18" customHeight="1">
      <x:c r="A5" s="24" t="str">
        <x:v>Sharks &amp; rays</x:v>
      </x:c>
      <x:c r="B5" s="31" t="n">
        <x:v>0.0117679747</x:v>
      </x:c>
      <x:c r="C5" s="32" t="n">
        <x:v>3.3871400709248642</x:v>
      </x:c>
      <x:c r="D5" s="32" t="n">
        <x:f>IF(C5="","",(1/'Metadata'!$B$5)^(C5-1))</x:f>
        <x:v>243.85972006551745</x:v>
      </x:c>
      <x:c r="E5" s="31" t="n">
        <x:f>IF(B5=0,"",B5*D5)</x:f>
        <x:v>2.8697350160800914</x:v>
      </x:c>
    </x:row>
    <x:row r="6" ht="18" customHeight="1">
      <x:c r="A6" s="24" t="str">
        <x:v>Tuna &amp; billfishes</x:v>
      </x:c>
      <x:c r="B6" s="31" t="n">
        <x:v>16.417650430800002</x:v>
      </x:c>
      <x:c r="C6" s="32" t="n">
        <x:v>4.436294691735374</x:v>
      </x:c>
      <x:c r="D6" s="32" t="n">
        <x:f>IF(C6="","",(1/'Metadata'!$B$5)^(C6-1))</x:f>
        <x:v>2730.8301667143105</x:v>
      </x:c>
      <x:c r="E6" s="31" t="n">
        <x:f>IF(B6=0,"",B6*D6)</x:f>
        <x:v>44833.81506299884</x:v>
      </x:c>
    </x:row>
  </x:sheetData>
  <x:pageMargins left="0.7" right="0.7" top="0.75" bottom="0.75" header="0.3" footer="0.3"/>
  <x:tableParts count="1">
    <x:tablePart xmlns:r="http://schemas.openxmlformats.org/officeDocument/2006/relationships" r:id="Rf0b8ffdef89443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22.8875675094</x:v>
      </x:c>
      <x:c r="C2" s="32" t="n">
        <x:v>4.40932914837631</x:v>
      </x:c>
      <x:c r="D2" s="32" t="n">
        <x:f>IF(C2="","",(1/'Metadata'!$B$5)^(C2-1))</x:f>
        <x:v>2566.4283755307006</x:v>
      </x:c>
      <x:c r="E2" s="31" t="n">
        <x:f>IF(B2=0,"",B2*D2)</x:f>
        <x:v>58739.302702998684</x:v>
      </x:c>
    </x:row>
    <x:row r="3" ht="18" customHeight="1">
      <x:c r="A3" s="24" t="str">
        <x:v>Large rays (&gt;=90 cm)</x:v>
      </x:c>
      <x:c r="B3" s="31" t="n">
        <x:v>0.0116602514</x:v>
      </x:c>
      <x:c r="C3" s="32" t="n">
        <x:v>3.3800000000000003</x:v>
      </x:c>
      <x:c r="D3" s="32" t="n">
        <x:f>IF(C3="","",(1/'Metadata'!$B$5)^(C3-1))</x:f>
        <x:v>239.88329190194924</x:v>
      </x:c>
      <x:c r="E3" s="31" t="n">
        <x:f>IF(B3=0,"",B3*D3)</x:f>
        <x:v>2.797099490236312</x:v>
      </x:c>
    </x:row>
    <x:row r="4" ht="18" customHeight="1">
      <x:c r="A4" s="24" t="str">
        <x:v>Large reef assoc. fish (&gt;=90 cm)</x:v>
      </x:c>
      <x:c r="B4" s="31" t="n">
        <x:v>0.036745388200000006</x:v>
      </x:c>
      <x:c r="C4" s="32" t="n">
        <x:v>4.080951181705028</x:v>
      </x:c>
      <x:c r="D4" s="32" t="n">
        <x:f>IF(C4="","",(1/'Metadata'!$B$5)^(C4-1))</x:f>
        <x:v>1204.9004919693919</x:v>
      </x:c>
      <x:c r="E4" s="31" t="n">
        <x:f>IF(B4=0,"",B4*D4)</x:f>
        <x:v>44.27453631978629</x:v>
      </x:c>
    </x:row>
    <x:row r="5" ht="18" customHeight="1">
      <x:c r="A5" s="24" t="str">
        <x:v>Large sharks (&gt;=90 cm)</x:v>
      </x:c>
      <x:c r="B5" s="31" t="n">
        <x:v>0.00010772329999999999</x:v>
      </x:c>
      <x:c r="C5" s="32" t="n">
        <x:v>4.16</x:v>
      </x:c>
      <x:c r="D5" s="32" t="n">
        <x:f>IF(C5="","",(1/'Metadata'!$B$5)^(C5-1))</x:f>
        <x:v>1445.439770745928</x:v>
      </x:c>
      <x:c r="E5" s="31" t="n">
        <x:f>IF(B5=0,"",B5*D5)</x:f>
        <x:v>0.1557075420559948</x:v>
      </x:c>
    </x:row>
    <x:row r="6" ht="18" customHeight="1">
      <x:c r="A6" s="24" t="str">
        <x:v>Medium demersals (30 - 89 cm)</x:v>
      </x:c>
      <x:c r="B6" s="31" t="n">
        <x:v>26.8960372322</x:v>
      </x:c>
      <x:c r="C6" s="32" t="n">
        <x:v>3.185155804693748</x:v>
      </x:c>
      <x:c r="D6" s="32" t="n">
        <x:f>IF(C6="","",(1/'Metadata'!$B$5)^(C6-1))</x:f>
        <x:v>153.1636843308023</x:v>
      </x:c>
      <x:c r="E6" s="31" t="n">
        <x:f>IF(B6=0,"",B6*D6)</x:f>
        <x:v>4119.496156382187</x:v>
      </x:c>
    </x:row>
    <x:row r="7" ht="18" customHeight="1">
      <x:c r="A7" s="24" t="str">
        <x:v>Medium pelagics (30 - 89 cm)</x:v>
      </x:c>
      <x:c r="B7" s="31" t="n">
        <x:v>2.0725563383</x:v>
      </x:c>
      <x:c r="C7" s="32" t="n">
        <x:v>4.268236619035409</x:v>
      </x:c>
      <x:c r="D7" s="32" t="n">
        <x:f>IF(C7="","",(1/'Metadata'!$B$5)^(C7-1))</x:f>
        <x:v>1854.5417683326448</x:v>
      </x:c>
      <x:c r="E7" s="31" t="n">
        <x:f>IF(B7=0,"",B7*D7)</x:f>
        <x:v>3843.642296599913</x:v>
      </x:c>
    </x:row>
    <x:row r="8" ht="18" customHeight="1">
      <x:c r="A8" s="24" t="str">
        <x:v>Medium reef assoc. fish (30 - 89 cm)</x:v>
      </x:c>
      <x:c r="B8" s="31" t="n">
        <x:v>15.3895359736</x:v>
      </x:c>
      <x:c r="C8" s="32" t="n">
        <x:v>3.982814946215423</x:v>
      </x:c>
      <x:c r="D8" s="32" t="n">
        <x:f>IF(C8="","",(1/'Metadata'!$B$5)^(C8-1))</x:f>
        <x:v>961.2026206703459</x:v>
      </x:c>
      <x:c r="E8" s="31" t="n">
        <x:f>IF(B8=0,"",B8*D8)</x:f>
        <x:v>14792.462308724884</x:v>
      </x:c>
    </x:row>
    <x:row r="9" ht="18" customHeight="1">
      <x:c r="A9" s="24" t="str">
        <x:v>Other demersal invertebrates</x:v>
      </x:c>
      <x:c r="B9" s="31" t="n">
        <x:v>15.779140359</x:v>
      </x:c>
      <x:c r="C9" s="32" t="n">
        <x:v>2.19</x:v>
      </x:c>
      <x:c r="D9" s="32" t="n">
        <x:f>IF(C9="","",(1/'Metadata'!$B$5)^(C9-1))</x:f>
        <x:v>15.488166189124811</x:v>
      </x:c>
      <x:c r="E9" s="31" t="n">
        <x:f>IF(B9=0,"",B9*D9)</x:f>
        <x:v>244.38994820171854</x:v>
      </x:c>
    </x:row>
  </x:sheetData>
  <x:pageMargins left="0.7" right="0.7" top="0.75" bottom="0.75" header="0.3" footer="0.3"/>
  <x:tableParts count="1">
    <x:tablePart xmlns:r="http://schemas.openxmlformats.org/officeDocument/2006/relationships" r:id="R60f66a307e2c491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EEZ_909</x:v>
      </x:c>
      <x:c r="B2" s="24" t="str">
        <x:v>raw_filtered_tonnes</x:v>
      </x:c>
      <x:c r="C2" s="24" t="n">
        <x:v>83.07335077539997</x:v>
      </x:c>
      <x:c r="D2" s="24" t="str">
        <x:v>tonnes</x:v>
      </x:c>
    </x:row>
    <x:row r="3" ht="18" customHeight="1">
      <x:c r="A3" s="24" t="str">
        <x:v>EEZ_909</x:v>
      </x:c>
      <x:c r="B3" s="24" t="str">
        <x:v>species_catch_tonnes</x:v>
      </x:c>
      <x:c r="C3" s="24" t="n">
        <x:v>83.0733507754</x:v>
      </x:c>
      <x:c r="D3" s="24" t="str">
        <x:v>tonnes</x:v>
      </x:c>
    </x:row>
    <x:row r="4" ht="18" customHeight="1">
      <x:c r="A4" s="24" t="str">
        <x:v>EEZ_909</x:v>
      </x:c>
      <x:c r="B4" s="24" t="str">
        <x:v>catch_difference_tonnes</x:v>
      </x:c>
      <x:c r="C4" s="24" t="n">
        <x:v>2.842170943040401e-14</x:v>
      </x:c>
      <x:c r="D4" s="24" t="str">
        <x:v>tonnes</x:v>
      </x:c>
    </x:row>
    <x:row r="5" ht="18" customHeight="1">
      <x:c r="A5" s="24" t="str">
        <x:v>EEZ_909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EEZ_909</x:v>
      </x:c>
      <x:c r="B6" s="24" t="str">
        <x:v>matched_catch_tonnes</x:v>
      </x:c>
      <x:c r="C6" s="24" t="n">
        <x:v>83.0733507754</x:v>
      </x:c>
      <x:c r="D6" s="24" t="str">
        <x:v>tonnes</x:v>
      </x:c>
    </x:row>
    <x:row r="7" ht="18" customHeight="1">
      <x:c r="A7" s="24" t="str">
        <x:v>EEZ_909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EEZ_909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EEZ_909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EEZ_909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EEZ_909</x:v>
      </x:c>
      <x:c r="B11" s="24" t="str">
        <x:v>species_ppr</x:v>
      </x:c>
      <x:c r="C11" s="24" t="n">
        <x:v>85688.12663919516</x:v>
      </x:c>
      <x:c r="D11" s="24" t="str">
        <x:v>tonnes_primary_production_equivalent</x:v>
      </x:c>
    </x:row>
    <x:row r="12" ht="18" customHeight="1">
      <x:c r="A12" s="24" t="str">
        <x:v>EEZ_909</x:v>
      </x:c>
      <x:c r="B12" s="24" t="str">
        <x:v>commercial_ppr</x:v>
      </x:c>
      <x:c r="C12" s="24" t="n">
        <x:v>66484.84336629405</x:v>
      </x:c>
      <x:c r="D12" s="24" t="str">
        <x:v>tonnes_primary_production_equivalent</x:v>
      </x:c>
    </x:row>
    <x:row r="13" ht="18" customHeight="1">
      <x:c r="A13" s="24" t="str">
        <x:v>EEZ_909</x:v>
      </x:c>
      <x:c r="B13" s="24" t="str">
        <x:v>functional_ppr</x:v>
      </x:c>
      <x:c r="C13" s="24" t="n">
        <x:v>81786.52075625946</x:v>
      </x:c>
      <x:c r="D13" s="24" t="str">
        <x:v>tonnes_primary_production_equivalent</x:v>
      </x:c>
    </x:row>
    <x:row r="14" ht="18" customHeight="1">
      <x:c r="A14" s="24" t="str">
        <x:v>EEZ_909</x:v>
      </x:c>
      <x:c r="B14" s="24" t="str">
        <x:v>commercial_ppr_difference</x:v>
      </x:c>
      <x:c r="C14" s="24" t="n">
        <x:v>-19203.283272901113</x:v>
      </x:c>
      <x:c r="D14" s="24" t="str">
        <x:v>tonnes_primary_production_equivalent</x:v>
      </x:c>
    </x:row>
    <x:row r="15" ht="18" customHeight="1">
      <x:c r="A15" s="24" t="str">
        <x:v>EEZ_909</x:v>
      </x:c>
      <x:c r="B15" s="24" t="str">
        <x:v>functional_ppr_difference</x:v>
      </x:c>
      <x:c r="C15" s="24" t="n">
        <x:v>-3901.605882935706</x:v>
      </x:c>
      <x:c r="D15" s="24" t="str">
        <x:v>tonnes_primary_production_equivalent</x:v>
      </x:c>
    </x:row>
    <x:row r="16" ht="18" customHeight="1">
      <x:c r="A16" s="24" t="str">
        <x:v>EEZ_909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b7528a76d7b47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EEZ_909 - Sint Maarten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