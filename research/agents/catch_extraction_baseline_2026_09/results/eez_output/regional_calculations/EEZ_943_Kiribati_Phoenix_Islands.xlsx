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c31c61f6d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2c0b2cf7561748df"/>
    <x:sheet xmlns:r="http://schemas.openxmlformats.org/officeDocument/2006/relationships" name="Commercial" sheetId="2" r:id="Ra45e77e5a07d42ae"/>
    <x:sheet xmlns:r="http://schemas.openxmlformats.org/officeDocument/2006/relationships" name="Functional" sheetId="3" r:id="Ra0e574cf3bfd4aa7"/>
    <x:sheet xmlns:r="http://schemas.openxmlformats.org/officeDocument/2006/relationships" name="Missing TL" sheetId="4" r:id="R3b7a404ae5e04db9"/>
    <x:sheet xmlns:r="http://schemas.openxmlformats.org/officeDocument/2006/relationships" name="Validation" sheetId="5" r:id="Rbb3acfc9c85946c1"/>
    <x:sheet xmlns:r="http://schemas.openxmlformats.org/officeDocument/2006/relationships" name="Metadata" sheetId="6" r:id="R684ade86905f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8770e82024f56" /><Relationship Type="http://schemas.openxmlformats.org/officeDocument/2006/relationships/theme" Target="/xl/theme/theme1.xml" Id="R6ddce28d826746f2" /><Relationship Type="http://schemas.microsoft.com/office/2022/11/relationships/FeaturePropertyBag" Target="/xl/featurePropertyBag/featurePropertyBag.xml" Id="R4ed9e17c064c4bfa" /><Relationship Type="http://schemas.openxmlformats.org/officeDocument/2006/relationships/sharedStrings" Target="/xl/sharedStrings.xml" Id="R7feddca8790c4ea4" /><Relationship Type="http://schemas.openxmlformats.org/officeDocument/2006/relationships/worksheet" Target="/xl/worksheets/sheet1.xml" Id="R2c0b2cf7561748df" /><Relationship Type="http://schemas.openxmlformats.org/officeDocument/2006/relationships/worksheet" Target="/xl/worksheets/sheet2.xml" Id="Ra45e77e5a07d42ae" /><Relationship Type="http://schemas.openxmlformats.org/officeDocument/2006/relationships/worksheet" Target="/xl/worksheets/sheet3.xml" Id="Ra0e574cf3bfd4aa7" /><Relationship Type="http://schemas.openxmlformats.org/officeDocument/2006/relationships/worksheet" Target="/xl/worksheets/sheet4.xml" Id="R3b7a404ae5e04db9" /><Relationship Type="http://schemas.openxmlformats.org/officeDocument/2006/relationships/worksheet" Target="/xl/worksheets/sheet5.xml" Id="Rbb3acfc9c85946c1" /><Relationship Type="http://schemas.openxmlformats.org/officeDocument/2006/relationships/worksheet" Target="/xl/worksheets/sheet6.xml" Id="R684ade86905f4f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3SpeciesTable" displayName="EEZ943SpeciesTable" ref="A1:U31" headerRowCount="1" totalsRowCount="0" totalsRowShown="0">
  <x:autoFilter ref="A1:U3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3CommercialTable" displayName="EEZ943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3FunctionalTable" displayName="EEZ943FunctionalTable" ref="A1:E11" headerRowCount="1" totalsRowCount="0" totalsRowShown="0">
  <x:autoFilter ref="A1:E1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3ValidationTable" displayName="EEZ94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dfc782a80840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06076febcf4d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f177228214d42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54f8047a7c443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EEZ_943</x:v>
      </x:c>
      <x:c r="B2" s="24" t="str">
        <x:v>Kiribati (Phoenix Islands)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50280.7419943978</x:v>
      </x:c>
      <x:c r="J2" s="31" t="n">
        <x:v>50104.0900776817</x:v>
      </x:c>
      <x:c r="K2" s="31" t="n">
        <x:v>176.6519167161</x:v>
      </x:c>
      <x:c r="L2" s="31" t="n">
        <x:v>50104.0900776817</x:v>
      </x:c>
      <x:c r="M2" s="31" t="n">
        <x:v>176.6519167161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135332367.04519123</x:v>
      </x:c>
    </x:row>
    <x:row r="3" ht="18" customHeight="1">
      <x:c r="A3" s="24" t="str">
        <x:v>EEZ_943</x:v>
      </x:c>
      <x:c r="B3" s="24" t="str">
        <x:v>Kiribati (Phoenix Islands)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11304.1132923635</x:v>
      </x:c>
      <x:c r="J3" s="31" t="n">
        <x:v>11267.944818689999</x:v>
      </x:c>
      <x:c r="K3" s="31" t="n">
        <x:v>36.168473673499996</x:v>
      </x:c>
      <x:c r="L3" s="31" t="n">
        <x:v>11267.944818689999</x:v>
      </x:c>
      <x:c r="M3" s="31" t="n">
        <x:v>36.168473673499996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29056045.134632606</x:v>
      </x:c>
    </x:row>
    <x:row r="4" ht="18" customHeight="1">
      <x:c r="A4" s="24" t="str">
        <x:v>EEZ_943</x:v>
      </x:c>
      <x:c r="B4" s="24" t="str">
        <x:v>Kiribati (Phoenix Islands)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4463.5240805052</x:v>
      </x:c>
      <x:c r="J4" s="31" t="n">
        <x:v>2540.9682742129</x:v>
      </x:c>
      <x:c r="K4" s="31" t="n">
        <x:v>1922.5558062923</x:v>
      </x:c>
      <x:c r="L4" s="31" t="n">
        <x:v>2540.9682742129</x:v>
      </x:c>
      <x:c r="M4" s="31" t="n">
        <x:v>1922.5558062923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9992585.711535793</x:v>
      </x:c>
    </x:row>
    <x:row r="5" ht="18" customHeight="1">
      <x:c r="A5" s="24" t="str">
        <x:v>EEZ_943</x:v>
      </x:c>
      <x:c r="B5" s="24" t="str">
        <x:v>Kiribati (Phoenix Islands)</x:v>
      </x:c>
      <x:c r="C5" s="24" t="str">
        <x:v>EEZ</x:v>
      </x:c>
      <x:c r="D5" s="30" t="n">
        <x:v>2019</x:v>
      </x:c>
      <x:c r="E5" s="24" t="str">
        <x:v>Thunnus obesus</x:v>
      </x:c>
      <x:c r="F5" s="24" t="str">
        <x:v>Bigeye tuna</x:v>
      </x:c>
      <x:c r="G5" s="24" t="str">
        <x:v>Large pelagics (&gt;=90 cm)</x:v>
      </x:c>
      <x:c r="H5" s="24" t="str">
        <x:v>Tuna &amp; billfishes</x:v>
      </x:c>
      <x:c r="I5" s="31" t="n">
        <x:v>3772.7996587145</x:v>
      </x:c>
      <x:c r="J5" s="31" t="n">
        <x:v>3716.5443592989</x:v>
      </x:c>
      <x:c r="K5" s="31" t="n">
        <x:v>56.2552994156</x:v>
      </x:c>
      <x:c r="L5" s="31" t="n">
        <x:v>3716.5443592989</x:v>
      </x:c>
      <x:c r="M5" s="31" t="n">
        <x:v>56.2552994156</x:v>
      </x:c>
      <x:c r="N5" s="24" t="str">
        <x:v>thunnus obesus</x:v>
      </x:c>
      <x:c r="O5" s="32" t="n">
        <x:v>4.49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obesus</x:v>
      </x:c>
      <x:c r="T5" s="32" t="n">
        <x:f>IF(O5="","",(1/'Metadata'!$B$5)^(O5-1))</x:f>
        <x:v>3090.295432513592</x:v>
      </x:c>
      <x:c r="U5" s="31" t="n">
        <x:f>IF(T5="","",I5*T5)</x:f>
        <x:v>11659065.553114258</x:v>
      </x:c>
    </x:row>
    <x:row r="6" ht="18" customHeight="1">
      <x:c r="A6" s="24" t="str">
        <x:v>EEZ_943</x:v>
      </x:c>
      <x:c r="B6" s="24" t="str">
        <x:v>Kiribati (Phoenix Islands)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1831.3406814697</x:v>
      </x:c>
      <x:c r="J6" s="31" t="n">
        <x:v>1831.3240997545001</x:v>
      </x:c>
      <x:c r="K6" s="31" t="n">
        <x:v>0.0165817152</x:v>
      </x:c>
      <x:c r="L6" s="31" t="n">
        <x:v>1831.3240997545001</x:v>
      </x:c>
      <x:c r="M6" s="31" t="n">
        <x:v>0.0165817152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3654005.047605918</x:v>
      </x:c>
    </x:row>
    <x:row r="7" ht="18" customHeight="1">
      <x:c r="A7" s="24" t="str">
        <x:v>EEZ_943</x:v>
      </x:c>
      <x:c r="B7" s="24" t="str">
        <x:v>Kiribati (Phoenix Islands)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1481.1024238096</x:v>
      </x:c>
      <x:c r="J7" s="31" t="n">
        <x:v>189.7155894394</x:v>
      </x:c>
      <x:c r="K7" s="31" t="n">
        <x:v>1291.3868343702</x:v>
      </x:c>
      <x:c r="L7" s="31" t="n">
        <x:v>187.2993057708</x:v>
      </x:c>
      <x:c r="M7" s="31" t="n">
        <x:v>1293.8031180388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282218.24878493446</x:v>
      </x:c>
    </x:row>
    <x:row r="8" ht="18" customHeight="1">
      <x:c r="A8" s="24" t="str">
        <x:v>EEZ_943</x:v>
      </x:c>
      <x:c r="B8" s="24" t="str">
        <x:v>Kiribati (Phoenix Islands)</x:v>
      </x:c>
      <x:c r="C8" s="24" t="str">
        <x:v>EEZ</x:v>
      </x:c>
      <x:c r="D8" s="30" t="n">
        <x:v>2019</x:v>
      </x:c>
      <x:c r="E8" s="24" t="str">
        <x:v>Scombridae</x:v>
      </x:c>
      <x:c r="F8" s="24" t="str">
        <x:v>Mackerels, tunas, bonitos</x:v>
      </x:c>
      <x:c r="G8" s="24" t="str">
        <x:v>Medium pelagics (30 - 89 cm)</x:v>
      </x:c>
      <x:c r="H8" s="24" t="str">
        <x:v>Perch-likes</x:v>
      </x:c>
      <x:c r="I8" s="31" t="n">
        <x:v>748.2325519279999</x:v>
      </x:c>
      <x:c r="J8" s="31" t="n">
        <x:v>0.9474804356000001</x:v>
      </x:c>
      <x:c r="K8" s="31" t="n">
        <x:v>747.2850714924</x:v>
      </x:c>
      <x:c r="L8" s="31" t="n">
        <x:v>0.9474804356000001</x:v>
      </x:c>
      <x:c r="M8" s="31" t="n">
        <x:v>747.2850714924</x:v>
      </x:c>
      <x:c r="N8" s="24" t="str">
        <x:v>scombridae</x:v>
      </x:c>
      <x:c r="O8" s="32" t="n">
        <x:v>4.26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Scombridae</x:v>
      </x:c>
      <x:c r="T8" s="32" t="n">
        <x:f>IF(O8="","",(1/'Metadata'!$B$5)^(O8-1))</x:f>
        <x:v>1819.7008586099826</x:v>
      </x:c>
      <x:c r="U8" s="31" t="n">
        <x:f>IF(T8="","",I8*T8)</x:f>
        <x:v>1361559.4171833198</x:v>
      </x:c>
    </x:row>
    <x:row r="9" ht="18" customHeight="1">
      <x:c r="A9" s="24" t="str">
        <x:v>EEZ_943</x:v>
      </x:c>
      <x:c r="B9" s="24" t="str">
        <x:v>Kiribati (Phoenix Islands)</x:v>
      </x:c>
      <x:c r="C9" s="24" t="str">
        <x:v>EEZ</x:v>
      </x:c>
      <x:c r="D9" s="30" t="n">
        <x:v>2019</x:v>
      </x:c>
      <x:c r="E9" s="24" t="str">
        <x:v>Chondrichthyes</x:v>
      </x:c>
      <x:c r="F9" s="24" t="str">
        <x:v>Sharks, rays, chimaeras</x:v>
      </x:c>
      <x:c r="G9" s="24" t="str">
        <x:v>Large sharks (&gt;=90 cm)</x:v>
      </x:c>
      <x:c r="H9" s="24" t="str">
        <x:v>Sharks &amp; rays</x:v>
      </x:c>
      <x:c r="I9" s="31" t="n">
        <x:v>656.2167777962</x:v>
      </x:c>
      <x:c r="J9" s="31" t="n">
        <x:v>656.2167777962</x:v>
      </x:c>
      <x:c r="K9" s="31" t="n">
        <x:v>0</x:v>
      </x:c>
      <x:c r="L9" s="31" t="n">
        <x:v>656.2167777962</x:v>
      </x:c>
      <x:c r="M9" s="31" t="n">
        <x:v>0</x:v>
      </x:c>
      <x:c r="N9" s="24" t="str">
        <x:v>chondrichthyes</x:v>
      </x:c>
      <x:c r="O9" s="32" t="n">
        <x:v>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Chondrichthyes</x:v>
      </x:c>
      <x:c r="T9" s="32" t="n">
        <x:f>IF(O9="","",(1/'Metadata'!$B$5)^(O9-1))</x:f>
        <x:v>1000</x:v>
      </x:c>
      <x:c r="U9" s="31" t="n">
        <x:f>IF(T9="","",I9*T9)</x:f>
        <x:v>656216.7777961999</x:v>
      </x:c>
    </x:row>
    <x:row r="10" ht="18" customHeight="1">
      <x:c r="A10" s="24" t="str">
        <x:v>EEZ_943</x:v>
      </x:c>
      <x:c r="B10" s="24" t="str">
        <x:v>Kiribati (Phoenix Islands)</x:v>
      </x:c>
      <x:c r="C10" s="24" t="str">
        <x:v>EEZ</x:v>
      </x:c>
      <x:c r="D10" s="30" t="n">
        <x:v>2019</x:v>
      </x:c>
      <x:c r="E10" s="24" t="str">
        <x:v>Coryphaena hippurus</x:v>
      </x:c>
      <x:c r="F10" s="24" t="str">
        <x:v>Common dolphinfish</x:v>
      </x:c>
      <x:c r="G10" s="24" t="str">
        <x:v>Large pelagics (&gt;=90 cm)</x:v>
      </x:c>
      <x:c r="H10" s="24" t="str">
        <x:v>Perch-likes</x:v>
      </x:c>
      <x:c r="I10" s="31" t="n">
        <x:v>575.1209939923</x:v>
      </x:c>
      <x:c r="J10" s="31" t="n">
        <x:v>0</x:v>
      </x:c>
      <x:c r="K10" s="31" t="n">
        <x:v>575.1209939923</x:v>
      </x:c>
      <x:c r="L10" s="31" t="n">
        <x:v>0</x:v>
      </x:c>
      <x:c r="M10" s="31" t="n">
        <x:v>575.1209939923</x:v>
      </x:c>
      <x:c r="N10" s="24" t="str">
        <x:v>coryphaena hippurus</x:v>
      </x:c>
      <x:c r="O10" s="32" t="n">
        <x:v>4.37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Coryphaena hippurus</x:v>
      </x:c>
      <x:c r="T10" s="32" t="n">
        <x:f>IF(O10="","",(1/'Metadata'!$B$5)^(O10-1))</x:f>
        <x:v>2344.228815319923</x:v>
      </x:c>
      <x:c r="U10" s="31" t="n">
        <x:f>IF(T10="","",I10*T10)</x:f>
        <x:v>1348215.206412186</x:v>
      </x:c>
    </x:row>
    <x:row r="11" ht="18" customHeight="1">
      <x:c r="A11" s="24" t="str">
        <x:v>EEZ_943</x:v>
      </x:c>
      <x:c r="B11" s="24" t="str">
        <x:v>Kiribati (Phoenix Islands)</x:v>
      </x:c>
      <x:c r="C11" s="24" t="str">
        <x:v>EEZ</x:v>
      </x:c>
      <x:c r="D11" s="30" t="n">
        <x:v>2019</x:v>
      </x:c>
      <x:c r="E11" s="24" t="str">
        <x:v>Marine pelagic fishes not identified</x:v>
      </x:c>
      <x:c r="F11" s="24" t="str">
        <x:v>Pelagic fishes</x:v>
      </x:c>
      <x:c r="G11" s="24" t="str">
        <x:v>Medium pelagics (30 - 89 cm)</x:v>
      </x:c>
      <x:c r="H11" s="24" t="str">
        <x:v>Other fishes &amp; inverts</x:v>
      </x:c>
      <x:c r="I11" s="31" t="n">
        <x:v>506.24111376310003</x:v>
      </x:c>
      <x:c r="J11" s="31" t="n">
        <x:v>349.2693002125</x:v>
      </x:c>
      <x:c r="K11" s="31" t="n">
        <x:v>156.9718135506</x:v>
      </x:c>
      <x:c r="L11" s="31" t="n">
        <x:v>349.2693002125</x:v>
      </x:c>
      <x:c r="M11" s="31" t="n">
        <x:v>156.9718135506</x:v>
      </x:c>
      <x:c r="N11" s="24" t="str">
        <x:v>marine pelagic fishes not identified</x:v>
      </x:c>
      <x:c r="O11" s="32" t="n">
        <x:v>3.35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Marine pelagic fishes not identified</x:v>
      </x:c>
      <x:c r="T11" s="32" t="n">
        <x:f>IF(O11="","",(1/'Metadata'!$B$5)^(O11-1))</x:f>
        <x:v>223.872113856834</x:v>
      </x:c>
      <x:c r="U11" s="31" t="n">
        <x:f>IF(T11="","",I11*T11)</x:f>
        <x:v>113333.26825938319</x:v>
      </x:c>
    </x:row>
    <x:row r="12" ht="18" customHeight="1">
      <x:c r="A12" s="24" t="str">
        <x:v>EEZ_943</x:v>
      </x:c>
      <x:c r="B12" s="24" t="str">
        <x:v>Kiribati (Phoenix Islands)</x:v>
      </x:c>
      <x:c r="C12" s="24" t="str">
        <x:v>EEZ</x:v>
      </x:c>
      <x:c r="D12" s="30" t="n">
        <x:v>2019</x:v>
      </x:c>
      <x:c r="E12" s="24" t="str">
        <x:v>Elasmobranchii</x:v>
      </x:c>
      <x:c r="F12" s="24" t="str">
        <x:v>Sharks, rays, skates</x:v>
      </x:c>
      <x:c r="G12" s="24" t="str">
        <x:v>Large sharks (&gt;=90 cm)</x:v>
      </x:c>
      <x:c r="H12" s="24" t="str">
        <x:v>Sharks &amp; rays</x:v>
      </x:c>
      <x:c r="I12" s="31" t="n">
        <x:v>495.6647918128</x:v>
      </x:c>
      <x:c r="J12" s="31" t="n">
        <x:v>7.452468552400001</x:v>
      </x:c>
      <x:c r="K12" s="31" t="n">
        <x:v>488.2123232604</x:v>
      </x:c>
      <x:c r="L12" s="31" t="n">
        <x:v>7.155937762700001</x:v>
      </x:c>
      <x:c r="M12" s="31" t="n">
        <x:v>488.5088540501</x:v>
      </x:c>
      <x:c r="N12" s="24" t="str">
        <x:v>elasmobranchii</x:v>
      </x:c>
      <x:c r="O12" s="32" t="n">
        <x:v>4.05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Elasmobranchii</x:v>
      </x:c>
      <x:c r="T12" s="32" t="n">
        <x:f>IF(O12="","",(1/'Metadata'!$B$5)^(O12-1))</x:f>
        <x:v>1122.018454301963</x:v>
      </x:c>
      <x:c r="U12" s="31" t="n">
        <x:f>IF(T12="","",I12*T12)</x:f>
        <x:v>556145.0435617021</x:v>
      </x:c>
    </x:row>
    <x:row r="13" ht="18" customHeight="1">
      <x:c r="A13" s="24" t="str">
        <x:v>EEZ_943</x:v>
      </x:c>
      <x:c r="B13" s="24" t="str">
        <x:v>Kiribati (Phoenix Islands)</x:v>
      </x:c>
      <x:c r="C13" s="24" t="str">
        <x:v>EEZ</x:v>
      </x:c>
      <x:c r="D13" s="30" t="n">
        <x:v>2019</x:v>
      </x:c>
      <x:c r="E13" s="24" t="str">
        <x:v>Thunnus orientalis</x:v>
      </x:c>
      <x:c r="F13" s="24" t="str">
        <x:v>Pacific bluefin tuna</x:v>
      </x:c>
      <x:c r="G13" s="24" t="str">
        <x:v>Large pelagics (&gt;=90 cm)</x:v>
      </x:c>
      <x:c r="H13" s="24" t="str">
        <x:v>Tuna &amp; billfishes</x:v>
      </x:c>
      <x:c r="I13" s="31" t="n">
        <x:v>361.94082801250005</x:v>
      </x:c>
      <x:c r="J13" s="31" t="n">
        <x:v>361.0521342527</x:v>
      </x:c>
      <x:c r="K13" s="31" t="n">
        <x:v>0.8886937598</x:v>
      </x:c>
      <x:c r="L13" s="31" t="n">
        <x:v>361.0521342527</x:v>
      </x:c>
      <x:c r="M13" s="31" t="n">
        <x:v>0.8886937598</x:v>
      </x:c>
      <x:c r="N13" s="24" t="str">
        <x:v>thunnus orientalis</x:v>
      </x:c>
      <x:c r="O13" s="32" t="n">
        <x:v>4.05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orientalis</x:v>
      </x:c>
      <x:c r="T13" s="32" t="n">
        <x:f>IF(O13="","",(1/'Metadata'!$B$5)^(O13-1))</x:f>
        <x:v>1122.018454301963</x:v>
      </x:c>
      <x:c r="U13" s="31" t="n">
        <x:f>IF(T13="","",I13*T13)</x:f>
        <x:v>406104.2883953579</x:v>
      </x:c>
    </x:row>
    <x:row r="14" ht="18" customHeight="1">
      <x:c r="A14" s="24" t="str">
        <x:v>EEZ_943</x:v>
      </x:c>
      <x:c r="B14" s="24" t="str">
        <x:v>Kiribati (Phoenix Islands)</x:v>
      </x:c>
      <x:c r="C14" s="24" t="str">
        <x:v>EEZ</x:v>
      </x:c>
      <x:c r="D14" s="30" t="n">
        <x:v>2019</x:v>
      </x:c>
      <x:c r="E14" s="24" t="str">
        <x:v>Xiphias gladius</x:v>
      </x:c>
      <x:c r="F14" s="24" t="str">
        <x:v>Swordfish</x:v>
      </x:c>
      <x:c r="G14" s="24" t="str">
        <x:v>Large pelagics (&gt;=90 cm)</x:v>
      </x:c>
      <x:c r="H14" s="24" t="str">
        <x:v>Tuna &amp; billfishes</x:v>
      </x:c>
      <x:c r="I14" s="31" t="n">
        <x:v>352.6157763077</x:v>
      </x:c>
      <x:c r="J14" s="31" t="n">
        <x:v>125.9964750543</x:v>
      </x:c>
      <x:c r="K14" s="31" t="n">
        <x:v>226.6193012534</x:v>
      </x:c>
      <x:c r="L14" s="31" t="n">
        <x:v>125.9964750543</x:v>
      </x:c>
      <x:c r="M14" s="31" t="n">
        <x:v>226.6193012534</x:v>
      </x:c>
      <x:c r="N14" s="24" t="str">
        <x:v>xiphias gladius</x:v>
      </x:c>
      <x:c r="O14" s="32" t="n">
        <x:v>4.53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Xiphias gladius</x:v>
      </x:c>
      <x:c r="T14" s="32" t="n">
        <x:f>IF(O14="","",(1/'Metadata'!$B$5)^(O14-1))</x:f>
        <x:v>3388.4415613920273</x:v>
      </x:c>
      <x:c r="U14" s="31" t="n">
        <x:f>IF(T14="","",I14*T14)</x:f>
        <x:v>1194817.951643525</x:v>
      </x:c>
    </x:row>
    <x:row r="15" ht="18" customHeight="1">
      <x:c r="A15" s="24" t="str">
        <x:v>EEZ_943</x:v>
      </x:c>
      <x:c r="B15" s="24" t="str">
        <x:v>Kiribati (Phoenix Islands)</x:v>
      </x:c>
      <x:c r="C15" s="24" t="str">
        <x:v>EEZ</x:v>
      </x:c>
      <x:c r="D15" s="30" t="n">
        <x:v>2019</x:v>
      </x:c>
      <x:c r="E15" s="24" t="str">
        <x:v>Isurus</x:v>
      </x:c>
      <x:c r="F15" s="24" t="str">
        <x:v>Mako sharks</x:v>
      </x:c>
      <x:c r="G15" s="24" t="str">
        <x:v>Large sharks (&gt;=90 cm)</x:v>
      </x:c>
      <x:c r="H15" s="24" t="str">
        <x:v>Sharks &amp; rays</x:v>
      </x:c>
      <x:c r="I15" s="31" t="n">
        <x:v>262.1409482396</x:v>
      </x:c>
      <x:c r="J15" s="31" t="n">
        <x:v>85.7381454377</x:v>
      </x:c>
      <x:c r="K15" s="31" t="n">
        <x:v>176.4028028019</x:v>
      </x:c>
      <x:c r="L15" s="31" t="n">
        <x:v>85.7381454377</x:v>
      </x:c>
      <x:c r="M15" s="31" t="n">
        <x:v>176.4028028019</x:v>
      </x:c>
      <x:c r="N15" s="24" t="str">
        <x:v>isurus</x:v>
      </x:c>
      <x:c r="O15" s="32" t="n">
        <x:v>4.5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Isurus</x:v>
      </x:c>
      <x:c r="T15" s="32" t="n">
        <x:f>IF(O15="","",(1/'Metadata'!$B$5)^(O15-1))</x:f>
        <x:v>3162.2776601683795</x:v>
      </x:c>
      <x:c r="U15" s="31" t="n">
        <x:f>IF(T15="","",I15*T15)</x:f>
        <x:v>828962.4644334426</x:v>
      </x:c>
    </x:row>
    <x:row r="16" ht="18" customHeight="1">
      <x:c r="A16" s="24" t="str">
        <x:v>EEZ_943</x:v>
      </x:c>
      <x:c r="B16" s="24" t="str">
        <x:v>Kiribati (Phoenix Islands)</x:v>
      </x:c>
      <x:c r="C16" s="24" t="str">
        <x:v>EEZ</x:v>
      </x:c>
      <x:c r="D16" s="30" t="n">
        <x:v>2019</x:v>
      </x:c>
      <x:c r="E16" s="24" t="str">
        <x:v>Carangidae</x:v>
      </x:c>
      <x:c r="F16" s="24" t="str">
        <x:v>Jacks, pompanos</x:v>
      </x:c>
      <x:c r="G16" s="24" t="str">
        <x:v>Medium pelagics (30 - 89 cm)</x:v>
      </x:c>
      <x:c r="H16" s="24" t="str">
        <x:v>Perch-likes</x:v>
      </x:c>
      <x:c r="I16" s="31" t="n">
        <x:v>209.6967441934</x:v>
      </x:c>
      <x:c r="J16" s="31" t="n">
        <x:v>0.3098832467</x:v>
      </x:c>
      <x:c r="K16" s="31" t="n">
        <x:v>209.38686094669998</x:v>
      </x:c>
      <x:c r="L16" s="31" t="n">
        <x:v>0</x:v>
      </x:c>
      <x:c r="M16" s="31" t="n">
        <x:v>209.6967441934</x:v>
      </x:c>
      <x:c r="N16" s="24" t="str">
        <x:v>carangidae</x:v>
      </x:c>
      <x:c r="O16" s="32" t="n">
        <x:v>4.05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Carangidae</x:v>
      </x:c>
      <x:c r="T16" s="32" t="n">
        <x:f>IF(O16="","",(1/'Metadata'!$B$5)^(O16-1))</x:f>
        <x:v>1122.018454301963</x:v>
      </x:c>
      <x:c r="U16" s="31" t="n">
        <x:f>IF(T16="","",I16*T16)</x:f>
        <x:v>235283.6167920328</x:v>
      </x:c>
    </x:row>
    <x:row r="17" ht="18" customHeight="1">
      <x:c r="A17" s="24" t="str">
        <x:v>EEZ_943</x:v>
      </x:c>
      <x:c r="B17" s="24" t="str">
        <x:v>Kiribati (Phoenix Islands)</x:v>
      </x:c>
      <x:c r="C17" s="24" t="str">
        <x:v>EEZ</x:v>
      </x:c>
      <x:c r="D17" s="30" t="n">
        <x:v>2019</x:v>
      </x:c>
      <x:c r="E17" s="24" t="str">
        <x:v>Istiophoridae</x:v>
      </x:c>
      <x:c r="F17" s="24" t="str">
        <x:v>Billfishes</x:v>
      </x:c>
      <x:c r="G17" s="24" t="str">
        <x:v>Large pelagics (&gt;=90 cm)</x:v>
      </x:c>
      <x:c r="H17" s="24" t="str">
        <x:v>Tuna &amp; billfishes</x:v>
      </x:c>
      <x:c r="I17" s="31" t="n">
        <x:v>154.5833188423</x:v>
      </x:c>
      <x:c r="J17" s="31" t="n">
        <x:v>0</x:v>
      </x:c>
      <x:c r="K17" s="31" t="n">
        <x:v>154.5833188423</x:v>
      </x:c>
      <x:c r="L17" s="31" t="n">
        <x:v>0</x:v>
      </x:c>
      <x:c r="M17" s="31" t="n">
        <x:v>154.5833188423</x:v>
      </x:c>
      <x:c r="N17" s="24" t="str">
        <x:v>istiophoridae</x:v>
      </x:c>
      <x:c r="O17" s="32" t="n">
        <x:v>4.48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Istiophoridae</x:v>
      </x:c>
      <x:c r="T17" s="32" t="n">
        <x:f>IF(O17="","",(1/'Metadata'!$B$5)^(O17-1))</x:f>
        <x:v>3019.951720402019</x:v>
      </x:c>
      <x:c r="U17" s="31" t="n">
        <x:f>IF(T17="","",I17*T17)</x:f>
        <x:v>466834.15968325775</x:v>
      </x:c>
    </x:row>
    <x:row r="18" ht="18" customHeight="1">
      <x:c r="A18" s="24" t="str">
        <x:v>EEZ_943</x:v>
      </x:c>
      <x:c r="B18" s="24" t="str">
        <x:v>Kiribati (Phoenix Islands)</x:v>
      </x:c>
      <x:c r="C18" s="24" t="str">
        <x:v>EEZ</x:v>
      </x:c>
      <x:c r="D18" s="30" t="n">
        <x:v>2019</x:v>
      </x:c>
      <x:c r="E18" s="24" t="str">
        <x:v>Carcharhinus longimanus</x:v>
      </x:c>
      <x:c r="F18" s="24" t="str">
        <x:v>Oceanic whitetip shark</x:v>
      </x:c>
      <x:c r="G18" s="24" t="str">
        <x:v>Large sharks (&gt;=90 cm)</x:v>
      </x:c>
      <x:c r="H18" s="24" t="str">
        <x:v>Sharks &amp; rays</x:v>
      </x:c>
      <x:c r="I18" s="31" t="n">
        <x:v>86.9660452761</x:v>
      </x:c>
      <x:c r="J18" s="31" t="n">
        <x:v>20.9678911373</x:v>
      </x:c>
      <x:c r="K18" s="31" t="n">
        <x:v>65.9981541388</x:v>
      </x:c>
      <x:c r="L18" s="31" t="n">
        <x:v>20.9678911373</x:v>
      </x:c>
      <x:c r="M18" s="31" t="n">
        <x:v>65.9981541388</x:v>
      </x:c>
      <x:c r="N18" s="24" t="str">
        <x:v>carcharhinus longimanus</x:v>
      </x:c>
      <x:c r="O18" s="32" t="n">
        <x:v>4.16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longimanus</x:v>
      </x:c>
      <x:c r="T18" s="32" t="n">
        <x:f>IF(O18="","",(1/'Metadata'!$B$5)^(O18-1))</x:f>
        <x:v>1445.439770745928</x:v>
      </x:c>
      <x:c r="U18" s="31" t="n">
        <x:f>IF(T18="","",I18*T18)</x:f>
        <x:v>125704.18054656599</x:v>
      </x:c>
    </x:row>
    <x:row r="19" ht="18" customHeight="1">
      <x:c r="A19" s="24" t="str">
        <x:v>EEZ_943</x:v>
      </x:c>
      <x:c r="B19" s="24" t="str">
        <x:v>Kiribati (Phoenix Islands)</x:v>
      </x:c>
      <x:c r="C19" s="24" t="str">
        <x:v>EEZ</x:v>
      </x:c>
      <x:c r="D19" s="30" t="n">
        <x:v>2019</x:v>
      </x:c>
      <x:c r="E19" s="24" t="str">
        <x:v>Alopias</x:v>
      </x:c>
      <x:c r="F19" s="24" t="str">
        <x:v>Thresher sharks</x:v>
      </x:c>
      <x:c r="G19" s="24" t="str">
        <x:v>Large sharks (&gt;=90 cm)</x:v>
      </x:c>
      <x:c r="H19" s="24" t="str">
        <x:v>Sharks &amp; rays</x:v>
      </x:c>
      <x:c r="I19" s="31" t="n">
        <x:v>73.4506419702</x:v>
      </x:c>
      <x:c r="J19" s="31" t="n">
        <x:v>53.5831845472</x:v>
      </x:c>
      <x:c r="K19" s="31" t="n">
        <x:v>19.867457423</x:v>
      </x:c>
      <x:c r="L19" s="31" t="n">
        <x:v>53.5831845472</x:v>
      </x:c>
      <x:c r="M19" s="31" t="n">
        <x:v>19.867457423</x:v>
      </x:c>
      <x:c r="N19" s="24" t="str">
        <x:v>alopias</x:v>
      </x:c>
      <x:c r="O19" s="32" t="n">
        <x:v>4.5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Alopias</x:v>
      </x:c>
      <x:c r="T19" s="32" t="n">
        <x:f>IF(O19="","",(1/'Metadata'!$B$5)^(O19-1))</x:f>
        <x:v>3162.2776601683795</x:v>
      </x:c>
      <x:c r="U19" s="31" t="n">
        <x:f>IF(T19="","",I19*T19)</x:f>
        <x:v>232271.3242273894</x:v>
      </x:c>
    </x:row>
    <x:row r="20" ht="18" customHeight="1">
      <x:c r="A20" s="24" t="str">
        <x:v>EEZ_943</x:v>
      </x:c>
      <x:c r="B20" s="24" t="str">
        <x:v>Kiribati (Phoenix Islands)</x:v>
      </x:c>
      <x:c r="C20" s="24" t="str">
        <x:v>EEZ</x:v>
      </x:c>
      <x:c r="D20" s="30" t="n">
        <x:v>2019</x:v>
      </x:c>
      <x:c r="E20" s="24" t="str">
        <x:v>Isurus oxyrinchus</x:v>
      </x:c>
      <x:c r="F20" s="24" t="str">
        <x:v>Shortfin mako</x:v>
      </x:c>
      <x:c r="G20" s="24" t="str">
        <x:v>Large sharks (&gt;=90 cm)</x:v>
      </x:c>
      <x:c r="H20" s="24" t="str">
        <x:v>Sharks &amp; rays</x:v>
      </x:c>
      <x:c r="I20" s="31" t="n">
        <x:v>52.3559399173</x:v>
      </x:c>
      <x:c r="J20" s="31" t="n">
        <x:v>52.3559399173</x:v>
      </x:c>
      <x:c r="K20" s="31" t="n">
        <x:v>0</x:v>
      </x:c>
      <x:c r="L20" s="31" t="n">
        <x:v>52.3559399173</x:v>
      </x:c>
      <x:c r="M20" s="31" t="n">
        <x:v>0</x:v>
      </x:c>
      <x:c r="N20" s="24" t="str">
        <x:v>isurus oxyrinchus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Isurus oxyrinchus</x:v>
      </x:c>
      <x:c r="T20" s="32" t="n">
        <x:f>IF(O20="","",(1/'Metadata'!$B$5)^(O20-1))</x:f>
        <x:v>3162.2776601683795</x:v>
      </x:c>
      <x:c r="U20" s="31" t="n">
        <x:f>IF(T20="","",I20*T20)</x:f>
        <x:v>165564.0191775957</x:v>
      </x:c>
    </x:row>
    <x:row r="21" ht="18" customHeight="1">
      <x:c r="A21" s="24" t="str">
        <x:v>EEZ_943</x:v>
      </x:c>
      <x:c r="B21" s="24" t="str">
        <x:v>Kiribati (Phoenix Islands)</x:v>
      </x:c>
      <x:c r="C21" s="24" t="str">
        <x:v>EEZ</x:v>
      </x:c>
      <x:c r="D21" s="30" t="n">
        <x:v>2019</x:v>
      </x:c>
      <x:c r="E21" s="24" t="str">
        <x:v>Acanthocybium solandri</x:v>
      </x:c>
      <x:c r="F21" s="24" t="str">
        <x:v>Wahoo</x:v>
      </x:c>
      <x:c r="G21" s="24" t="str">
        <x:v>Large pelagics (&gt;=90 cm)</x:v>
      </x:c>
      <x:c r="H21" s="24" t="str">
        <x:v>Perch-likes</x:v>
      </x:c>
      <x:c r="I21" s="31" t="n">
        <x:v>38.7712434495</x:v>
      </x:c>
      <x:c r="J21" s="31" t="n">
        <x:v>0</x:v>
      </x:c>
      <x:c r="K21" s="31" t="n">
        <x:v>38.7712434495</x:v>
      </x:c>
      <x:c r="L21" s="31" t="n">
        <x:v>0</x:v>
      </x:c>
      <x:c r="M21" s="31" t="n">
        <x:v>38.7712434495</x:v>
      </x:c>
      <x:c r="N21" s="24" t="str">
        <x:v>acanthocybium solandri</x:v>
      </x:c>
      <x:c r="O21" s="32" t="n">
        <x:v>4.26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Acanthocybium solandri</x:v>
      </x:c>
      <x:c r="T21" s="32" t="n">
        <x:f>IF(O21="","",(1/'Metadata'!$B$5)^(O21-1))</x:f>
        <x:v>1819.7008586099826</x:v>
      </x:c>
      <x:c r="U21" s="31" t="n">
        <x:f>IF(T21="","",I21*T21)</x:f>
        <x:v>70552.06499443181</x:v>
      </x:c>
    </x:row>
    <x:row r="22" ht="18" customHeight="1">
      <x:c r="A22" s="24" t="str">
        <x:v>EEZ_943</x:v>
      </x:c>
      <x:c r="B22" s="24" t="str">
        <x:v>Kiribati (Phoenix Islands)</x:v>
      </x:c>
      <x:c r="C22" s="24" t="str">
        <x:v>EEZ</x:v>
      </x:c>
      <x:c r="D22" s="30" t="n">
        <x:v>2019</x:v>
      </x:c>
      <x:c r="E22" s="24" t="str">
        <x:v>Kajikia audax</x:v>
      </x:c>
      <x:c r="F22" s="24" t="str">
        <x:v>Striped marlin</x:v>
      </x:c>
      <x:c r="G22" s="24" t="str">
        <x:v>Large pelagics (&gt;=90 cm)</x:v>
      </x:c>
      <x:c r="H22" s="24" t="str">
        <x:v>Tuna &amp; billfishes</x:v>
      </x:c>
      <x:c r="I22" s="31" t="n">
        <x:v>19.9413217964</x:v>
      </x:c>
      <x:c r="J22" s="31" t="n">
        <x:v>19.9413217964</x:v>
      </x:c>
      <x:c r="K22" s="31" t="n">
        <x:v>0</x:v>
      </x:c>
      <x:c r="L22" s="31" t="n">
        <x:v>19.9413217964</x:v>
      </x:c>
      <x:c r="M22" s="31" t="n">
        <x:v>0</x:v>
      </x:c>
      <x:c r="N22" s="24" t="str">
        <x:v>kajikia audax</x:v>
      </x:c>
      <x:c r="O22" s="32" t="n">
        <x:v>4.58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Kajikia audax</x:v>
      </x:c>
      <x:c r="T22" s="32" t="n">
        <x:f>IF(O22="","",(1/'Metadata'!$B$5)^(O22-1))</x:f>
        <x:v>3801.8939632056126</x:v>
      </x:c>
      <x:c r="U22" s="31" t="n">
        <x:f>IF(T22="","",I22*T22)</x:f>
        <x:v>75814.79095607366</x:v>
      </x:c>
    </x:row>
    <x:row r="23" ht="18" customHeight="1">
      <x:c r="A23" s="24" t="str">
        <x:v>EEZ_943</x:v>
      </x:c>
      <x:c r="B23" s="24" t="str">
        <x:v>Kiribati (Phoenix Islands)</x:v>
      </x:c>
      <x:c r="C23" s="24" t="str">
        <x:v>EEZ</x:v>
      </x:c>
      <x:c r="D23" s="30" t="n">
        <x:v>2019</x:v>
      </x:c>
      <x:c r="E23" s="24" t="str">
        <x:v>Istiompax indica</x:v>
      </x:c>
      <x:c r="F23" s="24" t="str">
        <x:v>Black marlin</x:v>
      </x:c>
      <x:c r="G23" s="24" t="str">
        <x:v>Large pelagics (&gt;=90 cm)</x:v>
      </x:c>
      <x:c r="H23" s="24" t="str">
        <x:v>Tuna &amp; billfishes</x:v>
      </x:c>
      <x:c r="I23" s="31" t="n">
        <x:v>18.405791294300002</x:v>
      </x:c>
      <x:c r="J23" s="31" t="n">
        <x:v>18.405791294300002</x:v>
      </x:c>
      <x:c r="K23" s="31" t="n">
        <x:v>0</x:v>
      </x:c>
      <x:c r="L23" s="31" t="n">
        <x:v>18.405791294300002</x:v>
      </x:c>
      <x:c r="M23" s="31" t="n">
        <x:v>0</x:v>
      </x:c>
      <x:c r="N23" s="24" t="str">
        <x:v>istiompax indica</x:v>
      </x:c>
      <x:c r="O23" s="32" t="n">
        <x:v>4.5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Istiompax indica</x:v>
      </x:c>
      <x:c r="T23" s="32" t="n">
        <x:f>IF(O23="","",(1/'Metadata'!$B$5)^(O23-1))</x:f>
        <x:v>3162.2776601683795</x:v>
      </x:c>
      <x:c r="U23" s="31" t="n">
        <x:f>IF(T23="","",I23*T23)</x:f>
        <x:v>58204.22262768654</x:v>
      </x:c>
    </x:row>
    <x:row r="24" ht="18" customHeight="1">
      <x:c r="A24" s="24" t="str">
        <x:v>EEZ_943</x:v>
      </x:c>
      <x:c r="B24" s="24" t="str">
        <x:v>Kiribati (Phoenix Islands)</x:v>
      </x:c>
      <x:c r="C24" s="24" t="str">
        <x:v>EEZ</x:v>
      </x:c>
      <x:c r="D24" s="30" t="n">
        <x:v>2019</x:v>
      </x:c>
      <x:c r="E24" s="24" t="str">
        <x:v>Sphyrna</x:v>
      </x:c>
      <x:c r="F24" s="24" t="str">
        <x:v>Hammerhead sharks</x:v>
      </x:c>
      <x:c r="G24" s="24" t="str">
        <x:v>Large sharks (&gt;=90 cm)</x:v>
      </x:c>
      <x:c r="H24" s="24" t="str">
        <x:v>Sharks &amp; rays</x:v>
      </x:c>
      <x:c r="I24" s="31" t="n">
        <x:v>12.1937170832</x:v>
      </x:c>
      <x:c r="J24" s="31" t="n">
        <x:v>12.1937170832</x:v>
      </x:c>
      <x:c r="K24" s="31" t="n">
        <x:v>0</x:v>
      </x:c>
      <x:c r="L24" s="31" t="n">
        <x:v>12.1937170832</x:v>
      </x:c>
      <x:c r="M24" s="31" t="n">
        <x:v>0</x:v>
      </x:c>
      <x:c r="N24" s="24" t="str">
        <x:v>sphyrna</x:v>
      </x:c>
      <x:c r="O24" s="32" t="n">
        <x:v>4.2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Sphyrna</x:v>
      </x:c>
      <x:c r="T24" s="32" t="n">
        <x:f>IF(O24="","",(1/'Metadata'!$B$5)^(O24-1))</x:f>
        <x:v>1584.893192461114</x:v>
      </x:c>
      <x:c r="U24" s="31" t="n">
        <x:f>IF(T24="","",I24*T24)</x:f>
        <x:v>19325.739195960472</x:v>
      </x:c>
    </x:row>
    <x:row r="25" ht="18" customHeight="1">
      <x:c r="A25" s="24" t="str">
        <x:v>EEZ_943</x:v>
      </x:c>
      <x:c r="B25" s="24" t="str">
        <x:v>Kiribati (Phoenix Islands)</x:v>
      </x:c>
      <x:c r="C25" s="24" t="str">
        <x:v>EEZ</x:v>
      </x:c>
      <x:c r="D25" s="30" t="n">
        <x:v>2019</x:v>
      </x:c>
      <x:c r="E25" s="24" t="str">
        <x:v>Mollusca</x:v>
      </x:c>
      <x:c r="F25" s="24" t="str">
        <x:v>Clams, seasnails, squids, octopuses</x:v>
      </x:c>
      <x:c r="G25" s="24" t="str">
        <x:v>Other demersal invertebrates</x:v>
      </x:c>
      <x:c r="H25" s="24" t="str">
        <x:v>Molluscs</x:v>
      </x:c>
      <x:c r="I25" s="31" t="n">
        <x:v>1.2196684642</x:v>
      </x:c>
      <x:c r="J25" s="31" t="n">
        <x:v>1.2196684642</x:v>
      </x:c>
      <x:c r="K25" s="31" t="n">
        <x:v>0</x:v>
      </x:c>
      <x:c r="L25" s="31" t="n">
        <x:v>0</x:v>
      </x:c>
      <x:c r="M25" s="31" t="n">
        <x:v>1.2196684642</x:v>
      </x:c>
      <x:c r="N25" s="24" t="str">
        <x:v>mollusca</x:v>
      </x:c>
      <x:c r="O25" s="32" t="n">
        <x:v>2.1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Mollusca</x:v>
      </x:c>
      <x:c r="T25" s="32" t="n">
        <x:f>IF(O25="","",(1/'Metadata'!$B$5)^(O25-1))</x:f>
        <x:v>12.589254117941675</x:v>
      </x:c>
      <x:c r="U25" s="31" t="n">
        <x:f>IF(T25="","",I25*T25)</x:f>
        <x:v>15.354716235453447</x:v>
      </x:c>
    </x:row>
    <x:row r="26" ht="18" customHeight="1">
      <x:c r="A26" s="24" t="str">
        <x:v>EEZ_943</x:v>
      </x:c>
      <x:c r="B26" s="24" t="str">
        <x:v>Kiribati (Phoenix Islands)</x:v>
      </x:c>
      <x:c r="C26" s="24" t="str">
        <x:v>EEZ</x:v>
      </x:c>
      <x:c r="D26" s="30" t="n">
        <x:v>2019</x:v>
      </x:c>
      <x:c r="E26" s="24" t="str">
        <x:v>Mugilidae</x:v>
      </x:c>
      <x:c r="F26" s="24" t="str">
        <x:v>Mullets, grey mullets</x:v>
      </x:c>
      <x:c r="G26" s="24" t="str">
        <x:v>Medium reef assoc. fish (30 - 89 cm)</x:v>
      </x:c>
      <x:c r="H26" s="24" t="str">
        <x:v>Perch-likes</x:v>
      </x:c>
      <x:c r="I26" s="31" t="n">
        <x:v>0.4348286232</x:v>
      </x:c>
      <x:c r="J26" s="31" t="n">
        <x:v>0.4348286232</x:v>
      </x:c>
      <x:c r="K26" s="31" t="n">
        <x:v>0</x:v>
      </x:c>
      <x:c r="L26" s="31" t="n">
        <x:v>0</x:v>
      </x:c>
      <x:c r="M26" s="31" t="n">
        <x:v>0.4348286232</x:v>
      </x:c>
      <x:c r="N26" s="24" t="str">
        <x:v>mugilidae</x:v>
      </x:c>
      <x:c r="O26" s="32" t="n">
        <x:v>2.53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Mugilidae</x:v>
      </x:c>
      <x:c r="T26" s="32" t="n">
        <x:f>IF(O26="","",(1/'Metadata'!$B$5)^(O26-1))</x:f>
        <x:v>33.88441561392024</x:v>
      </x:c>
      <x:c r="U26" s="31" t="n">
        <x:f>IF(T26="","",I26*T26)</x:f>
        <x:v>14.733913789337521</x:v>
      </x:c>
    </x:row>
    <x:row r="27" ht="18" customHeight="1">
      <x:c r="A27" s="24" t="str">
        <x:v>EEZ_943</x:v>
      </x:c>
      <x:c r="B27" s="24" t="str">
        <x:v>Kiribati (Phoenix Islands)</x:v>
      </x:c>
      <x:c r="C27" s="24" t="str">
        <x:v>EEZ</x:v>
      </x:c>
      <x:c r="D27" s="30" t="n">
        <x:v>2019</x:v>
      </x:c>
      <x:c r="E27" s="24" t="str">
        <x:v>Gerreidae</x:v>
      </x:c>
      <x:c r="F27" s="24" t="str">
        <x:v>Mojarras, silverbellies</x:v>
      </x:c>
      <x:c r="G27" s="24" t="str">
        <x:v>Small benthopelagics (&lt;30 cm)</x:v>
      </x:c>
      <x:c r="H27" s="24" t="str">
        <x:v>Perch-likes</x:v>
      </x:c>
      <x:c r="I27" s="31" t="n">
        <x:v>0.3423382338</x:v>
      </x:c>
      <x:c r="J27" s="31" t="n">
        <x:v>0.3423382338</x:v>
      </x:c>
      <x:c r="K27" s="31" t="n">
        <x:v>0</x:v>
      </x:c>
      <x:c r="L27" s="31" t="n">
        <x:v>0</x:v>
      </x:c>
      <x:c r="M27" s="31" t="n">
        <x:v>0.3423382338</x:v>
      </x:c>
      <x:c r="N27" s="24" t="str">
        <x:v>gerreidae</x:v>
      </x:c>
      <x:c r="O27" s="32" t="n">
        <x:v>3.03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Gerreidae</x:v>
      </x:c>
      <x:c r="T27" s="32" t="n">
        <x:f>IF(O27="","",(1/'Metadata'!$B$5)^(O27-1))</x:f>
        <x:v>107.1519305237606</x:v>
      </x:c>
      <x:c r="U27" s="31" t="n">
        <x:f>IF(T27="","",I27*T27)</x:f>
        <x:v>36.68220264376451</x:v>
      </x:c>
    </x:row>
    <x:row r="28" ht="18" customHeight="1">
      <x:c r="A28" s="24" t="str">
        <x:v>EEZ_943</x:v>
      </x:c>
      <x:c r="B28" s="24" t="str">
        <x:v>Kiribati (Phoenix Islands)</x:v>
      </x:c>
      <x:c r="C28" s="24" t="str">
        <x:v>EEZ</x:v>
      </x:c>
      <x:c r="D28" s="30" t="n">
        <x:v>2019</x:v>
      </x:c>
      <x:c r="E28" s="24" t="str">
        <x:v>Exocoetidae</x:v>
      </x:c>
      <x:c r="F28" s="24" t="str">
        <x:v>Flyingfishes</x:v>
      </x:c>
      <x:c r="G28" s="24" t="str">
        <x:v>Small pelagics (&lt;30 cm)</x:v>
      </x:c>
      <x:c r="H28" s="24" t="str">
        <x:v>Other fishes &amp; inverts</x:v>
      </x:c>
      <x:c r="I28" s="31" t="n">
        <x:v>0.322696993</x:v>
      </x:c>
      <x:c r="J28" s="31" t="n">
        <x:v>0.322696993</x:v>
      </x:c>
      <x:c r="K28" s="31" t="n">
        <x:v>0</x:v>
      </x:c>
      <x:c r="L28" s="31" t="n">
        <x:v>0</x:v>
      </x:c>
      <x:c r="M28" s="31" t="n">
        <x:v>0.322696993</x:v>
      </x:c>
      <x:c r="N28" s="24" t="str">
        <x:v>exocoetidae</x:v>
      </x:c>
      <x:c r="O28" s="32" t="n">
        <x:v>3.57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Exocoetidae</x:v>
      </x:c>
      <x:c r="T28" s="32" t="n">
        <x:f>IF(O28="","",(1/'Metadata'!$B$5)^(O28-1))</x:f>
        <x:v>371.5352290971724</x:v>
      </x:c>
      <x:c r="U28" s="31" t="n">
        <x:f>IF(T28="","",I28*T28)</x:f>
        <x:v>119.89330122322365</x:v>
      </x:c>
    </x:row>
    <x:row r="29" ht="18" customHeight="1">
      <x:c r="A29" s="24" t="str">
        <x:v>EEZ_943</x:v>
      </x:c>
      <x:c r="B29" s="24" t="str">
        <x:v>Kiribati (Phoenix Islands)</x:v>
      </x:c>
      <x:c r="C29" s="24" t="str">
        <x:v>EEZ</x:v>
      </x:c>
      <x:c r="D29" s="30" t="n">
        <x:v>2019</x:v>
      </x:c>
      <x:c r="E29" s="24" t="str">
        <x:v>Miscellaneous marine crustaceans</x:v>
      </x:c>
      <x:c r="F29" s="24" t="str">
        <x:v>Marine crabs, shrimps, lobsters nei</x:v>
      </x:c>
      <x:c r="G29" s="24" t="str">
        <x:v>Shrimps</x:v>
      </x:c>
      <x:c r="H29" s="24" t="str">
        <x:v>Crustaceans</x:v>
      </x:c>
      <x:c r="I29" s="31" t="n">
        <x:v>0.1305107507</x:v>
      </x:c>
      <x:c r="J29" s="31" t="n">
        <x:v>0.1305107507</x:v>
      </x:c>
      <x:c r="K29" s="31" t="n">
        <x:v>0</x:v>
      </x:c>
      <x:c r="L29" s="31" t="n">
        <x:v>0</x:v>
      </x:c>
      <x:c r="M29" s="31" t="n">
        <x:v>0.1305107507</x:v>
      </x:c>
      <x:c r="N29" s="24" t="str">
        <x:v>miscellaneous marine crustaceans</x:v>
      </x:c>
      <x:c r="O29" s="32" t="n">
        <x:v>2.7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Miscellaneous marine crustaceans</x:v>
      </x:c>
      <x:c r="T29" s="32" t="n">
        <x:f>IF(O29="","",(1/'Metadata'!$B$5)^(O29-1))</x:f>
        <x:v>50.11872336272725</x:v>
      </x:c>
      <x:c r="U29" s="31" t="n">
        <x:f>IF(T29="","",I29*T29)</x:f>
        <x:v>6.541032210195163</x:v>
      </x:c>
    </x:row>
    <x:row r="30" ht="18" customHeight="1">
      <x:c r="A30" s="24" t="str">
        <x:v>EEZ_943</x:v>
      </x:c>
      <x:c r="B30" s="24" t="str">
        <x:v>Kiribati (Phoenix Islands)</x:v>
      </x:c>
      <x:c r="C30" s="24" t="str">
        <x:v>EEZ</x:v>
      </x:c>
      <x:c r="D30" s="30" t="n">
        <x:v>2019</x:v>
      </x:c>
      <x:c r="E30" s="24" t="str">
        <x:v>Chanos chanos</x:v>
      </x:c>
      <x:c r="F30" s="24" t="str">
        <x:v>Milkfish</x:v>
      </x:c>
      <x:c r="G30" s="24" t="str">
        <x:v>Large benthopelagics (&gt;=90 cm)</x:v>
      </x:c>
      <x:c r="H30" s="24" t="str">
        <x:v>Other fishes &amp; inverts</x:v>
      </x:c>
      <x:c r="I30" s="31" t="n">
        <x:v>0.0089097348</x:v>
      </x:c>
      <x:c r="J30" s="31" t="n">
        <x:v>0.0089097348</x:v>
      </x:c>
      <x:c r="K30" s="31" t="n">
        <x:v>0</x:v>
      </x:c>
      <x:c r="L30" s="31" t="n">
        <x:v>0</x:v>
      </x:c>
      <x:c r="M30" s="31" t="n">
        <x:v>0.0089097348</x:v>
      </x:c>
      <x:c r="N30" s="24" t="str">
        <x:v>chanos chanos</x:v>
      </x:c>
      <x:c r="O30" s="32" t="n">
        <x:v>2.03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Chanos chanos</x:v>
      </x:c>
      <x:c r="T30" s="32" t="n">
        <x:f>IF(O30="","",(1/'Metadata'!$B$5)^(O30-1))</x:f>
        <x:v>10.71519305237606</x:v>
      </x:c>
      <x:c r="U30" s="31" t="n">
        <x:f>IF(T30="","",I30*T30)</x:f>
        <x:v>0.0954695284274732</x:v>
      </x:c>
    </x:row>
    <x:row r="31" ht="18" customHeight="1">
      <x:c r="A31" s="24" t="str">
        <x:v>EEZ_943</x:v>
      </x:c>
      <x:c r="B31" s="24" t="str">
        <x:v>Kiribati (Phoenix Islands)</x:v>
      </x:c>
      <x:c r="C31" s="24" t="str">
        <x:v>EEZ</x:v>
      </x:c>
      <x:c r="D31" s="30" t="n">
        <x:v>2019</x:v>
      </x:c>
      <x:c r="E31" s="24" t="str">
        <x:v>Clupeidae</x:v>
      </x:c>
      <x:c r="F31" s="24" t="str">
        <x:v>Herrings, sardines, menhadens</x:v>
      </x:c>
      <x:c r="G31" s="24" t="str">
        <x:v>Small pelagics (&lt;30 cm)</x:v>
      </x:c>
      <x:c r="H31" s="24" t="str">
        <x:v>Herring-likes</x:v>
      </x:c>
      <x:c r="I31" s="31" t="n">
        <x:v>0.0083250381</x:v>
      </x:c>
      <x:c r="J31" s="31" t="n">
        <x:v>0.0083250381</x:v>
      </x:c>
      <x:c r="K31" s="31" t="n">
        <x:v>0</x:v>
      </x:c>
      <x:c r="L31" s="31" t="n">
        <x:v>0</x:v>
      </x:c>
      <x:c r="M31" s="31" t="n">
        <x:v>0.0083250381</x:v>
      </x:c>
      <x:c r="N31" s="24" t="str">
        <x:v>clupeidae</x:v>
      </x:c>
      <x:c r="O31" s="32" t="n">
        <x:v>3.16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Clupeidae</x:v>
      </x:c>
      <x:c r="T31" s="32" t="n">
        <x:f>IF(O31="","",(1/'Metadata'!$B$5)^(O31-1))</x:f>
        <x:v>144.5439770745928</x:v>
      </x:c>
      <x:c r="U31" s="31" t="n">
        <x:f>IF(T31="","",I31*T31)</x:f>
        <x:v>1.2033341162715114</x:v>
      </x:c>
    </x:row>
  </x:sheetData>
  <x:conditionalFormatting sqref="R2:R3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adfc782a80840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0.1305107507</x:v>
      </x:c>
      <x:c r="C2" s="32" t="n">
        <x:v>2.7</x:v>
      </x:c>
      <x:c r="D2" s="32" t="n">
        <x:f>IF(C2="","",(1/'Metadata'!$B$5)^(C2-1))</x:f>
        <x:v>50.11872336272725</x:v>
      </x:c>
      <x:c r="E2" s="31" t="n">
        <x:f>IF(B2=0,"",B2*D2)</x:f>
        <x:v>6.541032210195163</x:v>
      </x:c>
    </x:row>
    <x:row r="3" ht="18" customHeight="1">
      <x:c r="A3" s="24" t="str">
        <x:v>Herring-likes</x:v>
      </x:c>
      <x:c r="B3" s="31" t="n">
        <x:v>0.0083250381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1.2033341162715114</x:v>
      </x:c>
    </x:row>
    <x:row r="4" ht="18" customHeight="1">
      <x:c r="A4" s="24" t="str">
        <x:v>Molluscs</x:v>
      </x:c>
      <x:c r="B4" s="31" t="n">
        <x:v>1.2196684642</x:v>
      </x:c>
      <x:c r="C4" s="32" t="n">
        <x:v>2.1</x:v>
      </x:c>
      <x:c r="D4" s="32" t="n">
        <x:f>IF(C4="","",(1/'Metadata'!$B$5)^(C4-1))</x:f>
        <x:v>12.589254117941675</x:v>
      </x:c>
      <x:c r="E4" s="31" t="n">
        <x:f>IF(B4=0,"",B4*D4)</x:f>
        <x:v>15.354716235453447</x:v>
      </x:c>
    </x:row>
    <x:row r="5" ht="18" customHeight="1">
      <x:c r="A5" s="24" t="str">
        <x:v>Other fishes &amp; inverts</x:v>
      </x:c>
      <x:c r="B5" s="31" t="n">
        <x:v>1987.6751443004998</x:v>
      </x:c>
      <x:c r="C5" s="32" t="n">
        <x:v>3.297869782708073</x:v>
      </x:c>
      <x:c r="D5" s="32" t="n">
        <x:f>IF(C5="","",(1/'Metadata'!$B$5)^(C5-1))</x:f>
        <x:v>198.54995030846393</x:v>
      </x:c>
      <x:c r="E5" s="31" t="n">
        <x:f>IF(B5=0,"",B5*D5)</x:f>
        <x:v>394652.8011302331</x:v>
      </x:c>
    </x:row>
    <x:row r="6" ht="18" customHeight="1">
      <x:c r="A6" s="24" t="str">
        <x:v>Perch-likes</x:v>
      </x:c>
      <x:c r="B6" s="31" t="n">
        <x:v>1572.5987004202</x:v>
      </x:c>
      <x:c r="C6" s="32" t="n">
        <x:v>4.271480146529439</x:v>
      </x:c>
      <x:c r="D6" s="32" t="n">
        <x:f>IF(C6="","",(1/'Metadata'!$B$5)^(C6-1))</x:f>
        <x:v>1868.44426067201</x:v>
      </x:c>
      <x:c r="E6" s="31" t="n">
        <x:f>IF(B6=0,"",B6*D6)</x:f>
        <x:v>2938313.016140384</x:v>
      </x:c>
    </x:row>
    <x:row r="7" ht="18" customHeight="1">
      <x:c r="A7" s="24" t="str">
        <x:v>Sharks &amp; rays</x:v>
      </x:c>
      <x:c r="B7" s="31" t="n">
        <x:v>6102.512942600601</x:v>
      </x:c>
      <x:c r="C7" s="32" t="n">
        <x:v>4.294525183378945</x:v>
      </x:c>
      <x:c r="D7" s="32" t="n">
        <x:f>IF(C7="","",(1/'Metadata'!$B$5)^(C7-1))</x:f>
        <x:v>1970.2674535528404</x:v>
      </x:c>
      <x:c r="E7" s="31" t="n">
        <x:f>IF(B7=0,"",B7*D7)</x:f>
        <x:v>12023582.635690937</x:v>
      </x:c>
    </x:row>
    <x:row r="8" ht="18" customHeight="1">
      <x:c r="A8" s="24" t="str">
        <x:v>Tuna &amp; billfishes</x:v>
      </x:c>
      <x:c r="B8" s="31" t="n">
        <x:v>68096.4826631987</x:v>
      </x:c>
      <x:c r="C8" s="32" t="n">
        <x:v>4.425182486238682</x:v>
      </x:c>
      <x:c r="D8" s="32" t="n">
        <x:f>IF(C8="","",(1/'Metadata'!$B$5)^(C8-1))</x:f>
        <x:v>2661.8433050301055</x:v>
      </x:c>
      <x:c r="E8" s="31" t="n">
        <x:f>IF(B8=0,"",B8*D8)</x:f>
        <x:v>181262166.4731341</x:v>
      </x:c>
    </x:row>
  </x:sheetData>
  <x:pageMargins left="0.7" right="0.7" top="0.75" bottom="0.75" header="0.3" footer="0.3"/>
  <x:tableParts count="1">
    <x:tablePart xmlns:r="http://schemas.openxmlformats.org/officeDocument/2006/relationships" r:id="R9906076febcf4df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0.0089097348</x:v>
      </x:c>
      <x:c r="C2" s="32" t="n">
        <x:v>2.03</x:v>
      </x:c>
      <x:c r="D2" s="32" t="n">
        <x:f>IF(C2="","",(1/'Metadata'!$B$5)^(C2-1))</x:f>
        <x:v>10.71519305237606</x:v>
      </x:c>
      <x:c r="E2" s="31" t="n">
        <x:f>IF(B2=0,"",B2*D2)</x:f>
        <x:v>0.0954695284274732</x:v>
      </x:c>
    </x:row>
    <x:row r="3" ht="18" customHeight="1">
      <x:c r="A3" s="24" t="str">
        <x:v>Large pelagics (&gt;=90 cm)</x:v>
      </x:c>
      <x:c r="B3" s="31" t="n">
        <x:v>68710.3749006405</x:v>
      </x:c>
      <x:c r="C3" s="32" t="n">
        <x:v>4.424627389038597</x:v>
      </x:c>
      <x:c r="D3" s="32" t="n">
        <x:f>IF(C3="","",(1/'Metadata'!$B$5)^(C3-1))</x:f>
        <x:v>2658.4432206690744</x:v>
      </x:c>
      <x:c r="E3" s="31" t="n">
        <x:f>IF(B3=0,"",B3*D3)</x:f>
        <x:v>182662630.34423825</x:v>
      </x:c>
    </x:row>
    <x:row r="4" ht="18" customHeight="1">
      <x:c r="A4" s="24" t="str">
        <x:v>Large sharks (&gt;=90 cm)</x:v>
      </x:c>
      <x:c r="B4" s="31" t="n">
        <x:v>6102.512942600601</x:v>
      </x:c>
      <x:c r="C4" s="32" t="n">
        <x:v>4.294525183378945</x:v>
      </x:c>
      <x:c r="D4" s="32" t="n">
        <x:f>IF(C4="","",(1/'Metadata'!$B$5)^(C4-1))</x:f>
        <x:v>1970.2674535528404</x:v>
      </x:c>
      <x:c r="E4" s="31" t="n">
        <x:f>IF(B4=0,"",B4*D4)</x:f>
        <x:v>12023582.635690937</x:v>
      </x:c>
    </x:row>
    <x:row r="5" ht="18" customHeight="1">
      <x:c r="A5" s="24" t="str">
        <x:v>Medium demersals (30 - 89 cm)</x:v>
      </x:c>
      <x:c r="B5" s="31" t="n">
        <x:v>1481.1024238096</x:v>
      </x:c>
      <x:c r="C5" s="32" t="n">
        <x:v>3.28</x:v>
      </x:c>
      <x:c r="D5" s="32" t="n">
        <x:f>IF(C5="","",(1/'Metadata'!$B$5)^(C5-1))</x:f>
        <x:v>190.54607179632464</x:v>
      </x:c>
      <x:c r="E5" s="31" t="n">
        <x:f>IF(B5=0,"",B5*D5)</x:f>
        <x:v>282218.24878493446</x:v>
      </x:c>
    </x:row>
    <x:row r="6" ht="18" customHeight="1">
      <x:c r="A6" s="24" t="str">
        <x:v>Medium pelagics (30 - 89 cm)</x:v>
      </x:c>
      <x:c r="B6" s="31" t="n">
        <x:v>1464.1704098845</x:v>
      </x:c>
      <x:c r="C6" s="32" t="n">
        <x:v>3.9152889428732207</x:v>
      </x:c>
      <x:c r="D6" s="32" t="n">
        <x:f>IF(C6="","",(1/'Metadata'!$B$5)^(C6-1))</x:f>
        <x:v>822.7898827911712</x:v>
      </x:c>
      <x:c r="E6" s="31" t="n">
        <x:f>IF(B6=0,"",B6*D6)</x:f>
        <x:v>1204704.5999351689</x:v>
      </x:c>
    </x:row>
    <x:row r="7" ht="18" customHeight="1">
      <x:c r="A7" s="24" t="str">
        <x:v>Medium reef assoc. fish (30 - 89 cm)</x:v>
      </x:c>
      <x:c r="B7" s="31" t="n">
        <x:v>0.4348286232</x:v>
      </x:c>
      <x:c r="C7" s="32" t="n">
        <x:v>2.53</x:v>
      </x:c>
      <x:c r="D7" s="32" t="n">
        <x:f>IF(C7="","",(1/'Metadata'!$B$5)^(C7-1))</x:f>
        <x:v>33.88441561392024</x:v>
      </x:c>
      <x:c r="E7" s="31" t="n">
        <x:f>IF(B7=0,"",B7*D7)</x:f>
        <x:v>14.733913789337521</x:v>
      </x:c>
    </x:row>
    <x:row r="8" ht="18" customHeight="1">
      <x:c r="A8" s="24" t="str">
        <x:v>Other demersal invertebrates</x:v>
      </x:c>
      <x:c r="B8" s="31" t="n">
        <x:v>1.2196684642</x:v>
      </x:c>
      <x:c r="C8" s="32" t="n">
        <x:v>2.1</x:v>
      </x:c>
      <x:c r="D8" s="32" t="n">
        <x:f>IF(C8="","",(1/'Metadata'!$B$5)^(C8-1))</x:f>
        <x:v>12.589254117941675</x:v>
      </x:c>
      <x:c r="E8" s="31" t="n">
        <x:f>IF(B8=0,"",B8*D8)</x:f>
        <x:v>15.354716235453447</x:v>
      </x:c>
    </x:row>
    <x:row r="9" ht="18" customHeight="1">
      <x:c r="A9" s="24" t="str">
        <x:v>Shrimps</x:v>
      </x:c>
      <x:c r="B9" s="31" t="n">
        <x:v>0.1305107507</x:v>
      </x:c>
      <x:c r="C9" s="32" t="n">
        <x:v>2.7</x:v>
      </x:c>
      <x:c r="D9" s="32" t="n">
        <x:f>IF(C9="","",(1/'Metadata'!$B$5)^(C9-1))</x:f>
        <x:v>50.11872336272725</x:v>
      </x:c>
      <x:c r="E9" s="31" t="n">
        <x:f>IF(B9=0,"",B9*D9)</x:f>
        <x:v>6.541032210195163</x:v>
      </x:c>
    </x:row>
    <x:row r="10" ht="18" customHeight="1">
      <x:c r="A10" s="24" t="str">
        <x:v>Small benthopelagics (&lt;30 cm)</x:v>
      </x:c>
      <x:c r="B10" s="31" t="n">
        <x:v>0.3423382338</x:v>
      </x:c>
      <x:c r="C10" s="32" t="n">
        <x:v>3.0300000000000002</x:v>
      </x:c>
      <x:c r="D10" s="32" t="n">
        <x:f>IF(C10="","",(1/'Metadata'!$B$5)^(C10-1))</x:f>
        <x:v>107.1519305237607</x:v>
      </x:c>
      <x:c r="E10" s="31" t="n">
        <x:f>IF(B10=0,"",B10*D10)</x:f>
        <x:v>36.68220264376455</x:v>
      </x:c>
    </x:row>
    <x:row r="11" ht="18" customHeight="1">
      <x:c r="A11" s="24" t="str">
        <x:v>Small pelagics (&lt;30 cm)</x:v>
      </x:c>
      <x:c r="B11" s="31" t="n">
        <x:v>0.3310220311</x:v>
      </x:c>
      <x:c r="C11" s="32" t="n">
        <x:v>3.55968870558356</x:v>
      </x:c>
      <x:c r="D11" s="32" t="n">
        <x:f>IF(C11="","",(1/'Metadata'!$B$5)^(C11-1))</x:f>
        <x:v>362.8179002465531</x:v>
      </x:c>
      <x:c r="E11" s="31" t="n">
        <x:f>IF(B11=0,"",B11*D11)</x:f>
        <x:v>120.1007182590512</x:v>
      </x:c>
    </x:row>
  </x:sheetData>
  <x:pageMargins left="0.7" right="0.7" top="0.75" bottom="0.75" header="0.3" footer="0.3"/>
  <x:tableParts count="1">
    <x:tablePart xmlns:r="http://schemas.openxmlformats.org/officeDocument/2006/relationships" r:id="Raf177228214d42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EEZ_943</x:v>
      </x:c>
      <x:c r="B2" s="24" t="str">
        <x:v>raw_filtered_tonnes</x:v>
      </x:c>
      <x:c r="C2" s="24" t="n">
        <x:v>77760.62795477301</x:v>
      </x:c>
      <x:c r="D2" s="24" t="str">
        <x:v>tonnes</x:v>
      </x:c>
    </x:row>
    <x:row r="3" ht="18" customHeight="1">
      <x:c r="A3" s="24" t="str">
        <x:v>EEZ_943</x:v>
      </x:c>
      <x:c r="B3" s="24" t="str">
        <x:v>species_catch_tonnes</x:v>
      </x:c>
      <x:c r="C3" s="24" t="n">
        <x:v>77760.627954773</x:v>
      </x:c>
      <x:c r="D3" s="24" t="str">
        <x:v>tonnes</x:v>
      </x:c>
    </x:row>
    <x:row r="4" ht="18" customHeight="1">
      <x:c r="A4" s="24" t="str">
        <x:v>EEZ_943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EEZ_943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EEZ_943</x:v>
      </x:c>
      <x:c r="B6" s="24" t="str">
        <x:v>matched_catch_tonnes</x:v>
      </x:c>
      <x:c r="C6" s="24" t="n">
        <x:v>77760.627954773</x:v>
      </x:c>
      <x:c r="D6" s="24" t="str">
        <x:v>tonnes</x:v>
      </x:c>
    </x:row>
    <x:row r="7" ht="18" customHeight="1">
      <x:c r="A7" s="24" t="str">
        <x:v>EEZ_943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EEZ_943</x:v>
      </x:c>
      <x:c r="B8" s="24" t="str">
        <x:v>taxa_count</x:v>
      </x:c>
      <x:c r="C8" s="24" t="n">
        <x:v>30</x:v>
      </x:c>
      <x:c r="D8" s="24" t="str">
        <x:v>count</x:v>
      </x:c>
    </x:row>
    <x:row r="9" ht="18" customHeight="1">
      <x:c r="A9" s="24" t="str">
        <x:v>EEZ_943</x:v>
      </x:c>
      <x:c r="B9" s="24" t="str">
        <x:v>matched_taxa_count</x:v>
      </x:c>
      <x:c r="C9" s="24" t="n">
        <x:v>30</x:v>
      </x:c>
      <x:c r="D9" s="24" t="str">
        <x:v>count</x:v>
      </x:c>
    </x:row>
    <x:row r="10" ht="18" customHeight="1">
      <x:c r="A10" s="24" t="str">
        <x:v>EEZ_943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EEZ_943</x:v>
      </x:c>
      <x:c r="B11" s="24" t="str">
        <x:v>species_ppr</x:v>
      </x:c>
      <x:c r="C11" s="24" t="n">
        <x:v>197891389.7807206</x:v>
      </x:c>
      <x:c r="D11" s="24" t="str">
        <x:v>tonnes_primary_production_equivalent</x:v>
      </x:c>
    </x:row>
    <x:row r="12" ht="18" customHeight="1">
      <x:c r="A12" s="24" t="str">
        <x:v>EEZ_943</x:v>
      </x:c>
      <x:c r="B12" s="24" t="str">
        <x:v>commercial_ppr</x:v>
      </x:c>
      <x:c r="C12" s="24" t="n">
        <x:v>196618738.02517822</x:v>
      </x:c>
      <x:c r="D12" s="24" t="str">
        <x:v>tonnes_primary_production_equivalent</x:v>
      </x:c>
    </x:row>
    <x:row r="13" ht="18" customHeight="1">
      <x:c r="A13" s="24" t="str">
        <x:v>EEZ_943</x:v>
      </x:c>
      <x:c r="B13" s="24" t="str">
        <x:v>functional_ppr</x:v>
      </x:c>
      <x:c r="C13" s="24" t="n">
        <x:v>196173329.33670193</x:v>
      </x:c>
      <x:c r="D13" s="24" t="str">
        <x:v>tonnes_primary_production_equivalent</x:v>
      </x:c>
    </x:row>
    <x:row r="14" ht="18" customHeight="1">
      <x:c r="A14" s="24" t="str">
        <x:v>EEZ_943</x:v>
      </x:c>
      <x:c r="B14" s="24" t="str">
        <x:v>commercial_ppr_difference</x:v>
      </x:c>
      <x:c r="C14" s="24" t="n">
        <x:v>-1272651.7555423677</x:v>
      </x:c>
      <x:c r="D14" s="24" t="str">
        <x:v>tonnes_primary_production_equivalent</x:v>
      </x:c>
    </x:row>
    <x:row r="15" ht="18" customHeight="1">
      <x:c r="A15" s="24" t="str">
        <x:v>EEZ_943</x:v>
      </x:c>
      <x:c r="B15" s="24" t="str">
        <x:v>functional_ppr_difference</x:v>
      </x:c>
      <x:c r="C15" s="24" t="n">
        <x:v>-1718060.444018662</x:v>
      </x:c>
      <x:c r="D15" s="24" t="str">
        <x:v>tonnes_primary_production_equivalent</x:v>
      </x:c>
    </x:row>
    <x:row r="16" ht="18" customHeight="1">
      <x:c r="A16" s="24" t="str">
        <x:v>EEZ_943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EEZ_943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b154f8047a7c44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EEZ_943 - Kiribati (Phoenix Islands)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