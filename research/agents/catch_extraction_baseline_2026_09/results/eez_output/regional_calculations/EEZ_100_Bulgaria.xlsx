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7ea73f7a3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3cf055a2b04c40"/>
    <x:sheet xmlns:r="http://schemas.openxmlformats.org/officeDocument/2006/relationships" name="Commercial" sheetId="2" r:id="R591be04804a747da"/>
    <x:sheet xmlns:r="http://schemas.openxmlformats.org/officeDocument/2006/relationships" name="Functional" sheetId="3" r:id="R6a1bc62841ae400f"/>
    <x:sheet xmlns:r="http://schemas.openxmlformats.org/officeDocument/2006/relationships" name="Missing TL" sheetId="4" r:id="R747b369bd36748e4"/>
    <x:sheet xmlns:r="http://schemas.openxmlformats.org/officeDocument/2006/relationships" name="Validation" sheetId="5" r:id="Rf8158b4404fa4193"/>
    <x:sheet xmlns:r="http://schemas.openxmlformats.org/officeDocument/2006/relationships" name="Metadata" sheetId="6" r:id="Rb5fd395a7990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cf1c5a9f14a93" /><Relationship Type="http://schemas.openxmlformats.org/officeDocument/2006/relationships/theme" Target="/xl/theme/theme1.xml" Id="R88153e8d6af44d0d" /><Relationship Type="http://schemas.microsoft.com/office/2022/11/relationships/FeaturePropertyBag" Target="/xl/featurePropertyBag/featurePropertyBag.xml" Id="Rb6994618bb17479c" /><Relationship Type="http://schemas.openxmlformats.org/officeDocument/2006/relationships/sharedStrings" Target="/xl/sharedStrings.xml" Id="R2fc88aaf8ed9401a" /><Relationship Type="http://schemas.openxmlformats.org/officeDocument/2006/relationships/worksheet" Target="/xl/worksheets/sheet1.xml" Id="R643cf055a2b04c40" /><Relationship Type="http://schemas.openxmlformats.org/officeDocument/2006/relationships/worksheet" Target="/xl/worksheets/sheet2.xml" Id="R591be04804a747da" /><Relationship Type="http://schemas.openxmlformats.org/officeDocument/2006/relationships/worksheet" Target="/xl/worksheets/sheet3.xml" Id="R6a1bc62841ae400f" /><Relationship Type="http://schemas.openxmlformats.org/officeDocument/2006/relationships/worksheet" Target="/xl/worksheets/sheet4.xml" Id="R747b369bd36748e4" /><Relationship Type="http://schemas.openxmlformats.org/officeDocument/2006/relationships/worksheet" Target="/xl/worksheets/sheet5.xml" Id="Rf8158b4404fa4193" /><Relationship Type="http://schemas.openxmlformats.org/officeDocument/2006/relationships/worksheet" Target="/xl/worksheets/sheet6.xml" Id="Rb5fd395a7990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00SpeciesTable" displayName="EEZ100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00CommercialTable" displayName="EEZ100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00FunctionalTable" displayName="EEZ100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00ValidationTable" displayName="EEZ10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648ab631e745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c895ca9ad242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bb5184c95441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9a60aeb35148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EEZ_100</x:v>
      </x:c>
      <x:c r="B2" s="24" t="str">
        <x:v>Bulgaria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11392.804223491401</x:v>
      </x:c>
      <x:c r="J2" s="31" t="n">
        <x:v>10694.338802527</x:v>
      </x:c>
      <x:c r="K2" s="31" t="n">
        <x:v>698.4654209644</x:v>
      </x:c>
      <x:c r="L2" s="31" t="n">
        <x:v>6953.856655527</x:v>
      </x:c>
      <x:c r="M2" s="31" t="n">
        <x:v>4438.9475679644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2170854.091530863</x:v>
      </x:c>
    </x:row>
    <x:row r="3" ht="18" customHeight="1">
      <x:c r="A3" s="24" t="str">
        <x:v>EEZ_100</x:v>
      </x:c>
      <x:c r="B3" s="24" t="str">
        <x:v>Bulgaria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2776.178356167</x:v>
      </x:c>
      <x:c r="J3" s="31" t="n">
        <x:v>2586.368972228</x:v>
      </x:c>
      <x:c r="K3" s="31" t="n">
        <x:v>189.809383939</x:v>
      </x:c>
      <x:c r="L3" s="31" t="n">
        <x:v>2360.27890418</x:v>
      </x:c>
      <x:c r="M3" s="31" t="n">
        <x:v>415.899451987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284084.3857187193</x:v>
      </x:c>
    </x:row>
    <x:row r="4" ht="18" customHeight="1">
      <x:c r="A4" s="24" t="str">
        <x:v>EEZ_100</x:v>
      </x:c>
      <x:c r="B4" s="24" t="str">
        <x:v>Bulgaria</x:v>
      </x:c>
      <x:c r="C4" s="24" t="str">
        <x:v>EEZ</x:v>
      </x:c>
      <x:c r="D4" s="30" t="n">
        <x:v>2019</x:v>
      </x:c>
      <x:c r="E4" s="24" t="str">
        <x:v>Scophthalmus maximus</x:v>
      </x:c>
      <x:c r="F4" s="24" t="str">
        <x:v>Turbot</x:v>
      </x:c>
      <x:c r="G4" s="24" t="str">
        <x:v>Large flatfishes (&gt;=90 cm)</x:v>
      </x:c>
      <x:c r="H4" s="24" t="str">
        <x:v>Flatfishes</x:v>
      </x:c>
      <x:c r="I4" s="31" t="n">
        <x:v>494.3209464361</x:v>
      </x:c>
      <x:c r="J4" s="31" t="n">
        <x:v>494.0019839831</x:v>
      </x:c>
      <x:c r="K4" s="31" t="n">
        <x:v>0.318962453</x:v>
      </x:c>
      <x:c r="L4" s="31" t="n">
        <x:v>31.384242319</x:v>
      </x:c>
      <x:c r="M4" s="31" t="n">
        <x:v>462.93670411709996</x:v>
      </x:c>
      <x:c r="N4" s="24" t="str">
        <x:v>scophthalmus maximus</x:v>
      </x:c>
      <x:c r="O4" s="32" t="n">
        <x:v>4.36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Scophthalmus maximus</x:v>
      </x:c>
      <x:c r="T4" s="32" t="n">
        <x:f>IF(O4="","",(1/'Metadata'!$B$5)^(O4-1))</x:f>
        <x:v>2290.867652767775</x:v>
      </x:c>
      <x:c r="U4" s="31" t="n">
        <x:f>IF(T4="","",I4*T4)</x:f>
        <x:v>1132423.8662760132</x:v>
      </x:c>
    </x:row>
    <x:row r="5" ht="18" customHeight="1">
      <x:c r="A5" s="24" t="str">
        <x:v>EEZ_100</x:v>
      </x:c>
      <x:c r="B5" s="24" t="str">
        <x:v>Bulgaria</x:v>
      </x:c>
      <x:c r="C5" s="24" t="str">
        <x:v>EEZ</x:v>
      </x:c>
      <x:c r="D5" s="30" t="n">
        <x:v>2019</x:v>
      </x:c>
      <x:c r="E5" s="24" t="str">
        <x:v>Mollusca</x:v>
      </x:c>
      <x:c r="F5" s="24" t="str">
        <x:v>Clams, seasnails, squids, octopuses</x:v>
      </x:c>
      <x:c r="G5" s="24" t="str">
        <x:v>Other demersal invertebrates</x:v>
      </x:c>
      <x:c r="H5" s="24" t="str">
        <x:v>Molluscs</x:v>
      </x:c>
      <x:c r="I5" s="31" t="n">
        <x:v>403.4608353</x:v>
      </x:c>
      <x:c r="J5" s="31" t="n">
        <x:v>403.4608353</x:v>
      </x:c>
      <x:c r="K5" s="31" t="n">
        <x:v>0</x:v>
      </x:c>
      <x:c r="L5" s="31" t="n">
        <x:v>0</x:v>
      </x:c>
      <x:c r="M5" s="31" t="n">
        <x:v>403.4608353</x:v>
      </x:c>
      <x:c r="N5" s="24" t="str">
        <x:v>mollusca</x:v>
      </x:c>
      <x:c r="O5" s="32" t="n">
        <x:v>2.1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Mollusca</x:v>
      </x:c>
      <x:c r="T5" s="32" t="n">
        <x:f>IF(O5="","",(1/'Metadata'!$B$5)^(O5-1))</x:f>
        <x:v>12.589254117941675</x:v>
      </x:c>
      <x:c r="U5" s="31" t="n">
        <x:f>IF(T5="","",I5*T5)</x:f>
        <x:v>5079.2709822287125</x:v>
      </x:c>
    </x:row>
    <x:row r="6" ht="18" customHeight="1">
      <x:c r="A6" s="24" t="str">
        <x:v>EEZ_100</x:v>
      </x:c>
      <x:c r="B6" s="24" t="str">
        <x:v>Bulgaria</x:v>
      </x:c>
      <x:c r="C6" s="24" t="str">
        <x:v>EEZ</x:v>
      </x:c>
      <x:c r="D6" s="30" t="n">
        <x:v>2019</x:v>
      </x:c>
      <x:c r="E6" s="24" t="str">
        <x:v>Chamelea gallina</x:v>
      </x:c>
      <x:c r="F6" s="24" t="str">
        <x:v>Striped venus</x:v>
      </x:c>
      <x:c r="G6" s="24" t="str">
        <x:v>Other demersal invertebrates</x:v>
      </x:c>
      <x:c r="H6" s="24" t="str">
        <x:v>Molluscs</x:v>
      </x:c>
      <x:c r="I6" s="31" t="n">
        <x:v>375.7946074</x:v>
      </x:c>
      <x:c r="J6" s="31" t="n">
        <x:v>375.7946074</x:v>
      </x:c>
      <x:c r="K6" s="31" t="n">
        <x:v>0</x:v>
      </x:c>
      <x:c r="L6" s="31" t="n">
        <x:v>0</x:v>
      </x:c>
      <x:c r="M6" s="31" t="n">
        <x:v>375.7946074</x:v>
      </x:c>
      <x:c r="N6" s="24" t="str">
        <x:v>chamelea gallina</x:v>
      </x:c>
      <x:c r="O6" s="32" t="n">
        <x:v>2.1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Chamelea gallina</x:v>
      </x:c>
      <x:c r="T6" s="32" t="n">
        <x:f>IF(O6="","",(1/'Metadata'!$B$5)^(O6-1))</x:f>
        <x:v>12.589254117941675</x:v>
      </x:c>
      <x:c r="U6" s="31" t="n">
        <x:f>IF(T6="","",I6*T6)</x:f>
        <x:v>4730.973808710725</x:v>
      </x:c>
    </x:row>
    <x:row r="7" ht="18" customHeight="1">
      <x:c r="A7" s="24" t="str">
        <x:v>EEZ_100</x:v>
      </x:c>
      <x:c r="B7" s="24" t="str">
        <x:v>Bulgaria</x:v>
      </x:c>
      <x:c r="C7" s="24" t="str">
        <x:v>EEZ</x:v>
      </x:c>
      <x:c r="D7" s="30" t="n">
        <x:v>2019</x:v>
      </x:c>
      <x:c r="E7" s="24" t="str">
        <x:v>Donax</x:v>
      </x:c>
      <x:c r="F7" s="24" t="str">
        <x:v>Bean clams</x:v>
      </x:c>
      <x:c r="G7" s="24" t="str">
        <x:v>Other demersal invertebrates</x:v>
      </x:c>
      <x:c r="H7" s="24" t="str">
        <x:v>Molluscs</x:v>
      </x:c>
      <x:c r="I7" s="31" t="n">
        <x:v>375.7946074</x:v>
      </x:c>
      <x:c r="J7" s="31" t="n">
        <x:v>375.7946074</x:v>
      </x:c>
      <x:c r="K7" s="31" t="n">
        <x:v>0</x:v>
      </x:c>
      <x:c r="L7" s="31" t="n">
        <x:v>0</x:v>
      </x:c>
      <x:c r="M7" s="31" t="n">
        <x:v>375.7946074</x:v>
      </x:c>
      <x:c r="N7" s="24" t="str">
        <x:v>donax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Donax</x:v>
      </x:c>
      <x:c r="T7" s="32" t="n">
        <x:f>IF(O7="","",(1/'Metadata'!$B$5)^(O7-1))</x:f>
        <x:v>10</x:v>
      </x:c>
      <x:c r="U7" s="31" t="n">
        <x:f>IF(T7="","",I7*T7)</x:f>
        <x:v>3757.9460740000004</x:v>
      </x:c>
    </x:row>
    <x:row r="8" ht="18" customHeight="1">
      <x:c r="A8" s="24" t="str">
        <x:v>EEZ_100</x:v>
      </x:c>
      <x:c r="B8" s="24" t="str">
        <x:v>Bulgaria</x:v>
      </x:c>
      <x:c r="C8" s="24" t="str">
        <x:v>EEZ</x:v>
      </x:c>
      <x:c r="D8" s="30" t="n">
        <x:v>2019</x:v>
      </x:c>
      <x:c r="E8" s="24" t="str">
        <x:v>Pomatomus saltatrix</x:v>
      </x:c>
      <x:c r="F8" s="24" t="str">
        <x:v>Bluefish</x:v>
      </x:c>
      <x:c r="G8" s="24" t="str">
        <x:v>Large pelagics (&gt;=90 cm)</x:v>
      </x:c>
      <x:c r="H8" s="24" t="str">
        <x:v>Perch-likes</x:v>
      </x:c>
      <x:c r="I8" s="31" t="n">
        <x:v>251.956195059</x:v>
      </x:c>
      <x:c r="J8" s="31" t="n">
        <x:v>244.54006159399998</x:v>
      </x:c>
      <x:c r="K8" s="31" t="n">
        <x:v>7.416133465</x:v>
      </x:c>
      <x:c r="L8" s="31" t="n">
        <x:v>242.48689624</x:v>
      </x:c>
      <x:c r="M8" s="31" t="n">
        <x:v>9.469298818999999</x:v>
      </x:c>
      <x:c r="N8" s="24" t="str">
        <x:v>pomatomus saltatrix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Pomatomus saltatrix</x:v>
      </x:c>
      <x:c r="T8" s="32" t="n">
        <x:f>IF(O8="","",(1/'Metadata'!$B$5)^(O8-1))</x:f>
        <x:v>3388.4415613920273</x:v>
      </x:c>
      <x:c r="U8" s="31" t="n">
        <x:f>IF(T8="","",I8*T8)</x:f>
        <x:v>853738.8429881122</x:v>
      </x:c>
    </x:row>
    <x:row r="9" ht="18" customHeight="1">
      <x:c r="A9" s="24" t="str">
        <x:v>EEZ_100</x:v>
      </x:c>
      <x:c r="B9" s="24" t="str">
        <x:v>Bulgaria</x:v>
      </x:c>
      <x:c r="C9" s="24" t="str">
        <x:v>EEZ</x:v>
      </x:c>
      <x:c r="D9" s="30" t="n">
        <x:v>2019</x:v>
      </x:c>
      <x:c r="E9" s="24" t="str">
        <x:v>Trachurus mediterraneus</x:v>
      </x:c>
      <x:c r="F9" s="24" t="str">
        <x:v>Mediterranean horse mackerel</x:v>
      </x:c>
      <x:c r="G9" s="24" t="str">
        <x:v>Medium pelagics (30 - 89 cm)</x:v>
      </x:c>
      <x:c r="H9" s="24" t="str">
        <x:v>Perch-likes</x:v>
      </x:c>
      <x:c r="I9" s="31" t="n">
        <x:v>221.0608562791</x:v>
      </x:c>
      <x:c r="J9" s="31" t="n">
        <x:v>218.3908122581</x:v>
      </x:c>
      <x:c r="K9" s="31" t="n">
        <x:v>2.6700440210000003</x:v>
      </x:c>
      <x:c r="L9" s="31" t="n">
        <x:v>182.4604185611</x:v>
      </x:c>
      <x:c r="M9" s="31" t="n">
        <x:v>38.600437718</x:v>
      </x:c>
      <x:c r="N9" s="24" t="str">
        <x:v>trachurus mediterraneus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mediterraneus</x:v>
      </x:c>
      <x:c r="T9" s="32" t="n">
        <x:f>IF(O9="","",(1/'Metadata'!$B$5)^(O9-1))</x:f>
        <x:v>588.843655355589</x:v>
      </x:c>
      <x:c r="U9" s="31" t="n">
        <x:f>IF(T9="","",I9*T9)</x:f>
        <x:v>130170.28266742175</x:v>
      </x:c>
    </x:row>
    <x:row r="10" ht="18" customHeight="1">
      <x:c r="A10" s="24" t="str">
        <x:v>EEZ_100</x:v>
      </x:c>
      <x:c r="B10" s="24" t="str">
        <x:v>Bulgaria</x:v>
      </x:c>
      <x:c r="C10" s="24" t="str">
        <x:v>EEZ</x:v>
      </x:c>
      <x:c r="D10" s="30" t="n">
        <x:v>2019</x:v>
      </x:c>
      <x:c r="E10" s="24" t="str">
        <x:v>Engraulis encrasicolus</x:v>
      </x:c>
      <x:c r="F10" s="24" t="str">
        <x:v>European anchovy</x:v>
      </x:c>
      <x:c r="G10" s="24" t="str">
        <x:v>Small pelagics (&lt;30 cm)</x:v>
      </x:c>
      <x:c r="H10" s="24" t="str">
        <x:v>Anchovies</x:v>
      </x:c>
      <x:c r="I10" s="31" t="n">
        <x:v>180.302791154</x:v>
      </x:c>
      <x:c r="J10" s="31" t="n">
        <x:v>172.193622403</x:v>
      </x:c>
      <x:c r="K10" s="31" t="n">
        <x:v>8.109168751</x:v>
      </x:c>
      <x:c r="L10" s="31" t="n">
        <x:v>172.193622403</x:v>
      </x:c>
      <x:c r="M10" s="31" t="n">
        <x:v>8.109168751</x:v>
      </x:c>
      <x:c r="N10" s="24" t="str">
        <x:v>engraulis encrasicolus</x:v>
      </x:c>
      <x:c r="O10" s="32" t="n">
        <x:v>3.11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encrasicolus</x:v>
      </x:c>
      <x:c r="T10" s="32" t="n">
        <x:f>IF(O10="","",(1/'Metadata'!$B$5)^(O10-1))</x:f>
        <x:v>128.82495516931337</x:v>
      </x:c>
      <x:c r="U10" s="31" t="n">
        <x:f>IF(T10="","",I10*T10)</x:f>
        <x:v>23227.49898731612</x:v>
      </x:c>
    </x:row>
    <x:row r="11" ht="18" customHeight="1">
      <x:c r="A11" s="24" t="str">
        <x:v>EEZ_100</x:v>
      </x:c>
      <x:c r="B11" s="24" t="str">
        <x:v>Bulgaria</x:v>
      </x:c>
      <x:c r="C11" s="24" t="str">
        <x:v>EEZ</x:v>
      </x:c>
      <x:c r="D11" s="30" t="n">
        <x:v>2019</x:v>
      </x:c>
      <x:c r="E11" s="24" t="str">
        <x:v>Gobiidae</x:v>
      </x:c>
      <x:c r="F11" s="24" t="str">
        <x:v>Gobies</x:v>
      </x:c>
      <x:c r="G11" s="24" t="str">
        <x:v>Small reef assoc. fish (&lt;30 cm)</x:v>
      </x:c>
      <x:c r="H11" s="24" t="str">
        <x:v>Perch-likes</x:v>
      </x:c>
      <x:c r="I11" s="31" t="n">
        <x:v>137.5260318</x:v>
      </x:c>
      <x:c r="J11" s="31" t="n">
        <x:v>136.971035287</x:v>
      </x:c>
      <x:c r="K11" s="31" t="n">
        <x:v>0.554996513</x:v>
      </x:c>
      <x:c r="L11" s="31" t="n">
        <x:v>106.17355497999999</x:v>
      </x:c>
      <x:c r="M11" s="31" t="n">
        <x:v>31.35247682</x:v>
      </x:c>
      <x:c r="N11" s="24" t="str">
        <x:v>gobiidae</x:v>
      </x:c>
      <x:c r="O11" s="32" t="n">
        <x:v>3.11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Gobiidae</x:v>
      </x:c>
      <x:c r="T11" s="32" t="n">
        <x:f>IF(O11="","",(1/'Metadata'!$B$5)^(O11-1))</x:f>
        <x:v>128.82495516931337</x:v>
      </x:c>
      <x:c r="U11" s="31" t="n">
        <x:f>IF(T11="","",I11*T11)</x:f>
        <x:v>17716.784881248564</x:v>
      </x:c>
    </x:row>
    <x:row r="12" ht="18" customHeight="1">
      <x:c r="A12" s="24" t="str">
        <x:v>EEZ_100</x:v>
      </x:c>
      <x:c r="B12" s="24" t="str">
        <x:v>Bulgaria</x:v>
      </x:c>
      <x:c r="C12" s="24" t="str">
        <x:v>EEZ</x:v>
      </x:c>
      <x:c r="D12" s="30" t="n">
        <x:v>2019</x:v>
      </x:c>
      <x:c r="E12" s="24" t="str">
        <x:v>Raja clavata</x:v>
      </x:c>
      <x:c r="F12" s="24" t="str">
        <x:v>Thornback ray</x:v>
      </x:c>
      <x:c r="G12" s="24" t="str">
        <x:v>Large rays (&gt;=90 cm)</x:v>
      </x:c>
      <x:c r="H12" s="24" t="str">
        <x:v>Sharks &amp; rays</x:v>
      </x:c>
      <x:c r="I12" s="31" t="n">
        <x:v>68.57864162999999</x:v>
      </x:c>
      <x:c r="J12" s="31" t="n">
        <x:v>64.80443302</x:v>
      </x:c>
      <x:c r="K12" s="31" t="n">
        <x:v>3.77420861</x:v>
      </x:c>
      <x:c r="L12" s="31" t="n">
        <x:v>64.80443302</x:v>
      </x:c>
      <x:c r="M12" s="31" t="n">
        <x:v>3.77420861</x:v>
      </x:c>
      <x:c r="N12" s="24" t="str">
        <x:v>raja clavata</x:v>
      </x:c>
      <x:c r="O12" s="32" t="n">
        <x:v>3.84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Raja clavata</x:v>
      </x:c>
      <x:c r="T12" s="32" t="n">
        <x:f>IF(O12="","",(1/'Metadata'!$B$5)^(O12-1))</x:f>
        <x:v>691.8309709189363</x:v>
      </x:c>
      <x:c r="U12" s="31" t="n">
        <x:f>IF(T12="","",I12*T12)</x:f>
        <x:v>47444.828223184675</x:v>
      </x:c>
    </x:row>
    <x:row r="13" ht="18" customHeight="1">
      <x:c r="A13" s="24" t="str">
        <x:v>EEZ_100</x:v>
      </x:c>
      <x:c r="B13" s="24" t="str">
        <x:v>Bulgaria</x:v>
      </x:c>
      <x:c r="C13" s="24" t="str">
        <x:v>EEZ</x:v>
      </x:c>
      <x:c r="D13" s="30" t="n">
        <x:v>2019</x:v>
      </x:c>
      <x:c r="E13" s="24" t="str">
        <x:v>Mya arenaria</x:v>
      </x:c>
      <x:c r="F13" s="24" t="str">
        <x:v>Sand gaper</x:v>
      </x:c>
      <x:c r="G13" s="24" t="str">
        <x:v>Other demersal invertebrates</x:v>
      </x:c>
      <x:c r="H13" s="24" t="str">
        <x:v>Molluscs</x:v>
      </x:c>
      <x:c r="I13" s="31" t="n">
        <x:v>53.524381646</x:v>
      </x:c>
      <x:c r="J13" s="31" t="n">
        <x:v>43.26151898</x:v>
      </x:c>
      <x:c r="K13" s="31" t="n">
        <x:v>10.262862666</x:v>
      </x:c>
      <x:c r="L13" s="31" t="n">
        <x:v>43.26151898</x:v>
      </x:c>
      <x:c r="M13" s="31" t="n">
        <x:v>10.262862666</x:v>
      </x:c>
      <x:c r="N13" s="24" t="str">
        <x:v>mya arenaria</x:v>
      </x:c>
      <x:c r="O13" s="32" t="n">
        <x:v>2.31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Mya arenaria</x:v>
      </x:c>
      <x:c r="T13" s="32" t="n">
        <x:f>IF(O13="","",(1/'Metadata'!$B$5)^(O13-1))</x:f>
        <x:v>20.417379446695296</x:v>
      </x:c>
      <x:c r="U13" s="31" t="n">
        <x:f>IF(T13="","",I13*T13)</x:f>
        <x:v>1092.8276097161154</x:v>
      </x:c>
    </x:row>
    <x:row r="14" ht="18" customHeight="1">
      <x:c r="A14" s="24" t="str">
        <x:v>EEZ_100</x:v>
      </x:c>
      <x:c r="B14" s="24" t="str">
        <x:v>Bulgaria</x:v>
      </x:c>
      <x:c r="C14" s="24" t="str">
        <x:v>EEZ</x:v>
      </x:c>
      <x:c r="D14" s="30" t="n">
        <x:v>2019</x:v>
      </x:c>
      <x:c r="E14" s="24" t="str">
        <x:v>Atherina boyeri</x:v>
      </x:c>
      <x:c r="F14" s="24" t="str">
        <x:v>Big-scale sand smelt</x:v>
      </x:c>
      <x:c r="G14" s="24" t="str">
        <x:v>Small demersals (&lt;30 cm)</x:v>
      </x:c>
      <x:c r="H14" s="24" t="str">
        <x:v>Other fishes &amp; inverts</x:v>
      </x:c>
      <x:c r="I14" s="31" t="n">
        <x:v>51.502798279000004</x:v>
      </x:c>
      <x:c r="J14" s="31" t="n">
        <x:v>48.65686147</x:v>
      </x:c>
      <x:c r="K14" s="31" t="n">
        <x:v>2.845936809</x:v>
      </x:c>
      <x:c r="L14" s="31" t="n">
        <x:v>48.65686147</x:v>
      </x:c>
      <x:c r="M14" s="31" t="n">
        <x:v>2.845936809</x:v>
      </x:c>
      <x:c r="N14" s="24" t="str">
        <x:v>atherina boyeri</x:v>
      </x:c>
      <x:c r="O14" s="32" t="n">
        <x:v>3.22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Atherina boyeri</x:v>
      </x:c>
      <x:c r="T14" s="32" t="n">
        <x:f>IF(O14="","",(1/'Metadata'!$B$5)^(O14-1))</x:f>
        <x:v>165.95869074375614</x:v>
      </x:c>
      <x:c r="U14" s="31" t="n">
        <x:f>IF(T14="","",I14*T14)</x:f>
        <x:v>8547.336972022618</x:v>
      </x:c>
    </x:row>
    <x:row r="15" ht="18" customHeight="1">
      <x:c r="A15" s="24" t="str">
        <x:v>EEZ_100</x:v>
      </x:c>
      <x:c r="B15" s="24" t="str">
        <x:v>Bulgaria</x:v>
      </x:c>
      <x:c r="C15" s="24" t="str">
        <x:v>EEZ</x:v>
      </x:c>
      <x:c r="D15" s="30" t="n">
        <x:v>2019</x:v>
      </x:c>
      <x:c r="E15" s="24" t="str">
        <x:v>Squaliformes</x:v>
      </x:c>
      <x:c r="F15" s="24" t="str">
        <x:v>Bramble, sleeper, dogfish sharks</x:v>
      </x:c>
      <x:c r="G15" s="24" t="str">
        <x:v>Large sharks (&gt;=90 cm)</x:v>
      </x:c>
      <x:c r="H15" s="24" t="str">
        <x:v>Sharks &amp; rays</x:v>
      </x:c>
      <x:c r="I15" s="31" t="n">
        <x:v>33.53</x:v>
      </x:c>
      <x:c r="J15" s="31" t="n">
        <x:v>33.53</x:v>
      </x:c>
      <x:c r="K15" s="31" t="n">
        <x:v>0</x:v>
      </x:c>
      <x:c r="L15" s="31" t="n">
        <x:v>33.53</x:v>
      </x:c>
      <x:c r="M15" s="31" t="n">
        <x:v>0</x:v>
      </x:c>
      <x:c r="N15" s="24" t="str">
        <x:v>squaliformes</x:v>
      </x:c>
      <x:c r="O15" s="32" t="n">
        <x:v>4.19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Squaliformes</x:v>
      </x:c>
      <x:c r="T15" s="32" t="n">
        <x:f>IF(O15="","",(1/'Metadata'!$B$5)^(O15-1))</x:f>
        <x:v>1548.8166189124827</x:v>
      </x:c>
      <x:c r="U15" s="31" t="n">
        <x:f>IF(T15="","",I15*T15)</x:f>
        <x:v>51931.821232135546</x:v>
      </x:c>
    </x:row>
    <x:row r="16" ht="18" customHeight="1">
      <x:c r="A16" s="24" t="str">
        <x:v>EEZ_100</x:v>
      </x:c>
      <x:c r="B16" s="24" t="str">
        <x:v>Bulgaria</x:v>
      </x:c>
      <x:c r="C16" s="24" t="str">
        <x:v>EEZ</x:v>
      </x:c>
      <x:c r="D16" s="30" t="n">
        <x:v>2019</x:v>
      </x:c>
      <x:c r="E16" s="24" t="str">
        <x:v>Squalus acanthias</x:v>
      </x:c>
      <x:c r="F16" s="24" t="str">
        <x:v>Picked dogfish</x:v>
      </x:c>
      <x:c r="G16" s="24" t="str">
        <x:v>Large sharks (&gt;=90 cm)</x:v>
      </x:c>
      <x:c r="H16" s="24" t="str">
        <x:v>Sharks &amp; rays</x:v>
      </x:c>
      <x:c r="I16" s="31" t="n">
        <x:v>33.455443848</x:v>
      </x:c>
      <x:c r="J16" s="31" t="n">
        <x:v>32.315671011</x:v>
      </x:c>
      <x:c r="K16" s="31" t="n">
        <x:v>1.139772837</x:v>
      </x:c>
      <x:c r="L16" s="31" t="n">
        <x:v>32.315671011</x:v>
      </x:c>
      <x:c r="M16" s="31" t="n">
        <x:v>1.139772837</x:v>
      </x:c>
      <x:c r="N16" s="24" t="str">
        <x:v>squalus acanthias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Squalus acanthias</x:v>
      </x:c>
      <x:c r="T16" s="32" t="n">
        <x:f>IF(O16="","",(1/'Metadata'!$B$5)^(O16-1))</x:f>
        <x:v>2344.228815319923</x:v>
      </x:c>
      <x:c r="U16" s="31" t="n">
        <x:f>IF(T16="","",I16*T16)</x:f>
        <x:v>78427.21549779925</x:v>
      </x:c>
    </x:row>
    <x:row r="17" ht="18" customHeight="1">
      <x:c r="A17" s="24" t="str">
        <x:v>EEZ_100</x:v>
      </x:c>
      <x:c r="B17" s="24" t="str">
        <x:v>Bulgaria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30.797480307</x:v>
      </x:c>
      <x:c r="J17" s="31" t="n">
        <x:v>30.797480307</x:v>
      </x:c>
      <x:c r="K17" s="31" t="n">
        <x:v>0</x:v>
      </x:c>
      <x:c r="L17" s="31" t="n">
        <x:v>0</x:v>
      </x:c>
      <x:c r="M17" s="31" t="n">
        <x:v>30.797480307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1043.5546225839119</x:v>
      </x:c>
    </x:row>
    <x:row r="18" ht="18" customHeight="1">
      <x:c r="A18" s="24" t="str">
        <x:v>EEZ_100</x:v>
      </x:c>
      <x:c r="B18" s="24" t="str">
        <x:v>Bulgaria</x:v>
      </x:c>
      <x:c r="C18" s="24" t="str">
        <x:v>EEZ</x:v>
      </x:c>
      <x:c r="D18" s="30" t="n">
        <x:v>2019</x:v>
      </x:c>
      <x:c r="E18" s="24" t="str">
        <x:v>Alosa immaculata</x:v>
      </x:c>
      <x:c r="F18" s="24" t="str">
        <x:v>Pontic shad</x:v>
      </x:c>
      <x:c r="G18" s="24" t="str">
        <x:v>Medium pelagics (30 - 89 cm)</x:v>
      </x:c>
      <x:c r="H18" s="24" t="str">
        <x:v>Herring-likes</x:v>
      </x:c>
      <x:c r="I18" s="31" t="n">
        <x:v>23.9519922961</x:v>
      </x:c>
      <x:c r="J18" s="31" t="n">
        <x:v>23.8201763901</x:v>
      </x:c>
      <x:c r="K18" s="31" t="n">
        <x:v>0.13181590599999998</x:v>
      </x:c>
      <x:c r="L18" s="31" t="n">
        <x:v>23.8201763901</x:v>
      </x:c>
      <x:c r="M18" s="31" t="n">
        <x:v>0.13181590599999998</x:v>
      </x:c>
      <x:c r="N18" s="24" t="str">
        <x:v>alosa immaculata</x:v>
      </x:c>
      <x:c r="O18" s="32" t="n">
        <x:v>3.98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Alosa immaculata</x:v>
      </x:c>
      <x:c r="T18" s="32" t="n">
        <x:f>IF(O18="","",(1/'Metadata'!$B$5)^(O18-1))</x:f>
        <x:v>954.992586021436</x:v>
      </x:c>
      <x:c r="U18" s="31" t="n">
        <x:f>IF(T18="","",I18*T18)</x:f>
        <x:v>22873.975063218048</x:v>
      </x:c>
    </x:row>
    <x:row r="19" ht="18" customHeight="1">
      <x:c r="A19" s="24" t="str">
        <x:v>EEZ_100</x:v>
      </x:c>
      <x:c r="B19" s="24" t="str">
        <x:v>Bulgaria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22.5771444939</x:v>
      </x:c>
      <x:c r="J19" s="31" t="n">
        <x:v>22.5087609949</x:v>
      </x:c>
      <x:c r="K19" s="31" t="n">
        <x:v>0.068383499</x:v>
      </x:c>
      <x:c r="L19" s="31" t="n">
        <x:v>20.4555956409</x:v>
      </x:c>
      <x:c r="M19" s="31" t="n">
        <x:v>2.121548853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71395.1996634535</x:v>
      </x:c>
    </x:row>
    <x:row r="20" ht="18" customHeight="1">
      <x:c r="A20" s="24" t="str">
        <x:v>EEZ_100</x:v>
      </x:c>
      <x:c r="B20" s="24" t="str">
        <x:v>Bulgaria</x:v>
      </x:c>
      <x:c r="C20" s="24" t="str">
        <x:v>EEZ</x:v>
      </x:c>
      <x:c r="D20" s="30" t="n">
        <x:v>2019</x:v>
      </x:c>
      <x:c r="E20" s="24" t="str">
        <x:v>Mugil cephalus</x:v>
      </x:c>
      <x:c r="F20" s="24" t="str">
        <x:v>Flathead grey mullet</x:v>
      </x:c>
      <x:c r="G20" s="24" t="str">
        <x:v>Large benthopelagics (&gt;=90 cm)</x:v>
      </x:c>
      <x:c r="H20" s="24" t="str">
        <x:v>Perch-likes</x:v>
      </x:c>
      <x:c r="I20" s="31" t="n">
        <x:v>22.532794831</x:v>
      </x:c>
      <x:c r="J20" s="31" t="n">
        <x:v>22.090904673</x:v>
      </x:c>
      <x:c r="K20" s="31" t="n">
        <x:v>0.441890158</x:v>
      </x:c>
      <x:c r="L20" s="31" t="n">
        <x:v>22.090904673</x:v>
      </x:c>
      <x:c r="M20" s="31" t="n">
        <x:v>0.441890158</x:v>
      </x:c>
      <x:c r="N20" s="24" t="str">
        <x:v>mugil cephalus</x:v>
      </x:c>
      <x:c r="O20" s="32" t="n">
        <x:v>2.14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Mugil cephalus</x:v>
      </x:c>
      <x:c r="T20" s="32" t="n">
        <x:f>IF(O20="","",(1/'Metadata'!$B$5)^(O20-1))</x:f>
        <x:v>13.803842646028853</x:v>
      </x:c>
      <x:c r="U20" s="31" t="n">
        <x:f>IF(T20="","",I20*T20)</x:f>
        <x:v>311.0391542223763</x:v>
      </x:c>
    </x:row>
    <x:row r="21" ht="18" customHeight="1">
      <x:c r="A21" s="24" t="str">
        <x:v>EEZ_100</x:v>
      </x:c>
      <x:c r="B21" s="24" t="str">
        <x:v>Bulgaria</x:v>
      </x:c>
      <x:c r="C21" s="24" t="str">
        <x:v>EEZ</x:v>
      </x:c>
      <x:c r="D21" s="30" t="n">
        <x:v>2019</x:v>
      </x:c>
      <x:c r="E21" s="24" t="str">
        <x:v>Chelon saliens</x:v>
      </x:c>
      <x:c r="F21" s="24" t="str">
        <x:v>Leaping mullet</x:v>
      </x:c>
      <x:c r="G21" s="24" t="str">
        <x:v>Medium demersals (30 - 89 cm)</x:v>
      </x:c>
      <x:c r="H21" s="24" t="str">
        <x:v>Perch-likes</x:v>
      </x:c>
      <x:c r="I21" s="31" t="n">
        <x:v>22.059353164</x:v>
      </x:c>
      <x:c r="J21" s="31" t="n">
        <x:v>21.749204177</x:v>
      </x:c>
      <x:c r="K21" s="31" t="n">
        <x:v>0.310148987</x:v>
      </x:c>
      <x:c r="L21" s="31" t="n">
        <x:v>21.749204177</x:v>
      </x:c>
      <x:c r="M21" s="31" t="n">
        <x:v>0.310148987</x:v>
      </x:c>
      <x:c r="N21" s="24" t="str">
        <x:v>chelon saliens</x:v>
      </x:c>
      <x:c r="O21" s="32" t="n">
        <x:v>2.9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Chelon saliens</x:v>
      </x:c>
      <x:c r="T21" s="32" t="n">
        <x:f>IF(O21="","",(1/'Metadata'!$B$5)^(O21-1))</x:f>
        <x:v>79.43282347242814</x:v>
      </x:c>
      <x:c r="U21" s="31" t="n">
        <x:f>IF(T21="","",I21*T21)</x:f>
        <x:v>1752.2367057919612</x:v>
      </x:c>
    </x:row>
    <x:row r="22" ht="18" customHeight="1">
      <x:c r="A22" s="24" t="str">
        <x:v>EEZ_100</x:v>
      </x:c>
      <x:c r="B22" s="24" t="str">
        <x:v>Bulgaria</x:v>
      </x:c>
      <x:c r="C22" s="24" t="str">
        <x:v>EEZ</x:v>
      </x:c>
      <x:c r="D22" s="30" t="n">
        <x:v>2019</x:v>
      </x:c>
      <x:c r="E22" s="24" t="str">
        <x:v>Mullus surmuletus</x:v>
      </x:c>
      <x:c r="F22" s="24" t="str">
        <x:v>Surmullet</x:v>
      </x:c>
      <x:c r="G22" s="24" t="str">
        <x:v>Medium demersals (30 - 89 cm)</x:v>
      </x:c>
      <x:c r="H22" s="24" t="str">
        <x:v>Perch-likes</x:v>
      </x:c>
      <x:c r="I22" s="31" t="n">
        <x:v>20.796873552</x:v>
      </x:c>
      <x:c r="J22" s="31" t="n">
        <x:v>20.700421671</x:v>
      </x:c>
      <x:c r="K22" s="31" t="n">
        <x:v>0.096451881</x:v>
      </x:c>
      <x:c r="L22" s="31" t="n">
        <x:v>20.700421671</x:v>
      </x:c>
      <x:c r="M22" s="31" t="n">
        <x:v>0.096451881</x:v>
      </x:c>
      <x:c r="N22" s="24" t="str">
        <x:v>mullus surmuletus</x:v>
      </x:c>
      <x:c r="O22" s="32" t="n">
        <x:v>3.45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surmuletus</x:v>
      </x:c>
      <x:c r="T22" s="32" t="n">
        <x:f>IF(O22="","",(1/'Metadata'!$B$5)^(O22-1))</x:f>
        <x:v>281.8382931264455</x:v>
      </x:c>
      <x:c r="U22" s="31" t="n">
        <x:f>IF(T22="","",I22*T22)</x:f>
        <x:v>5861.355344262198</x:v>
      </x:c>
    </x:row>
    <x:row r="23" ht="18" customHeight="1">
      <x:c r="A23" s="24" t="str">
        <x:v>EEZ_100</x:v>
      </x:c>
      <x:c r="B23" s="24" t="str">
        <x:v>Bulgaria</x:v>
      </x:c>
      <x:c r="C23" s="24" t="str">
        <x:v>EEZ</x:v>
      </x:c>
      <x:c r="D23" s="30" t="n">
        <x:v>2019</x:v>
      </x:c>
      <x:c r="E23" s="24" t="str">
        <x:v>Mytilus galloprovincialis</x:v>
      </x:c>
      <x:c r="F23" s="24" t="str">
        <x:v>Mediterranean mussel</x:v>
      </x:c>
      <x:c r="G23" s="24" t="str">
        <x:v>Other demersal invertebrates</x:v>
      </x:c>
      <x:c r="H23" s="24" t="str">
        <x:v>Molluscs</x:v>
      </x:c>
      <x:c r="I23" s="31" t="n">
        <x:v>19.294933139</x:v>
      </x:c>
      <x:c r="J23" s="31" t="n">
        <x:v>16.15389773</x:v>
      </x:c>
      <x:c r="K23" s="31" t="n">
        <x:v>3.141035409</x:v>
      </x:c>
      <x:c r="L23" s="31" t="n">
        <x:v>16.15389773</x:v>
      </x:c>
      <x:c r="M23" s="31" t="n">
        <x:v>3.141035409</x:v>
      </x:c>
      <x:c r="N23" s="24" t="str">
        <x:v>mytilus galloprovincialis</x:v>
      </x:c>
      <x:c r="O23" s="32" t="n">
        <x:v>2.69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Mytilus galloprovincialis</x:v>
      </x:c>
      <x:c r="T23" s="32" t="n">
        <x:f>IF(O23="","",(1/'Metadata'!$B$5)^(O23-1))</x:f>
        <x:v>48.97788193684461</x:v>
      </x:c>
      <x:c r="U23" s="31" t="n">
        <x:f>IF(T23="","",I23*T23)</x:f>
        <x:v>945.0249572612527</x:v>
      </x:c>
    </x:row>
    <x:row r="24" ht="18" customHeight="1">
      <x:c r="A24" s="24" t="str">
        <x:v>EEZ_100</x:v>
      </x:c>
      <x:c r="B24" s="24" t="str">
        <x:v>Bulgaria</x:v>
      </x:c>
      <x:c r="C24" s="24" t="str">
        <x:v>EEZ</x:v>
      </x:c>
      <x:c r="D24" s="30" t="n">
        <x:v>2019</x:v>
      </x:c>
      <x:c r="E24" s="24" t="str">
        <x:v>Acipenseridae</x:v>
      </x:c>
      <x:c r="F24" s="24" t="str">
        <x:v>Sturgeons</x:v>
      </x:c>
      <x:c r="G24" s="24" t="str">
        <x:v>Large demersals (&gt;=90 cm)</x:v>
      </x:c>
      <x:c r="H24" s="24" t="str">
        <x:v>Other fishes &amp; inverts</x:v>
      </x:c>
      <x:c r="I24" s="31" t="n">
        <x:v>17.460440148</x:v>
      </x:c>
      <x:c r="J24" s="31" t="n">
        <x:v>17.460440148</x:v>
      </x:c>
      <x:c r="K24" s="31" t="n">
        <x:v>0</x:v>
      </x:c>
      <x:c r="L24" s="31" t="n">
        <x:v>0</x:v>
      </x:c>
      <x:c r="M24" s="31" t="n">
        <x:v>17.460440148</x:v>
      </x:c>
      <x:c r="N24" s="24" t="str">
        <x:v>acipenseridae</x:v>
      </x:c>
      <x:c r="O24" s="32" t="n">
        <x:v>3.6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Acipenseridae</x:v>
      </x:c>
      <x:c r="T24" s="32" t="n">
        <x:f>IF(O24="","",(1/'Metadata'!$B$5)^(O24-1))</x:f>
        <x:v>398.1071705534973</x:v>
      </x:c>
      <x:c r="U24" s="31" t="n">
        <x:f>IF(T24="","",I24*T24)</x:f>
        <x:v>6951.126423938968</x:v>
      </x:c>
    </x:row>
    <x:row r="25" ht="18" customHeight="1">
      <x:c r="A25" s="24" t="str">
        <x:v>EEZ_100</x:v>
      </x:c>
      <x:c r="B25" s="24" t="str">
        <x:v>Bulgaria</x:v>
      </x:c>
      <x:c r="C25" s="24" t="str">
        <x:v>EEZ</x:v>
      </x:c>
      <x:c r="D25" s="30" t="n">
        <x:v>2019</x:v>
      </x:c>
      <x:c r="E25" s="24" t="str">
        <x:v>Chelon auratus</x:v>
      </x:c>
      <x:c r="F25" s="24" t="str">
        <x:v>Golden grey mullet</x:v>
      </x:c>
      <x:c r="G25" s="24" t="str">
        <x:v>Medium pelagics (30 - 89 cm)</x:v>
      </x:c>
      <x:c r="H25" s="24" t="str">
        <x:v>Other fishes &amp; inverts</x:v>
      </x:c>
      <x:c r="I25" s="31" t="n">
        <x:v>4.963251616</x:v>
      </x:c>
      <x:c r="J25" s="31" t="n">
        <x:v>4.89033924</x:v>
      </x:c>
      <x:c r="K25" s="31" t="n">
        <x:v>0.072912376</x:v>
      </x:c>
      <x:c r="L25" s="31" t="n">
        <x:v>4.89033924</x:v>
      </x:c>
      <x:c r="M25" s="31" t="n">
        <x:v>0.072912376</x:v>
      </x:c>
      <x:c r="N25" s="24" t="str">
        <x:v>chelon auratus</x:v>
      </x:c>
      <x:c r="O25" s="32" t="n">
        <x:v>2.8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Chelon auratus</x:v>
      </x:c>
      <x:c r="T25" s="32" t="n">
        <x:f>IF(O25="","",(1/'Metadata'!$B$5)^(O25-1))</x:f>
        <x:v>63.0957344480193</x:v>
      </x:c>
      <x:c r="U25" s="31" t="n">
        <x:f>IF(T25="","",I25*T25)</x:f>
        <x:v>313.16000596183864</x:v>
      </x:c>
    </x:row>
    <x:row r="26" ht="18" customHeight="1">
      <x:c r="A26" s="24" t="str">
        <x:v>EEZ_100</x:v>
      </x:c>
      <x:c r="B26" s="24" t="str">
        <x:v>Bulgaria</x:v>
      </x:c>
      <x:c r="C26" s="24" t="str">
        <x:v>EEZ</x:v>
      </x:c>
      <x:c r="D26" s="30" t="n">
        <x:v>2019</x:v>
      </x:c>
      <x:c r="E26" s="24" t="str">
        <x:v>Merlangius merlangus</x:v>
      </x:c>
      <x:c r="F26" s="24" t="str">
        <x:v>Whiting</x:v>
      </x:c>
      <x:c r="G26" s="24" t="str">
        <x:v>Medium benthopelagics (30 - 89 cm)</x:v>
      </x:c>
      <x:c r="H26" s="24" t="str">
        <x:v>Cod-likes</x:v>
      </x:c>
      <x:c r="I26" s="31" t="n">
        <x:v>4.275577426</x:v>
      </x:c>
      <x:c r="J26" s="31" t="n">
        <x:v>3.9766566180000003</x:v>
      </x:c>
      <x:c r="K26" s="31" t="n">
        <x:v>0.298920808</x:v>
      </x:c>
      <x:c r="L26" s="31" t="n">
        <x:v>3.9766566180000003</x:v>
      </x:c>
      <x:c r="M26" s="31" t="n">
        <x:v>0.298920808</x:v>
      </x:c>
      <x:c r="N26" s="24" t="str">
        <x:v>merlangius merlangus</x:v>
      </x:c>
      <x:c r="O26" s="32" t="n">
        <x:v>4.36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Merlangius merlangus</x:v>
      </x:c>
      <x:c r="T26" s="32" t="n">
        <x:f>IF(O26="","",(1/'Metadata'!$B$5)^(O26-1))</x:f>
        <x:v>2290.867652767775</x:v>
      </x:c>
      <x:c r="U26" s="31" t="n">
        <x:f>IF(T26="","",I26*T26)</x:f>
        <x:v>9794.782022127505</x:v>
      </x:c>
    </x:row>
    <x:row r="27" ht="18" customHeight="1">
      <x:c r="A27" s="24" t="str">
        <x:v>EEZ_100</x:v>
      </x:c>
      <x:c r="B27" s="24" t="str">
        <x:v>Bulgaria</x:v>
      </x:c>
      <x:c r="C27" s="24" t="str">
        <x:v>EEZ</x:v>
      </x:c>
      <x:c r="D27" s="30" t="n">
        <x:v>2019</x:v>
      </x:c>
      <x:c r="E27" s="24" t="str">
        <x:v>Belone belone</x:v>
      </x:c>
      <x:c r="F27" s="24" t="str">
        <x:v>Garfish</x:v>
      </x:c>
      <x:c r="G27" s="24" t="str">
        <x:v>Medium pelagics (30 - 89 cm)</x:v>
      </x:c>
      <x:c r="H27" s="24" t="str">
        <x:v>Other fishes &amp; inverts</x:v>
      </x:c>
      <x:c r="I27" s="31" t="n">
        <x:v>3.875127012</x:v>
      </x:c>
      <x:c r="J27" s="31" t="n">
        <x:v>3.834158162</x:v>
      </x:c>
      <x:c r="K27" s="31" t="n">
        <x:v>0.04096885</x:v>
      </x:c>
      <x:c r="L27" s="31" t="n">
        <x:v>3.834158162</x:v>
      </x:c>
      <x:c r="M27" s="31" t="n">
        <x:v>0.04096885</x:v>
      </x:c>
      <x:c r="N27" s="24" t="str">
        <x:v>belone belone</x:v>
      </x:c>
      <x:c r="O27" s="32" t="n">
        <x:v>4.16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Belone belone</x:v>
      </x:c>
      <x:c r="T27" s="32" t="n">
        <x:f>IF(O27="","",(1/'Metadata'!$B$5)^(O27-1))</x:f>
        <x:v>1445.439770745928</x:v>
      </x:c>
      <x:c r="U27" s="31" t="n">
        <x:f>IF(T27="","",I27*T27)</x:f>
        <x:v>5601.262699836633</x:v>
      </x:c>
    </x:row>
    <x:row r="28" ht="18" customHeight="1">
      <x:c r="A28" s="24" t="str">
        <x:v>EEZ_100</x:v>
      </x:c>
      <x:c r="B28" s="24" t="str">
        <x:v>Bulgaria</x:v>
      </x:c>
      <x:c r="C28" s="24" t="str">
        <x:v>EEZ</x:v>
      </x:c>
      <x:c r="D28" s="30" t="n">
        <x:v>2019</x:v>
      </x:c>
      <x:c r="E28" s="24" t="str">
        <x:v>Dasyatis pastinaca</x:v>
      </x:c>
      <x:c r="F28" s="24" t="str">
        <x:v>Common stingray</x:v>
      </x:c>
      <x:c r="G28" s="24" t="str">
        <x:v>Large rays (&gt;=90 cm)</x:v>
      </x:c>
      <x:c r="H28" s="24" t="str">
        <x:v>Sharks &amp; rays</x:v>
      </x:c>
      <x:c r="I28" s="31" t="n">
        <x:v>3.339116711</x:v>
      </x:c>
      <x:c r="J28" s="31" t="n">
        <x:v>3.2388132339999998</x:v>
      </x:c>
      <x:c r="K28" s="31" t="n">
        <x:v>0.100303477</x:v>
      </x:c>
      <x:c r="L28" s="31" t="n">
        <x:v>3.2388132339999998</x:v>
      </x:c>
      <x:c r="M28" s="31" t="n">
        <x:v>0.100303477</x:v>
      </x:c>
      <x:c r="N28" s="24" t="str">
        <x:v>dasyatis pastinaca</x:v>
      </x:c>
      <x:c r="O28" s="32" t="n">
        <x:v>4.05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Dasyatis pastinaca</x:v>
      </x:c>
      <x:c r="T28" s="32" t="n">
        <x:f>IF(O28="","",(1/'Metadata'!$B$5)^(O28-1))</x:f>
        <x:v>1122.018454301963</x:v>
      </x:c>
      <x:c r="U28" s="31" t="n">
        <x:f>IF(T28="","",I28*T28)</x:f>
        <x:v>3746.550570810074</x:v>
      </x:c>
    </x:row>
    <x:row r="29" ht="18" customHeight="1">
      <x:c r="A29" s="24" t="str">
        <x:v>EEZ_100</x:v>
      </x:c>
      <x:c r="B29" s="24" t="str">
        <x:v>Bulgaria</x:v>
      </x:c>
      <x:c r="C29" s="24" t="str">
        <x:v>EEZ</x:v>
      </x:c>
      <x:c r="D29" s="30" t="n">
        <x:v>2019</x:v>
      </x:c>
      <x:c r="E29" s="24" t="str">
        <x:v>Platichthys flesus</x:v>
      </x:c>
      <x:c r="F29" s="24" t="str">
        <x:v>European flounder</x:v>
      </x:c>
      <x:c r="G29" s="24" t="str">
        <x:v>Small to medium flatfishes (&lt;90 cm)</x:v>
      </x:c>
      <x:c r="H29" s="24" t="str">
        <x:v>Flatfishes</x:v>
      </x:c>
      <x:c r="I29" s="31" t="n">
        <x:v>2.269554675</x:v>
      </x:c>
      <x:c r="J29" s="31" t="n">
        <x:v>2.266006677</x:v>
      </x:c>
      <x:c r="K29" s="31" t="n">
        <x:v>0.003547998</x:v>
      </x:c>
      <x:c r="L29" s="31" t="n">
        <x:v>2.266006677</x:v>
      </x:c>
      <x:c r="M29" s="31" t="n">
        <x:v>0.003547998</x:v>
      </x:c>
      <x:c r="N29" s="24" t="str">
        <x:v>platichthys flesus</x:v>
      </x:c>
      <x:c r="O29" s="32" t="n">
        <x:v>3.32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Platichthys flesus</x:v>
      </x:c>
      <x:c r="T29" s="32" t="n">
        <x:f>IF(O29="","",(1/'Metadata'!$B$5)^(O29-1))</x:f>
        <x:v>208.92961308540387</x:v>
      </x:c>
      <x:c r="U29" s="31" t="n">
        <x:f>IF(T29="","",I29*T29)</x:f>
        <x:v>474.1771801239196</x:v>
      </x:c>
    </x:row>
    <x:row r="30" ht="18" customHeight="1">
      <x:c r="A30" s="24" t="str">
        <x:v>EEZ_100</x:v>
      </x:c>
      <x:c r="B30" s="24" t="str">
        <x:v>Bulgaria</x:v>
      </x:c>
      <x:c r="C30" s="24" t="str">
        <x:v>EEZ</x:v>
      </x:c>
      <x:c r="D30" s="30" t="n">
        <x:v>2019</x:v>
      </x:c>
      <x:c r="E30" s="24" t="str">
        <x:v>Sardina pilchardus</x:v>
      </x:c>
      <x:c r="F30" s="24" t="str">
        <x:v>European pilchard</x:v>
      </x:c>
      <x:c r="G30" s="24" t="str">
        <x:v>Small pelagics (&lt;30 cm)</x:v>
      </x:c>
      <x:c r="H30" s="24" t="str">
        <x:v>Herring-likes</x:v>
      </x:c>
      <x:c r="I30" s="31" t="n">
        <x:v>1.6379083110000001</x:v>
      </x:c>
      <x:c r="J30" s="31" t="n">
        <x:v>1.6252133860000002</x:v>
      </x:c>
      <x:c r="K30" s="31" t="n">
        <x:v>0.012694925</x:v>
      </x:c>
      <x:c r="L30" s="31" t="n">
        <x:v>1.6252133860000002</x:v>
      </x:c>
      <x:c r="M30" s="31" t="n">
        <x:v>0.012694925</x:v>
      </x:c>
      <x:c r="N30" s="24" t="str">
        <x:v>sardina pilchardus</x:v>
      </x:c>
      <x:c r="O30" s="32" t="n">
        <x:v>3.06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Sardina pilchardus</x:v>
      </x:c>
      <x:c r="T30" s="32" t="n">
        <x:f>IF(O30="","",(1/'Metadata'!$B$5)^(O30-1))</x:f>
        <x:v>114.81536214968828</x:v>
      </x:c>
      <x:c r="U30" s="31" t="n">
        <x:f>IF(T30="","",I30*T30)</x:f>
        <x:v>188.05703589544927</x:v>
      </x:c>
    </x:row>
    <x:row r="31" ht="18" customHeight="1">
      <x:c r="A31" s="24" t="str">
        <x:v>EEZ_100</x:v>
      </x:c>
      <x:c r="B31" s="24" t="str">
        <x:v>Bulgaria</x:v>
      </x:c>
      <x:c r="C31" s="24" t="str">
        <x:v>EEZ</x:v>
      </x:c>
      <x:c r="D31" s="30" t="n">
        <x:v>2019</x:v>
      </x:c>
      <x:c r="E31" s="24" t="str">
        <x:v>Lophiidae</x:v>
      </x:c>
      <x:c r="F31" s="24" t="str">
        <x:v>Goosefishes</x:v>
      </x:c>
      <x:c r="G31" s="24" t="str">
        <x:v>Medium bathydemersals (30 - 89 cm)</x:v>
      </x:c>
      <x:c r="H31" s="24" t="str">
        <x:v>Other fishes &amp; inverts</x:v>
      </x:c>
      <x:c r="I31" s="31" t="n">
        <x:v>0.9608988039999999</x:v>
      </x:c>
      <x:c r="J31" s="31" t="n">
        <x:v>0.939627792</x:v>
      </x:c>
      <x:c r="K31" s="31" t="n">
        <x:v>0.021271012</x:v>
      </x:c>
      <x:c r="L31" s="31" t="n">
        <x:v>0.939627792</x:v>
      </x:c>
      <x:c r="M31" s="31" t="n">
        <x:v>0.021271012</x:v>
      </x:c>
      <x:c r="N31" s="24" t="str">
        <x:v>lophiidae</x:v>
      </x:c>
      <x:c r="O31" s="32" t="n">
        <x:v>4.46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Lophiidae</x:v>
      </x:c>
      <x:c r="T31" s="32" t="n">
        <x:f>IF(O31="","",(1/'Metadata'!$B$5)^(O31-1))</x:f>
        <x:v>2884.031503126606</x:v>
      </x:c>
      <x:c r="U31" s="31" t="n">
        <x:f>IF(T31="","",I31*T31)</x:f>
        <x:v>2771.2624220526777</x:v>
      </x:c>
    </x:row>
    <x:row r="32" ht="18" customHeight="1">
      <x:c r="A32" s="24" t="str">
        <x:v>EEZ_100</x:v>
      </x:c>
      <x:c r="B32" s="24" t="str">
        <x:v>Bulgaria</x:v>
      </x:c>
      <x:c r="C32" s="24" t="str">
        <x:v>EEZ</x:v>
      </x:c>
      <x:c r="D32" s="30" t="n">
        <x:v>2019</x:v>
      </x:c>
      <x:c r="E32" s="24" t="str">
        <x:v>Dicentrarchus labrax</x:v>
      </x:c>
      <x:c r="F32" s="24" t="str">
        <x:v>European seabass</x:v>
      </x:c>
      <x:c r="G32" s="24" t="str">
        <x:v>Large demersals (&gt;=90 cm)</x:v>
      </x:c>
      <x:c r="H32" s="24" t="str">
        <x:v>Perch-likes</x:v>
      </x:c>
      <x:c r="I32" s="31" t="n">
        <x:v>0.335978977</x:v>
      </x:c>
      <x:c r="J32" s="31" t="n">
        <x:v>0.33373134</x:v>
      </x:c>
      <x:c r="K32" s="31" t="n">
        <x:v>0.002247637</x:v>
      </x:c>
      <x:c r="L32" s="31" t="n">
        <x:v>0.33373134</x:v>
      </x:c>
      <x:c r="M32" s="31" t="n">
        <x:v>0.002247637</x:v>
      </x:c>
      <x:c r="N32" s="24" t="str">
        <x:v>dicentrarchus labrax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Dicentrarchus labrax</x:v>
      </x:c>
      <x:c r="T32" s="32" t="n">
        <x:f>IF(O32="","",(1/'Metadata'!$B$5)^(O32-1))</x:f>
        <x:v>616.5950018614822</x:v>
      </x:c>
      <x:c r="U32" s="31" t="n">
        <x:f>IF(T32="","",I32*T32)</x:f>
        <x:v>207.1629579487339</x:v>
      </x:c>
    </x:row>
    <x:row r="33" ht="18" customHeight="1">
      <x:c r="A33" s="24" t="str">
        <x:v>EEZ_100</x:v>
      </x:c>
      <x:c r="B33" s="24" t="str">
        <x:v>Bulgaria</x:v>
      </x:c>
      <x:c r="C33" s="24" t="str">
        <x:v>EEZ</x:v>
      </x:c>
      <x:c r="D33" s="30" t="n">
        <x:v>2019</x:v>
      </x:c>
      <x:c r="E33" s="24" t="str">
        <x:v>Dendrobranchiata</x:v>
      </x:c>
      <x:c r="F33" s="24" t="str">
        <x:v>Shrimps and prawns</x:v>
      </x:c>
      <x:c r="G33" s="24" t="str">
        <x:v>Shrimps</x:v>
      </x:c>
      <x:c r="H33" s="24" t="str">
        <x:v>Crustaceans</x:v>
      </x:c>
      <x:c r="I33" s="31" t="n">
        <x:v>0.238964069</x:v>
      </x:c>
      <x:c r="J33" s="31" t="n">
        <x:v>0.234906948</x:v>
      </x:c>
      <x:c r="K33" s="31" t="n">
        <x:v>0.004057121</x:v>
      </x:c>
      <x:c r="L33" s="31" t="n">
        <x:v>0.234906948</x:v>
      </x:c>
      <x:c r="M33" s="31" t="n">
        <x:v>0.004057121</x:v>
      </x:c>
      <x:c r="N33" s="24" t="str">
        <x:v>dendrobranchiata</x:v>
      </x:c>
      <x:c r="O33" s="32" t="n">
        <x:v>3.24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Dendrobranchiata</x:v>
      </x:c>
      <x:c r="T33" s="32" t="n">
        <x:f>IF(O33="","",(1/'Metadata'!$B$5)^(O33-1))</x:f>
        <x:v>173.78008287493762</x:v>
      </x:c>
      <x:c r="U33" s="31" t="n">
        <x:f>IF(T33="","",I33*T33)</x:f>
        <x:v>41.52719571495231</x:v>
      </x:c>
    </x:row>
    <x:row r="34" ht="18" customHeight="1">
      <x:c r="A34" s="24" t="str">
        <x:v>EEZ_100</x:v>
      </x:c>
      <x:c r="B34" s="24" t="str">
        <x:v>Bulgaria</x:v>
      </x:c>
      <x:c r="C34" s="24" t="str">
        <x:v>EEZ</x:v>
      </x:c>
      <x:c r="D34" s="30" t="n">
        <x:v>2019</x:v>
      </x:c>
      <x:c r="E34" s="24" t="str">
        <x:v>Malacostraca</x:v>
      </x:c>
      <x:c r="F34" s="24" t="str">
        <x:v>Lobsters, crabs, shrimps, krill</x:v>
      </x:c>
      <x:c r="G34" s="24" t="str">
        <x:v>Shrimps</x:v>
      </x:c>
      <x:c r="H34" s="24" t="str">
        <x:v>Crustaceans</x:v>
      </x:c>
      <x:c r="I34" s="31" t="n">
        <x:v>0.238964069</x:v>
      </x:c>
      <x:c r="J34" s="31" t="n">
        <x:v>0.234906948</x:v>
      </x:c>
      <x:c r="K34" s="31" t="n">
        <x:v>0.004057121</x:v>
      </x:c>
      <x:c r="L34" s="31" t="n">
        <x:v>0.234906948</x:v>
      </x:c>
      <x:c r="M34" s="31" t="n">
        <x:v>0.004057121</x:v>
      </x:c>
      <x:c r="N34" s="24" t="str">
        <x:v>malacostraca</x:v>
      </x:c>
      <x:c r="O34" s="32" t="n">
        <x:v>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Malacostraca</x:v>
      </x:c>
      <x:c r="T34" s="32" t="n">
        <x:f>IF(O34="","",(1/'Metadata'!$B$5)^(O34-1))</x:f>
        <x:v>100</x:v>
      </x:c>
      <x:c r="U34" s="31" t="n">
        <x:f>IF(T34="","",I34*T34)</x:f>
        <x:v>23.8964069</x:v>
      </x:c>
    </x:row>
    <x:row r="35" ht="18" customHeight="1">
      <x:c r="A35" s="24" t="str">
        <x:v>EEZ_100</x:v>
      </x:c>
      <x:c r="B35" s="24" t="str">
        <x:v>Bulgaria</x:v>
      </x:c>
      <x:c r="C35" s="24" t="str">
        <x:v>EEZ</x:v>
      </x:c>
      <x:c r="D35" s="30" t="n">
        <x:v>2019</x:v>
      </x:c>
      <x:c r="E35" s="24" t="str">
        <x:v>Scomber scombrus</x:v>
      </x:c>
      <x:c r="F35" s="24" t="str">
        <x:v>Atlantic mackerel</x:v>
      </x:c>
      <x:c r="G35" s="24" t="str">
        <x:v>Medium pelagics (30 - 89 cm)</x:v>
      </x:c>
      <x:c r="H35" s="24" t="str">
        <x:v>Perch-likes</x:v>
      </x:c>
      <x:c r="I35" s="31" t="n">
        <x:v>0.11558399600000001</x:v>
      </x:c>
      <x:c r="J35" s="31" t="n">
        <x:v>0.11558399600000001</x:v>
      </x:c>
      <x:c r="K35" s="31" t="n">
        <x:v>0</x:v>
      </x:c>
      <x:c r="L35" s="31" t="n">
        <x:v>0.11558399600000001</x:v>
      </x:c>
      <x:c r="M35" s="31" t="n">
        <x:v>0</x:v>
      </x:c>
      <x:c r="N35" s="24" t="str">
        <x:v>scomber scombrus</x:v>
      </x:c>
      <x:c r="O35" s="32" t="n">
        <x:v>3.63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 scombrus</x:v>
      </x:c>
      <x:c r="T35" s="32" t="n">
        <x:f>IF(O35="","",(1/'Metadata'!$B$5)^(O35-1))</x:f>
        <x:v>426.57951880159254</x:v>
      </x:c>
      <x:c r="U35" s="31" t="n">
        <x:f>IF(T35="","",I35*T35)</x:f>
        <x:v>49.3057653948452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5648ab631e745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180.302791154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23227.49898731612</x:v>
      </x:c>
    </x:row>
    <x:row r="3" ht="18" customHeight="1">
      <x:c r="A3" s="24" t="str">
        <x:v>Cod-likes</x:v>
      </x:c>
      <x:c r="B3" s="31" t="n">
        <x:v>4.275577426</x:v>
      </x:c>
      <x:c r="C3" s="32" t="n">
        <x:v>4.36</x:v>
      </x:c>
      <x:c r="D3" s="32" t="n">
        <x:f>IF(C3="","",(1/'Metadata'!$B$5)^(C3-1))</x:f>
        <x:v>2290.867652767775</x:v>
      </x:c>
      <x:c r="E3" s="31" t="n">
        <x:f>IF(B3=0,"",B3*D3)</x:f>
        <x:v>9794.782022127505</x:v>
      </x:c>
    </x:row>
    <x:row r="4" ht="18" customHeight="1">
      <x:c r="A4" s="24" t="str">
        <x:v>Crustaceans</x:v>
      </x:c>
      <x:c r="B4" s="31" t="n">
        <x:v>0.477928138</x:v>
      </x:c>
      <x:c r="C4" s="32" t="n">
        <x:v>3.12</x:v>
      </x:c>
      <x:c r="D4" s="32" t="n">
        <x:f>IF(C4="","",(1/'Metadata'!$B$5)^(C4-1))</x:f>
        <x:v>131.82567385564073</x:v>
      </x:c>
      <x:c r="E4" s="31" t="n">
        <x:f>IF(B4=0,"",B4*D4)</x:f>
        <x:v>63.003198846421654</x:v>
      </x:c>
    </x:row>
    <x:row r="5" ht="18" customHeight="1">
      <x:c r="A5" s="24" t="str">
        <x:v>Flatfishes</x:v>
      </x:c>
      <x:c r="B5" s="31" t="n">
        <x:v>496.59050111109997</x:v>
      </x:c>
      <x:c r="C5" s="32" t="n">
        <x:v>4.355246914999947</x:v>
      </x:c>
      <x:c r="D5" s="32" t="n">
        <x:f>IF(C5="","",(1/'Metadata'!$B$5)^(C5-1))</x:f>
        <x:v>2265.932220886655</x:v>
      </x:c>
      <x:c r="E5" s="31" t="n">
        <x:f>IF(B5=0,"",B5*D5)</x:f>
        <x:v>1125240.4170538918</x:v>
      </x:c>
    </x:row>
    <x:row r="6" ht="18" customHeight="1">
      <x:c r="A6" s="24" t="str">
        <x:v>Herring-likes</x:v>
      </x:c>
      <x:c r="B6" s="31" t="n">
        <x:v>2801.7682567741</x:v>
      </x:c>
      <x:c r="C6" s="32" t="n">
        <x:v>3.0183216475475425</x:v>
      </x:c>
      <x:c r="D6" s="32" t="n">
        <x:f>IF(C6="","",(1/'Metadata'!$B$5)^(C6-1))</x:f>
        <x:v>104.30896773480914</x:v>
      </x:c>
      <x:c r="E6" s="31" t="n">
        <x:f>IF(B6=0,"",B6*D6)</x:f>
        <x:v>292249.55469626206</x:v>
      </x:c>
    </x:row>
    <x:row r="7" ht="18" customHeight="1">
      <x:c r="A7" s="24" t="str">
        <x:v>Molluscs</x:v>
      </x:c>
      <x:c r="B7" s="31" t="n">
        <x:v>1227.869364885</x:v>
      </x:c>
      <x:c r="C7" s="32" t="n">
        <x:v>2.0878200967708556</x:v>
      </x:c>
      <x:c r="D7" s="32" t="n">
        <x:f>IF(C7="","",(1/'Metadata'!$B$5)^(C7-1))</x:f>
        <x:v>12.241090162525811</x:v>
      </x:c>
      <x:c r="E7" s="31" t="n">
        <x:f>IF(B7=0,"",B7*D7)</x:f>
        <x:v>15030.45960336059</x:v>
      </x:c>
    </x:row>
    <x:row r="8" ht="18" customHeight="1">
      <x:c r="A8" s="24" t="str">
        <x:v>Other fishes &amp; inverts</x:v>
      </x:c>
      <x:c r="B8" s="31" t="n">
        <x:v>11471.566739350399</x:v>
      </x:c>
      <x:c r="C8" s="32" t="n">
        <x:v>3.28040611580267</x:v>
      </x:c>
      <x:c r="D8" s="32" t="n">
        <x:f>IF(C8="","",(1/'Metadata'!$B$5)^(C8-1))</x:f>
        <x:v>190.72433785036958</x:v>
      </x:c>
      <x:c r="E8" s="31" t="n">
        <x:f>IF(B8=0,"",B8*D8)</x:f>
        <x:v>2187906.970468928</x:v>
      </x:c>
    </x:row>
    <x:row r="9" ht="18" customHeight="1">
      <x:c r="A9" s="24" t="str">
        <x:v>Perch-likes</x:v>
      </x:c>
      <x:c r="B9" s="31" t="n">
        <x:v>707.1811479651002</x:v>
      </x:c>
      <x:c r="C9" s="32" t="n">
        <x:v>3.7699237778499244</x:v>
      </x:c>
      <x:c r="D9" s="32" t="n">
        <x:f>IF(C9="","",(1/'Metadata'!$B$5)^(C9-1))</x:f>
        <x:v>588.7403176598231</x:v>
      </x:c>
      <x:c r="E9" s="31" t="n">
        <x:f>IF(B9=0,"",B9*D9)</x:f>
        <x:v>416346.0536960114</x:v>
      </x:c>
    </x:row>
    <x:row r="10" ht="18" customHeight="1">
      <x:c r="A10" s="24" t="str">
        <x:v>Sharks &amp; rays</x:v>
      </x:c>
      <x:c r="B10" s="31" t="n">
        <x:v>138.90320218899998</x:v>
      </x:c>
      <x:c r="C10" s="32" t="n">
        <x:v>4.057187935723047</x:v>
      </x:c>
      <x:c r="D10" s="32" t="n">
        <x:f>IF(C10="","",(1/'Metadata'!$B$5)^(C10-1))</x:f>
        <x:v>1140.7433237455007</x:v>
      </x:c>
      <x:c r="E10" s="31" t="n">
        <x:f>IF(B10=0,"",B10*D10)</x:f>
        <x:v>158452.90054397314</x:v>
      </x:c>
    </x:row>
    <x:row r="11" ht="18" customHeight="1">
      <x:c r="A11" s="24" t="str">
        <x:v>Tuna &amp; billfishes</x:v>
      </x:c>
      <x:c r="B11" s="31" t="n">
        <x:v>22.5771444939</x:v>
      </x:c>
      <x:c r="C11" s="32" t="n">
        <x:v>4.5</x:v>
      </x:c>
      <x:c r="D11" s="32" t="n">
        <x:f>IF(C11="","",(1/'Metadata'!$B$5)^(C11-1))</x:f>
        <x:v>3162.2776601683795</x:v>
      </x:c>
      <x:c r="E11" s="31" t="n">
        <x:f>IF(B11=0,"",B11*D11)</x:f>
        <x:v>71395.1996634535</x:v>
      </x:c>
    </x:row>
  </x:sheetData>
  <x:pageMargins left="0.7" right="0.7" top="0.75" bottom="0.75" header="0.3" footer="0.3"/>
  <x:tableParts count="1">
    <x:tablePart xmlns:r="http://schemas.openxmlformats.org/officeDocument/2006/relationships" r:id="Rc8c895ca9ad242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22.532794831</x:v>
      </x:c>
      <x:c r="C2" s="32" t="n">
        <x:v>2.14</x:v>
      </x:c>
      <x:c r="D2" s="32" t="n">
        <x:f>IF(C2="","",(1/'Metadata'!$B$5)^(C2-1))</x:f>
        <x:v>13.803842646028853</x:v>
      </x:c>
      <x:c r="E2" s="31" t="n">
        <x:f>IF(B2=0,"",B2*D2)</x:f>
        <x:v>311.0391542223763</x:v>
      </x:c>
    </x:row>
    <x:row r="3" ht="18" customHeight="1">
      <x:c r="A3" s="24" t="str">
        <x:v>Large demersals (&gt;=90 cm)</x:v>
      </x:c>
      <x:c r="B3" s="31" t="n">
        <x:v>17.796419125</x:v>
      </x:c>
      <x:c r="C3" s="32" t="n">
        <x:v>3.6035870140606168</x:v>
      </x:c>
      <x:c r="D3" s="32" t="n">
        <x:f>IF(C3="","",(1/'Metadata'!$B$5)^(C3-1))</x:f>
        <x:v>401.4089154043917</x:v>
      </x:c>
      <x:c r="E3" s="31" t="n">
        <x:f>IF(B3=0,"",B3*D3)</x:f>
        <x:v>7143.641299048223</x:v>
      </x:c>
    </x:row>
    <x:row r="4" ht="18" customHeight="1">
      <x:c r="A4" s="24" t="str">
        <x:v>Large flatfishes (&gt;=90 cm)</x:v>
      </x:c>
      <x:c r="B4" s="31" t="n">
        <x:v>494.3209464361</x:v>
      </x:c>
      <x:c r="C4" s="32" t="n">
        <x:v>4.36</x:v>
      </x:c>
      <x:c r="D4" s="32" t="n">
        <x:f>IF(C4="","",(1/'Metadata'!$B$5)^(C4-1))</x:f>
        <x:v>2290.867652767775</x:v>
      </x:c>
      <x:c r="E4" s="31" t="n">
        <x:f>IF(B4=0,"",B4*D4)</x:f>
        <x:v>1132423.8662760132</x:v>
      </x:c>
    </x:row>
    <x:row r="5" ht="18" customHeight="1">
      <x:c r="A5" s="24" t="str">
        <x:v>Large pelagics (&gt;=90 cm)</x:v>
      </x:c>
      <x:c r="B5" s="31" t="n">
        <x:v>251.956195059</x:v>
      </x:c>
      <x:c r="C5" s="32" t="n">
        <x:v>4.53</x:v>
      </x:c>
      <x:c r="D5" s="32" t="n">
        <x:f>IF(C5="","",(1/'Metadata'!$B$5)^(C5-1))</x:f>
        <x:v>3388.4415613920273</x:v>
      </x:c>
      <x:c r="E5" s="31" t="n">
        <x:f>IF(B5=0,"",B5*D5)</x:f>
        <x:v>853738.8429881122</x:v>
      </x:c>
    </x:row>
    <x:row r="6" ht="18" customHeight="1">
      <x:c r="A6" s="24" t="str">
        <x:v>Large rays (&gt;=90 cm)</x:v>
      </x:c>
      <x:c r="B6" s="31" t="n">
        <x:v>71.917758341</x:v>
      </x:c>
      <x:c r="C6" s="32" t="n">
        <x:v>3.849750227558333</x:v>
      </x:c>
      <x:c r="D6" s="32" t="n">
        <x:f>IF(C6="","",(1/'Metadata'!$B$5)^(C6-1))</x:f>
        <x:v>707.5387460354</x:v>
      </x:c>
      <x:c r="E6" s="31" t="n">
        <x:f>IF(B6=0,"",B6*D6)</x:f>
        <x:v>50884.600554268065</x:v>
      </x:c>
    </x:row>
    <x:row r="7" ht="18" customHeight="1">
      <x:c r="A7" s="24" t="str">
        <x:v>Large sharks (&gt;=90 cm)</x:v>
      </x:c>
      <x:c r="B7" s="31" t="n">
        <x:v>66.985443848</x:v>
      </x:c>
      <x:c r="C7" s="32" t="n">
        <x:v>4.279899828182146</x:v>
      </x:c>
      <x:c r="D7" s="32" t="n">
        <x:f>IF(C7="","",(1/'Metadata'!$B$5)^(C7-1))</x:f>
        <x:v>1905.0212662530935</x:v>
      </x:c>
      <x:c r="E7" s="31" t="n">
        <x:f>IF(B7=0,"",B7*D7)</x:f>
        <x:v>127608.69505984246</x:v>
      </x:c>
    </x:row>
    <x:row r="8" ht="18" customHeight="1">
      <x:c r="A8" s="24" t="str">
        <x:v>Medium bathydemersals (30 - 89 cm)</x:v>
      </x:c>
      <x:c r="B8" s="31" t="n">
        <x:v>0.9608988039999999</x:v>
      </x:c>
      <x:c r="C8" s="32" t="n">
        <x:v>4.46</x:v>
      </x:c>
      <x:c r="D8" s="32" t="n">
        <x:f>IF(C8="","",(1/'Metadata'!$B$5)^(C8-1))</x:f>
        <x:v>2884.031503126606</x:v>
      </x:c>
      <x:c r="E8" s="31" t="n">
        <x:f>IF(B8=0,"",B8*D8)</x:f>
        <x:v>2771.2624220526777</x:v>
      </x:c>
    </x:row>
    <x:row r="9" ht="18" customHeight="1">
      <x:c r="A9" s="24" t="str">
        <x:v>Medium benthopelagics (30 - 89 cm)</x:v>
      </x:c>
      <x:c r="B9" s="31" t="n">
        <x:v>4.275577426</x:v>
      </x:c>
      <x:c r="C9" s="32" t="n">
        <x:v>4.36</x:v>
      </x:c>
      <x:c r="D9" s="32" t="n">
        <x:f>IF(C9="","",(1/'Metadata'!$B$5)^(C9-1))</x:f>
        <x:v>2290.867652767775</x:v>
      </x:c>
      <x:c r="E9" s="31" t="n">
        <x:f>IF(B9=0,"",B9*D9)</x:f>
        <x:v>9794.782022127505</x:v>
      </x:c>
    </x:row>
    <x:row r="10" ht="18" customHeight="1">
      <x:c r="A10" s="24" t="str">
        <x:v>Medium demersals (30 - 89 cm)</x:v>
      </x:c>
      <x:c r="B10" s="31" t="n">
        <x:v>11435.660450207402</x:v>
      </x:c>
      <x:c r="C10" s="32" t="n">
        <x:v>3.2795761429154364</x:v>
      </x:c>
      <x:c r="D10" s="32" t="n">
        <x:f>IF(C10="","",(1/'Metadata'!$B$5)^(C10-1))</x:f>
        <x:v>190.3601958365749</x:v>
      </x:c>
      <x:c r="E10" s="31" t="n">
        <x:f>IF(B10=0,"",B10*D10)</x:f>
        <x:v>2176894.562822055</x:v>
      </x:c>
    </x:row>
    <x:row r="11" ht="18" customHeight="1">
      <x:c r="A11" s="24" t="str">
        <x:v>Medium pelagics (30 - 89 cm)</x:v>
      </x:c>
      <x:c r="B11" s="31" t="n">
        <x:v>276.5439556931</x:v>
      </x:c>
      <x:c r="C11" s="32" t="n">
        <x:v>3.8357833852302208</x:v>
      </x:c>
      <x:c r="D11" s="32" t="n">
        <x:f>IF(C11="","",(1/'Metadata'!$B$5)^(C11-1))</x:f>
        <x:v>685.1464080414005</x:v>
      </x:c>
      <x:c r="E11" s="31" t="n">
        <x:f>IF(B11=0,"",B11*D11)</x:f>
        <x:v>189473.09790868766</x:v>
      </x:c>
    </x:row>
    <x:row r="12" ht="18" customHeight="1">
      <x:c r="A12" s="24" t="str">
        <x:v>Medium reef assoc. fish (30 - 89 cm)</x:v>
      </x:c>
      <x:c r="B12" s="31" t="n">
        <x:v>30.797480307</x:v>
      </x:c>
      <x:c r="C12" s="32" t="n">
        <x:v>2.53</x:v>
      </x:c>
      <x:c r="D12" s="32" t="n">
        <x:f>IF(C12="","",(1/'Metadata'!$B$5)^(C12-1))</x:f>
        <x:v>33.88441561392024</x:v>
      </x:c>
      <x:c r="E12" s="31" t="n">
        <x:f>IF(B12=0,"",B12*D12)</x:f>
        <x:v>1043.5546225839119</x:v>
      </x:c>
    </x:row>
    <x:row r="13" ht="18" customHeight="1">
      <x:c r="A13" s="24" t="str">
        <x:v>Other demersal invertebrates</x:v>
      </x:c>
      <x:c r="B13" s="31" t="n">
        <x:v>1227.869364885</x:v>
      </x:c>
      <x:c r="C13" s="32" t="n">
        <x:v>2.0878200967708556</x:v>
      </x:c>
      <x:c r="D13" s="32" t="n">
        <x:f>IF(C13="","",(1/'Metadata'!$B$5)^(C13-1))</x:f>
        <x:v>12.241090162525811</x:v>
      </x:c>
      <x:c r="E13" s="31" t="n">
        <x:f>IF(B13=0,"",B13*D13)</x:f>
        <x:v>15030.45960336059</x:v>
      </x:c>
    </x:row>
    <x:row r="14" ht="18" customHeight="1">
      <x:c r="A14" s="24" t="str">
        <x:v>Shrimps</x:v>
      </x:c>
      <x:c r="B14" s="31" t="n">
        <x:v>0.477928138</x:v>
      </x:c>
      <x:c r="C14" s="32" t="n">
        <x:v>3.12</x:v>
      </x:c>
      <x:c r="D14" s="32" t="n">
        <x:f>IF(C14="","",(1/'Metadata'!$B$5)^(C14-1))</x:f>
        <x:v>131.82567385564073</x:v>
      </x:c>
      <x:c r="E14" s="31" t="n">
        <x:f>IF(B14=0,"",B14*D14)</x:f>
        <x:v>63.003198846421654</x:v>
      </x:c>
    </x:row>
    <x:row r="15" ht="18" customHeight="1">
      <x:c r="A15" s="24" t="str">
        <x:v>Small demersals (&lt;30 cm)</x:v>
      </x:c>
      <x:c r="B15" s="31" t="n">
        <x:v>51.502798279000004</x:v>
      </x:c>
      <x:c r="C15" s="32" t="n">
        <x:v>3.22</x:v>
      </x:c>
      <x:c r="D15" s="32" t="n">
        <x:f>IF(C15="","",(1/'Metadata'!$B$5)^(C15-1))</x:f>
        <x:v>165.95869074375614</x:v>
      </x:c>
      <x:c r="E15" s="31" t="n">
        <x:f>IF(B15=0,"",B15*D15)</x:f>
        <x:v>8547.336972022618</x:v>
      </x:c>
    </x:row>
    <x:row r="16" ht="18" customHeight="1">
      <x:c r="A16" s="24" t="str">
        <x:v>Small pelagics (&lt;30 cm)</x:v>
      </x:c>
      <x:c r="B16" s="31" t="n">
        <x:v>2958.119055632</x:v>
      </x:c>
      <x:c r="C16" s="32" t="n">
        <x:v>3.0161228686845667</x:v>
      </x:c>
      <x:c r="D16" s="32" t="n">
        <x:f>IF(C16="","",(1/'Metadata'!$B$5)^(C16-1))</x:f>
        <x:v>103.78219903202707</x:v>
      </x:c>
      <x:c r="E16" s="31" t="n">
        <x:f>IF(B16=0,"",B16*D16)</x:f>
        <x:v>307000.10059203213</x:v>
      </x:c>
    </x:row>
    <x:row r="17" ht="18" customHeight="1">
      <x:c r="A17" s="24" t="str">
        <x:v>Small reef assoc. fish (&lt;30 cm)</x:v>
      </x:c>
      <x:c r="B17" s="31" t="n">
        <x:v>137.5260318</x:v>
      </x:c>
      <x:c r="C17" s="32" t="n">
        <x:v>3.11</x:v>
      </x:c>
      <x:c r="D17" s="32" t="n">
        <x:f>IF(C17="","",(1/'Metadata'!$B$5)^(C17-1))</x:f>
        <x:v>128.82495516931337</x:v>
      </x:c>
      <x:c r="E17" s="31" t="n">
        <x:f>IF(B17=0,"",B17*D17)</x:f>
        <x:v>17716.784881248564</x:v>
      </x:c>
    </x:row>
    <x:row r="18" ht="18" customHeight="1">
      <x:c r="A18" s="24" t="str">
        <x:v>Small to medium flatfishes (&lt;90 cm)</x:v>
      </x:c>
      <x:c r="B18" s="31" t="n">
        <x:v>2.269554675</x:v>
      </x:c>
      <x:c r="C18" s="32" t="n">
        <x:v>3.32</x:v>
      </x:c>
      <x:c r="D18" s="32" t="n">
        <x:f>IF(C18="","",(1/'Metadata'!$B$5)^(C18-1))</x:f>
        <x:v>208.92961308540387</x:v>
      </x:c>
      <x:c r="E18" s="31" t="n">
        <x:f>IF(B18=0,"",B18*D18)</x:f>
        <x:v>474.1771801239196</x:v>
      </x:c>
    </x:row>
  </x:sheetData>
  <x:pageMargins left="0.7" right="0.7" top="0.75" bottom="0.75" header="0.3" footer="0.3"/>
  <x:tableParts count="1">
    <x:tablePart xmlns:r="http://schemas.openxmlformats.org/officeDocument/2006/relationships" r:id="R82bb5184c95441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EEZ_100</x:v>
      </x:c>
      <x:c r="B2" s="24" t="str">
        <x:v>raw_filtered_tonnes</x:v>
      </x:c>
      <x:c r="C2" s="24" t="n">
        <x:v>17051.5126534866</x:v>
      </x:c>
      <x:c r="D2" s="24" t="str">
        <x:v>tonnes</x:v>
      </x:c>
    </x:row>
    <x:row r="3" ht="18" customHeight="1">
      <x:c r="A3" s="24" t="str">
        <x:v>EEZ_100</x:v>
      </x:c>
      <x:c r="B3" s="24" t="str">
        <x:v>species_catch_tonnes</x:v>
      </x:c>
      <x:c r="C3" s="24" t="n">
        <x:v>17051.512653486603</x:v>
      </x:c>
      <x:c r="D3" s="24" t="str">
        <x:v>tonnes</x:v>
      </x:c>
    </x:row>
    <x:row r="4" ht="18" customHeight="1">
      <x:c r="A4" s="24" t="str">
        <x:v>EEZ_100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EEZ_100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EEZ_100</x:v>
      </x:c>
      <x:c r="B6" s="24" t="str">
        <x:v>matched_catch_tonnes</x:v>
      </x:c>
      <x:c r="C6" s="24" t="n">
        <x:v>17051.512653486603</x:v>
      </x:c>
      <x:c r="D6" s="24" t="str">
        <x:v>tonnes</x:v>
      </x:c>
    </x:row>
    <x:row r="7" ht="18" customHeight="1">
      <x:c r="A7" s="24" t="str">
        <x:v>EEZ_100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EEZ_100</x:v>
      </x:c>
      <x:c r="B8" s="24" t="str">
        <x:v>taxa_count</x:v>
      </x:c>
      <x:c r="C8" s="24" t="n">
        <x:v>34</x:v>
      </x:c>
      <x:c r="D8" s="24" t="str">
        <x:v>count</x:v>
      </x:c>
    </x:row>
    <x:row r="9" ht="18" customHeight="1">
      <x:c r="A9" s="24" t="str">
        <x:v>EEZ_100</x:v>
      </x:c>
      <x:c r="B9" s="24" t="str">
        <x:v>matched_taxa_count</x:v>
      </x:c>
      <x:c r="C9" s="24" t="n">
        <x:v>34</x:v>
      </x:c>
      <x:c r="D9" s="24" t="str">
        <x:v>count</x:v>
      </x:c>
    </x:row>
    <x:row r="10" ht="18" customHeight="1">
      <x:c r="A10" s="24" t="str">
        <x:v>EEZ_100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EEZ_100</x:v>
      </x:c>
      <x:c r="B11" s="24" t="str">
        <x:v>species_ppr</x:v>
      </x:c>
      <x:c r="C11" s="24" t="n">
        <x:v>4947572.629646991</x:v>
      </x:c>
      <x:c r="D11" s="24" t="str">
        <x:v>tonnes_primary_production_equivalent</x:v>
      </x:c>
    </x:row>
    <x:row r="12" ht="18" customHeight="1">
      <x:c r="A12" s="24" t="str">
        <x:v>EEZ_100</x:v>
      </x:c>
      <x:c r="B12" s="24" t="str">
        <x:v>commercial_ppr</x:v>
      </x:c>
      <x:c r="C12" s="24" t="n">
        <x:v>4299706.83993417</x:v>
      </x:c>
      <x:c r="D12" s="24" t="str">
        <x:v>tonnes_primary_production_equivalent</x:v>
      </x:c>
    </x:row>
    <x:row r="13" ht="18" customHeight="1">
      <x:c r="A13" s="24" t="str">
        <x:v>EEZ_100</x:v>
      </x:c>
      <x:c r="B13" s="24" t="str">
        <x:v>functional_ppr</x:v>
      </x:c>
      <x:c r="C13" s="24" t="n">
        <x:v>4900919.807556647</x:v>
      </x:c>
      <x:c r="D13" s="24" t="str">
        <x:v>tonnes_primary_production_equivalent</x:v>
      </x:c>
    </x:row>
    <x:row r="14" ht="18" customHeight="1">
      <x:c r="A14" s="24" t="str">
        <x:v>EEZ_100</x:v>
      </x:c>
      <x:c r="B14" s="24" t="str">
        <x:v>commercial_ppr_difference</x:v>
      </x:c>
      <x:c r="C14" s="24" t="n">
        <x:v>-647865.7897128211</x:v>
      </x:c>
      <x:c r="D14" s="24" t="str">
        <x:v>tonnes_primary_production_equivalent</x:v>
      </x:c>
    </x:row>
    <x:row r="15" ht="18" customHeight="1">
      <x:c r="A15" s="24" t="str">
        <x:v>EEZ_100</x:v>
      </x:c>
      <x:c r="B15" s="24" t="str">
        <x:v>functional_ppr_difference</x:v>
      </x:c>
      <x:c r="C15" s="24" t="n">
        <x:v>-46652.8220903445</x:v>
      </x:c>
      <x:c r="D15" s="24" t="str">
        <x:v>tonnes_primary_production_equivalent</x:v>
      </x:c>
    </x:row>
    <x:row r="16" ht="18" customHeight="1">
      <x:c r="A16" s="24" t="str">
        <x:v>EEZ_100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EEZ_100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79a60aeb35148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EEZ_100 - Bulgaria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EEZ_100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