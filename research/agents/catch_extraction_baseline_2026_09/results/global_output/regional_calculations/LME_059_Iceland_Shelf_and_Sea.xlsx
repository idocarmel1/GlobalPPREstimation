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fab68eda1e4a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7c81bfe984bc4863"/>
    <x:sheet xmlns:r="http://schemas.openxmlformats.org/officeDocument/2006/relationships" name="Commercial" sheetId="2" r:id="R800c767899914b2c"/>
    <x:sheet xmlns:r="http://schemas.openxmlformats.org/officeDocument/2006/relationships" name="Functional" sheetId="3" r:id="R76715532802940f5"/>
    <x:sheet xmlns:r="http://schemas.openxmlformats.org/officeDocument/2006/relationships" name="Missing TL" sheetId="4" r:id="R6a303d946f1845ac"/>
    <x:sheet xmlns:r="http://schemas.openxmlformats.org/officeDocument/2006/relationships" name="Validation" sheetId="5" r:id="R7848517620cf4dd3"/>
    <x:sheet xmlns:r="http://schemas.openxmlformats.org/officeDocument/2006/relationships" name="Metadata" sheetId="6" r:id="R2e3e538532cb49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a0f48352824c6d" /><Relationship Type="http://schemas.openxmlformats.org/officeDocument/2006/relationships/theme" Target="/xl/theme/theme1.xml" Id="R37c0163e1e76425d" /><Relationship Type="http://schemas.microsoft.com/office/2022/11/relationships/FeaturePropertyBag" Target="/xl/featurePropertyBag/featurePropertyBag.xml" Id="Rbbb2360e482f41e9" /><Relationship Type="http://schemas.openxmlformats.org/officeDocument/2006/relationships/sharedStrings" Target="/xl/sharedStrings.xml" Id="Rb162a4a5cf6a4259" /><Relationship Type="http://schemas.openxmlformats.org/officeDocument/2006/relationships/worksheet" Target="/xl/worksheets/sheet1.xml" Id="R7c81bfe984bc4863" /><Relationship Type="http://schemas.openxmlformats.org/officeDocument/2006/relationships/worksheet" Target="/xl/worksheets/sheet2.xml" Id="R800c767899914b2c" /><Relationship Type="http://schemas.openxmlformats.org/officeDocument/2006/relationships/worksheet" Target="/xl/worksheets/sheet3.xml" Id="R76715532802940f5" /><Relationship Type="http://schemas.openxmlformats.org/officeDocument/2006/relationships/worksheet" Target="/xl/worksheets/sheet4.xml" Id="R6a303d946f1845ac" /><Relationship Type="http://schemas.openxmlformats.org/officeDocument/2006/relationships/worksheet" Target="/xl/worksheets/sheet5.xml" Id="R7848517620cf4dd3" /><Relationship Type="http://schemas.openxmlformats.org/officeDocument/2006/relationships/worksheet" Target="/xl/worksheets/sheet6.xml" Id="R2e3e538532cb497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59SpeciesTable" displayName="LME059SpeciesTable" ref="A1:U75" headerRowCount="1" totalsRowCount="0" totalsRowShown="0">
  <x:autoFilter ref="A1:U7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59CommercialTable" displayName="LME059CommercialTable" ref="A1:E10" headerRowCount="1" totalsRowCount="0" totalsRowShown="0">
  <x:autoFilter ref="A1:E10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59FunctionalTable" displayName="LME059FunctionalTable" ref="A1:E23" headerRowCount="1" totalsRowCount="0" totalsRowShown="0">
  <x:autoFilter ref="A1:E23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59ValidationTable" displayName="LME059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136d3daaf342e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0fe886b11c14b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ba51e9caf1b41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2d2ca3e58142c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LME_059</x:v>
      </x:c>
      <x:c r="B2" s="24" t="str">
        <x:v>Iceland Shelf and Sea</x:v>
      </x:c>
      <x:c r="C2" s="24" t="str">
        <x:v>LME</x:v>
      </x:c>
      <x:c r="D2" s="30" t="n">
        <x:v>2019</x:v>
      </x:c>
      <x:c r="E2" s="24" t="str">
        <x:v>Gadus morhua</x:v>
      </x:c>
      <x:c r="F2" s="24" t="str">
        <x:v>Atlantic cod</x:v>
      </x:c>
      <x:c r="G2" s="24" t="str">
        <x:v>Large benthopelagics (&gt;=90 cm)</x:v>
      </x:c>
      <x:c r="H2" s="24" t="str">
        <x:v>Cod-likes</x:v>
      </x:c>
      <x:c r="I2" s="31" t="n">
        <x:v>231732.10448527138</x:v>
      </x:c>
      <x:c r="J2" s="31" t="n">
        <x:v>231180.56710388788</x:v>
      </x:c>
      <x:c r="K2" s="31" t="n">
        <x:v>551.5373813835</x:v>
      </x:c>
      <x:c r="L2" s="31" t="n">
        <x:v>230467.8247634666</x:v>
      </x:c>
      <x:c r="M2" s="31" t="n">
        <x:v>1264.2797218048</x:v>
      </x:c>
      <x:c r="N2" s="24" t="str">
        <x:v>gadus morhua</x:v>
      </x:c>
      <x:c r="O2" s="32" t="n">
        <x:v>4.09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Gadus morhua</x:v>
      </x:c>
      <x:c r="T2" s="32" t="n">
        <x:f>IF(O2="","",(1/'Metadata'!$B$5)^(O2-1))</x:f>
        <x:v>1230.268770812381</x:v>
      </x:c>
      <x:c r="U2" s="31" t="n">
        <x:f>IF(T2="","",I2*T2)</x:f>
        <x:v>285092771.34286106</x:v>
      </x:c>
    </x:row>
    <x:row r="3" ht="18" customHeight="1">
      <x:c r="A3" s="24" t="str">
        <x:v>LME_059</x:v>
      </x:c>
      <x:c r="B3" s="24" t="str">
        <x:v>Iceland Shelf and Sea</x:v>
      </x:c>
      <x:c r="C3" s="24" t="str">
        <x:v>LME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121072.72917322301</x:v>
      </x:c>
      <x:c r="J3" s="31" t="n">
        <x:v>119946.2060884822</x:v>
      </x:c>
      <x:c r="K3" s="31" t="n">
        <x:v>1126.5230847408</x:v>
      </x:c>
      <x:c r="L3" s="31" t="n">
        <x:v>119934.9920511876</x:v>
      </x:c>
      <x:c r="M3" s="31" t="n">
        <x:v>1137.7371220354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23069932.94561792</x:v>
      </x:c>
    </x:row>
    <x:row r="4" ht="18" customHeight="1">
      <x:c r="A4" s="24" t="str">
        <x:v>LME_059</x:v>
      </x:c>
      <x:c r="B4" s="24" t="str">
        <x:v>Iceland Shelf and Sea</x:v>
      </x:c>
      <x:c r="C4" s="24" t="str">
        <x:v>LME</x:v>
      </x:c>
      <x:c r="D4" s="30" t="n">
        <x:v>2019</x:v>
      </x:c>
      <x:c r="E4" s="24" t="str">
        <x:v>Scomber scombrus</x:v>
      </x:c>
      <x:c r="F4" s="24" t="str">
        <x:v>Atlantic mackerel</x:v>
      </x:c>
      <x:c r="G4" s="24" t="str">
        <x:v>Medium pelagics (30 - 89 cm)</x:v>
      </x:c>
      <x:c r="H4" s="24" t="str">
        <x:v>Perch-likes</x:v>
      </x:c>
      <x:c r="I4" s="31" t="n">
        <x:v>65666.125167444</x:v>
      </x:c>
      <x:c r="J4" s="31" t="n">
        <x:v>64955.249488190304</x:v>
      </x:c>
      <x:c r="K4" s="31" t="n">
        <x:v>710.8756792537</x:v>
      </x:c>
      <x:c r="L4" s="31" t="n">
        <x:v>64955.249488190304</x:v>
      </x:c>
      <x:c r="M4" s="31" t="n">
        <x:v>710.8756792537</x:v>
      </x:c>
      <x:c r="N4" s="24" t="str">
        <x:v>scomber scombrus</x:v>
      </x:c>
      <x:c r="O4" s="32" t="n">
        <x:v>3.63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Scomber scombrus</x:v>
      </x:c>
      <x:c r="T4" s="32" t="n">
        <x:f>IF(O4="","",(1/'Metadata'!$B$5)^(O4-1))</x:f>
        <x:v>426.57951880159254</x:v>
      </x:c>
      <x:c r="U4" s="31" t="n">
        <x:f>IF(T4="","",I4*T4)</x:f>
        <x:v>28011824.075493407</x:v>
      </x:c>
    </x:row>
    <x:row r="5" ht="18" customHeight="1">
      <x:c r="A5" s="24" t="str">
        <x:v>LME_059</x:v>
      </x:c>
      <x:c r="B5" s="24" t="str">
        <x:v>Iceland Shelf and Sea</x:v>
      </x:c>
      <x:c r="C5" s="24" t="str">
        <x:v>LME</x:v>
      </x:c>
      <x:c r="D5" s="30" t="n">
        <x:v>2019</x:v>
      </x:c>
      <x:c r="E5" s="24" t="str">
        <x:v>Pollachius virens</x:v>
      </x:c>
      <x:c r="F5" s="24" t="str">
        <x:v>Saithe</x:v>
      </x:c>
      <x:c r="G5" s="24" t="str">
        <x:v>Large demersals (&gt;=90 cm)</x:v>
      </x:c>
      <x:c r="H5" s="24" t="str">
        <x:v>Cod-likes</x:v>
      </x:c>
      <x:c r="I5" s="31" t="n">
        <x:v>64638.2285405113</x:v>
      </x:c>
      <x:c r="J5" s="31" t="n">
        <x:v>63846.946239708894</x:v>
      </x:c>
      <x:c r="K5" s="31" t="n">
        <x:v>791.2823008024</x:v>
      </x:c>
      <x:c r="L5" s="31" t="n">
        <x:v>63813.4342758437</x:v>
      </x:c>
      <x:c r="M5" s="31" t="n">
        <x:v>824.7942646676</x:v>
      </x:c>
      <x:c r="N5" s="24" t="str">
        <x:v>pollachius virens</x:v>
      </x:c>
      <x:c r="O5" s="32" t="n">
        <x:v>4.31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Pollachius virens</x:v>
      </x:c>
      <x:c r="T5" s="32" t="n">
        <x:f>IF(O5="","",(1/'Metadata'!$B$5)^(O5-1))</x:f>
        <x:v>2041.7379446695275</x:v>
      </x:c>
      <x:c r="U5" s="31" t="n">
        <x:f>IF(T5="","",I5*T5)</x:f>
        <x:v>131974323.88738273</x:v>
      </x:c>
    </x:row>
    <x:row r="6" ht="18" customHeight="1">
      <x:c r="A6" s="24" t="str">
        <x:v>LME_059</x:v>
      </x:c>
      <x:c r="B6" s="24" t="str">
        <x:v>Iceland Shelf and Sea</x:v>
      </x:c>
      <x:c r="C6" s="24" t="str">
        <x:v>LME</x:v>
      </x:c>
      <x:c r="D6" s="30" t="n">
        <x:v>2019</x:v>
      </x:c>
      <x:c r="E6" s="24" t="str">
        <x:v>Melanogrammus aeglefinus</x:v>
      </x:c>
      <x:c r="F6" s="24" t="str">
        <x:v>Haddock</x:v>
      </x:c>
      <x:c r="G6" s="24" t="str">
        <x:v>Medium demersals (30 - 89 cm)</x:v>
      </x:c>
      <x:c r="H6" s="24" t="str">
        <x:v>Cod-likes</x:v>
      </x:c>
      <x:c r="I6" s="31" t="n">
        <x:v>62403.5277070487</x:v>
      </x:c>
      <x:c r="J6" s="31" t="n">
        <x:v>62271.546578681</x:v>
      </x:c>
      <x:c r="K6" s="31" t="n">
        <x:v>131.9811283677</x:v>
      </x:c>
      <x:c r="L6" s="31" t="n">
        <x:v>57214.4328689835</x:v>
      </x:c>
      <x:c r="M6" s="31" t="n">
        <x:v>5189.0948380652</x:v>
      </x:c>
      <x:c r="N6" s="24" t="str">
        <x:v>melanogrammus aeglefinus</x:v>
      </x:c>
      <x:c r="O6" s="32" t="n">
        <x:v>4.03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Melanogrammus aeglefinus</x:v>
      </x:c>
      <x:c r="T6" s="32" t="n">
        <x:f>IF(O6="","",(1/'Metadata'!$B$5)^(O6-1))</x:f>
        <x:v>1071.519305237607</x:v>
      </x:c>
      <x:c r="U6" s="31" t="n">
        <x:f>IF(T6="","",I6*T6)</x:f>
        <x:v>66866584.653032586</x:v>
      </x:c>
    </x:row>
    <x:row r="7" ht="18" customHeight="1">
      <x:c r="A7" s="24" t="str">
        <x:v>LME_059</x:v>
      </x:c>
      <x:c r="B7" s="24" t="str">
        <x:v>Iceland Shelf and Sea</x:v>
      </x:c>
      <x:c r="C7" s="24" t="str">
        <x:v>LME</x:v>
      </x:c>
      <x:c r="D7" s="30" t="n">
        <x:v>2019</x:v>
      </x:c>
      <x:c r="E7" s="24" t="str">
        <x:v>Sebastes norvegicus</x:v>
      </x:c>
      <x:c r="F7" s="24" t="str">
        <x:v>Golden redfish</x:v>
      </x:c>
      <x:c r="G7" s="24" t="str">
        <x:v>Medium benthopelagics (30 - 89 cm)</x:v>
      </x:c>
      <x:c r="H7" s="24" t="str">
        <x:v>Scorpionfishes</x:v>
      </x:c>
      <x:c r="I7" s="31" t="n">
        <x:v>46989.7286505128</x:v>
      </x:c>
      <x:c r="J7" s="31" t="n">
        <x:v>44481.0140288566</x:v>
      </x:c>
      <x:c r="K7" s="31" t="n">
        <x:v>2508.7146216562</x:v>
      </x:c>
      <x:c r="L7" s="31" t="n">
        <x:v>44399.712882388005</x:v>
      </x:c>
      <x:c r="M7" s="31" t="n">
        <x:v>2590.0157681247997</x:v>
      </x:c>
      <x:c r="N7" s="24" t="str">
        <x:v>sebastes norvegicus</x:v>
      </x:c>
      <x:c r="O7" s="32" t="n">
        <x:v>4.04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Sebastes norvegicus</x:v>
      </x:c>
      <x:c r="T7" s="32" t="n">
        <x:f>IF(O7="","",(1/'Metadata'!$B$5)^(O7-1))</x:f>
        <x:v>1096.4781961431852</x:v>
      </x:c>
      <x:c r="U7" s="31" t="n">
        <x:f>IF(T7="","",I7*T7)</x:f>
        <x:v>51523212.90797202</x:v>
      </x:c>
    </x:row>
    <x:row r="8" ht="18" customHeight="1">
      <x:c r="A8" s="24" t="str">
        <x:v>LME_059</x:v>
      </x:c>
      <x:c r="B8" s="24" t="str">
        <x:v>Iceland Shelf and Sea</x:v>
      </x:c>
      <x:c r="C8" s="24" t="str">
        <x:v>LME</x:v>
      </x:c>
      <x:c r="D8" s="30" t="n">
        <x:v>2019</x:v>
      </x:c>
      <x:c r="E8" s="24" t="str">
        <x:v>Micromesistius poutassou</x:v>
      </x:c>
      <x:c r="F8" s="24" t="str">
        <x:v>Blue whiting</x:v>
      </x:c>
      <x:c r="G8" s="24" t="str">
        <x:v>Medium benthopelagics (30 - 89 cm)</x:v>
      </x:c>
      <x:c r="H8" s="24" t="str">
        <x:v>Cod-likes</x:v>
      </x:c>
      <x:c r="I8" s="31" t="n">
        <x:v>31152.7332178004</x:v>
      </x:c>
      <x:c r="J8" s="31" t="n">
        <x:v>30984.1972446344</x:v>
      </x:c>
      <x:c r="K8" s="31" t="n">
        <x:v>168.535973166</x:v>
      </x:c>
      <x:c r="L8" s="31" t="n">
        <x:v>30984.1972446344</x:v>
      </x:c>
      <x:c r="M8" s="31" t="n">
        <x:v>168.535973166</x:v>
      </x:c>
      <x:c r="N8" s="24" t="str">
        <x:v>micromesistius poutassou</x:v>
      </x:c>
      <x:c r="O8" s="32" t="n">
        <x:v>4.13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Micromesistius poutassou</x:v>
      </x:c>
      <x:c r="T8" s="32" t="n">
        <x:f>IF(O8="","",(1/'Metadata'!$B$5)^(O8-1))</x:f>
        <x:v>1348.9628825916532</x:v>
      </x:c>
      <x:c r="U8" s="31" t="n">
        <x:f>IF(T8="","",I8*T8)</x:f>
        <x:v>42023880.802092776</x:v>
      </x:c>
    </x:row>
    <x:row r="9" ht="18" customHeight="1">
      <x:c r="A9" s="24" t="str">
        <x:v>LME_059</x:v>
      </x:c>
      <x:c r="B9" s="24" t="str">
        <x:v>Iceland Shelf and Sea</x:v>
      </x:c>
      <x:c r="C9" s="24" t="str">
        <x:v>LME</x:v>
      </x:c>
      <x:c r="D9" s="30" t="n">
        <x:v>2019</x:v>
      </x:c>
      <x:c r="E9" s="24" t="str">
        <x:v>Reinhardtius hippoglossoides</x:v>
      </x:c>
      <x:c r="F9" s="24" t="str">
        <x:v>Greenland halibut</x:v>
      </x:c>
      <x:c r="G9" s="24" t="str">
        <x:v>Small to medium flatfishes (&lt;90 cm)</x:v>
      </x:c>
      <x:c r="H9" s="24" t="str">
        <x:v>Flatfishes</x:v>
      </x:c>
      <x:c r="I9" s="31" t="n">
        <x:v>12429.0970488989</x:v>
      </x:c>
      <x:c r="J9" s="31" t="n">
        <x:v>12179.7851484067</x:v>
      </x:c>
      <x:c r="K9" s="31" t="n">
        <x:v>249.3119004922</x:v>
      </x:c>
      <x:c r="L9" s="31" t="n">
        <x:v>12165.640444569799</x:v>
      </x:c>
      <x:c r="M9" s="31" t="n">
        <x:v>263.4566043291</x:v>
      </x:c>
      <x:c r="N9" s="24" t="str">
        <x:v>reinhardtius hippoglossoides</x:v>
      </x:c>
      <x:c r="O9" s="32" t="n">
        <x:v>4.38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Reinhardtius hippoglossoides</x:v>
      </x:c>
      <x:c r="T9" s="32" t="n">
        <x:f>IF(O9="","",(1/'Metadata'!$B$5)^(O9-1))</x:f>
        <x:v>2398.83291901949</x:v>
      </x:c>
      <x:c r="U9" s="31" t="n">
        <x:f>IF(T9="","",I9*T9)</x:f>
        <x:v>29815327.154586677</x:v>
      </x:c>
    </x:row>
    <x:row r="10" ht="18" customHeight="1">
      <x:c r="A10" s="24" t="str">
        <x:v>LME_059</x:v>
      </x:c>
      <x:c r="B10" s="24" t="str">
        <x:v>Iceland Shelf and Sea</x:v>
      </x:c>
      <x:c r="C10" s="24" t="str">
        <x:v>LME</x:v>
      </x:c>
      <x:c r="D10" s="30" t="n">
        <x:v>2019</x:v>
      </x:c>
      <x:c r="E10" s="24" t="str">
        <x:v>Sebastes mentella</x:v>
      </x:c>
      <x:c r="F10" s="24" t="str">
        <x:v>Beaked redfish</x:v>
      </x:c>
      <x:c r="G10" s="24" t="str">
        <x:v>Medium bathypelagics (30 - 89 cm)</x:v>
      </x:c>
      <x:c r="H10" s="24" t="str">
        <x:v>Scorpionfishes</x:v>
      </x:c>
      <x:c r="I10" s="31" t="n">
        <x:v>9848.1594076503</x:v>
      </x:c>
      <x:c r="J10" s="31" t="n">
        <x:v>9164.7322548062</x:v>
      </x:c>
      <x:c r="K10" s="31" t="n">
        <x:v>683.4271528441</x:v>
      </x:c>
      <x:c r="L10" s="31" t="n">
        <x:v>9164.7322548062</x:v>
      </x:c>
      <x:c r="M10" s="31" t="n">
        <x:v>683.4271528441</x:v>
      </x:c>
      <x:c r="N10" s="24" t="str">
        <x:v>sebastes mentella</x:v>
      </x:c>
      <x:c r="O10" s="32" t="n">
        <x:v>3.65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Sebastes mentella</x:v>
      </x:c>
      <x:c r="T10" s="32" t="n">
        <x:f>IF(O10="","",(1/'Metadata'!$B$5)^(O10-1))</x:f>
        <x:v>446.683592150963</x:v>
      </x:c>
      <x:c r="U10" s="31" t="n">
        <x:f>IF(T10="","",I10*T10)</x:f>
        <x:v>4399011.2202845365</x:v>
      </x:c>
    </x:row>
    <x:row r="11" ht="18" customHeight="1">
      <x:c r="A11" s="24" t="str">
        <x:v>LME_059</x:v>
      </x:c>
      <x:c r="B11" s="24" t="str">
        <x:v>Iceland Shelf and Sea</x:v>
      </x:c>
      <x:c r="C11" s="24" t="str">
        <x:v>LME</x:v>
      </x:c>
      <x:c r="D11" s="30" t="n">
        <x:v>2019</x:v>
      </x:c>
      <x:c r="E11" s="24" t="str">
        <x:v>Anarhichas lupus</x:v>
      </x:c>
      <x:c r="F11" s="24" t="str">
        <x:v>Atlantic wolffish</x:v>
      </x:c>
      <x:c r="G11" s="24" t="str">
        <x:v>Large demersals (&gt;=90 cm)</x:v>
      </x:c>
      <x:c r="H11" s="24" t="str">
        <x:v>Perch-likes</x:v>
      </x:c>
      <x:c r="I11" s="31" t="n">
        <x:v>9824.7367228717</x:v>
      </x:c>
      <x:c r="J11" s="31" t="n">
        <x:v>9696.3803460442</x:v>
      </x:c>
      <x:c r="K11" s="31" t="n">
        <x:v>128.35637682750001</x:v>
      </x:c>
      <x:c r="L11" s="31" t="n">
        <x:v>9099.8111367241</x:v>
      </x:c>
      <x:c r="M11" s="31" t="n">
        <x:v>724.9255861475999</x:v>
      </x:c>
      <x:c r="N11" s="24" t="str">
        <x:v>anarhichas lupus</x:v>
      </x:c>
      <x:c r="O11" s="32" t="n">
        <x:v>3.55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Anarhichas lupus</x:v>
      </x:c>
      <x:c r="T11" s="32" t="n">
        <x:f>IF(O11="","",(1/'Metadata'!$B$5)^(O11-1))</x:f>
        <x:v>354.8133892335753</x:v>
      </x:c>
      <x:c r="U11" s="31" t="n">
        <x:f>IF(T11="","",I11*T11)</x:f>
        <x:v>3485948.1349696773</x:v>
      </x:c>
    </x:row>
    <x:row r="12" ht="18" customHeight="1">
      <x:c r="A12" s="24" t="str">
        <x:v>LME_059</x:v>
      </x:c>
      <x:c r="B12" s="24" t="str">
        <x:v>Iceland Shelf and Sea</x:v>
      </x:c>
      <x:c r="C12" s="24" t="str">
        <x:v>LME</x:v>
      </x:c>
      <x:c r="D12" s="30" t="n">
        <x:v>2019</x:v>
      </x:c>
      <x:c r="E12" s="24" t="str">
        <x:v>Molva molva</x:v>
      </x:c>
      <x:c r="F12" s="24" t="str">
        <x:v>Ling</x:v>
      </x:c>
      <x:c r="G12" s="24" t="str">
        <x:v>Large demersals (&gt;=90 cm)</x:v>
      </x:c>
      <x:c r="H12" s="24" t="str">
        <x:v>Cod-likes</x:v>
      </x:c>
      <x:c r="I12" s="31" t="n">
        <x:v>8476.2879027829</x:v>
      </x:c>
      <x:c r="J12" s="31" t="n">
        <x:v>8368.018053889</x:v>
      </x:c>
      <x:c r="K12" s="31" t="n">
        <x:v>108.26984889389999</x:v>
      </x:c>
      <x:c r="L12" s="31" t="n">
        <x:v>8304.1568526539</x:v>
      </x:c>
      <x:c r="M12" s="31" t="n">
        <x:v>172.131050129</x:v>
      </x:c>
      <x:c r="N12" s="24" t="str">
        <x:v>molva molva</x:v>
      </x:c>
      <x:c r="O12" s="32" t="n">
        <x:v>4.4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Molva molva</x:v>
      </x:c>
      <x:c r="T12" s="32" t="n">
        <x:f>IF(O12="","",(1/'Metadata'!$B$5)^(O12-1))</x:f>
        <x:v>2511.886431509582</x:v>
      </x:c>
      <x:c r="U12" s="31" t="n">
        <x:f>IF(T12="","",I12*T12)</x:f>
        <x:v>21291472.57256918</x:v>
      </x:c>
    </x:row>
    <x:row r="13" ht="18" customHeight="1">
      <x:c r="A13" s="24" t="str">
        <x:v>LME_059</x:v>
      </x:c>
      <x:c r="B13" s="24" t="str">
        <x:v>Iceland Shelf and Sea</x:v>
      </x:c>
      <x:c r="C13" s="24" t="str">
        <x:v>LME</x:v>
      </x:c>
      <x:c r="D13" s="30" t="n">
        <x:v>2019</x:v>
      </x:c>
      <x:c r="E13" s="24" t="str">
        <x:v>Pleuronectes platessa</x:v>
      </x:c>
      <x:c r="F13" s="24" t="str">
        <x:v>European plaice</x:v>
      </x:c>
      <x:c r="G13" s="24" t="str">
        <x:v>Large flatfishes (&gt;=90 cm)</x:v>
      </x:c>
      <x:c r="H13" s="24" t="str">
        <x:v>Flatfishes</x:v>
      </x:c>
      <x:c r="I13" s="31" t="n">
        <x:v>5710.3966065803</x:v>
      </x:c>
      <x:c r="J13" s="31" t="n">
        <x:v>5605.447589139</x:v>
      </x:c>
      <x:c r="K13" s="31" t="n">
        <x:v>104.9490174413</x:v>
      </x:c>
      <x:c r="L13" s="31" t="n">
        <x:v>5501.6445203867</x:v>
      </x:c>
      <x:c r="M13" s="31" t="n">
        <x:v>208.7520861936</x:v>
      </x:c>
      <x:c r="N13" s="24" t="str">
        <x:v>pleuronectes platessa</x:v>
      </x:c>
      <x:c r="O13" s="32" t="n">
        <x:v>3.26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Pleuronectes platessa</x:v>
      </x:c>
      <x:c r="T13" s="32" t="n">
        <x:f>IF(O13="","",(1/'Metadata'!$B$5)^(O13-1))</x:f>
        <x:v>181.97008586099827</x:v>
      </x:c>
      <x:c r="U13" s="31" t="n">
        <x:f>IF(T13="","",I13*T13)</x:f>
        <x:v>1039121.3607997703</x:v>
      </x:c>
    </x:row>
    <x:row r="14" ht="18" customHeight="1">
      <x:c r="A14" s="24" t="str">
        <x:v>LME_059</x:v>
      </x:c>
      <x:c r="B14" s="24" t="str">
        <x:v>Iceland Shelf and Sea</x:v>
      </x:c>
      <x:c r="C14" s="24" t="str">
        <x:v>LME</x:v>
      </x:c>
      <x:c r="D14" s="30" t="n">
        <x:v>2019</x:v>
      </x:c>
      <x:c r="E14" s="24" t="str">
        <x:v>Cyclopterus lumpus</x:v>
      </x:c>
      <x:c r="F14" s="24" t="str">
        <x:v>Lumpfish</x:v>
      </x:c>
      <x:c r="G14" s="24" t="str">
        <x:v>Medium benthopelagics (30 - 89 cm)</x:v>
      </x:c>
      <x:c r="H14" s="24" t="str">
        <x:v>Scorpionfishes</x:v>
      </x:c>
      <x:c r="I14" s="31" t="n">
        <x:v>5250.5258995397</x:v>
      </x:c>
      <x:c r="J14" s="31" t="n">
        <x:v>4976.7499056142</x:v>
      </x:c>
      <x:c r="K14" s="31" t="n">
        <x:v>273.7759939255</x:v>
      </x:c>
      <x:c r="L14" s="31" t="n">
        <x:v>4976.7499056142</x:v>
      </x:c>
      <x:c r="M14" s="31" t="n">
        <x:v>273.7759939255</x:v>
      </x:c>
      <x:c r="N14" s="24" t="str">
        <x:v>cyclopterus lumpus</x:v>
      </x:c>
      <x:c r="O14" s="32" t="n">
        <x:v>3.89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Cyclopterus lumpus</x:v>
      </x:c>
      <x:c r="T14" s="32" t="n">
        <x:f>IF(O14="","",(1/'Metadata'!$B$5)^(O14-1))</x:f>
        <x:v>776.247116628692</x:v>
      </x:c>
      <x:c r="U14" s="31" t="n">
        <x:f>IF(T14="","",I14*T14)</x:f>
        <x:v>4075705.590301961</x:v>
      </x:c>
    </x:row>
    <x:row r="15" ht="18" customHeight="1">
      <x:c r="A15" s="24" t="str">
        <x:v>LME_059</x:v>
      </x:c>
      <x:c r="B15" s="24" t="str">
        <x:v>Iceland Shelf and Sea</x:v>
      </x:c>
      <x:c r="C15" s="24" t="str">
        <x:v>LME</x:v>
      </x:c>
      <x:c r="D15" s="30" t="n">
        <x:v>2019</x:v>
      </x:c>
      <x:c r="E15" s="24" t="str">
        <x:v>Brosme brosme</x:v>
      </x:c>
      <x:c r="F15" s="24" t="str">
        <x:v>Tusk</x:v>
      </x:c>
      <x:c r="G15" s="24" t="str">
        <x:v>Large demersals (&gt;=90 cm)</x:v>
      </x:c>
      <x:c r="H15" s="24" t="str">
        <x:v>Cod-likes</x:v>
      </x:c>
      <x:c r="I15" s="31" t="n">
        <x:v>3458.9005443348</x:v>
      </x:c>
      <x:c r="J15" s="31" t="n">
        <x:v>3440.5455268656</x:v>
      </x:c>
      <x:c r="K15" s="31" t="n">
        <x:v>18.355017469199996</x:v>
      </x:c>
      <x:c r="L15" s="31" t="n">
        <x:v>3339.7326390036</x:v>
      </x:c>
      <x:c r="M15" s="31" t="n">
        <x:v>119.16790533119999</x:v>
      </x:c>
      <x:c r="N15" s="24" t="str">
        <x:v>brosme brosme</x:v>
      </x:c>
      <x:c r="O15" s="32" t="n">
        <x:v>3.9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Brosme brosme</x:v>
      </x:c>
      <x:c r="T15" s="32" t="n">
        <x:f>IF(O15="","",(1/'Metadata'!$B$5)^(O15-1))</x:f>
        <x:v>794.3282347242813</x:v>
      </x:c>
      <x:c r="U15" s="31" t="n">
        <x:f>IF(T15="","",I15*T15)</x:f>
        <x:v>2747502.3634683173</x:v>
      </x:c>
    </x:row>
    <x:row r="16" ht="18" customHeight="1">
      <x:c r="A16" s="24" t="str">
        <x:v>LME_059</x:v>
      </x:c>
      <x:c r="B16" s="24" t="str">
        <x:v>Iceland Shelf and Sea</x:v>
      </x:c>
      <x:c r="C16" s="24" t="str">
        <x:v>LME</x:v>
      </x:c>
      <x:c r="D16" s="30" t="n">
        <x:v>2019</x:v>
      </x:c>
      <x:c r="E16" s="24" t="str">
        <x:v>Argentina silus</x:v>
      </x:c>
      <x:c r="F16" s="24" t="str">
        <x:v>Greater argentine</x:v>
      </x:c>
      <x:c r="G16" s="24" t="str">
        <x:v>Medium bathydemersals (30 - 89 cm)</x:v>
      </x:c>
      <x:c r="H16" s="24" t="str">
        <x:v>Salmon, smelts, etc</x:v>
      </x:c>
      <x:c r="I16" s="31" t="n">
        <x:v>3279.6806394112996</x:v>
      </x:c>
      <x:c r="J16" s="31" t="n">
        <x:v>3198.4533528798997</x:v>
      </x:c>
      <x:c r="K16" s="31" t="n">
        <x:v>81.2272865314</x:v>
      </x:c>
      <x:c r="L16" s="31" t="n">
        <x:v>3198.4533528798997</x:v>
      </x:c>
      <x:c r="M16" s="31" t="n">
        <x:v>81.2272865314</x:v>
      </x:c>
      <x:c r="N16" s="24" t="str">
        <x:v>argentina silus</x:v>
      </x:c>
      <x:c r="O16" s="32" t="n">
        <x:v>3.32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Argentina silus</x:v>
      </x:c>
      <x:c r="T16" s="32" t="n">
        <x:f>IF(O16="","",(1/'Metadata'!$B$5)^(O16-1))</x:f>
        <x:v>208.92961308540387</x:v>
      </x:c>
      <x:c r="U16" s="31" t="n">
        <x:f>IF(T16="","",I16*T16)</x:f>
        <x:v>685222.4070358928</x:v>
      </x:c>
    </x:row>
    <x:row r="17" ht="18" customHeight="1">
      <x:c r="A17" s="24" t="str">
        <x:v>LME_059</x:v>
      </x:c>
      <x:c r="B17" s="24" t="str">
        <x:v>Iceland Shelf and Sea</x:v>
      </x:c>
      <x:c r="C17" s="24" t="str">
        <x:v>LME</x:v>
      </x:c>
      <x:c r="D17" s="30" t="n">
        <x:v>2019</x:v>
      </x:c>
      <x:c r="E17" s="24" t="str">
        <x:v>Pandalus borealis</x:v>
      </x:c>
      <x:c r="F17" s="24" t="str">
        <x:v>Northern prawn</x:v>
      </x:c>
      <x:c r="G17" s="24" t="str">
        <x:v>Shrimps</x:v>
      </x:c>
      <x:c r="H17" s="24" t="str">
        <x:v>Crustaceans</x:v>
      </x:c>
      <x:c r="I17" s="31" t="n">
        <x:v>2950.4219330345</x:v>
      </x:c>
      <x:c r="J17" s="31" t="n">
        <x:v>2889.8135833038</x:v>
      </x:c>
      <x:c r="K17" s="31" t="n">
        <x:v>60.6083497307</x:v>
      </x:c>
      <x:c r="L17" s="31" t="n">
        <x:v>2884.9840528236</x:v>
      </x:c>
      <x:c r="M17" s="31" t="n">
        <x:v>65.43788021089999</x:v>
      </x:c>
      <x:c r="N17" s="24" t="str">
        <x:v>pandalus borealis</x:v>
      </x:c>
      <x:c r="O17" s="32" t="n">
        <x:v>3.07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Pandalus borealis</x:v>
      </x:c>
      <x:c r="T17" s="32" t="n">
        <x:f>IF(O17="","",(1/'Metadata'!$B$5)^(O17-1))</x:f>
        <x:v>117.48975549395291</x:v>
      </x:c>
      <x:c r="U17" s="31" t="n">
        <x:f>IF(T17="","",I17*T17)</x:f>
        <x:v>346644.3515162193</x:v>
      </x:c>
    </x:row>
    <x:row r="18" ht="18" customHeight="1">
      <x:c r="A18" s="24" t="str">
        <x:v>LME_059</x:v>
      </x:c>
      <x:c r="B18" s="24" t="str">
        <x:v>Iceland Shelf and Sea</x:v>
      </x:c>
      <x:c r="C18" s="24" t="str">
        <x:v>LME</x:v>
      </x:c>
      <x:c r="D18" s="30" t="n">
        <x:v>2019</x:v>
      </x:c>
      <x:c r="E18" s="24" t="str">
        <x:v>Anarhichas minor</x:v>
      </x:c>
      <x:c r="F18" s="24" t="str">
        <x:v>Spotted wolffish</x:v>
      </x:c>
      <x:c r="G18" s="24" t="str">
        <x:v>Large demersals (&gt;=90 cm)</x:v>
      </x:c>
      <x:c r="H18" s="24" t="str">
        <x:v>Perch-likes</x:v>
      </x:c>
      <x:c r="I18" s="31" t="n">
        <x:v>1511.5961619372</x:v>
      </x:c>
      <x:c r="J18" s="31" t="n">
        <x:v>1489.2947282335</x:v>
      </x:c>
      <x:c r="K18" s="31" t="n">
        <x:v>22.301433703700003</x:v>
      </x:c>
      <x:c r="L18" s="31" t="n">
        <x:v>1373.515300418</x:v>
      </x:c>
      <x:c r="M18" s="31" t="n">
        <x:v>138.0808615192</x:v>
      </x:c>
      <x:c r="N18" s="24" t="str">
        <x:v>anarhichas minor</x:v>
      </x:c>
      <x:c r="O18" s="32" t="n">
        <x:v>3.45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Anarhichas minor</x:v>
      </x:c>
      <x:c r="T18" s="32" t="n">
        <x:f>IF(O18="","",(1/'Metadata'!$B$5)^(O18-1))</x:f>
        <x:v>281.8382931264455</x:v>
      </x:c>
      <x:c r="U18" s="31" t="n">
        <x:f>IF(T18="","",I18*T18)</x:f>
        <x:v>426025.6821768665</x:v>
      </x:c>
    </x:row>
    <x:row r="19" ht="18" customHeight="1">
      <x:c r="A19" s="24" t="str">
        <x:v>LME_059</x:v>
      </x:c>
      <x:c r="B19" s="24" t="str">
        <x:v>Iceland Shelf and Sea</x:v>
      </x:c>
      <x:c r="C19" s="24" t="str">
        <x:v>LME</x:v>
      </x:c>
      <x:c r="D19" s="30" t="n">
        <x:v>2019</x:v>
      </x:c>
      <x:c r="E19" s="24" t="str">
        <x:v>Microstomus kitt</x:v>
      </x:c>
      <x:c r="F19" s="24" t="str">
        <x:v>Lemon sole</x:v>
      </x:c>
      <x:c r="G19" s="24" t="str">
        <x:v>Small to medium flatfishes (&lt;90 cm)</x:v>
      </x:c>
      <x:c r="H19" s="24" t="str">
        <x:v>Flatfishes</x:v>
      </x:c>
      <x:c r="I19" s="31" t="n">
        <x:v>1462.4744757607</x:v>
      </x:c>
      <x:c r="J19" s="31" t="n">
        <x:v>1436.3301998709</x:v>
      </x:c>
      <x:c r="K19" s="31" t="n">
        <x:v>26.144275889800003</x:v>
      </x:c>
      <x:c r="L19" s="31" t="n">
        <x:v>1432.4654931348</x:v>
      </x:c>
      <x:c r="M19" s="31" t="n">
        <x:v>30.0089826259</x:v>
      </x:c>
      <x:c r="N19" s="24" t="str">
        <x:v>microstomus kitt</x:v>
      </x:c>
      <x:c r="O19" s="32" t="n">
        <x:v>3.22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Microstomus kitt</x:v>
      </x:c>
      <x:c r="T19" s="32" t="n">
        <x:f>IF(O19="","",(1/'Metadata'!$B$5)^(O19-1))</x:f>
        <x:v>165.95869074375614</x:v>
      </x:c>
      <x:c r="U19" s="31" t="n">
        <x:f>IF(T19="","",I19*T19)</x:f>
        <x:v>242710.34924340688</x:v>
      </x:c>
    </x:row>
    <x:row r="20" ht="18" customHeight="1">
      <x:c r="A20" s="24" t="str">
        <x:v>LME_059</x:v>
      </x:c>
      <x:c r="B20" s="24" t="str">
        <x:v>Iceland Shelf and Sea</x:v>
      </x:c>
      <x:c r="C20" s="24" t="str">
        <x:v>LME</x:v>
      </x:c>
      <x:c r="D20" s="30" t="n">
        <x:v>2019</x:v>
      </x:c>
      <x:c r="E20" s="24" t="str">
        <x:v>Sebastes</x:v>
      </x:c>
      <x:c r="F20" s="24" t="str">
        <x:v>Redfishes</x:v>
      </x:c>
      <x:c r="G20" s="24" t="str">
        <x:v>Large reef assoc. fish (&gt;=90 cm)</x:v>
      </x:c>
      <x:c r="H20" s="24" t="str">
        <x:v>Scorpionfishes</x:v>
      </x:c>
      <x:c r="I20" s="31" t="n">
        <x:v>1358.0404244062</x:v>
      </x:c>
      <x:c r="J20" s="31" t="n">
        <x:v>101.5539982403</x:v>
      </x:c>
      <x:c r="K20" s="31" t="n">
        <x:v>1256.4864261659</x:v>
      </x:c>
      <x:c r="L20" s="31" t="n">
        <x:v>101.5539982403</x:v>
      </x:c>
      <x:c r="M20" s="31" t="n">
        <x:v>1256.4864261659</x:v>
      </x:c>
      <x:c r="N20" s="24" t="str">
        <x:v>sebastes</x:v>
      </x:c>
      <x:c r="O20" s="32" t="n">
        <x:v>3.79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Sebastes</x:v>
      </x:c>
      <x:c r="T20" s="32" t="n">
        <x:f>IF(O20="","",(1/'Metadata'!$B$5)^(O20-1))</x:f>
        <x:v>616.5950018614822</x:v>
      </x:c>
      <x:c r="U20" s="31" t="n">
        <x:f>IF(T20="","",I20*T20)</x:f>
        <x:v>837360.9380147088</x:v>
      </x:c>
    </x:row>
    <x:row r="21" ht="18" customHeight="1">
      <x:c r="A21" s="24" t="str">
        <x:v>LME_059</x:v>
      </x:c>
      <x:c r="B21" s="24" t="str">
        <x:v>Iceland Shelf and Sea</x:v>
      </x:c>
      <x:c r="C21" s="24" t="str">
        <x:v>LME</x:v>
      </x:c>
      <x:c r="D21" s="30" t="n">
        <x:v>2019</x:v>
      </x:c>
      <x:c r="E21" s="24" t="str">
        <x:v>Trisopterus esmarkii</x:v>
      </x:c>
      <x:c r="F21" s="24" t="str">
        <x:v>Norway pout</x:v>
      </x:c>
      <x:c r="G21" s="24" t="str">
        <x:v>Medium benthopelagics (30 - 89 cm)</x:v>
      </x:c>
      <x:c r="H21" s="24" t="str">
        <x:v>Cod-likes</x:v>
      </x:c>
      <x:c r="I21" s="31" t="n">
        <x:v>1351.0210541637</x:v>
      </x:c>
      <x:c r="J21" s="31" t="n">
        <x:v>1347.5756998223</x:v>
      </x:c>
      <x:c r="K21" s="31" t="n">
        <x:v>3.4453543414</x:v>
      </x:c>
      <x:c r="L21" s="31" t="n">
        <x:v>1347.5756998223</x:v>
      </x:c>
      <x:c r="M21" s="31" t="n">
        <x:v>3.4453543414</x:v>
      </x:c>
      <x:c r="N21" s="24" t="str">
        <x:v>trisopterus esmarkii</x:v>
      </x:c>
      <x:c r="O21" s="32" t="n">
        <x:v>3.24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Trisopterus esmarkii</x:v>
      </x:c>
      <x:c r="T21" s="32" t="n">
        <x:f>IF(O21="","",(1/'Metadata'!$B$5)^(O21-1))</x:f>
        <x:v>173.78008287493762</x:v>
      </x:c>
      <x:c r="U21" s="31" t="n">
        <x:f>IF(T21="","",I21*T21)</x:f>
        <x:v>234780.55075835338</x:v>
      </x:c>
    </x:row>
    <x:row r="22" ht="18" customHeight="1">
      <x:c r="A22" s="24" t="str">
        <x:v>LME_059</x:v>
      </x:c>
      <x:c r="B22" s="24" t="str">
        <x:v>Iceland Shelf and Sea</x:v>
      </x:c>
      <x:c r="C22" s="24" t="str">
        <x:v>LME</x:v>
      </x:c>
      <x:c r="D22" s="30" t="n">
        <x:v>2019</x:v>
      </x:c>
      <x:c r="E22" s="24" t="str">
        <x:v>Mallotus villosus</x:v>
      </x:c>
      <x:c r="F22" s="24" t="str">
        <x:v>Capelin</x:v>
      </x:c>
      <x:c r="G22" s="24" t="str">
        <x:v>Small pelagics (&lt;30 cm)</x:v>
      </x:c>
      <x:c r="H22" s="24" t="str">
        <x:v>Salmon, smelts, etc</x:v>
      </x:c>
      <x:c r="I22" s="31" t="n">
        <x:v>957.4095374514999</x:v>
      </x:c>
      <x:c r="J22" s="31" t="n">
        <x:v>2.9248695598</x:v>
      </x:c>
      <x:c r="K22" s="31" t="n">
        <x:v>954.4846678916999</x:v>
      </x:c>
      <x:c r="L22" s="31" t="n">
        <x:v>2.9248695598</x:v>
      </x:c>
      <x:c r="M22" s="31" t="n">
        <x:v>954.4846678916999</x:v>
      </x:c>
      <x:c r="N22" s="24" t="str">
        <x:v>mallotus villosus</x:v>
      </x:c>
      <x:c r="O22" s="32" t="n">
        <x:v>3.15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Mallotus villosus</x:v>
      </x:c>
      <x:c r="T22" s="32" t="n">
        <x:f>IF(O22="","",(1/'Metadata'!$B$5)^(O22-1))</x:f>
        <x:v>141.2537544622754</x:v>
      </x:c>
      <x:c r="U22" s="31" t="n">
        <x:f>IF(T22="","",I22*T22)</x:f>
        <x:v>135237.6917230148</x:v>
      </x:c>
    </x:row>
    <x:row r="23" ht="18" customHeight="1">
      <x:c r="A23" s="24" t="str">
        <x:v>LME_059</x:v>
      </x:c>
      <x:c r="B23" s="24" t="str">
        <x:v>Iceland Shelf and Sea</x:v>
      </x:c>
      <x:c r="C23" s="24" t="str">
        <x:v>LME</x:v>
      </x:c>
      <x:c r="D23" s="30" t="n">
        <x:v>2019</x:v>
      </x:c>
      <x:c r="E23" s="24" t="str">
        <x:v>Amblyraja radiata</x:v>
      </x:c>
      <x:c r="F23" s="24" t="str">
        <x:v>Starry ray</x:v>
      </x:c>
      <x:c r="G23" s="24" t="str">
        <x:v>Large rays (&gt;=90 cm)</x:v>
      </x:c>
      <x:c r="H23" s="24" t="str">
        <x:v>Sharks &amp; rays</x:v>
      </x:c>
      <x:c r="I23" s="31" t="n">
        <x:v>951.0171112004999</x:v>
      </x:c>
      <x:c r="J23" s="31" t="n">
        <x:v>951.0171112004999</x:v>
      </x:c>
      <x:c r="K23" s="31" t="n">
        <x:v>0</x:v>
      </x:c>
      <x:c r="L23" s="31" t="n">
        <x:v>951.0171112004999</x:v>
      </x:c>
      <x:c r="M23" s="31" t="n">
        <x:v>0</x:v>
      </x:c>
      <x:c r="N23" s="24" t="str">
        <x:v>amblyraja radiata</x:v>
      </x:c>
      <x:c r="O23" s="32" t="n">
        <x:v>4.2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Amblyraja radiata</x:v>
      </x:c>
      <x:c r="T23" s="32" t="n">
        <x:f>IF(O23="","",(1/'Metadata'!$B$5)^(O23-1))</x:f>
        <x:v>1584.893192461114</x:v>
      </x:c>
      <x:c r="U23" s="31" t="n">
        <x:f>IF(T23="","",I23*T23)</x:f>
        <x:v>1507260.5454557065</x:v>
      </x:c>
    </x:row>
    <x:row r="24" ht="18" customHeight="1">
      <x:c r="A24" s="24" t="str">
        <x:v>LME_059</x:v>
      </x:c>
      <x:c r="B24" s="24" t="str">
        <x:v>Iceland Shelf and Sea</x:v>
      </x:c>
      <x:c r="C24" s="24" t="str">
        <x:v>LME</x:v>
      </x:c>
      <x:c r="D24" s="30" t="n">
        <x:v>2019</x:v>
      </x:c>
      <x:c r="E24" s="24" t="str">
        <x:v>Glyptocephalus cynoglossus</x:v>
      </x:c>
      <x:c r="F24" s="24" t="str">
        <x:v>Witch flounder</x:v>
      </x:c>
      <x:c r="G24" s="24" t="str">
        <x:v>Small to medium flatfishes (&lt;90 cm)</x:v>
      </x:c>
      <x:c r="H24" s="24" t="str">
        <x:v>Flatfishes</x:v>
      </x:c>
      <x:c r="I24" s="31" t="n">
        <x:v>887.6970198361</x:v>
      </x:c>
      <x:c r="J24" s="31" t="n">
        <x:v>871.4458470814001</x:v>
      </x:c>
      <x:c r="K24" s="31" t="n">
        <x:v>16.2511727547</x:v>
      </x:c>
      <x:c r="L24" s="31" t="n">
        <x:v>871.4458470814001</x:v>
      </x:c>
      <x:c r="M24" s="31" t="n">
        <x:v>16.2511727547</x:v>
      </x:c>
      <x:c r="N24" s="24" t="str">
        <x:v>glyptocephalus cynoglossus</x:v>
      </x:c>
      <x:c r="O24" s="32" t="n">
        <x:v>3.17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Glyptocephalus cynoglossus</x:v>
      </x:c>
      <x:c r="T24" s="32" t="n">
        <x:f>IF(O24="","",(1/'Metadata'!$B$5)^(O24-1))</x:f>
        <x:v>147.91083881682073</x:v>
      </x:c>
      <x:c r="U24" s="31" t="n">
        <x:f>IF(T24="","",I24*T24)</x:f>
        <x:v>131300.0108191495</x:v>
      </x:c>
    </x:row>
    <x:row r="25" ht="18" customHeight="1">
      <x:c r="A25" s="24" t="str">
        <x:v>LME_059</x:v>
      </x:c>
      <x:c r="B25" s="24" t="str">
        <x:v>Iceland Shelf and Sea</x:v>
      </x:c>
      <x:c r="C25" s="24" t="str">
        <x:v>LME</x:v>
      </x:c>
      <x:c r="D25" s="30" t="n">
        <x:v>2019</x:v>
      </x:c>
      <x:c r="E25" s="24" t="str">
        <x:v>Merlangius merlangus</x:v>
      </x:c>
      <x:c r="F25" s="24" t="str">
        <x:v>Whiting</x:v>
      </x:c>
      <x:c r="G25" s="24" t="str">
        <x:v>Medium benthopelagics (30 - 89 cm)</x:v>
      </x:c>
      <x:c r="H25" s="24" t="str">
        <x:v>Cod-likes</x:v>
      </x:c>
      <x:c r="I25" s="31" t="n">
        <x:v>826.1734428313</x:v>
      </x:c>
      <x:c r="J25" s="31" t="n">
        <x:v>817.9382095816</x:v>
      </x:c>
      <x:c r="K25" s="31" t="n">
        <x:v>8.2352332497</x:v>
      </x:c>
      <x:c r="L25" s="31" t="n">
        <x:v>754.6466104095</x:v>
      </x:c>
      <x:c r="M25" s="31" t="n">
        <x:v>71.5268324218</x:v>
      </x:c>
      <x:c r="N25" s="24" t="str">
        <x:v>merlangius merlangus</x:v>
      </x:c>
      <x:c r="O25" s="32" t="n">
        <x:v>4.36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Merlangius merlangus</x:v>
      </x:c>
      <x:c r="T25" s="32" t="n">
        <x:f>IF(O25="","",(1/'Metadata'!$B$5)^(O25-1))</x:f>
        <x:v>2290.867652767775</x:v>
      </x:c>
      <x:c r="U25" s="31" t="n">
        <x:f>IF(T25="","",I25*T25)</x:f>
        <x:v>1892654.0157580117</x:v>
      </x:c>
    </x:row>
    <x:row r="26" ht="18" customHeight="1">
      <x:c r="A26" s="24" t="str">
        <x:v>LME_059</x:v>
      </x:c>
      <x:c r="B26" s="24" t="str">
        <x:v>Iceland Shelf and Sea</x:v>
      </x:c>
      <x:c r="C26" s="24" t="str">
        <x:v>LME</x:v>
      </x:c>
      <x:c r="D26" s="30" t="n">
        <x:v>2019</x:v>
      </x:c>
      <x:c r="E26" s="24" t="str">
        <x:v>Lophius piscatorius</x:v>
      </x:c>
      <x:c r="F26" s="24" t="str">
        <x:v>Angler</x:v>
      </x:c>
      <x:c r="G26" s="24" t="str">
        <x:v>Large bathydemersals (&gt;=90 cm)</x:v>
      </x:c>
      <x:c r="H26" s="24" t="str">
        <x:v>Other fishes &amp; inverts</x:v>
      </x:c>
      <x:c r="I26" s="31" t="n">
        <x:v>586.8970937611999</x:v>
      </x:c>
      <x:c r="J26" s="31" t="n">
        <x:v>581.1510313504999</x:v>
      </x:c>
      <x:c r="K26" s="31" t="n">
        <x:v>5.7460624107000005</x:v>
      </x:c>
      <x:c r="L26" s="31" t="n">
        <x:v>506.28467009829996</x:v>
      </x:c>
      <x:c r="M26" s="31" t="n">
        <x:v>80.6124236629</x:v>
      </x:c>
      <x:c r="N26" s="24" t="str">
        <x:v>lophius piscatorius</x:v>
      </x:c>
      <x:c r="O26" s="32" t="n">
        <x:v>4.45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Lophius piscatorius</x:v>
      </x:c>
      <x:c r="T26" s="32" t="n">
        <x:f>IF(O26="","",(1/'Metadata'!$B$5)^(O26-1))</x:f>
        <x:v>2818.382931264455</x:v>
      </x:c>
      <x:c r="U26" s="31" t="n">
        <x:f>IF(T26="","",I26*T26)</x:f>
        <x:v>1654100.7514652803</x:v>
      </x:c>
    </x:row>
    <x:row r="27" ht="18" customHeight="1">
      <x:c r="A27" s="24" t="str">
        <x:v>LME_059</x:v>
      </x:c>
      <x:c r="B27" s="24" t="str">
        <x:v>Iceland Shelf and Sea</x:v>
      </x:c>
      <x:c r="C27" s="24" t="str">
        <x:v>LME</x:v>
      </x:c>
      <x:c r="D27" s="30" t="n">
        <x:v>2019</x:v>
      </x:c>
      <x:c r="E27" s="24" t="str">
        <x:v>Limanda limanda</x:v>
      </x:c>
      <x:c r="F27" s="24" t="str">
        <x:v>Common dab</x:v>
      </x:c>
      <x:c r="G27" s="24" t="str">
        <x:v>Small to medium flatfishes (&lt;90 cm)</x:v>
      </x:c>
      <x:c r="H27" s="24" t="str">
        <x:v>Flatfishes</x:v>
      </x:c>
      <x:c r="I27" s="31" t="n">
        <x:v>498.16963411099994</x:v>
      </x:c>
      <x:c r="J27" s="31" t="n">
        <x:v>496.4479670204</x:v>
      </x:c>
      <x:c r="K27" s="31" t="n">
        <x:v>1.7216670906</x:v>
      </x:c>
      <x:c r="L27" s="31" t="n">
        <x:v>496.4479670204</x:v>
      </x:c>
      <x:c r="M27" s="31" t="n">
        <x:v>1.7216670906</x:v>
      </x:c>
      <x:c r="N27" s="24" t="str">
        <x:v>limanda limanda</x:v>
      </x:c>
      <x:c r="O27" s="32" t="n">
        <x:v>3.29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Limanda limanda</x:v>
      </x:c>
      <x:c r="T27" s="32" t="n">
        <x:f>IF(O27="","",(1/'Metadata'!$B$5)^(O27-1))</x:f>
        <x:v>194.98445997580455</x:v>
      </x:c>
      <x:c r="U27" s="31" t="n">
        <x:f>IF(T27="","",I27*T27)</x:f>
        <x:v>97135.33708347747</x:v>
      </x:c>
    </x:row>
    <x:row r="28" ht="18" customHeight="1">
      <x:c r="A28" s="24" t="str">
        <x:v>LME_059</x:v>
      </x:c>
      <x:c r="B28" s="24" t="str">
        <x:v>Iceland Shelf and Sea</x:v>
      </x:c>
      <x:c r="C28" s="24" t="str">
        <x:v>LME</x:v>
      </x:c>
      <x:c r="D28" s="30" t="n">
        <x:v>2019</x:v>
      </x:c>
      <x:c r="E28" s="24" t="str">
        <x:v>Molva dypterygia</x:v>
      </x:c>
      <x:c r="F28" s="24" t="str">
        <x:v>Blue ling</x:v>
      </x:c>
      <x:c r="G28" s="24" t="str">
        <x:v>Large demersals (&gt;=90 cm)</x:v>
      </x:c>
      <x:c r="H28" s="24" t="str">
        <x:v>Cod-likes</x:v>
      </x:c>
      <x:c r="I28" s="31" t="n">
        <x:v>480.95822367100004</x:v>
      </x:c>
      <x:c r="J28" s="31" t="n">
        <x:v>475.9944389186</x:v>
      </x:c>
      <x:c r="K28" s="31" t="n">
        <x:v>4.9637847524000005</x:v>
      </x:c>
      <x:c r="L28" s="31" t="n">
        <x:v>436.7509343575</x:v>
      </x:c>
      <x:c r="M28" s="31" t="n">
        <x:v>44.207289313500006</x:v>
      </x:c>
      <x:c r="N28" s="24" t="str">
        <x:v>molva dypterygia</x:v>
      </x:c>
      <x:c r="O28" s="32" t="n">
        <x:v>4.49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Molva dypterygia</x:v>
      </x:c>
      <x:c r="T28" s="32" t="n">
        <x:f>IF(O28="","",(1/'Metadata'!$B$5)^(O28-1))</x:f>
        <x:v>3090.295432513592</x:v>
      </x:c>
      <x:c r="U28" s="31" t="n">
        <x:f>IF(T28="","",I28*T28)</x:f>
        <x:v>1486303.001840342</x:v>
      </x:c>
    </x:row>
    <x:row r="29" ht="18" customHeight="1">
      <x:c r="A29" s="24" t="str">
        <x:v>LME_059</x:v>
      </x:c>
      <x:c r="B29" s="24" t="str">
        <x:v>Iceland Shelf and Sea</x:v>
      </x:c>
      <x:c r="C29" s="24" t="str">
        <x:v>LME</x:v>
      </x:c>
      <x:c r="D29" s="30" t="n">
        <x:v>2019</x:v>
      </x:c>
      <x:c r="E29" s="24" t="str">
        <x:v>Lepidorhombus whiffiagonis</x:v>
      </x:c>
      <x:c r="F29" s="24" t="str">
        <x:v>Megrim</x:v>
      </x:c>
      <x:c r="G29" s="24" t="str">
        <x:v>Small to medium flatfishes (&lt;90 cm)</x:v>
      </x:c>
      <x:c r="H29" s="24" t="str">
        <x:v>Flatfishes</x:v>
      </x:c>
      <x:c r="I29" s="31" t="n">
        <x:v>338.2744273157</x:v>
      </x:c>
      <x:c r="J29" s="31" t="n">
        <x:v>329.3129317967</x:v>
      </x:c>
      <x:c r="K29" s="31" t="n">
        <x:v>8.961495519</x:v>
      </x:c>
      <x:c r="L29" s="31" t="n">
        <x:v>329.3129317967</x:v>
      </x:c>
      <x:c r="M29" s="31" t="n">
        <x:v>8.961495519</x:v>
      </x:c>
      <x:c r="N29" s="24" t="str">
        <x:v>lepidorhombus whiffiagonis</x:v>
      </x:c>
      <x:c r="O29" s="32" t="n">
        <x:v>4.34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Lepidorhombus whiffiagonis</x:v>
      </x:c>
      <x:c r="T29" s="32" t="n">
        <x:f>IF(O29="","",(1/'Metadata'!$B$5)^(O29-1))</x:f>
        <x:v>2187.761623949552</x:v>
      </x:c>
      <x:c r="U29" s="31" t="n">
        <x:f>IF(T29="","",I29*T29)</x:f>
        <x:v>740063.8104448005</x:v>
      </x:c>
    </x:row>
    <x:row r="30" ht="18" customHeight="1">
      <x:c r="A30" s="24" t="str">
        <x:v>LME_059</x:v>
      </x:c>
      <x:c r="B30" s="24" t="str">
        <x:v>Iceland Shelf and Sea</x:v>
      </x:c>
      <x:c r="C30" s="24" t="str">
        <x:v>LME</x:v>
      </x:c>
      <x:c r="D30" s="30" t="n">
        <x:v>2019</x:v>
      </x:c>
      <x:c r="E30" s="24" t="str">
        <x:v>Hippoglossus hippoglossus</x:v>
      </x:c>
      <x:c r="F30" s="24" t="str">
        <x:v>Atlantic halibut</x:v>
      </x:c>
      <x:c r="G30" s="24" t="str">
        <x:v>Large flatfishes (&gt;=90 cm)</x:v>
      </x:c>
      <x:c r="H30" s="24" t="str">
        <x:v>Flatfishes</x:v>
      </x:c>
      <x:c r="I30" s="31" t="n">
        <x:v>332.9399624802</x:v>
      </x:c>
      <x:c r="J30" s="31" t="n">
        <x:v>330.2679583091</x:v>
      </x:c>
      <x:c r="K30" s="31" t="n">
        <x:v>2.6720041711</x:v>
      </x:c>
      <x:c r="L30" s="31" t="n">
        <x:v>127.8423556763</x:v>
      </x:c>
      <x:c r="M30" s="31" t="n">
        <x:v>205.0976068039</x:v>
      </x:c>
      <x:c r="N30" s="24" t="str">
        <x:v>hippoglossus hippoglossus</x:v>
      </x:c>
      <x:c r="O30" s="32" t="n">
        <x:v>4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Hippoglossus hippoglossus</x:v>
      </x:c>
      <x:c r="T30" s="32" t="n">
        <x:f>IF(O30="","",(1/'Metadata'!$B$5)^(O30-1))</x:f>
        <x:v>1000</x:v>
      </x:c>
      <x:c r="U30" s="31" t="n">
        <x:f>IF(T30="","",I30*T30)</x:f>
        <x:v>332939.9624802</x:v>
      </x:c>
    </x:row>
    <x:row r="31" ht="18" customHeight="1">
      <x:c r="A31" s="24" t="str">
        <x:v>LME_059</x:v>
      </x:c>
      <x:c r="B31" s="24" t="str">
        <x:v>Iceland Shelf and Sea</x:v>
      </x:c>
      <x:c r="C31" s="24" t="str">
        <x:v>LME</x:v>
      </x:c>
      <x:c r="D31" s="30" t="n">
        <x:v>2019</x:v>
      </x:c>
      <x:c r="E31" s="24" t="str">
        <x:v>Buccinum undatum</x:v>
      </x:c>
      <x:c r="F31" s="24" t="str">
        <x:v>Whelk</x:v>
      </x:c>
      <x:c r="G31" s="24" t="str">
        <x:v>Other demersal invertebrates</x:v>
      </x:c>
      <x:c r="H31" s="24" t="str">
        <x:v>Molluscs</x:v>
      </x:c>
      <x:c r="I31" s="31" t="n">
        <x:v>310.78205812</x:v>
      </x:c>
      <x:c r="J31" s="31" t="n">
        <x:v>301.9480185814</x:v>
      </x:c>
      <x:c r="K31" s="31" t="n">
        <x:v>8.8340395386</x:v>
      </x:c>
      <x:c r="L31" s="31" t="n">
        <x:v>301.9480185814</x:v>
      </x:c>
      <x:c r="M31" s="31" t="n">
        <x:v>8.8340395386</x:v>
      </x:c>
      <x:c r="N31" s="24" t="str">
        <x:v>buccinum undatum</x:v>
      </x:c>
      <x:c r="O31" s="32" t="n">
        <x:v>3.75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Buccinum undatum</x:v>
      </x:c>
      <x:c r="T31" s="32" t="n">
        <x:f>IF(O31="","",(1/'Metadata'!$B$5)^(O31-1))</x:f>
        <x:v>562.341325190349</x:v>
      </x:c>
      <x:c r="U31" s="31" t="n">
        <x:f>IF(T31="","",I31*T31)</x:f>
        <x:v>174765.59440858488</x:v>
      </x:c>
    </x:row>
    <x:row r="32" ht="18" customHeight="1">
      <x:c r="A32" s="24" t="str">
        <x:v>LME_059</x:v>
      </x:c>
      <x:c r="B32" s="24" t="str">
        <x:v>Iceland Shelf and Sea</x:v>
      </x:c>
      <x:c r="C32" s="24" t="str">
        <x:v>LME</x:v>
      </x:c>
      <x:c r="D32" s="30" t="n">
        <x:v>2019</x:v>
      </x:c>
      <x:c r="E32" s="24" t="str">
        <x:v>Echinoidea</x:v>
      </x:c>
      <x:c r="F32" s="24" t="str">
        <x:v>Sea urchins, sea hedgehogs</x:v>
      </x:c>
      <x:c r="G32" s="24" t="str">
        <x:v>Other demersal invertebrates</x:v>
      </x:c>
      <x:c r="H32" s="24" t="str">
        <x:v>Other fishes &amp; inverts</x:v>
      </x:c>
      <x:c r="I32" s="31" t="n">
        <x:v>285.3876955162</x:v>
      </x:c>
      <x:c r="J32" s="31" t="n">
        <x:v>255.5807241899</x:v>
      </x:c>
      <x:c r="K32" s="31" t="n">
        <x:v>29.8069713263</x:v>
      </x:c>
      <x:c r="L32" s="31" t="n">
        <x:v>255.5807241899</x:v>
      </x:c>
      <x:c r="M32" s="31" t="n">
        <x:v>29.8069713263</x:v>
      </x:c>
      <x:c r="N32" s="24" t="str">
        <x:v>echinoidea</x:v>
      </x:c>
      <x:c r="O32" s="32" t="n">
        <x:v>2.51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Echinoidea</x:v>
      </x:c>
      <x:c r="T32" s="32" t="n">
        <x:f>IF(O32="","",(1/'Metadata'!$B$5)^(O32-1))</x:f>
        <x:v>32.35936569296281</x:v>
      </x:c>
      <x:c r="U32" s="31" t="n">
        <x:f>IF(T32="","",I32*T32)</x:f>
        <x:v>9234.964803480638</x:v>
      </x:c>
    </x:row>
    <x:row r="33" ht="18" customHeight="1">
      <x:c r="A33" s="24" t="str">
        <x:v>LME_059</x:v>
      </x:c>
      <x:c r="B33" s="24" t="str">
        <x:v>Iceland Shelf and Sea</x:v>
      </x:c>
      <x:c r="C33" s="24" t="str">
        <x:v>LME</x:v>
      </x:c>
      <x:c r="D33" s="30" t="n">
        <x:v>2019</x:v>
      </x:c>
      <x:c r="E33" s="24" t="str">
        <x:v>Dipturus batis</x:v>
      </x:c>
      <x:c r="F33" s="24" t="str">
        <x:v>Blue skate</x:v>
      </x:c>
      <x:c r="G33" s="24" t="str">
        <x:v>Large rays (&gt;=90 cm)</x:v>
      </x:c>
      <x:c r="H33" s="24" t="str">
        <x:v>Sharks &amp; rays</x:v>
      </x:c>
      <x:c r="I33" s="31" t="n">
        <x:v>251.4829229792</x:v>
      </x:c>
      <x:c r="J33" s="31" t="n">
        <x:v>249.23141076299999</x:v>
      </x:c>
      <x:c r="K33" s="31" t="n">
        <x:v>2.2515122162</x:v>
      </x:c>
      <x:c r="L33" s="31" t="n">
        <x:v>180.8296109961</x:v>
      </x:c>
      <x:c r="M33" s="31" t="n">
        <x:v>70.6533119831</x:v>
      </x:c>
      <x:c r="N33" s="24" t="str">
        <x:v>dipturus batis</x:v>
      </x:c>
      <x:c r="O33" s="32" t="n">
        <x:v>3.52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Dipturus batis</x:v>
      </x:c>
      <x:c r="T33" s="32" t="n">
        <x:f>IF(O33="","",(1/'Metadata'!$B$5)^(O33-1))</x:f>
        <x:v>331.1311214825911</x:v>
      </x:c>
      <x:c r="U33" s="31" t="n">
        <x:f>IF(T33="","",I33*T33)</x:f>
        <x:v>83273.82231982258</x:v>
      </x:c>
    </x:row>
    <x:row r="34" ht="18" customHeight="1">
      <x:c r="A34" s="24" t="str">
        <x:v>LME_059</x:v>
      </x:c>
      <x:c r="B34" s="24" t="str">
        <x:v>Iceland Shelf and Sea</x:v>
      </x:c>
      <x:c r="C34" s="24" t="str">
        <x:v>LME</x:v>
      </x:c>
      <x:c r="D34" s="30" t="n">
        <x:v>2019</x:v>
      </x:c>
      <x:c r="E34" s="24" t="str">
        <x:v>Sebastes viviparus</x:v>
      </x:c>
      <x:c r="F34" s="24" t="str">
        <x:v>Norway redfish</x:v>
      </x:c>
      <x:c r="G34" s="24" t="str">
        <x:v>Medium demersals (30 - 89 cm)</x:v>
      </x:c>
      <x:c r="H34" s="24" t="str">
        <x:v>Scorpionfishes</x:v>
      </x:c>
      <x:c r="I34" s="31" t="n">
        <x:v>144.1309103175</x:v>
      </x:c>
      <x:c r="J34" s="31" t="n">
        <x:v>140.77996880269998</x:v>
      </x:c>
      <x:c r="K34" s="31" t="n">
        <x:v>3.3509415148</x:v>
      </x:c>
      <x:c r="L34" s="31" t="n">
        <x:v>140.77996880269998</x:v>
      </x:c>
      <x:c r="M34" s="31" t="n">
        <x:v>3.3509415148</x:v>
      </x:c>
      <x:c r="N34" s="24" t="str">
        <x:v>sebastes viviparus</x:v>
      </x:c>
      <x:c r="O34" s="32" t="n">
        <x:v>4.03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Sebastes viviparus</x:v>
      </x:c>
      <x:c r="T34" s="32" t="n">
        <x:f>IF(O34="","",(1/'Metadata'!$B$5)^(O34-1))</x:f>
        <x:v>1071.519305237607</x:v>
      </x:c>
      <x:c r="U34" s="31" t="n">
        <x:f>IF(T34="","",I34*T34)</x:f>
        <x:v>154439.05288667144</x:v>
      </x:c>
    </x:row>
    <x:row r="35" ht="18" customHeight="1">
      <x:c r="A35" s="24" t="str">
        <x:v>LME_059</x:v>
      </x:c>
      <x:c r="B35" s="24" t="str">
        <x:v>Iceland Shelf and Sea</x:v>
      </x:c>
      <x:c r="C35" s="24" t="str">
        <x:v>LME</x:v>
      </x:c>
      <x:c r="D35" s="30" t="n">
        <x:v>2019</x:v>
      </x:c>
      <x:c r="E35" s="24" t="str">
        <x:v>Nephrops norvegicus</x:v>
      </x:c>
      <x:c r="F35" s="24" t="str">
        <x:v>Norway lobster</x:v>
      </x:c>
      <x:c r="G35" s="24" t="str">
        <x:v>Lobsters, crabs</x:v>
      </x:c>
      <x:c r="H35" s="24" t="str">
        <x:v>Crustaceans</x:v>
      </x:c>
      <x:c r="I35" s="31" t="n">
        <x:v>141.5876173765</x:v>
      </x:c>
      <x:c r="J35" s="31" t="n">
        <x:v>22.0916095376</x:v>
      </x:c>
      <x:c r="K35" s="31" t="n">
        <x:v>119.4960078389</x:v>
      </x:c>
      <x:c r="L35" s="31" t="n">
        <x:v>0</x:v>
      </x:c>
      <x:c r="M35" s="31" t="n">
        <x:v>141.5876173765</x:v>
      </x:c>
      <x:c r="N35" s="24" t="str">
        <x:v>nephrops norvegicus</x:v>
      </x:c>
      <x:c r="O35" s="32" t="n">
        <x:v>2.87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Nephrops norvegicus</x:v>
      </x:c>
      <x:c r="T35" s="32" t="n">
        <x:f>IF(O35="","",(1/'Metadata'!$B$5)^(O35-1))</x:f>
        <x:v>74.13102413009177</x:v>
      </x:c>
      <x:c r="U35" s="31" t="n">
        <x:f>IF(T35="","",I35*T35)</x:f>
        <x:v>10496.035080259522</x:v>
      </x:c>
    </x:row>
    <x:row r="36" ht="18" customHeight="1">
      <x:c r="A36" s="24" t="str">
        <x:v>LME_059</x:v>
      </x:c>
      <x:c r="B36" s="24" t="str">
        <x:v>Iceland Shelf and Sea</x:v>
      </x:c>
      <x:c r="C36" s="24" t="str">
        <x:v>LME</x:v>
      </x:c>
      <x:c r="D36" s="30" t="n">
        <x:v>2019</x:v>
      </x:c>
      <x:c r="E36" s="24" t="str">
        <x:v>Aphanopus carbo</x:v>
      </x:c>
      <x:c r="F36" s="24" t="str">
        <x:v>Black scabbardfish</x:v>
      </x:c>
      <x:c r="G36" s="24" t="str">
        <x:v>Large benthopelagics (&gt;=90 cm)</x:v>
      </x:c>
      <x:c r="H36" s="24" t="str">
        <x:v>Perch-likes</x:v>
      </x:c>
      <x:c r="I36" s="31" t="n">
        <x:v>80.8106672886</x:v>
      </x:c>
      <x:c r="J36" s="31" t="n">
        <x:v>75.8880770352</x:v>
      </x:c>
      <x:c r="K36" s="31" t="n">
        <x:v>4.9225902534</x:v>
      </x:c>
      <x:c r="L36" s="31" t="n">
        <x:v>75.8880770352</x:v>
      </x:c>
      <x:c r="M36" s="31" t="n">
        <x:v>4.9225902534</x:v>
      </x:c>
      <x:c r="N36" s="24" t="str">
        <x:v>aphanopus carbo</x:v>
      </x:c>
      <x:c r="O36" s="32" t="n">
        <x:v>4.48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Aphanopus carbo</x:v>
      </x:c>
      <x:c r="T36" s="32" t="n">
        <x:f>IF(O36="","",(1/'Metadata'!$B$5)^(O36-1))</x:f>
        <x:v>3019.951720402019</x:v>
      </x:c>
      <x:c r="U36" s="31" t="n">
        <x:f>IF(T36="","",I36*T36)</x:f>
        <x:v>244044.31370504273</x:v>
      </x:c>
    </x:row>
    <x:row r="37" ht="18" customHeight="1">
      <x:c r="A37" s="24" t="str">
        <x:v>LME_059</x:v>
      </x:c>
      <x:c r="B37" s="24" t="str">
        <x:v>Iceland Shelf and Sea</x:v>
      </x:c>
      <x:c r="C37" s="24" t="str">
        <x:v>LME</x:v>
      </x:c>
      <x:c r="D37" s="30" t="n">
        <x:v>2019</x:v>
      </x:c>
      <x:c r="E37" s="24" t="str">
        <x:v>Rajidae</x:v>
      </x:c>
      <x:c r="F37" s="24" t="str">
        <x:v>Stingrays</x:v>
      </x:c>
      <x:c r="G37" s="24" t="str">
        <x:v>Large rays (&gt;=90 cm)</x:v>
      </x:c>
      <x:c r="H37" s="24" t="str">
        <x:v>Sharks &amp; rays</x:v>
      </x:c>
      <x:c r="I37" s="31" t="n">
        <x:v>77.69373137560001</x:v>
      </x:c>
      <x:c r="J37" s="31" t="n">
        <x:v>66.9486357021</x:v>
      </x:c>
      <x:c r="K37" s="31" t="n">
        <x:v>10.7450956735</x:v>
      </x:c>
      <x:c r="L37" s="31" t="n">
        <x:v>0</x:v>
      </x:c>
      <x:c r="M37" s="31" t="n">
        <x:v>77.69373137560001</x:v>
      </x:c>
      <x:c r="N37" s="24" t="str">
        <x:v>rajidae</x:v>
      </x:c>
      <x:c r="O37" s="32" t="n">
        <x:v>3.82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Rajidae</x:v>
      </x:c>
      <x:c r="T37" s="32" t="n">
        <x:f>IF(O37="","",(1/'Metadata'!$B$5)^(O37-1))</x:f>
        <x:v>660.6934480075957</x:v>
      </x:c>
      <x:c r="U37" s="31" t="n">
        <x:f>IF(T37="","",I37*T37)</x:f>
        <x:v>51331.73927112109</x:v>
      </x:c>
    </x:row>
    <x:row r="38" ht="18" customHeight="1">
      <x:c r="A38" s="24" t="str">
        <x:v>LME_059</x:v>
      </x:c>
      <x:c r="B38" s="24" t="str">
        <x:v>Iceland Shelf and Sea</x:v>
      </x:c>
      <x:c r="C38" s="24" t="str">
        <x:v>LME</x:v>
      </x:c>
      <x:c r="D38" s="30" t="n">
        <x:v>2019</x:v>
      </x:c>
      <x:c r="E38" s="24" t="str">
        <x:v>Anarhichas</x:v>
      </x:c>
      <x:c r="F38" s="24" t="str">
        <x:v>Wolffishes</x:v>
      </x:c>
      <x:c r="G38" s="24" t="str">
        <x:v>Large demersals (&gt;=90 cm)</x:v>
      </x:c>
      <x:c r="H38" s="24" t="str">
        <x:v>Perch-likes</x:v>
      </x:c>
      <x:c r="I38" s="31" t="n">
        <x:v>47.191215402500006</x:v>
      </x:c>
      <x:c r="J38" s="31" t="n">
        <x:v>47.0005685534</x:v>
      </x:c>
      <x:c r="K38" s="31" t="n">
        <x:v>0.1906468491</x:v>
      </x:c>
      <x:c r="L38" s="31" t="n">
        <x:v>47.0005685534</x:v>
      </x:c>
      <x:c r="M38" s="31" t="n">
        <x:v>0.1906468491</x:v>
      </x:c>
      <x:c r="N38" s="24" t="str">
        <x:v>anarhichas</x:v>
      </x:c>
      <x:c r="O38" s="32" t="n">
        <x:v>3.35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Anarhichas</x:v>
      </x:c>
      <x:c r="T38" s="32" t="n">
        <x:f>IF(O38="","",(1/'Metadata'!$B$5)^(O38-1))</x:f>
        <x:v>223.872113856834</x:v>
      </x:c>
      <x:c r="U38" s="31" t="n">
        <x:f>IF(T38="","",I38*T38)</x:f>
        <x:v>10564.79714763086</x:v>
      </x:c>
    </x:row>
    <x:row r="39" ht="18" customHeight="1">
      <x:c r="A39" s="24" t="str">
        <x:v>LME_059</x:v>
      </x:c>
      <x:c r="B39" s="24" t="str">
        <x:v>Iceland Shelf and Sea</x:v>
      </x:c>
      <x:c r="C39" s="24" t="str">
        <x:v>LME</x:v>
      </x:c>
      <x:c r="D39" s="30" t="n">
        <x:v>2019</x:v>
      </x:c>
      <x:c r="E39" s="24" t="str">
        <x:v>Leucoraja fullonica</x:v>
      </x:c>
      <x:c r="F39" s="24" t="str">
        <x:v>Shagreen ray</x:v>
      </x:c>
      <x:c r="G39" s="24" t="str">
        <x:v>Large rays (&gt;=90 cm)</x:v>
      </x:c>
      <x:c r="H39" s="24" t="str">
        <x:v>Sharks &amp; rays</x:v>
      </x:c>
      <x:c r="I39" s="31" t="n">
        <x:v>30.6216294867</x:v>
      </x:c>
      <x:c r="J39" s="31" t="n">
        <x:v>30.5766130415</x:v>
      </x:c>
      <x:c r="K39" s="31" t="n">
        <x:v>0.0450164452</x:v>
      </x:c>
      <x:c r="L39" s="31" t="n">
        <x:v>30.5766130415</x:v>
      </x:c>
      <x:c r="M39" s="31" t="n">
        <x:v>0.0450164452</x:v>
      </x:c>
      <x:c r="N39" s="24" t="str">
        <x:v>leucoraja fullonica</x:v>
      </x:c>
      <x:c r="O39" s="32" t="n">
        <x:v>3.5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Leucoraja fullonica</x:v>
      </x:c>
      <x:c r="T39" s="32" t="n">
        <x:f>IF(O39="","",(1/'Metadata'!$B$5)^(O39-1))</x:f>
        <x:v>316.22776601683796</x:v>
      </x:c>
      <x:c r="U39" s="31" t="n">
        <x:f>IF(T39="","",I39*T39)</x:f>
        <x:v>9683.409484374473</x:v>
      </x:c>
    </x:row>
    <x:row r="40" ht="18" customHeight="1">
      <x:c r="A40" s="24" t="str">
        <x:v>LME_059</x:v>
      </x:c>
      <x:c r="B40" s="24" t="str">
        <x:v>Iceland Shelf and Sea</x:v>
      </x:c>
      <x:c r="C40" s="24" t="str">
        <x:v>LME</x:v>
      </x:c>
      <x:c r="D40" s="30" t="n">
        <x:v>2019</x:v>
      </x:c>
      <x:c r="E40" s="24" t="str">
        <x:v>Somniosus microcephalus</x:v>
      </x:c>
      <x:c r="F40" s="24" t="str">
        <x:v>Greenland shark</x:v>
      </x:c>
      <x:c r="G40" s="24" t="str">
        <x:v>Large sharks (&gt;=90 cm)</x:v>
      </x:c>
      <x:c r="H40" s="24" t="str">
        <x:v>Sharks &amp; rays</x:v>
      </x:c>
      <x:c r="I40" s="31" t="n">
        <x:v>20.2664926434</x:v>
      </x:c>
      <x:c r="J40" s="31" t="n">
        <x:v>19.7905670052</x:v>
      </x:c>
      <x:c r="K40" s="31" t="n">
        <x:v>0.4759256382</x:v>
      </x:c>
      <x:c r="L40" s="31" t="n">
        <x:v>5.647399904799999</x:v>
      </x:c>
      <x:c r="M40" s="31" t="n">
        <x:v>14.6190927386</x:v>
      </x:c>
      <x:c r="N40" s="24" t="str">
        <x:v>somniosus microcephalus</x:v>
      </x:c>
      <x:c r="O40" s="32" t="n">
        <x:v>4.22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Somniosus microcephalus</x:v>
      </x:c>
      <x:c r="T40" s="32" t="n">
        <x:f>IF(O40="","",(1/'Metadata'!$B$5)^(O40-1))</x:f>
        <x:v>1659.5869074375596</x:v>
      </x:c>
      <x:c r="U40" s="31" t="n">
        <x:f>IF(T40="","",I40*T40)</x:f>
        <x:v>33634.00585066626</x:v>
      </x:c>
    </x:row>
    <x:row r="41" ht="18" customHeight="1">
      <x:c r="A41" s="24" t="str">
        <x:v>LME_059</x:v>
      </x:c>
      <x:c r="B41" s="24" t="str">
        <x:v>Iceland Shelf and Sea</x:v>
      </x:c>
      <x:c r="C41" s="24" t="str">
        <x:v>LME</x:v>
      </x:c>
      <x:c r="D41" s="30" t="n">
        <x:v>2019</x:v>
      </x:c>
      <x:c r="E41" s="24" t="str">
        <x:v>Hippoglossoides platessoides</x:v>
      </x:c>
      <x:c r="F41" s="24" t="str">
        <x:v>American plaice</x:v>
      </x:c>
      <x:c r="G41" s="24" t="str">
        <x:v>Small to medium flatfishes (&lt;90 cm)</x:v>
      </x:c>
      <x:c r="H41" s="24" t="str">
        <x:v>Flatfishes</x:v>
      </x:c>
      <x:c r="I41" s="31" t="n">
        <x:v>19.056365227300002</x:v>
      </x:c>
      <x:c r="J41" s="31" t="n">
        <x:v>15.916538602200001</x:v>
      </x:c>
      <x:c r="K41" s="31" t="n">
        <x:v>3.1398266251</x:v>
      </x:c>
      <x:c r="L41" s="31" t="n">
        <x:v>15.916538602200001</x:v>
      </x:c>
      <x:c r="M41" s="31" t="n">
        <x:v>3.1398266251</x:v>
      </x:c>
      <x:c r="N41" s="24" t="str">
        <x:v>hippoglossoides platessoides</x:v>
      </x:c>
      <x:c r="O41" s="32" t="n">
        <x:v>4.08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Hippoglossoides platessoides</x:v>
      </x:c>
      <x:c r="T41" s="32" t="n">
        <x:f>IF(O41="","",(1/'Metadata'!$B$5)^(O41-1))</x:f>
        <x:v>1202.2644346174131</x:v>
      </x:c>
      <x:c r="U41" s="31" t="n">
        <x:f>IF(T41="","",I41*T41)</x:f>
        <x:v>22910.79016586277</x:v>
      </x:c>
    </x:row>
    <x:row r="42" ht="18" customHeight="1">
      <x:c r="A42" s="24" t="str">
        <x:v>LME_059</x:v>
      </x:c>
      <x:c r="B42" s="24" t="str">
        <x:v>Iceland Shelf and Sea</x:v>
      </x:c>
      <x:c r="C42" s="24" t="str">
        <x:v>LME</x:v>
      </x:c>
      <x:c r="D42" s="30" t="n">
        <x:v>2019</x:v>
      </x:c>
      <x:c r="E42" s="24" t="str">
        <x:v>Macrourus berglax</x:v>
      </x:c>
      <x:c r="F42" s="24" t="str">
        <x:v>Roughhead grenadier</x:v>
      </x:c>
      <x:c r="G42" s="24" t="str">
        <x:v>Large benthopelagics (&gt;=90 cm)</x:v>
      </x:c>
      <x:c r="H42" s="24" t="str">
        <x:v>Cod-likes</x:v>
      </x:c>
      <x:c r="I42" s="31" t="n">
        <x:v>18.316375992399998</x:v>
      </x:c>
      <x:c r="J42" s="31" t="n">
        <x:v>17.830932434599998</x:v>
      </x:c>
      <x:c r="K42" s="31" t="n">
        <x:v>0.4854435578</x:v>
      </x:c>
      <x:c r="L42" s="31" t="n">
        <x:v>17.830932434599998</x:v>
      </x:c>
      <x:c r="M42" s="31" t="n">
        <x:v>0.4854435578</x:v>
      </x:c>
      <x:c r="N42" s="24" t="str">
        <x:v>macrourus berglax</x:v>
      </x:c>
      <x:c r="O42" s="32" t="n">
        <x:v>4.48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Macrourus berglax</x:v>
      </x:c>
      <x:c r="T42" s="32" t="n">
        <x:f>IF(O42="","",(1/'Metadata'!$B$5)^(O42-1))</x:f>
        <x:v>3019.951720402019</x:v>
      </x:c>
      <x:c r="U42" s="31" t="n">
        <x:f>IF(T42="","",I42*T42)</x:f>
        <x:v>55314.57118977861</x:v>
      </x:c>
    </x:row>
    <x:row r="43" ht="18" customHeight="1">
      <x:c r="A43" s="24" t="str">
        <x:v>LME_059</x:v>
      </x:c>
      <x:c r="B43" s="24" t="str">
        <x:v>Iceland Shelf and Sea</x:v>
      </x:c>
      <x:c r="C43" s="24" t="str">
        <x:v>LME</x:v>
      </x:c>
      <x:c r="D43" s="30" t="n">
        <x:v>2019</x:v>
      </x:c>
      <x:c r="E43" s="24" t="str">
        <x:v>Urophycis tenuis</x:v>
      </x:c>
      <x:c r="F43" s="24" t="str">
        <x:v>White hake</x:v>
      </x:c>
      <x:c r="G43" s="24" t="str">
        <x:v>Large demersals (&gt;=90 cm)</x:v>
      </x:c>
      <x:c r="H43" s="24" t="str">
        <x:v>Cod-likes</x:v>
      </x:c>
      <x:c r="I43" s="31" t="n">
        <x:v>14.5374720607</x:v>
      </x:c>
      <x:c r="J43" s="31" t="n">
        <x:v>14.1708475373</x:v>
      </x:c>
      <x:c r="K43" s="31" t="n">
        <x:v>0.3666245234</x:v>
      </x:c>
      <x:c r="L43" s="31" t="n">
        <x:v>14.1708475373</x:v>
      </x:c>
      <x:c r="M43" s="31" t="n">
        <x:v>0.3666245234</x:v>
      </x:c>
      <x:c r="N43" s="24" t="str">
        <x:v>urophycis tenuis</x:v>
      </x:c>
      <x:c r="O43" s="32" t="n">
        <x:v>4.27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Urophycis tenuis</x:v>
      </x:c>
      <x:c r="T43" s="32" t="n">
        <x:f>IF(O43="","",(1/'Metadata'!$B$5)^(O43-1))</x:f>
        <x:v>1862.0871366628655</x:v>
      </x:c>
      <x:c r="U43" s="31" t="n">
        <x:f>IF(T43="","",I43*T43)</x:f>
        <x:v>27070.03972382527</x:v>
      </x:c>
    </x:row>
    <x:row r="44" ht="18" customHeight="1">
      <x:c r="A44" s="24" t="str">
        <x:v>LME_059</x:v>
      </x:c>
      <x:c r="B44" s="24" t="str">
        <x:v>Iceland Shelf and Sea</x:v>
      </x:c>
      <x:c r="C44" s="24" t="str">
        <x:v>LME</x:v>
      </x:c>
      <x:c r="D44" s="30" t="n">
        <x:v>2019</x:v>
      </x:c>
      <x:c r="E44" s="24" t="str">
        <x:v>Perciformes</x:v>
      </x:c>
      <x:c r="F44" s="24" t="str">
        <x:v>Perch-likes</x:v>
      </x:c>
      <x:c r="G44" s="24" t="str">
        <x:v>Medium demersals (30 - 89 cm)</x:v>
      </x:c>
      <x:c r="H44" s="24" t="str">
        <x:v>Perch-likes</x:v>
      </x:c>
      <x:c r="I44" s="31" t="n">
        <x:v>13.950760667900001</x:v>
      </x:c>
      <x:c r="J44" s="31" t="n">
        <x:v>13.950760667900001</x:v>
      </x:c>
      <x:c r="K44" s="31" t="n">
        <x:v>0</x:v>
      </x:c>
      <x:c r="L44" s="31" t="n">
        <x:v>13.950760667900001</x:v>
      </x:c>
      <x:c r="M44" s="31" t="n">
        <x:v>0</x:v>
      </x:c>
      <x:c r="N44" s="24" t="str">
        <x:v>perciformes</x:v>
      </x:c>
      <x:c r="O44" s="32" t="n">
        <x:v>3.53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Perciformes</x:v>
      </x:c>
      <x:c r="T44" s="32" t="n">
        <x:f>IF(O44="","",(1/'Metadata'!$B$5)^(O44-1))</x:f>
        <x:v>338.84415613920237</x:v>
      </x:c>
      <x:c r="U44" s="31" t="n">
        <x:f>IF(T44="","",I44*T44)</x:f>
        <x:v>4727.133726014551</x:v>
      </x:c>
    </x:row>
    <x:row r="45" ht="18" customHeight="1">
      <x:c r="A45" s="24" t="str">
        <x:v>LME_059</x:v>
      </x:c>
      <x:c r="B45" s="24" t="str">
        <x:v>Iceland Shelf and Sea</x:v>
      </x:c>
      <x:c r="C45" s="24" t="str">
        <x:v>LME</x:v>
      </x:c>
      <x:c r="D45" s="30" t="n">
        <x:v>2019</x:v>
      </x:c>
      <x:c r="E45" s="24" t="str">
        <x:v>Mollusca</x:v>
      </x:c>
      <x:c r="F45" s="24" t="str">
        <x:v>Clams, seasnails, squids, octopuses</x:v>
      </x:c>
      <x:c r="G45" s="24" t="str">
        <x:v>Other demersal invertebrates</x:v>
      </x:c>
      <x:c r="H45" s="24" t="str">
        <x:v>Molluscs</x:v>
      </x:c>
      <x:c r="I45" s="31" t="n">
        <x:v>10.2695972243</x:v>
      </x:c>
      <x:c r="J45" s="31" t="n">
        <x:v>0</x:v>
      </x:c>
      <x:c r="K45" s="31" t="n">
        <x:v>10.2695972243</x:v>
      </x:c>
      <x:c r="L45" s="31" t="n">
        <x:v>0</x:v>
      </x:c>
      <x:c r="M45" s="31" t="n">
        <x:v>10.2695972243</x:v>
      </x:c>
      <x:c r="N45" s="24" t="str">
        <x:v>mollusca</x:v>
      </x:c>
      <x:c r="O45" s="32" t="n">
        <x:v>2.1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Mollusca</x:v>
      </x:c>
      <x:c r="T45" s="32" t="n">
        <x:f>IF(O45="","",(1/'Metadata'!$B$5)^(O45-1))</x:f>
        <x:v>12.589254117941675</x:v>
      </x:c>
      <x:c r="U45" s="31" t="n">
        <x:f>IF(T45="","",I45*T45)</x:f>
        <x:v>129.28656914562117</x:v>
      </x:c>
    </x:row>
    <x:row r="46" ht="18" customHeight="1">
      <x:c r="A46" s="24" t="str">
        <x:v>LME_059</x:v>
      </x:c>
      <x:c r="B46" s="24" t="str">
        <x:v>Iceland Shelf and Sea</x:v>
      </x:c>
      <x:c r="C46" s="24" t="str">
        <x:v>LME</x:v>
      </x:c>
      <x:c r="D46" s="30" t="n">
        <x:v>2019</x:v>
      </x:c>
      <x:c r="E46" s="24" t="str">
        <x:v>Marine finfishes not identified</x:v>
      </x:c>
      <x:c r="F46" s="24" t="str">
        <x:v>Finfishes</x:v>
      </x:c>
      <x:c r="G46" s="24" t="str">
        <x:v>Medium demersals (30 - 89 cm)</x:v>
      </x:c>
      <x:c r="H46" s="24" t="str">
        <x:v>Other fishes &amp; inverts</x:v>
      </x:c>
      <x:c r="I46" s="31" t="n">
        <x:v>9.827162724099999</x:v>
      </x:c>
      <x:c r="J46" s="31" t="n">
        <x:v>6.6141469196</x:v>
      </x:c>
      <x:c r="K46" s="31" t="n">
        <x:v>3.2130158045</x:v>
      </x:c>
      <x:c r="L46" s="31" t="n">
        <x:v>6.6141469196</x:v>
      </x:c>
      <x:c r="M46" s="31" t="n">
        <x:v>3.2130158045</x:v>
      </x:c>
      <x:c r="N46" s="24" t="str">
        <x:v>marine finfishes not identified</x:v>
      </x:c>
      <x:c r="O46" s="32" t="n">
        <x:v>3.23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Marine finfishes not identified</x:v>
      </x:c>
      <x:c r="T46" s="32" t="n">
        <x:f>IF(O46="","",(1/'Metadata'!$B$5)^(O46-1))</x:f>
        <x:v>169.82436524617444</x:v>
      </x:c>
      <x:c r="U46" s="31" t="n">
        <x:f>IF(T46="","",I46*T46)</x:f>
        <x:v>1668.8916717911488</x:v>
      </x:c>
    </x:row>
    <x:row r="47" ht="18" customHeight="1">
      <x:c r="A47" s="24" t="str">
        <x:v>LME_059</x:v>
      </x:c>
      <x:c r="B47" s="24" t="str">
        <x:v>Iceland Shelf and Sea</x:v>
      </x:c>
      <x:c r="C47" s="24" t="str">
        <x:v>LME</x:v>
      </x:c>
      <x:c r="D47" s="30" t="n">
        <x:v>2019</x:v>
      </x:c>
      <x:c r="E47" s="24" t="str">
        <x:v>Coryphaenoides rupestris</x:v>
      </x:c>
      <x:c r="F47" s="24" t="str">
        <x:v>Roundnose grenadier</x:v>
      </x:c>
      <x:c r="G47" s="24" t="str">
        <x:v>Large bathypelagics (&gt;=90 cm)</x:v>
      </x:c>
      <x:c r="H47" s="24" t="str">
        <x:v>Cod-likes</x:v>
      </x:c>
      <x:c r="I47" s="31" t="n">
        <x:v>9.517420868</x:v>
      </x:c>
      <x:c r="J47" s="31" t="n">
        <x:v>9.0819906733</x:v>
      </x:c>
      <x:c r="K47" s="31" t="n">
        <x:v>0.4354301947</x:v>
      </x:c>
      <x:c r="L47" s="31" t="n">
        <x:v>9.0819906733</x:v>
      </x:c>
      <x:c r="M47" s="31" t="n">
        <x:v>0.4354301947</x:v>
      </x:c>
      <x:c r="N47" s="24" t="str">
        <x:v>coryphaenoides rupestris</x:v>
      </x:c>
      <x:c r="O47" s="32" t="n">
        <x:v>3.54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Coryphaenoides rupestris</x:v>
      </x:c>
      <x:c r="T47" s="32" t="n">
        <x:f>IF(O47="","",(1/'Metadata'!$B$5)^(O47-1))</x:f>
        <x:v>346.73685045253166</x:v>
      </x:c>
      <x:c r="U47" s="31" t="n">
        <x:f>IF(T47="","",I47*T47)</x:f>
        <x:v>3300.0405362015204</x:v>
      </x:c>
    </x:row>
    <x:row r="48" ht="18" customHeight="1">
      <x:c r="A48" s="24" t="str">
        <x:v>LME_059</x:v>
      </x:c>
      <x:c r="B48" s="24" t="str">
        <x:v>Iceland Shelf and Sea</x:v>
      </x:c>
      <x:c r="C48" s="24" t="str">
        <x:v>LME</x:v>
      </x:c>
      <x:c r="D48" s="30" t="n">
        <x:v>2019</x:v>
      </x:c>
      <x:c r="E48" s="24" t="str">
        <x:v>Lophiidae</x:v>
      </x:c>
      <x:c r="F48" s="24" t="str">
        <x:v>Goosefishes</x:v>
      </x:c>
      <x:c r="G48" s="24" t="str">
        <x:v>Medium bathydemersals (30 - 89 cm)</x:v>
      </x:c>
      <x:c r="H48" s="24" t="str">
        <x:v>Other fishes &amp; inverts</x:v>
      </x:c>
      <x:c r="I48" s="31" t="n">
        <x:v>7.9289191105</x:v>
      </x:c>
      <x:c r="J48" s="31" t="n">
        <x:v>7.9289191105</x:v>
      </x:c>
      <x:c r="K48" s="31" t="n">
        <x:v>0</x:v>
      </x:c>
      <x:c r="L48" s="31" t="n">
        <x:v>7.9289191105</x:v>
      </x:c>
      <x:c r="M48" s="31" t="n">
        <x:v>0</x:v>
      </x:c>
      <x:c r="N48" s="24" t="str">
        <x:v>lophiidae</x:v>
      </x:c>
      <x:c r="O48" s="32" t="n">
        <x:v>4.46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Lophiidae</x:v>
      </x:c>
      <x:c r="T48" s="32" t="n">
        <x:f>IF(O48="","",(1/'Metadata'!$B$5)^(O48-1))</x:f>
        <x:v>2884.031503126606</x:v>
      </x:c>
      <x:c r="U48" s="31" t="n">
        <x:f>IF(T48="","",I48*T48)</x:f>
        <x:v>22867.252500424587</x:v>
      </x:c>
    </x:row>
    <x:row r="49" ht="18" customHeight="1">
      <x:c r="A49" s="24" t="str">
        <x:v>LME_059</x:v>
      </x:c>
      <x:c r="B49" s="24" t="str">
        <x:v>Iceland Shelf and Sea</x:v>
      </x:c>
      <x:c r="C49" s="24" t="str">
        <x:v>LME</x:v>
      </x:c>
      <x:c r="D49" s="30" t="n">
        <x:v>2019</x:v>
      </x:c>
      <x:c r="E49" s="24" t="str">
        <x:v>Anarhichas denticulatus</x:v>
      </x:c>
      <x:c r="F49" s="24" t="str">
        <x:v>Northern wolffish</x:v>
      </x:c>
      <x:c r="G49" s="24" t="str">
        <x:v>Large benthopelagics (&gt;=90 cm)</x:v>
      </x:c>
      <x:c r="H49" s="24" t="str">
        <x:v>Perch-likes</x:v>
      </x:c>
      <x:c r="I49" s="31" t="n">
        <x:v>6.9728882181000005</x:v>
      </x:c>
      <x:c r="J49" s="31" t="n">
        <x:v>6.789612137700001</x:v>
      </x:c>
      <x:c r="K49" s="31" t="n">
        <x:v>0.1832760804</x:v>
      </x:c>
      <x:c r="L49" s="31" t="n">
        <x:v>6.789612137700001</x:v>
      </x:c>
      <x:c r="M49" s="31" t="n">
        <x:v>0.1832760804</x:v>
      </x:c>
      <x:c r="N49" s="24" t="str">
        <x:v>anarhichas denticulatus</x:v>
      </x:c>
      <x:c r="O49" s="32" t="n">
        <x:v>3.75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Anarhichas denticulatus</x:v>
      </x:c>
      <x:c r="T49" s="32" t="n">
        <x:f>IF(O49="","",(1/'Metadata'!$B$5)^(O49-1))</x:f>
        <x:v>562.341325190349</x:v>
      </x:c>
      <x:c r="U49" s="31" t="n">
        <x:f>IF(T49="","",I49*T49)</x:f>
        <x:v>3921.143200970526</x:v>
      </x:c>
    </x:row>
    <x:row r="50" ht="18" customHeight="1">
      <x:c r="A50" s="24" t="str">
        <x:v>LME_059</x:v>
      </x:c>
      <x:c r="B50" s="24" t="str">
        <x:v>Iceland Shelf and Sea</x:v>
      </x:c>
      <x:c r="C50" s="24" t="str">
        <x:v>LME</x:v>
      </x:c>
      <x:c r="D50" s="30" t="n">
        <x:v>2019</x:v>
      </x:c>
      <x:c r="E50" s="24" t="str">
        <x:v>Carangidae</x:v>
      </x:c>
      <x:c r="F50" s="24" t="str">
        <x:v>Jacks, pompanos</x:v>
      </x:c>
      <x:c r="G50" s="24" t="str">
        <x:v>Medium pelagics (30 - 89 cm)</x:v>
      </x:c>
      <x:c r="H50" s="24" t="str">
        <x:v>Perch-likes</x:v>
      </x:c>
      <x:c r="I50" s="31" t="n">
        <x:v>6.490938086</x:v>
      </x:c>
      <x:c r="J50" s="31" t="n">
        <x:v>0</x:v>
      </x:c>
      <x:c r="K50" s="31" t="n">
        <x:v>6.490938086</x:v>
      </x:c>
      <x:c r="L50" s="31" t="n">
        <x:v>0</x:v>
      </x:c>
      <x:c r="M50" s="31" t="n">
        <x:v>6.490938086</x:v>
      </x:c>
      <x:c r="N50" s="24" t="str">
        <x:v>carangidae</x:v>
      </x:c>
      <x:c r="O50" s="32" t="n">
        <x:v>4.05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Carangidae</x:v>
      </x:c>
      <x:c r="T50" s="32" t="n">
        <x:f>IF(O50="","",(1/'Metadata'!$B$5)^(O50-1))</x:f>
        <x:v>1122.018454301963</x:v>
      </x:c>
      <x:c r="U50" s="31" t="n">
        <x:f>IF(T50="","",I50*T50)</x:f>
        <x:v>7282.952318223462</x:v>
      </x:c>
    </x:row>
    <x:row r="51" ht="18" customHeight="1">
      <x:c r="A51" s="24" t="str">
        <x:v>LME_059</x:v>
      </x:c>
      <x:c r="B51" s="24" t="str">
        <x:v>Iceland Shelf and Sea</x:v>
      </x:c>
      <x:c r="C51" s="24" t="str">
        <x:v>LME</x:v>
      </x:c>
      <x:c r="D51" s="30" t="n">
        <x:v>2019</x:v>
      </x:c>
      <x:c r="E51" s="24" t="str">
        <x:v>Rajella lintea</x:v>
      </x:c>
      <x:c r="F51" s="24" t="str">
        <x:v>Sailray</x:v>
      </x:c>
      <x:c r="G51" s="24" t="str">
        <x:v>Large rays (&gt;=90 cm)</x:v>
      </x:c>
      <x:c r="H51" s="24" t="str">
        <x:v>Sharks &amp; rays</x:v>
      </x:c>
      <x:c r="I51" s="31" t="n">
        <x:v>4.7631136113</x:v>
      </x:c>
      <x:c r="J51" s="31" t="n">
        <x:v>4.7250911375</x:v>
      </x:c>
      <x:c r="K51" s="31" t="n">
        <x:v>0.0380224738</x:v>
      </x:c>
      <x:c r="L51" s="31" t="n">
        <x:v>4.7250911375</x:v>
      </x:c>
      <x:c r="M51" s="31" t="n">
        <x:v>0.0380224738</x:v>
      </x:c>
      <x:c r="N51" s="24" t="str">
        <x:v>rajella lintea</x:v>
      </x:c>
      <x:c r="O51" s="32" t="n">
        <x:v>3.62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Rajella lintea</x:v>
      </x:c>
      <x:c r="T51" s="32" t="n">
        <x:f>IF(O51="","",(1/'Metadata'!$B$5)^(O51-1))</x:f>
        <x:v>416.8693834703355</x:v>
      </x:c>
      <x:c r="U51" s="31" t="n">
        <x:f>IF(T51="","",I51*T51)</x:f>
        <x:v>1985.596234541794</x:v>
      </x:c>
    </x:row>
    <x:row r="52" ht="18" customHeight="1">
      <x:c r="A52" s="24" t="str">
        <x:v>LME_059</x:v>
      </x:c>
      <x:c r="B52" s="24" t="str">
        <x:v>Iceland Shelf and Sea</x:v>
      </x:c>
      <x:c r="C52" s="24" t="str">
        <x:v>LME</x:v>
      </x:c>
      <x:c r="D52" s="30" t="n">
        <x:v>2019</x:v>
      </x:c>
      <x:c r="E52" s="24" t="str">
        <x:v>Raja</x:v>
      </x:c>
      <x:c r="F52" s="24" t="str">
        <x:v>Stingrays, skates</x:v>
      </x:c>
      <x:c r="G52" s="24" t="str">
        <x:v>Small to medium rays (&lt;90 cm)</x:v>
      </x:c>
      <x:c r="H52" s="24" t="str">
        <x:v>Sharks &amp; rays</x:v>
      </x:c>
      <x:c r="I52" s="31" t="n">
        <x:v>4.5788529854</x:v>
      </x:c>
      <x:c r="J52" s="31" t="n">
        <x:v>4.5788529854</x:v>
      </x:c>
      <x:c r="K52" s="31" t="n">
        <x:v>0</x:v>
      </x:c>
      <x:c r="L52" s="31" t="n">
        <x:v>4.5788529854</x:v>
      </x:c>
      <x:c r="M52" s="31" t="n">
        <x:v>0</x:v>
      </x:c>
      <x:c r="N52" s="24" t="str">
        <x:v>raja</x:v>
      </x:c>
      <x:c r="O52" s="32" t="n">
        <x:v>3.8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Raja</x:v>
      </x:c>
      <x:c r="T52" s="32" t="n">
        <x:f>IF(O52="","",(1/'Metadata'!$B$5)^(O52-1))</x:f>
        <x:v>630.957344480193</x:v>
      </x:c>
      <x:c r="U52" s="31" t="n">
        <x:f>IF(T52="","",I52*T52)</x:f>
        <x:v>2889.060920433188</x:v>
      </x:c>
    </x:row>
    <x:row r="53" ht="18" customHeight="1">
      <x:c r="A53" s="24" t="str">
        <x:v>LME_059</x:v>
      </x:c>
      <x:c r="B53" s="24" t="str">
        <x:v>Iceland Shelf and Sea</x:v>
      </x:c>
      <x:c r="C53" s="24" t="str">
        <x:v>LME</x:v>
      </x:c>
      <x:c r="D53" s="30" t="n">
        <x:v>2019</x:v>
      </x:c>
      <x:c r="E53" s="24" t="str">
        <x:v>Miscellaneous marine crustaceans</x:v>
      </x:c>
      <x:c r="F53" s="24" t="str">
        <x:v>Marine crabs, shrimps, lobsters nei</x:v>
      </x:c>
      <x:c r="G53" s="24" t="str">
        <x:v>Shrimps</x:v>
      </x:c>
      <x:c r="H53" s="24" t="str">
        <x:v>Crustaceans</x:v>
      </x:c>
      <x:c r="I53" s="31" t="n">
        <x:v>4.538726555</x:v>
      </x:c>
      <x:c r="J53" s="31" t="n">
        <x:v>0</x:v>
      </x:c>
      <x:c r="K53" s="31" t="n">
        <x:v>4.538726555</x:v>
      </x:c>
      <x:c r="L53" s="31" t="n">
        <x:v>0</x:v>
      </x:c>
      <x:c r="M53" s="31" t="n">
        <x:v>4.538726555</x:v>
      </x:c>
      <x:c r="N53" s="24" t="str">
        <x:v>miscellaneous marine crustaceans</x:v>
      </x:c>
      <x:c r="O53" s="32" t="n">
        <x:v>2.7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Miscellaneous marine crustaceans</x:v>
      </x:c>
      <x:c r="T53" s="32" t="n">
        <x:f>IF(O53="","",(1/'Metadata'!$B$5)^(O53-1))</x:f>
        <x:v>50.11872336272725</x:v>
      </x:c>
      <x:c r="U53" s="31" t="n">
        <x:f>IF(T53="","",I53*T53)</x:f>
        <x:v>227.47518062910908</x:v>
      </x:c>
    </x:row>
    <x:row r="54" ht="18" customHeight="1">
      <x:c r="A54" s="24" t="str">
        <x:v>LME_059</x:v>
      </x:c>
      <x:c r="B54" s="24" t="str">
        <x:v>Iceland Shelf and Sea</x:v>
      </x:c>
      <x:c r="C54" s="24" t="str">
        <x:v>LME</x:v>
      </x:c>
      <x:c r="D54" s="30" t="n">
        <x:v>2019</x:v>
      </x:c>
      <x:c r="E54" s="24" t="str">
        <x:v>Alepocephalus bairdii</x:v>
      </x:c>
      <x:c r="F54" s="24" t="str">
        <x:v>Baird's slickhead</x:v>
      </x:c>
      <x:c r="G54" s="24" t="str">
        <x:v>Large bathydemersals (&gt;=90 cm)</x:v>
      </x:c>
      <x:c r="H54" s="24" t="str">
        <x:v>Salmon, smelts, etc</x:v>
      </x:c>
      <x:c r="I54" s="31" t="n">
        <x:v>4.2276459419000005</x:v>
      </x:c>
      <x:c r="J54" s="31" t="n">
        <x:v>4.2276459419000005</x:v>
      </x:c>
      <x:c r="K54" s="31" t="n">
        <x:v>0</x:v>
      </x:c>
      <x:c r="L54" s="31" t="n">
        <x:v>4.2276459419000005</x:v>
      </x:c>
      <x:c r="M54" s="31" t="n">
        <x:v>0</x:v>
      </x:c>
      <x:c r="N54" s="24" t="str">
        <x:v>alepocephalus bairdii</x:v>
      </x:c>
      <x:c r="O54" s="32" t="n">
        <x:v>3.69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Alepocephalus bairdii</x:v>
      </x:c>
      <x:c r="T54" s="32" t="n">
        <x:f>IF(O54="","",(1/'Metadata'!$B$5)^(O54-1))</x:f>
        <x:v>489.77881936844614</x:v>
      </x:c>
      <x:c r="U54" s="31" t="n">
        <x:f>IF(T54="","",I54*T54)</x:f>
        <x:v>2070.6114381315847</x:v>
      </x:c>
    </x:row>
    <x:row r="55" ht="18" customHeight="1">
      <x:c r="A55" s="24" t="str">
        <x:v>LME_059</x:v>
      </x:c>
      <x:c r="B55" s="24" t="str">
        <x:v>Iceland Shelf and Sea</x:v>
      </x:c>
      <x:c r="C55" s="24" t="str">
        <x:v>LME</x:v>
      </x:c>
      <x:c r="D55" s="30" t="n">
        <x:v>2019</x:v>
      </x:c>
      <x:c r="E55" s="24" t="str">
        <x:v>Rajiformes</x:v>
      </x:c>
      <x:c r="F55" s="24" t="str">
        <x:v>Skates and rays</x:v>
      </x:c>
      <x:c r="G55" s="24" t="str">
        <x:v>Large rays (&gt;=90 cm)</x:v>
      </x:c>
      <x:c r="H55" s="24" t="str">
        <x:v>Sharks &amp; rays</x:v>
      </x:c>
      <x:c r="I55" s="31" t="n">
        <x:v>3.2617858586999997</x:v>
      </x:c>
      <x:c r="J55" s="31" t="n">
        <x:v>3.2617858586999997</x:v>
      </x:c>
      <x:c r="K55" s="31" t="n">
        <x:v>0</x:v>
      </x:c>
      <x:c r="L55" s="31" t="n">
        <x:v>3.2617858586999997</x:v>
      </x:c>
      <x:c r="M55" s="31" t="n">
        <x:v>0</x:v>
      </x:c>
      <x:c r="N55" s="24" t="str">
        <x:v>rajiformes</x:v>
      </x:c>
      <x:c r="O55" s="32" t="n">
        <x:v>3.61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Rajiformes</x:v>
      </x:c>
      <x:c r="T55" s="32" t="n">
        <x:f>IF(O55="","",(1/'Metadata'!$B$5)^(O55-1))</x:f>
        <x:v>407.3802778041126</x:v>
      </x:c>
      <x:c r="U55" s="31" t="n">
        <x:f>IF(T55="","",I55*T55)</x:f>
        <x:v>1328.787229254732</x:v>
      </x:c>
    </x:row>
    <x:row r="56" ht="18" customHeight="1">
      <x:c r="A56" s="24" t="str">
        <x:v>LME_059</x:v>
      </x:c>
      <x:c r="B56" s="24" t="str">
        <x:v>Iceland Shelf and Sea</x:v>
      </x:c>
      <x:c r="C56" s="24" t="str">
        <x:v>LME</x:v>
      </x:c>
      <x:c r="D56" s="30" t="n">
        <x:v>2019</x:v>
      </x:c>
      <x:c r="E56" s="24" t="str">
        <x:v>Triglidae</x:v>
      </x:c>
      <x:c r="F56" s="24" t="str">
        <x:v>Searobins, gurnards</x:v>
      </x:c>
      <x:c r="G56" s="24" t="str">
        <x:v>Medium demersals (30 - 89 cm)</x:v>
      </x:c>
      <x:c r="H56" s="24" t="str">
        <x:v>Scorpionfishes</x:v>
      </x:c>
      <x:c r="I56" s="31" t="n">
        <x:v>2.5724016704</x:v>
      </x:c>
      <x:c r="J56" s="31" t="n">
        <x:v>0.9186584835</x:v>
      </x:c>
      <x:c r="K56" s="31" t="n">
        <x:v>1.6537431868999999</x:v>
      </x:c>
      <x:c r="L56" s="31" t="n">
        <x:v>0.9186584835</x:v>
      </x:c>
      <x:c r="M56" s="31" t="n">
        <x:v>1.6537431868999999</x:v>
      </x:c>
      <x:c r="N56" s="24" t="str">
        <x:v>triglidae</x:v>
      </x:c>
      <x:c r="O56" s="32" t="n">
        <x:v>3.74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Triglidae</x:v>
      </x:c>
      <x:c r="T56" s="32" t="n">
        <x:f>IF(O56="","",(1/'Metadata'!$B$5)^(O56-1))</x:f>
        <x:v>549.5408738576248</x:v>
      </x:c>
      <x:c r="U56" s="31" t="n">
        <x:f>IF(T56="","",I56*T56)</x:f>
        <x:v>1413.6398618644298</x:v>
      </x:c>
    </x:row>
    <x:row r="57" ht="18" customHeight="1">
      <x:c r="A57" s="24" t="str">
        <x:v>LME_059</x:v>
      </x:c>
      <x:c r="B57" s="24" t="str">
        <x:v>Iceland Shelf and Sea</x:v>
      </x:c>
      <x:c r="C57" s="24" t="str">
        <x:v>LME</x:v>
      </x:c>
      <x:c r="D57" s="30" t="n">
        <x:v>2019</x:v>
      </x:c>
      <x:c r="E57" s="24" t="str">
        <x:v>Lamna nasus</x:v>
      </x:c>
      <x:c r="F57" s="24" t="str">
        <x:v>Porbeagle</x:v>
      </x:c>
      <x:c r="G57" s="24" t="str">
        <x:v>Large sharks (&gt;=90 cm)</x:v>
      </x:c>
      <x:c r="H57" s="24" t="str">
        <x:v>Sharks &amp; rays</x:v>
      </x:c>
      <x:c r="I57" s="31" t="n">
        <x:v>2.5466060943</x:v>
      </x:c>
      <x:c r="J57" s="31" t="n">
        <x:v>2.5466060943</x:v>
      </x:c>
      <x:c r="K57" s="31" t="n">
        <x:v>0</x:v>
      </x:c>
      <x:c r="L57" s="31" t="n">
        <x:v>2.5466060943</x:v>
      </x:c>
      <x:c r="M57" s="31" t="n">
        <x:v>0</x:v>
      </x:c>
      <x:c r="N57" s="24" t="str">
        <x:v>lamna nasus</x:v>
      </x:c>
      <x:c r="O57" s="32" t="n">
        <x:v>4.57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Lamna nasus</x:v>
      </x:c>
      <x:c r="T57" s="32" t="n">
        <x:f>IF(O57="","",(1/'Metadata'!$B$5)^(O57-1))</x:f>
        <x:v>3715.3522909717276</x:v>
      </x:c>
      <x:c r="U57" s="31" t="n">
        <x:f>IF(T57="","",I57*T57)</x:f>
        <x:v>9461.538786660069</x:v>
      </x:c>
    </x:row>
    <x:row r="58" ht="18" customHeight="1">
      <x:c r="A58" s="24" t="str">
        <x:v>LME_059</x:v>
      </x:c>
      <x:c r="B58" s="24" t="str">
        <x:v>Iceland Shelf and Sea</x:v>
      </x:c>
      <x:c r="C58" s="24" t="str">
        <x:v>LME</x:v>
      </x:c>
      <x:c r="D58" s="30" t="n">
        <x:v>2019</x:v>
      </x:c>
      <x:c r="E58" s="24" t="str">
        <x:v>Centroscymnus coelolepis</x:v>
      </x:c>
      <x:c r="F58" s="24" t="str">
        <x:v>Portuguese dogfish</x:v>
      </x:c>
      <x:c r="G58" s="24" t="str">
        <x:v>Large sharks (&gt;=90 cm)</x:v>
      </x:c>
      <x:c r="H58" s="24" t="str">
        <x:v>Sharks &amp; rays</x:v>
      </x:c>
      <x:c r="I58" s="31" t="n">
        <x:v>2.4442014119</x:v>
      </x:c>
      <x:c r="J58" s="31" t="n">
        <x:v>2.4442014119</x:v>
      </x:c>
      <x:c r="K58" s="31" t="n">
        <x:v>0</x:v>
      </x:c>
      <x:c r="L58" s="31" t="n">
        <x:v>2.4442014119</x:v>
      </x:c>
      <x:c r="M58" s="31" t="n">
        <x:v>0</x:v>
      </x:c>
      <x:c r="N58" s="24" t="str">
        <x:v>centroscymnus coelolepis</x:v>
      </x:c>
      <x:c r="O58" s="32" t="n">
        <x:v>4.48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Centroscymnus coelolepis</x:v>
      </x:c>
      <x:c r="T58" s="32" t="n">
        <x:f>IF(O58="","",(1/'Metadata'!$B$5)^(O58-1))</x:f>
        <x:v>3019.951720402019</x:v>
      </x:c>
      <x:c r="U58" s="31" t="n">
        <x:f>IF(T58="","",I58*T58)</x:f>
        <x:v>7381.370258876449</x:v>
      </x:c>
    </x:row>
    <x:row r="59" ht="18" customHeight="1">
      <x:c r="A59" s="24" t="str">
        <x:v>LME_059</x:v>
      </x:c>
      <x:c r="B59" s="24" t="str">
        <x:v>Iceland Shelf and Sea</x:v>
      </x:c>
      <x:c r="C59" s="24" t="str">
        <x:v>LME</x:v>
      </x:c>
      <x:c r="D59" s="30" t="n">
        <x:v>2019</x:v>
      </x:c>
      <x:c r="E59" s="24" t="str">
        <x:v>Macrouridae</x:v>
      </x:c>
      <x:c r="F59" s="24" t="str">
        <x:v>Grenadiers, rattails</x:v>
      </x:c>
      <x:c r="G59" s="24" t="str">
        <x:v>Medium benthopelagics (30 - 89 cm)</x:v>
      </x:c>
      <x:c r="H59" s="24" t="str">
        <x:v>Cod-likes</x:v>
      </x:c>
      <x:c r="I59" s="31" t="n">
        <x:v>2.2141420338</x:v>
      </x:c>
      <x:c r="J59" s="31" t="n">
        <x:v>0</x:v>
      </x:c>
      <x:c r="K59" s="31" t="n">
        <x:v>2.2141420338</x:v>
      </x:c>
      <x:c r="L59" s="31" t="n">
        <x:v>0</x:v>
      </x:c>
      <x:c r="M59" s="31" t="n">
        <x:v>2.2141420338</x:v>
      </x:c>
      <x:c r="N59" s="24" t="str">
        <x:v>macrouridae</x:v>
      </x:c>
      <x:c r="O59" s="32" t="n">
        <x:v>3.88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Macrouridae</x:v>
      </x:c>
      <x:c r="T59" s="32" t="n">
        <x:f>IF(O59="","",(1/'Metadata'!$B$5)^(O59-1))</x:f>
        <x:v>758.5775750291835</x:v>
      </x:c>
      <x:c r="U59" s="31" t="n">
        <x:f>IF(T59="","",I59*T59)</x:f>
        <x:v>1679.5984947701886</x:v>
      </x:c>
    </x:row>
    <x:row r="60" ht="18" customHeight="1">
      <x:c r="A60" s="24" t="str">
        <x:v>LME_059</x:v>
      </x:c>
      <x:c r="B60" s="24" t="str">
        <x:v>Iceland Shelf and Sea</x:v>
      </x:c>
      <x:c r="C60" s="24" t="str">
        <x:v>LME</x:v>
      </x:c>
      <x:c r="D60" s="30" t="n">
        <x:v>2019</x:v>
      </x:c>
      <x:c r="E60" s="24" t="str">
        <x:v>Cephalopoda</x:v>
      </x:c>
      <x:c r="F60" s="24" t="str">
        <x:v>Squids, cuttlefishes, octopuses</x:v>
      </x:c>
      <x:c r="G60" s="24" t="str">
        <x:v>Cephalopods</x:v>
      </x:c>
      <x:c r="H60" s="24" t="str">
        <x:v>Other fishes &amp; inverts</x:v>
      </x:c>
      <x:c r="I60" s="31" t="n">
        <x:v>1.9679249242</x:v>
      </x:c>
      <x:c r="J60" s="31" t="n">
        <x:v>0</x:v>
      </x:c>
      <x:c r="K60" s="31" t="n">
        <x:v>1.9679249242</x:v>
      </x:c>
      <x:c r="L60" s="31" t="n">
        <x:v>0</x:v>
      </x:c>
      <x:c r="M60" s="31" t="n">
        <x:v>1.9679249242</x:v>
      </x:c>
      <x:c r="N60" s="24" t="str">
        <x:v>cephalopoda</x:v>
      </x:c>
      <x:c r="O60" s="32" t="n">
        <x:v>3.81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Cephalopoda</x:v>
      </x:c>
      <x:c r="T60" s="32" t="n">
        <x:f>IF(O60="","",(1/'Metadata'!$B$5)^(O60-1))</x:f>
        <x:v>645.6542290346556</x:v>
      </x:c>
      <x:c r="U60" s="31" t="n">
        <x:f>IF(T60="","",I60*T60)</x:f>
        <x:v>1270.5990497324342</x:v>
      </x:c>
    </x:row>
    <x:row r="61" ht="18" customHeight="1">
      <x:c r="A61" s="24" t="str">
        <x:v>LME_059</x:v>
      </x:c>
      <x:c r="B61" s="24" t="str">
        <x:v>Iceland Shelf and Sea</x:v>
      </x:c>
      <x:c r="C61" s="24" t="str">
        <x:v>LME</x:v>
      </x:c>
      <x:c r="D61" s="30" t="n">
        <x:v>2019</x:v>
      </x:c>
      <x:c r="E61" s="24" t="str">
        <x:v>Bivalvia</x:v>
      </x:c>
      <x:c r="F61" s="24" t="str">
        <x:v>Clams</x:v>
      </x:c>
      <x:c r="G61" s="24" t="str">
        <x:v>Other demersal invertebrates</x:v>
      </x:c>
      <x:c r="H61" s="24" t="str">
        <x:v>Molluscs</x:v>
      </x:c>
      <x:c r="I61" s="31" t="n">
        <x:v>1.7952215964999998</x:v>
      </x:c>
      <x:c r="J61" s="31" t="n">
        <x:v>0</x:v>
      </x:c>
      <x:c r="K61" s="31" t="n">
        <x:v>1.7952215964999998</x:v>
      </x:c>
      <x:c r="L61" s="31" t="n">
        <x:v>0</x:v>
      </x:c>
      <x:c r="M61" s="31" t="n">
        <x:v>1.7952215964999998</x:v>
      </x:c>
      <x:c r="N61" s="24" t="str">
        <x:v>bivalvia</x:v>
      </x:c>
      <x:c r="O61" s="32" t="n">
        <x:v>2.23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Bivalvia</x:v>
      </x:c>
      <x:c r="T61" s="32" t="n">
        <x:f>IF(O61="","",(1/'Metadata'!$B$5)^(O61-1))</x:f>
        <x:v>16.982436524617444</x:v>
      </x:c>
      <x:c r="U61" s="31" t="n">
        <x:f>IF(T61="","",I61*T61)</x:f>
        <x:v>30.487236810183635</x:v>
      </x:c>
    </x:row>
    <x:row r="62" ht="18" customHeight="1">
      <x:c r="A62" s="24" t="str">
        <x:v>LME_059</x:v>
      </x:c>
      <x:c r="B62" s="24" t="str">
        <x:v>Iceland Shelf and Sea</x:v>
      </x:c>
      <x:c r="C62" s="24" t="str">
        <x:v>LME</x:v>
      </x:c>
      <x:c r="D62" s="30" t="n">
        <x:v>2019</x:v>
      </x:c>
      <x:c r="E62" s="24" t="str">
        <x:v>Elasmobranchii</x:v>
      </x:c>
      <x:c r="F62" s="24" t="str">
        <x:v>Sharks, rays, skates</x:v>
      </x:c>
      <x:c r="G62" s="24" t="str">
        <x:v>Large sharks (&gt;=90 cm)</x:v>
      </x:c>
      <x:c r="H62" s="24" t="str">
        <x:v>Sharks &amp; rays</x:v>
      </x:c>
      <x:c r="I62" s="31" t="n">
        <x:v>1.7373416761</x:v>
      </x:c>
      <x:c r="J62" s="31" t="n">
        <x:v>0</x:v>
      </x:c>
      <x:c r="K62" s="31" t="n">
        <x:v>1.7373416761</x:v>
      </x:c>
      <x:c r="L62" s="31" t="n">
        <x:v>0</x:v>
      </x:c>
      <x:c r="M62" s="31" t="n">
        <x:v>1.7373416761</x:v>
      </x:c>
      <x:c r="N62" s="24" t="str">
        <x:v>elasmobranchii</x:v>
      </x:c>
      <x:c r="O62" s="32" t="n">
        <x:v>4.05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Elasmobranchii</x:v>
      </x:c>
      <x:c r="T62" s="32" t="n">
        <x:f>IF(O62="","",(1/'Metadata'!$B$5)^(O62-1))</x:f>
        <x:v>1122.018454301963</x:v>
      </x:c>
      <x:c r="U62" s="31" t="n">
        <x:f>IF(T62="","",I62*T62)</x:f>
        <x:v>1949.3294220121036</x:v>
      </x:c>
    </x:row>
    <x:row r="63" ht="18" customHeight="1">
      <x:c r="A63" s="24" t="str">
        <x:v>LME_059</x:v>
      </x:c>
      <x:c r="B63" s="24" t="str">
        <x:v>Iceland Shelf and Sea</x:v>
      </x:c>
      <x:c r="C63" s="24" t="str">
        <x:v>LME</x:v>
      </x:c>
      <x:c r="D63" s="30" t="n">
        <x:v>2019</x:v>
      </x:c>
      <x:c r="E63" s="24" t="str">
        <x:v>Illex illecebrosus</x:v>
      </x:c>
      <x:c r="F63" s="24" t="str">
        <x:v>Northern shortfin squid</x:v>
      </x:c>
      <x:c r="G63" s="24" t="str">
        <x:v>Cephalopods</x:v>
      </x:c>
      <x:c r="H63" s="24" t="str">
        <x:v>Other fishes &amp; inverts</x:v>
      </x:c>
      <x:c r="I63" s="31" t="n">
        <x:v>1.5294049784000001</x:v>
      </x:c>
      <x:c r="J63" s="31" t="n">
        <x:v>1.5294049784000001</x:v>
      </x:c>
      <x:c r="K63" s="31" t="n">
        <x:v>0</x:v>
      </x:c>
      <x:c r="L63" s="31" t="n">
        <x:v>1.5294049784000001</x:v>
      </x:c>
      <x:c r="M63" s="31" t="n">
        <x:v>0</x:v>
      </x:c>
      <x:c r="N63" s="24" t="str">
        <x:v>illex illecebrosus</x:v>
      </x:c>
      <x:c r="O63" s="32" t="n">
        <x:v>3.98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Illex illecebrosus</x:v>
      </x:c>
      <x:c r="T63" s="32" t="n">
        <x:f>IF(O63="","",(1/'Metadata'!$B$5)^(O63-1))</x:f>
        <x:v>954.992586021436</x:v>
      </x:c>
      <x:c r="U63" s="31" t="n">
        <x:f>IF(T63="","",I63*T63)</x:f>
        <x:v>1460.5704153962745</x:v>
      </x:c>
    </x:row>
    <x:row r="64" ht="18" customHeight="1">
      <x:c r="A64" s="24" t="str">
        <x:v>LME_059</x:v>
      </x:c>
      <x:c r="B64" s="24" t="str">
        <x:v>Iceland Shelf and Sea</x:v>
      </x:c>
      <x:c r="C64" s="24" t="str">
        <x:v>LME</x:v>
      </x:c>
      <x:c r="D64" s="30" t="n">
        <x:v>2019</x:v>
      </x:c>
      <x:c r="E64" s="24" t="str">
        <x:v>Brachyura</x:v>
      </x:c>
      <x:c r="F64" s="24" t="str">
        <x:v>Marine crabs</x:v>
      </x:c>
      <x:c r="G64" s="24" t="str">
        <x:v>Lobsters, crabs</x:v>
      </x:c>
      <x:c r="H64" s="24" t="str">
        <x:v>Crustaceans</x:v>
      </x:c>
      <x:c r="I64" s="31" t="n">
        <x:v>1.3025987165</x:v>
      </x:c>
      <x:c r="J64" s="31" t="n">
        <x:v>1.3025987165</x:v>
      </x:c>
      <x:c r="K64" s="31" t="n">
        <x:v>0</x:v>
      </x:c>
      <x:c r="L64" s="31" t="n">
        <x:v>1.3025987165</x:v>
      </x:c>
      <x:c r="M64" s="31" t="n">
        <x:v>0</x:v>
      </x:c>
      <x:c r="N64" s="24" t="str">
        <x:v>brachyura</x:v>
      </x:c>
      <x:c r="O64" s="32" t="n">
        <x:v>2.6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Brachyura</x:v>
      </x:c>
      <x:c r="T64" s="32" t="n">
        <x:f>IF(O64="","",(1/'Metadata'!$B$5)^(O64-1))</x:f>
        <x:v>39.810717055349734</x:v>
      </x:c>
      <x:c r="U64" s="31" t="n">
        <x:f>IF(T64="","",I64*T64)</x:f>
        <x:v>51.85738893924322</x:v>
      </x:c>
    </x:row>
    <x:row r="65" ht="18" customHeight="1">
      <x:c r="A65" s="24" t="str">
        <x:v>LME_059</x:v>
      </x:c>
      <x:c r="B65" s="24" t="str">
        <x:v>Iceland Shelf and Sea</x:v>
      </x:c>
      <x:c r="C65" s="24" t="str">
        <x:v>LME</x:v>
      </x:c>
      <x:c r="D65" s="30" t="n">
        <x:v>2019</x:v>
      </x:c>
      <x:c r="E65" s="24" t="str">
        <x:v>Squalus acanthias</x:v>
      </x:c>
      <x:c r="F65" s="24" t="str">
        <x:v>Picked dogfish</x:v>
      </x:c>
      <x:c r="G65" s="24" t="str">
        <x:v>Large sharks (&gt;=90 cm)</x:v>
      </x:c>
      <x:c r="H65" s="24" t="str">
        <x:v>Sharks &amp; rays</x:v>
      </x:c>
      <x:c r="I65" s="31" t="n">
        <x:v>1.1475241614</x:v>
      </x:c>
      <x:c r="J65" s="31" t="n">
        <x:v>1.0767479265</x:v>
      </x:c>
      <x:c r="K65" s="31" t="n">
        <x:v>0.0707762349</x:v>
      </x:c>
      <x:c r="L65" s="31" t="n">
        <x:v>1.0767479265</x:v>
      </x:c>
      <x:c r="M65" s="31" t="n">
        <x:v>0.0707762349</x:v>
      </x:c>
      <x:c r="N65" s="24" t="str">
        <x:v>squalus acanthias</x:v>
      </x:c>
      <x:c r="O65" s="32" t="n">
        <x:v>4.37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Squalus acanthias</x:v>
      </x:c>
      <x:c r="T65" s="32" t="n">
        <x:f>IF(O65="","",(1/'Metadata'!$B$5)^(O65-1))</x:f>
        <x:v>2344.228815319923</x:v>
      </x:c>
      <x:c r="U65" s="31" t="n">
        <x:f>IF(T65="","",I65*T65)</x:f>
        <x:v>2690.05920542971</x:v>
      </x:c>
    </x:row>
    <x:row r="66" ht="18" customHeight="1">
      <x:c r="A66" s="24" t="str">
        <x:v>LME_059</x:v>
      </x:c>
      <x:c r="B66" s="24" t="str">
        <x:v>Iceland Shelf and Sea</x:v>
      </x:c>
      <x:c r="C66" s="24" t="str">
        <x:v>LME</x:v>
      </x:c>
      <x:c r="D66" s="30" t="n">
        <x:v>2019</x:v>
      </x:c>
      <x:c r="E66" s="24" t="str">
        <x:v>Merluccius merluccius</x:v>
      </x:c>
      <x:c r="F66" s="24" t="str">
        <x:v>European hake</x:v>
      </x:c>
      <x:c r="G66" s="24" t="str">
        <x:v>Large demersals (&gt;=90 cm)</x:v>
      </x:c>
      <x:c r="H66" s="24" t="str">
        <x:v>Cod-likes</x:v>
      </x:c>
      <x:c r="I66" s="31" t="n">
        <x:v>0.6418412132</x:v>
      </x:c>
      <x:c r="J66" s="31" t="n">
        <x:v>0</x:v>
      </x:c>
      <x:c r="K66" s="31" t="n">
        <x:v>0.6418412132</x:v>
      </x:c>
      <x:c r="L66" s="31" t="n">
        <x:v>0</x:v>
      </x:c>
      <x:c r="M66" s="31" t="n">
        <x:v>0.6418412132</x:v>
      </x:c>
      <x:c r="N66" s="24" t="str">
        <x:v>merluccius merluccius</x:v>
      </x:c>
      <x:c r="O66" s="32" t="n">
        <x:v>4.42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Merluccius merluccius</x:v>
      </x:c>
      <x:c r="T66" s="32" t="n">
        <x:f>IF(O66="","",(1/'Metadata'!$B$5)^(O66-1))</x:f>
        <x:v>2630.2679918953813</x:v>
      </x:c>
      <x:c r="U66" s="31" t="n">
        <x:f>IF(T66="","",I66*T66)</x:f>
        <x:v>1688.2143989592594</x:v>
      </x:c>
    </x:row>
    <x:row r="67" ht="18" customHeight="1">
      <x:c r="A67" s="24" t="str">
        <x:v>LME_059</x:v>
      </x:c>
      <x:c r="B67" s="24" t="str">
        <x:v>Iceland Shelf and Sea</x:v>
      </x:c>
      <x:c r="C67" s="24" t="str">
        <x:v>LME</x:v>
      </x:c>
      <x:c r="D67" s="30" t="n">
        <x:v>2019</x:v>
      </x:c>
      <x:c r="E67" s="24" t="str">
        <x:v>Platichthys flesus</x:v>
      </x:c>
      <x:c r="F67" s="24" t="str">
        <x:v>European flounder</x:v>
      </x:c>
      <x:c r="G67" s="24" t="str">
        <x:v>Small to medium flatfishes (&lt;90 cm)</x:v>
      </x:c>
      <x:c r="H67" s="24" t="str">
        <x:v>Flatfishes</x:v>
      </x:c>
      <x:c r="I67" s="31" t="n">
        <x:v>0.36647617590000003</x:v>
      </x:c>
      <x:c r="J67" s="31" t="n">
        <x:v>0.36647617590000003</x:v>
      </x:c>
      <x:c r="K67" s="31" t="n">
        <x:v>0</x:v>
      </x:c>
      <x:c r="L67" s="31" t="n">
        <x:v>0.36647617590000003</x:v>
      </x:c>
      <x:c r="M67" s="31" t="n">
        <x:v>0</x:v>
      </x:c>
      <x:c r="N67" s="24" t="str">
        <x:v>platichthys flesus</x:v>
      </x:c>
      <x:c r="O67" s="32" t="n">
        <x:v>3.32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Platichthys flesus</x:v>
      </x:c>
      <x:c r="T67" s="32" t="n">
        <x:f>IF(O67="","",(1/'Metadata'!$B$5)^(O67-1))</x:f>
        <x:v>208.92961308540387</x:v>
      </x:c>
      <x:c r="U67" s="31" t="n">
        <x:f>IF(T67="","",I67*T67)</x:f>
        <x:v>76.56772563580542</x:v>
      </x:c>
    </x:row>
    <x:row r="68" ht="18" customHeight="1">
      <x:c r="A68" s="24" t="str">
        <x:v>LME_059</x:v>
      </x:c>
      <x:c r="B68" s="24" t="str">
        <x:v>Iceland Shelf and Sea</x:v>
      </x:c>
      <x:c r="C68" s="24" t="str">
        <x:v>LME</x:v>
      </x:c>
      <x:c r="D68" s="30" t="n">
        <x:v>2019</x:v>
      </x:c>
      <x:c r="E68" s="24" t="str">
        <x:v>Eutrigla gurnardus</x:v>
      </x:c>
      <x:c r="F68" s="24" t="str">
        <x:v>Grey gurnard</x:v>
      </x:c>
      <x:c r="G68" s="24" t="str">
        <x:v>Medium demersals (30 - 89 cm)</x:v>
      </x:c>
      <x:c r="H68" s="24" t="str">
        <x:v>Scorpionfishes</x:v>
      </x:c>
      <x:c r="I68" s="31" t="n">
        <x:v>0.1423032422</x:v>
      </x:c>
      <x:c r="J68" s="31" t="n">
        <x:v>0</x:v>
      </x:c>
      <x:c r="K68" s="31" t="n">
        <x:v>0.1423032422</x:v>
      </x:c>
      <x:c r="L68" s="31" t="n">
        <x:v>0</x:v>
      </x:c>
      <x:c r="M68" s="31" t="n">
        <x:v>0.1423032422</x:v>
      </x:c>
      <x:c r="N68" s="24" t="str">
        <x:v>eutrigla gurnardus</x:v>
      </x:c>
      <x:c r="O68" s="32" t="n">
        <x:v>3.87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Eutrigla gurnardus</x:v>
      </x:c>
      <x:c r="T68" s="32" t="n">
        <x:f>IF(O68="","",(1/'Metadata'!$B$5)^(O68-1))</x:f>
        <x:v>741.3102413009177</x:v>
      </x:c>
      <x:c r="U68" s="31" t="n">
        <x:f>IF(T68="","",I68*T68)</x:f>
        <x:v>105.49085081318495</x:v>
      </x:c>
    </x:row>
    <x:row r="69" ht="18" customHeight="1">
      <x:c r="A69" s="24" t="str">
        <x:v>LME_059</x:v>
      </x:c>
      <x:c r="B69" s="24" t="str">
        <x:v>Iceland Shelf and Sea</x:v>
      </x:c>
      <x:c r="C69" s="24" t="str">
        <x:v>LME</x:v>
      </x:c>
      <x:c r="D69" s="30" t="n">
        <x:v>2019</x:v>
      </x:c>
      <x:c r="E69" s="24" t="str">
        <x:v>Trachipterus</x:v>
      </x:c>
      <x:c r="F69" s="24" t="str">
        <x:v>Ribbonfishes</x:v>
      </x:c>
      <x:c r="G69" s="24" t="str">
        <x:v>Large bathypelagics (&gt;=90 cm)</x:v>
      </x:c>
      <x:c r="H69" s="24" t="str">
        <x:v>Other fishes &amp; inverts</x:v>
      </x:c>
      <x:c r="I69" s="31" t="n">
        <x:v>0.1110091533</x:v>
      </x:c>
      <x:c r="J69" s="31" t="n">
        <x:v>0</x:v>
      </x:c>
      <x:c r="K69" s="31" t="n">
        <x:v>0.1110091533</x:v>
      </x:c>
      <x:c r="L69" s="31" t="n">
        <x:v>0</x:v>
      </x:c>
      <x:c r="M69" s="31" t="n">
        <x:v>0.1110091533</x:v>
      </x:c>
      <x:c r="N69" s="24" t="str">
        <x:v>trachipterus</x:v>
      </x:c>
      <x:c r="O69" s="32" t="n">
        <x:v>4.5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Trachipterus</x:v>
      </x:c>
      <x:c r="T69" s="32" t="n">
        <x:f>IF(O69="","",(1/'Metadata'!$B$5)^(O69-1))</x:f>
        <x:v>3162.2776601683795</x:v>
      </x:c>
      <x:c r="U69" s="31" t="n">
        <x:f>IF(T69="","",I69*T69)</x:f>
        <x:v>351.04176555479694</x:v>
      </x:c>
    </x:row>
    <x:row r="70" ht="18" customHeight="1">
      <x:c r="A70" s="24" t="str">
        <x:v>LME_059</x:v>
      </x:c>
      <x:c r="B70" s="24" t="str">
        <x:v>Iceland Shelf and Sea</x:v>
      </x:c>
      <x:c r="C70" s="24" t="str">
        <x:v>LME</x:v>
      </x:c>
      <x:c r="D70" s="30" t="n">
        <x:v>2019</x:v>
      </x:c>
      <x:c r="E70" s="24" t="str">
        <x:v>Maurolicus muelleri</x:v>
      </x:c>
      <x:c r="F70" s="24" t="str">
        <x:v>Silvery lightfish</x:v>
      </x:c>
      <x:c r="G70" s="24" t="str">
        <x:v>Small bathypelagics (&lt;30 cm)</x:v>
      </x:c>
      <x:c r="H70" s="24" t="str">
        <x:v>Other fishes &amp; inverts</x:v>
      </x:c>
      <x:c r="I70" s="31" t="n">
        <x:v>0.0774884332</x:v>
      </x:c>
      <x:c r="J70" s="31" t="n">
        <x:v>0</x:v>
      </x:c>
      <x:c r="K70" s="31" t="n">
        <x:v>0.0774884332</x:v>
      </x:c>
      <x:c r="L70" s="31" t="n">
        <x:v>0</x:v>
      </x:c>
      <x:c r="M70" s="31" t="n">
        <x:v>0.0774884332</x:v>
      </x:c>
      <x:c r="N70" s="24" t="str">
        <x:v>maurolicus muelleri</x:v>
      </x:c>
      <x:c r="O70" s="32" t="n">
        <x:v>3.01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Maurolicus muelleri</x:v>
      </x:c>
      <x:c r="T70" s="32" t="n">
        <x:f>IF(O70="","",(1/'Metadata'!$B$5)^(O70-1))</x:f>
        <x:v>102.32929922807536</x:v>
      </x:c>
      <x:c r="U70" s="31" t="n">
        <x:f>IF(T70="","",I70*T70)</x:f>
        <x:v>7.929337067637529</x:v>
      </x:c>
    </x:row>
    <x:row r="71" ht="18" customHeight="1">
      <x:c r="A71" s="24" t="str">
        <x:v>LME_059</x:v>
      </x:c>
      <x:c r="B71" s="24" t="str">
        <x:v>Iceland Shelf and Sea</x:v>
      </x:c>
      <x:c r="C71" s="24" t="str">
        <x:v>LME</x:v>
      </x:c>
      <x:c r="D71" s="30" t="n">
        <x:v>2019</x:v>
      </x:c>
      <x:c r="E71" s="24" t="str">
        <x:v>Phycis</x:v>
      </x:c>
      <x:c r="F71" s="24" t="str">
        <x:v>Gunnels, forkbeards</x:v>
      </x:c>
      <x:c r="G71" s="24" t="str">
        <x:v>Medium benthopelagics (30 - 89 cm)</x:v>
      </x:c>
      <x:c r="H71" s="24" t="str">
        <x:v>Cod-likes</x:v>
      </x:c>
      <x:c r="I71" s="31" t="n">
        <x:v>0.0348073069</x:v>
      </x:c>
      <x:c r="J71" s="31" t="n">
        <x:v>0</x:v>
      </x:c>
      <x:c r="K71" s="31" t="n">
        <x:v>0.0348073069</x:v>
      </x:c>
      <x:c r="L71" s="31" t="n">
        <x:v>0</x:v>
      </x:c>
      <x:c r="M71" s="31" t="n">
        <x:v>0.0348073069</x:v>
      </x:c>
      <x:c r="N71" s="24" t="str">
        <x:v>phycis</x:v>
      </x:c>
      <x:c r="O71" s="32" t="n">
        <x:v>3.99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Phycis</x:v>
      </x:c>
      <x:c r="T71" s="32" t="n">
        <x:f>IF(O71="","",(1/'Metadata'!$B$5)^(O71-1))</x:f>
        <x:v>977.2372209558112</x:v>
      </x:c>
      <x:c r="U71" s="31" t="n">
        <x:f>IF(T71="","",I71*T71)</x:f>
        <x:v>34.014995863912034</x:v>
      </x:c>
    </x:row>
    <x:row r="72" ht="18" customHeight="1">
      <x:c r="A72" s="24" t="str">
        <x:v>LME_059</x:v>
      </x:c>
      <x:c r="B72" s="24" t="str">
        <x:v>Iceland Shelf and Sea</x:v>
      </x:c>
      <x:c r="C72" s="24" t="str">
        <x:v>LME</x:v>
      </x:c>
      <x:c r="D72" s="30" t="n">
        <x:v>2019</x:v>
      </x:c>
      <x:c r="E72" s="24" t="str">
        <x:v>Centroscyllium fabricii</x:v>
      </x:c>
      <x:c r="F72" s="24" t="str">
        <x:v>Black dogfish</x:v>
      </x:c>
      <x:c r="G72" s="24" t="str">
        <x:v>Small to medium sharks (&lt;90 cm)</x:v>
      </x:c>
      <x:c r="H72" s="24" t="str">
        <x:v>Sharks &amp; rays</x:v>
      </x:c>
      <x:c r="I72" s="31" t="n">
        <x:v>0.0170904325</x:v>
      </x:c>
      <x:c r="J72" s="31" t="n">
        <x:v>0</x:v>
      </x:c>
      <x:c r="K72" s="31" t="n">
        <x:v>0.0170904325</x:v>
      </x:c>
      <x:c r="L72" s="31" t="n">
        <x:v>0</x:v>
      </x:c>
      <x:c r="M72" s="31" t="n">
        <x:v>0.0170904325</x:v>
      </x:c>
      <x:c r="N72" s="24" t="str">
        <x:v>centroscyllium fabricii</x:v>
      </x:c>
      <x:c r="O72" s="32" t="n">
        <x:v>3.84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Centroscyllium fabricii</x:v>
      </x:c>
      <x:c r="T72" s="32" t="n">
        <x:f>IF(O72="","",(1/'Metadata'!$B$5)^(O72-1))</x:f>
        <x:v>691.8309709189363</x:v>
      </x:c>
      <x:c r="U72" s="31" t="n">
        <x:f>IF(T72="","",I72*T72)</x:f>
        <x:v>11.823690509899542</x:v>
      </x:c>
    </x:row>
    <x:row r="73" ht="18" customHeight="1">
      <x:c r="A73" s="24" t="str">
        <x:v>LME_059</x:v>
      </x:c>
      <x:c r="B73" s="24" t="str">
        <x:v>Iceland Shelf and Sea</x:v>
      </x:c>
      <x:c r="C73" s="24" t="str">
        <x:v>LME</x:v>
      </x:c>
      <x:c r="D73" s="30" t="n">
        <x:v>2019</x:v>
      </x:c>
      <x:c r="E73" s="24" t="str">
        <x:v>Amblyraja hyperborea</x:v>
      </x:c>
      <x:c r="F73" s="24" t="str">
        <x:v>Arctic skate</x:v>
      </x:c>
      <x:c r="G73" s="24" t="str">
        <x:v>Small to medium rays (&lt;90 cm)</x:v>
      </x:c>
      <x:c r="H73" s="24" t="str">
        <x:v>Sharks &amp; rays</x:v>
      </x:c>
      <x:c r="I73" s="31" t="n">
        <x:v>0.0079791456</x:v>
      </x:c>
      <x:c r="J73" s="31" t="n">
        <x:v>0.0079791456</x:v>
      </x:c>
      <x:c r="K73" s="31" t="n">
        <x:v>0</x:v>
      </x:c>
      <x:c r="L73" s="31" t="n">
        <x:v>0.0079791456</x:v>
      </x:c>
      <x:c r="M73" s="31" t="n">
        <x:v>0</x:v>
      </x:c>
      <x:c r="N73" s="24" t="str">
        <x:v>amblyraja hyperborea</x:v>
      </x:c>
      <x:c r="O73" s="32" t="n">
        <x:v>4.31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Amblyraja hyperborea</x:v>
      </x:c>
      <x:c r="T73" s="32" t="n">
        <x:f>IF(O73="","",(1/'Metadata'!$B$5)^(O73-1))</x:f>
        <x:v>2041.7379446695275</x:v>
      </x:c>
      <x:c r="U73" s="31" t="n">
        <x:f>IF(T73="","",I73*T73)</x:f>
        <x:v>16.2913243375629</x:v>
      </x:c>
    </x:row>
    <x:row r="74" ht="18" customHeight="1">
      <x:c r="A74" s="24" t="str">
        <x:v>LME_059</x:v>
      </x:c>
      <x:c r="B74" s="24" t="str">
        <x:v>Iceland Shelf and Sea</x:v>
      </x:c>
      <x:c r="C74" s="24" t="str">
        <x:v>LME</x:v>
      </x:c>
      <x:c r="D74" s="30" t="n">
        <x:v>2019</x:v>
      </x:c>
      <x:c r="E74" s="24" t="str">
        <x:v>Pleuronectiformes</x:v>
      </x:c>
      <x:c r="F74" s="24" t="str">
        <x:v>Flatfishes</x:v>
      </x:c>
      <x:c r="G74" s="24" t="str">
        <x:v>Small to medium flatfishes (&lt;90 cm)</x:v>
      </x:c>
      <x:c r="H74" s="24" t="str">
        <x:v>Flatfishes</x:v>
      </x:c>
      <x:c r="I74" s="31" t="n">
        <x:v>0.0058903231</x:v>
      </x:c>
      <x:c r="J74" s="31" t="n">
        <x:v>0.0058903231</x:v>
      </x:c>
      <x:c r="K74" s="31" t="n">
        <x:v>0</x:v>
      </x:c>
      <x:c r="L74" s="31" t="n">
        <x:v>0.0058903231</x:v>
      </x:c>
      <x:c r="M74" s="31" t="n">
        <x:v>0</x:v>
      </x:c>
      <x:c r="N74" s="24" t="str">
        <x:v>pleuronectiformes</x:v>
      </x:c>
      <x:c r="O74" s="32" t="n">
        <x:v>3.57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Pleuronectiformes</x:v>
      </x:c>
      <x:c r="T74" s="32" t="n">
        <x:f>IF(O74="","",(1/'Metadata'!$B$5)^(O74-1))</x:f>
        <x:v>371.5352290971724</x:v>
      </x:c>
      <x:c r="U74" s="31" t="n">
        <x:f>IF(T74="","",I74*T74)</x:f>
        <x:v>2.1884625424148667</x:v>
      </x:c>
    </x:row>
    <x:row r="75" ht="18" customHeight="1">
      <x:c r="A75" s="24" t="str">
        <x:v>LME_059</x:v>
      </x:c>
      <x:c r="B75" s="24" t="str">
        <x:v>Iceland Shelf and Sea</x:v>
      </x:c>
      <x:c r="C75" s="24" t="str">
        <x:v>LME</x:v>
      </x:c>
      <x:c r="D75" s="30" t="n">
        <x:v>2019</x:v>
      </x:c>
      <x:c r="E75" s="24" t="str">
        <x:v>Prionace glauca</x:v>
      </x:c>
      <x:c r="F75" s="24" t="str">
        <x:v>Blue shark</x:v>
      </x:c>
      <x:c r="G75" s="24" t="str">
        <x:v>Large sharks (&gt;=90 cm)</x:v>
      </x:c>
      <x:c r="H75" s="24" t="str">
        <x:v>Sharks &amp; rays</x:v>
      </x:c>
      <x:c r="I75" s="31" t="n">
        <x:v>0.0042514419</x:v>
      </x:c>
      <x:c r="J75" s="31" t="n">
        <x:v>0</x:v>
      </x:c>
      <x:c r="K75" s="31" t="n">
        <x:v>0.0042514419</x:v>
      </x:c>
      <x:c r="L75" s="31" t="n">
        <x:v>0</x:v>
      </x:c>
      <x:c r="M75" s="31" t="n">
        <x:v>0.0042514419</x:v>
      </x:c>
      <x:c r="N75" s="24" t="str">
        <x:v>prionace glauca</x:v>
      </x:c>
      <x:c r="O75" s="32" t="n">
        <x:v>4.35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Prionace glauca</x:v>
      </x:c>
      <x:c r="T75" s="32" t="n">
        <x:f>IF(O75="","",(1/'Metadata'!$B$5)^(O75-1))</x:f>
        <x:v>2238.7211385683377</x:v>
      </x:c>
      <x:c r="U75" s="31" t="n">
        <x:f>IF(T75="","",I75*T75)</x:f>
        <x:v>9.517792850925137</x:v>
      </x:c>
    </x:row>
  </x:sheetData>
  <x:conditionalFormatting sqref="R2:R7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c136d3daaf342e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404565.19717789046</x:v>
      </x:c>
      <x:c r="C2" s="32" t="n">
        <x:v>4.122044568618954</x:v>
      </x:c>
      <x:c r="D2" s="32" t="n">
        <x:f>IF(C2="","",(1/'Metadata'!$B$5)^(C2-1))</x:f>
        <x:v>1324.4774501197344</x:v>
      </x:c>
      <x:c r="E2" s="31" t="n">
        <x:f>IF(B2=0,"",B2*D2)</x:f>
        <x:v>535837480.76535994</x:v>
      </x:c>
    </x:row>
    <x:row r="3" ht="18" customHeight="1">
      <x:c r="A3" s="24" t="str">
        <x:v>Crustaceans</x:v>
      </x:c>
      <x:c r="B3" s="31" t="n">
        <x:v>3097.8508756825</x:v>
      </x:c>
      <x:c r="C3" s="32" t="n">
        <x:v>3.06011925527543</x:v>
      </x:c>
      <x:c r="D3" s="32" t="n">
        <x:f>IF(C3="","",(1/'Metadata'!$B$5)^(C3-1))</x:f>
        <x:v>114.8468942513061</x:v>
      </x:c>
      <x:c r="E3" s="31" t="n">
        <x:f>IF(B3=0,"",B3*D3)</x:f>
        <x:v>355778.5519258241</x:v>
      </x:c>
    </x:row>
    <x:row r="4" ht="18" customHeight="1">
      <x:c r="A4" s="24" t="str">
        <x:v>Flatfishes</x:v>
      </x:c>
      <x:c r="B4" s="31" t="n">
        <x:v>21678.4779067092</x:v>
      </x:c>
      <x:c r="C4" s="32" t="n">
        <x:v>3.925383617929358</x:v>
      </x:c>
      <x:c r="D4" s="32" t="n">
        <x:f>IF(C4="","",(1/'Metadata'!$B$5)^(C4-1))</x:f>
        <x:v>842.1386851917683</x:v>
      </x:c>
      <x:c r="E4" s="31" t="n">
        <x:f>IF(B4=0,"",B4*D4)</x:f>
        <x:v>18256284.88131488</x:v>
      </x:c>
    </x:row>
    <x:row r="5" ht="18" customHeight="1">
      <x:c r="A5" s="24" t="str">
        <x:v>Molluscs</x:v>
      </x:c>
      <x:c r="B5" s="31" t="n">
        <x:v>322.84687694080003</x:v>
      </x:c>
      <x:c r="C5" s="32" t="n">
        <x:v>3.689062219113915</x:v>
      </x:c>
      <x:c r="D5" s="32" t="n">
        <x:f>IF(C5="","",(1/'Metadata'!$B$5)^(C5-1))</x:f>
        <x:v>488.722371042403</x:v>
      </x:c>
      <x:c r="E5" s="31" t="n">
        <x:f>IF(B5=0,"",B5*D5)</x:f>
        <x:v>157782.4911821427</x:v>
      </x:c>
    </x:row>
    <x:row r="6" ht="18" customHeight="1">
      <x:c r="A6" s="24" t="str">
        <x:v>Other fishes &amp; inverts</x:v>
      </x:c>
      <x:c r="B6" s="31" t="n">
        <x:v>121966.45587182412</x:v>
      </x:c>
      <x:c r="C6" s="32" t="n">
        <x:v>3.2839192245944604</x:v>
      </x:c>
      <x:c r="D6" s="32" t="n">
        <x:f>IF(C6="","",(1/'Metadata'!$B$5)^(C6-1))</x:f>
        <x:v>192.2734082023585</x:v>
      </x:c>
      <x:c r="E6" s="31" t="n">
        <x:f>IF(B6=0,"",B6*D6)</x:f>
        <x:v>23450906.156838182</x:v>
      </x:c>
    </x:row>
    <x:row r="7" ht="18" customHeight="1">
      <x:c r="A7" s="24" t="str">
        <x:v>Perch-likes</x:v>
      </x:c>
      <x:c r="B7" s="31" t="n">
        <x:v>77157.874521916</x:v>
      </x:c>
      <x:c r="C7" s="32" t="n">
        <x:v>3.617034079648006</x:v>
      </x:c>
      <x:c r="D7" s="32" t="n">
        <x:f>IF(C7="","",(1/'Metadata'!$B$5)^(C7-1))</x:f>
        <x:v>414.03216318274</x:v>
      </x:c>
      <x:c r="E7" s="31" t="n">
        <x:f>IF(B7=0,"",B7*D7)</x:f>
        <x:v>31945841.694891308</x:v>
      </x:c>
    </x:row>
    <x:row r="8" ht="18" customHeight="1">
      <x:c r="A8" s="24" t="str">
        <x:v>Salmon, smelts, etc</x:v>
      </x:c>
      <x:c r="B8" s="31" t="n">
        <x:v>4241.317822804699</x:v>
      </x:c>
      <x:c r="C8" s="32" t="n">
        <x:v>3.2819940313122644</x:v>
      </x:c>
      <x:c r="D8" s="32" t="n">
        <x:f>IF(C8="","",(1/'Metadata'!$B$5)^(C8-1))</x:f>
        <x:v>191.4229616795157</x:v>
      </x:c>
      <x:c r="E8" s="31" t="n">
        <x:f>IF(B8=0,"",B8*D8)</x:f>
        <x:v>811885.6190653909</x:v>
      </x:c>
    </x:row>
    <x:row r="9" ht="18" customHeight="1">
      <x:c r="A9" s="24" t="str">
        <x:v>Scorpionfishes</x:v>
      </x:c>
      <x:c r="B9" s="31" t="n">
        <x:v>63593.299997339105</x:v>
      </x:c>
      <x:c r="C9" s="32" t="n">
        <x:v>3.961845408535497</x:v>
      </x:c>
      <x:c r="D9" s="32" t="n">
        <x:f>IF(C9="","",(1/'Metadata'!$B$5)^(C9-1))</x:f>
        <x:v>915.8944103139343</x:v>
      </x:c>
      <x:c r="E9" s="31" t="n">
        <x:f>IF(B9=0,"",B9*D9)</x:f>
        <x:v>58244748.00098002</x:v>
      </x:c>
    </x:row>
    <x:row r="10" ht="18" customHeight="1">
      <x:c r="A10" s="24" t="str">
        <x:v>Sharks &amp; rays</x:v>
      </x:c>
      <x:c r="B10" s="31" t="n">
        <x:v>1351.5906345044998</x:v>
      </x:c>
      <x:c r="C10" s="32" t="n">
        <x:v>4.032401949284038</x:v>
      </x:c>
      <x:c r="D10" s="32" t="n">
        <x:f>IF(C10="","",(1/'Metadata'!$B$5)^(C10-1))</x:f>
        <x:v>1077.4619675175857</x:v>
      </x:c>
      <x:c r="E10" s="31" t="n">
        <x:f>IF(B10=0,"",B10*D10)</x:f>
        <x:v>1456287.5043315603</x:v>
      </x:c>
    </x:row>
  </x:sheetData>
  <x:pageMargins left="0.7" right="0.7" top="0.75" bottom="0.75" header="0.3" footer="0.3"/>
  <x:tableParts count="1">
    <x:tablePart xmlns:r="http://schemas.openxmlformats.org/officeDocument/2006/relationships" r:id="Rf0fe886b11c14bb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3.4973299026</x:v>
      </x:c>
      <x:c r="C2" s="32" t="n">
        <x:v>3.884342099135318</x:v>
      </x:c>
      <x:c r="D2" s="32" t="n">
        <x:f>IF(C2="","",(1/'Metadata'!$B$5)^(C2-1))</x:f>
        <x:v>766.199914413617</x:v>
      </x:c>
      <x:c r="E2" s="31" t="n">
        <x:f>IF(B2=0,"",B2*D2)</x:f>
        <x:v>2679.6538720483036</x:v>
      </x:c>
    </x:row>
    <x:row r="3" ht="18" customHeight="1">
      <x:c r="A3" s="24" t="str">
        <x:v>Large bathydemersals (&gt;=90 cm)</x:v>
      </x:c>
      <x:c r="B3" s="31" t="n">
        <x:v>591.1247397031</x:v>
      </x:c>
      <x:c r="C3" s="32" t="n">
        <x:v>4.4445645805359835</x:v>
      </x:c>
      <x:c r="D3" s="32" t="n">
        <x:f>IF(C3="","",(1/'Metadata'!$B$5)^(C3-1))</x:f>
        <x:v>2783.329230203839</x:v>
      </x:c>
      <x:c r="E3" s="31" t="n">
        <x:f>IF(B3=0,"",B3*D3)</x:f>
        <x:v>1645294.766712274</x:v>
      </x:c>
    </x:row>
    <x:row r="4" ht="18" customHeight="1">
      <x:c r="A4" s="24" t="str">
        <x:v>Large bathypelagics (&gt;=90 cm)</x:v>
      </x:c>
      <x:c r="B4" s="31" t="n">
        <x:v>9.6284300213</x:v>
      </x:c>
      <x:c r="C4" s="32" t="n">
        <x:v>3.551068137477475</x:v>
      </x:c>
      <x:c r="D4" s="32" t="n">
        <x:f>IF(C4="","",(1/'Metadata'!$B$5)^(C4-1))</x:f>
        <x:v>355.68711877589834</x:v>
      </x:c>
      <x:c r="E4" s="31" t="n">
        <x:f>IF(B4=0,"",B4*D4)</x:f>
        <x:v>3424.7085326115584</x:v>
      </x:c>
    </x:row>
    <x:row r="5" ht="18" customHeight="1">
      <x:c r="A5" s="24" t="str">
        <x:v>Large benthopelagics (&gt;=90 cm)</x:v>
      </x:c>
      <x:c r="B5" s="31" t="n">
        <x:v>231838.2044167705</x:v>
      </x:c>
      <x:c r="C5" s="32" t="n">
        <x:v>4.09015652625061</x:v>
      </x:c>
      <x:c r="D5" s="32" t="n">
        <x:f>IF(C5="","",(1/'Metadata'!$B$5)^(C5-1))</x:f>
        <x:v>1230.7122580602656</x:v>
      </x:c>
      <x:c r="E5" s="31" t="n">
        <x:f>IF(B5=0,"",B5*D5)</x:f>
        <x:v>285326120.06240106</x:v>
      </x:c>
    </x:row>
    <x:row r="6" ht="18" customHeight="1">
      <x:c r="A6" s="24" t="str">
        <x:v>Large demersals (&gt;=90 cm)</x:v>
      </x:c>
      <x:c r="B6" s="31" t="n">
        <x:v>88453.07862478531</x:v>
      </x:c>
      <x:c r="C6" s="32" t="n">
        <x:v>4.203940402648447</x:v>
      </x:c>
      <x:c r="D6" s="32" t="n">
        <x:f>IF(C6="","",(1/'Metadata'!$B$5)^(C6-1))</x:f>
        <x:v>1599.3385395686416</x:v>
      </x:c>
      <x:c r="E6" s="31" t="n">
        <x:f>IF(B6=0,"",B6*D6)</x:f>
        <x:v>141466417.58811438</x:v>
      </x:c>
    </x:row>
    <x:row r="7" ht="18" customHeight="1">
      <x:c r="A7" s="24" t="str">
        <x:v>Large flatfishes (&gt;=90 cm)</x:v>
      </x:c>
      <x:c r="B7" s="31" t="n">
        <x:v>6043.3365690605</x:v>
      </x:c>
      <x:c r="C7" s="32" t="n">
        <x:v>3.300768136842931</x:v>
      </x:c>
      <x:c r="D7" s="32" t="n">
        <x:f>IF(C7="","",(1/'Metadata'!$B$5)^(C7-1))</x:f>
        <x:v>199.87944590426812</x:v>
      </x:c>
      <x:c r="E7" s="31" t="n">
        <x:f>IF(B7=0,"",B7*D7)</x:f>
        <x:v>1207938.7648368136</x:v>
      </x:c>
    </x:row>
    <x:row r="8" ht="18" customHeight="1">
      <x:c r="A8" s="24" t="str">
        <x:v>Large rays (&gt;=90 cm)</x:v>
      </x:c>
      <x:c r="B8" s="31" t="n">
        <x:v>1318.840294512</x:v>
      </x:c>
      <x:c r="C8" s="32" t="n">
        <x:v>4.028141279362163</x:v>
      </x:c>
      <x:c r="D8" s="32" t="n">
        <x:f>IF(C8="","",(1/'Metadata'!$B$5)^(C8-1))</x:f>
        <x:v>1066.9431496605557</x:v>
      </x:c>
      <x:c r="E8" s="31" t="n">
        <x:f>IF(B8=0,"",B8*D8)</x:f>
        <x:v>1407127.617725888</x:v>
      </x:c>
    </x:row>
    <x:row r="9" ht="18" customHeight="1">
      <x:c r="A9" s="24" t="str">
        <x:v>Large reef assoc. fish (&gt;=90 cm)</x:v>
      </x:c>
      <x:c r="B9" s="31" t="n">
        <x:v>1358.0404244062</x:v>
      </x:c>
      <x:c r="C9" s="32" t="n">
        <x:v>3.79</x:v>
      </x:c>
      <x:c r="D9" s="32" t="n">
        <x:f>IF(C9="","",(1/'Metadata'!$B$5)^(C9-1))</x:f>
        <x:v>616.5950018614822</x:v>
      </x:c>
      <x:c r="E9" s="31" t="n">
        <x:f>IF(B9=0,"",B9*D9)</x:f>
        <x:v>837360.9380147088</x:v>
      </x:c>
    </x:row>
    <x:row r="10" ht="18" customHeight="1">
      <x:c r="A10" s="24" t="str">
        <x:v>Large sharks (&gt;=90 cm)</x:v>
      </x:c>
      <x:c r="B10" s="31" t="n">
        <x:v>28.146417429</x:v>
      </x:c>
      <x:c r="C10" s="32" t="n">
        <x:v>4.269886907645031</x:v>
      </x:c>
      <x:c r="D10" s="32" t="n">
        <x:f>IF(C10="","",(1/'Metadata'!$B$5)^(C10-1))</x:f>
        <x:v>1861.6023034182363</x:v>
      </x:c>
      <x:c r="E10" s="31" t="n">
        <x:f>IF(B10=0,"",B10*D10)</x:f>
        <x:v>52397.43551879759</x:v>
      </x:c>
    </x:row>
    <x:row r="11" ht="18" customHeight="1">
      <x:c r="A11" s="24" t="str">
        <x:v>Lobsters, crabs</x:v>
      </x:c>
      <x:c r="B11" s="31" t="n">
        <x:v>142.890216093</x:v>
      </x:c>
      <x:c r="C11" s="32" t="n">
        <x:v>2.867538658257567</x:v>
      </x:c>
      <x:c r="D11" s="32" t="n">
        <x:f>IF(C11="","",(1/'Metadata'!$B$5)^(C11-1))</x:f>
        <x:v>73.71207864340523</x:v>
      </x:c>
      <x:c r="E11" s="31" t="n">
        <x:f>IF(B11=0,"",B11*D11)</x:f>
        <x:v>10532.734846020383</x:v>
      </x:c>
    </x:row>
    <x:row r="12" ht="18" customHeight="1">
      <x:c r="A12" s="24" t="str">
        <x:v>Medium bathydemersals (30 - 89 cm)</x:v>
      </x:c>
      <x:c r="B12" s="31" t="n">
        <x:v>3287.6095585217995</x:v>
      </x:c>
      <x:c r="C12" s="32" t="n">
        <x:v>3.322749404278419</x:v>
      </x:c>
      <x:c r="D12" s="32" t="n">
        <x:f>IF(C12="","",(1/'Metadata'!$B$5)^(C12-1))</x:f>
        <x:v>210.25648719546632</x:v>
      </x:c>
      <x:c r="E12" s="31" t="n">
        <x:f>IF(B12=0,"",B12*D12)</x:f>
        <x:v>691241.2370450314</x:v>
      </x:c>
    </x:row>
    <x:row r="13" ht="18" customHeight="1">
      <x:c r="A13" s="24" t="str">
        <x:v>Medium bathypelagics (30 - 89 cm)</x:v>
      </x:c>
      <x:c r="B13" s="31" t="n">
        <x:v>9848.1594076503</x:v>
      </x:c>
      <x:c r="C13" s="32" t="n">
        <x:v>3.65</x:v>
      </x:c>
      <x:c r="D13" s="32" t="n">
        <x:f>IF(C13="","",(1/'Metadata'!$B$5)^(C13-1))</x:f>
        <x:v>446.683592150963</x:v>
      </x:c>
      <x:c r="E13" s="31" t="n">
        <x:f>IF(B13=0,"",B13*D13)</x:f>
        <x:v>4399011.2202845365</x:v>
      </x:c>
    </x:row>
    <x:row r="14" ht="18" customHeight="1">
      <x:c r="A14" s="24" t="str">
        <x:v>Medium benthopelagics (30 - 89 cm)</x:v>
      </x:c>
      <x:c r="B14" s="31" t="n">
        <x:v>85572.43121418862</x:v>
      </x:c>
      <x:c r="C14" s="32" t="n">
        <x:v>4.054015842987482</x:v>
      </x:c>
      <x:c r="D14" s="32" t="n">
        <x:f>IF(C14="","",(1/'Metadata'!$B$5)^(C14-1))</x:f>
        <x:v>1132.4416737581776</x:v>
      </x:c>
      <x:c r="E14" s="31" t="n">
        <x:f>IF(B14=0,"",B14*D14)</x:f>
        <x:v>96905787.23175228</x:v>
      </x:c>
    </x:row>
    <x:row r="15" ht="18" customHeight="1">
      <x:c r="A15" s="24" t="str">
        <x:v>Medium demersals (30 - 89 cm)</x:v>
      </x:c>
      <x:c r="B15" s="31" t="n">
        <x:v>183646.88041889382</x:v>
      </x:c>
      <x:c r="C15" s="32" t="n">
        <x:v>3.5354631336602327</x:v>
      </x:c>
      <x:c r="D15" s="32" t="n">
        <x:f>IF(C15="","",(1/'Metadata'!$B$5)^(C15-1))</x:f>
        <x:v>343.13351068234925</x:v>
      </x:c>
      <x:c r="E15" s="31" t="n">
        <x:f>IF(B15=0,"",B15*D15)</x:f>
        <x:v>63015398.80399662</x:v>
      </x:c>
    </x:row>
    <x:row r="16" ht="18" customHeight="1">
      <x:c r="A16" s="24" t="str">
        <x:v>Medium pelagics (30 - 89 cm)</x:v>
      </x:c>
      <x:c r="B16" s="31" t="n">
        <x:v>65672.61610553</x:v>
      </x:c>
      <x:c r="C16" s="32" t="n">
        <x:v>3.630041511883609</x:v>
      </x:c>
      <x:c r="D16" s="32" t="n">
        <x:f>IF(C16="","",(1/'Metadata'!$B$5)^(C16-1))</x:f>
        <x:v>426.6202952019651</x:v>
      </x:c>
      <x:c r="E16" s="31" t="n">
        <x:f>IF(B16=0,"",B16*D16)</x:f>
        <x:v>28017270.86962654</x:v>
      </x:c>
    </x:row>
    <x:row r="17" ht="18" customHeight="1">
      <x:c r="A17" s="24" t="str">
        <x:v>Other demersal invertebrates</x:v>
      </x:c>
      <x:c r="B17" s="31" t="n">
        <x:v>608.234572457</x:v>
      </x:c>
      <x:c r="C17" s="32" t="n">
        <x:v>3.13583840576857</x:v>
      </x:c>
      <x:c r="D17" s="32" t="n">
        <x:f>IF(C17="","",(1/'Metadata'!$B$5)^(C17-1))</x:f>
        <x:v>136.72200096099888</x:v>
      </x:c>
      <x:c r="E17" s="31" t="n">
        <x:f>IF(B17=0,"",B17*D17)</x:f>
        <x:v>83159.0477999787</x:v>
      </x:c>
    </x:row>
    <x:row r="18" ht="18" customHeight="1">
      <x:c r="A18" s="24" t="str">
        <x:v>Shrimps</x:v>
      </x:c>
      <x:c r="B18" s="31" t="n">
        <x:v>2954.9606595894998</x:v>
      </x:c>
      <x:c r="C18" s="32" t="n">
        <x:v>3.0694316916470954</x:v>
      </x:c>
      <x:c r="D18" s="32" t="n">
        <x:f>IF(C18="","",(1/'Metadata'!$B$5)^(C18-1))</x:f>
        <x:v>117.33611149408107</x:v>
      </x:c>
      <x:c r="E18" s="31" t="n">
        <x:f>IF(B18=0,"",B18*D18)</x:f>
        <x:v>346723.5934142169</x:v>
      </x:c>
    </x:row>
    <x:row r="19" ht="18" customHeight="1">
      <x:c r="A19" s="24" t="str">
        <x:v>Small bathypelagics (&lt;30 cm)</x:v>
      </x:c>
      <x:c r="B19" s="31" t="n">
        <x:v>0.0774884332</x:v>
      </x:c>
      <x:c r="C19" s="32" t="n">
        <x:v>3.01</x:v>
      </x:c>
      <x:c r="D19" s="32" t="n">
        <x:f>IF(C19="","",(1/'Metadata'!$B$5)^(C19-1))</x:f>
        <x:v>102.32929922807536</x:v>
      </x:c>
      <x:c r="E19" s="31" t="n">
        <x:f>IF(B19=0,"",B19*D19)</x:f>
        <x:v>7.929337067637529</x:v>
      </x:c>
    </x:row>
    <x:row r="20" ht="18" customHeight="1">
      <x:c r="A20" s="24" t="str">
        <x:v>Small pelagics (&lt;30 cm)</x:v>
      </x:c>
      <x:c r="B20" s="31" t="n">
        <x:v>957.4095374514999</x:v>
      </x:c>
      <x:c r="C20" s="32" t="n">
        <x:v>3.15</x:v>
      </x:c>
      <x:c r="D20" s="32" t="n">
        <x:f>IF(C20="","",(1/'Metadata'!$B$5)^(C20-1))</x:f>
        <x:v>141.2537544622754</x:v>
      </x:c>
      <x:c r="E20" s="31" t="n">
        <x:f>IF(B20=0,"",B20*D20)</x:f>
        <x:v>135237.6917230148</x:v>
      </x:c>
    </x:row>
    <x:row r="21" ht="18" customHeight="1">
      <x:c r="A21" s="24" t="str">
        <x:v>Small to medium flatfishes (&lt;90 cm)</x:v>
      </x:c>
      <x:c r="B21" s="31" t="n">
        <x:v>15635.1413376487</x:v>
      </x:c>
      <x:c r="C21" s="32" t="n">
        <x:v>4.166811661138757</x:v>
      </x:c>
      <x:c r="D21" s="32" t="n">
        <x:f>IF(C21="","",(1/'Metadata'!$B$5)^(C21-1))</x:f>
        <x:v>1468.2893919950434</x:v>
      </x:c>
      <x:c r="E21" s="31" t="n">
        <x:f>IF(B21=0,"",B21*D21)</x:f>
        <x:v>22956912.16841278</x:v>
      </x:c>
    </x:row>
    <x:row r="22" ht="18" customHeight="1">
      <x:c r="A22" s="24" t="str">
        <x:v>Small to medium rays (&lt;90 cm)</x:v>
      </x:c>
      <x:c r="B22" s="31" t="n">
        <x:v>4.586832131</x:v>
      </x:c>
      <x:c r="C22" s="32" t="n">
        <x:v>3.8008871840389564</x:v>
      </x:c>
      <x:c r="D22" s="32" t="n">
        <x:f>IF(C22="","",(1/'Metadata'!$B$5)^(C22-1))</x:f>
        <x:v>632.2475921285723</x:v>
      </x:c>
      <x:c r="E22" s="31" t="n">
        <x:f>IF(B22=0,"",B22*D22)</x:f>
        <x:v>2900.0135703227184</x:v>
      </x:c>
    </x:row>
    <x:row r="23" ht="18" customHeight="1">
      <x:c r="A23" s="24" t="str">
        <x:v>Small to medium sharks (&lt;90 cm)</x:v>
      </x:c>
      <x:c r="B23" s="31" t="n">
        <x:v>0.0170904325</x:v>
      </x:c>
      <x:c r="C23" s="32" t="n">
        <x:v>3.84</x:v>
      </x:c>
      <x:c r="D23" s="32" t="n">
        <x:f>IF(C23="","",(1/'Metadata'!$B$5)^(C23-1))</x:f>
        <x:v>691.8309709189363</x:v>
      </x:c>
      <x:c r="E23" s="31" t="n">
        <x:f>IF(B23=0,"",B23*D23)</x:f>
        <x:v>11.823690509899542</x:v>
      </x:c>
    </x:row>
  </x:sheetData>
  <x:pageMargins left="0.7" right="0.7" top="0.75" bottom="0.75" header="0.3" footer="0.3"/>
  <x:tableParts count="1">
    <x:tablePart xmlns:r="http://schemas.openxmlformats.org/officeDocument/2006/relationships" r:id="R7ba51e9caf1b41c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LME_059</x:v>
      </x:c>
      <x:c r="B2" s="24" t="str">
        <x:v>raw_filtered_tonnes</x:v>
      </x:c>
      <x:c r="C2" s="24" t="n">
        <x:v>697974.9116856115</x:v>
      </x:c>
      <x:c r="D2" s="24" t="str">
        <x:v>tonnes</x:v>
      </x:c>
    </x:row>
    <x:row r="3" ht="18" customHeight="1">
      <x:c r="A3" s="24" t="str">
        <x:v>LME_059</x:v>
      </x:c>
      <x:c r="B3" s="24" t="str">
        <x:v>species_catch_tonnes</x:v>
      </x:c>
      <x:c r="C3" s="24" t="n">
        <x:v>697974.9116856114</x:v>
      </x:c>
      <x:c r="D3" s="24" t="str">
        <x:v>tonnes</x:v>
      </x:c>
    </x:row>
    <x:row r="4" ht="18" customHeight="1">
      <x:c r="A4" s="24" t="str">
        <x:v>LME_059</x:v>
      </x:c>
      <x:c r="B4" s="24" t="str">
        <x:v>catch_difference_tonnes</x:v>
      </x:c>
      <x:c r="C4" s="24" t="n">
        <x:v>-1.1641532182693481e-10</x:v>
      </x:c>
      <x:c r="D4" s="24" t="str">
        <x:v>tonnes</x:v>
      </x:c>
    </x:row>
    <x:row r="5" ht="18" customHeight="1">
      <x:c r="A5" s="24" t="str">
        <x:v>LME_059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LME_059</x:v>
      </x:c>
      <x:c r="B6" s="24" t="str">
        <x:v>matched_catch_tonnes</x:v>
      </x:c>
      <x:c r="C6" s="24" t="n">
        <x:v>697974.9116856114</x:v>
      </x:c>
      <x:c r="D6" s="24" t="str">
        <x:v>tonnes</x:v>
      </x:c>
    </x:row>
    <x:row r="7" ht="18" customHeight="1">
      <x:c r="A7" s="24" t="str">
        <x:v>LME_059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LME_059</x:v>
      </x:c>
      <x:c r="B8" s="24" t="str">
        <x:v>taxa_count</x:v>
      </x:c>
      <x:c r="C8" s="24" t="n">
        <x:v>74</x:v>
      </x:c>
      <x:c r="D8" s="24" t="str">
        <x:v>count</x:v>
      </x:c>
    </x:row>
    <x:row r="9" ht="18" customHeight="1">
      <x:c r="A9" s="24" t="str">
        <x:v>LME_059</x:v>
      </x:c>
      <x:c r="B9" s="24" t="str">
        <x:v>matched_taxa_count</x:v>
      </x:c>
      <x:c r="C9" s="24" t="n">
        <x:v>74</x:v>
      </x:c>
      <x:c r="D9" s="24" t="str">
        <x:v>count</x:v>
      </x:c>
    </x:row>
    <x:row r="10" ht="18" customHeight="1">
      <x:c r="A10" s="24" t="str">
        <x:v>LME_059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LME_059</x:v>
      </x:c>
      <x:c r="B11" s="24" t="str">
        <x:v>species_ppr</x:v>
      </x:c>
      <x:c r="C11" s="24" t="n">
        <x:v>707135211.9152755</x:v>
      </x:c>
      <x:c r="D11" s="24" t="str">
        <x:v>tonnes_primary_production_equivalent</x:v>
      </x:c>
    </x:row>
    <x:row r="12" ht="18" customHeight="1">
      <x:c r="A12" s="24" t="str">
        <x:v>LME_059</x:v>
      </x:c>
      <x:c r="B12" s="24" t="str">
        <x:v>commercial_ppr</x:v>
      </x:c>
      <x:c r="C12" s="24" t="n">
        <x:v>670516995.6658894</x:v>
      </x:c>
      <x:c r="D12" s="24" t="str">
        <x:v>tonnes_primary_production_equivalent</x:v>
      </x:c>
    </x:row>
    <x:row r="13" ht="18" customHeight="1">
      <x:c r="A13" s="24" t="str">
        <x:v>LME_059</x:v>
      </x:c>
      <x:c r="B13" s="24" t="str">
        <x:v>functional_ppr</x:v>
      </x:c>
      <x:c r="C13" s="24" t="n">
        <x:v>648512955.9012274</x:v>
      </x:c>
      <x:c r="D13" s="24" t="str">
        <x:v>tonnes_primary_production_equivalent</x:v>
      </x:c>
    </x:row>
    <x:row r="14" ht="18" customHeight="1">
      <x:c r="A14" s="24" t="str">
        <x:v>LME_059</x:v>
      </x:c>
      <x:c r="B14" s="24" t="str">
        <x:v>commercial_ppr_difference</x:v>
      </x:c>
      <x:c r="C14" s="24" t="n">
        <x:v>-36618216.24938607</x:v>
      </x:c>
      <x:c r="D14" s="24" t="str">
        <x:v>tonnes_primary_production_equivalent</x:v>
      </x:c>
    </x:row>
    <x:row r="15" ht="18" customHeight="1">
      <x:c r="A15" s="24" t="str">
        <x:v>LME_059</x:v>
      </x:c>
      <x:c r="B15" s="24" t="str">
        <x:v>functional_ppr_difference</x:v>
      </x:c>
      <x:c r="C15" s="24" t="n">
        <x:v>-58622256.0140481</x:v>
      </x:c>
      <x:c r="D15" s="24" t="str">
        <x:v>tonnes_primary_production_equivalent</x:v>
      </x:c>
    </x:row>
    <x:row r="16" ht="18" customHeight="1">
      <x:c r="A16" s="24" t="str">
        <x:v>LME_059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LME_059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0f2d2ca3e58142c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LME_059 - Iceland Shelf and Sea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LME_059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raw_data/SAU_downloads/LME_059-catch.zip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