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81caf2f2b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b86bd101baf44b2"/>
    <x:sheet xmlns:r="http://schemas.openxmlformats.org/officeDocument/2006/relationships" name="Commercial" sheetId="2" r:id="R71af2f7c557e475c"/>
    <x:sheet xmlns:r="http://schemas.openxmlformats.org/officeDocument/2006/relationships" name="Functional" sheetId="3" r:id="R82d44eb4530145f0"/>
    <x:sheet xmlns:r="http://schemas.openxmlformats.org/officeDocument/2006/relationships" name="Missing TL" sheetId="4" r:id="Rbda117f59e0e4ea1"/>
    <x:sheet xmlns:r="http://schemas.openxmlformats.org/officeDocument/2006/relationships" name="Validation" sheetId="5" r:id="Ra51bf88a7e7e4ce6"/>
    <x:sheet xmlns:r="http://schemas.openxmlformats.org/officeDocument/2006/relationships" name="Metadata" sheetId="6" r:id="R5807a05fc7ad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cf39995f44df6" /><Relationship Type="http://schemas.openxmlformats.org/officeDocument/2006/relationships/theme" Target="/xl/theme/theme1.xml" Id="R36c3f6d2d30042a6" /><Relationship Type="http://schemas.microsoft.com/office/2022/11/relationships/FeaturePropertyBag" Target="/xl/featurePropertyBag/featurePropertyBag.xml" Id="R3c71be00b3884ff4" /><Relationship Type="http://schemas.openxmlformats.org/officeDocument/2006/relationships/sharedStrings" Target="/xl/sharedStrings.xml" Id="Rd94d7baf51e64cfd" /><Relationship Type="http://schemas.openxmlformats.org/officeDocument/2006/relationships/worksheet" Target="/xl/worksheets/sheet1.xml" Id="Rfb86bd101baf44b2" /><Relationship Type="http://schemas.openxmlformats.org/officeDocument/2006/relationships/worksheet" Target="/xl/worksheets/sheet2.xml" Id="R71af2f7c557e475c" /><Relationship Type="http://schemas.openxmlformats.org/officeDocument/2006/relationships/worksheet" Target="/xl/worksheets/sheet3.xml" Id="R82d44eb4530145f0" /><Relationship Type="http://schemas.openxmlformats.org/officeDocument/2006/relationships/worksheet" Target="/xl/worksheets/sheet4.xml" Id="Rbda117f59e0e4ea1" /><Relationship Type="http://schemas.openxmlformats.org/officeDocument/2006/relationships/worksheet" Target="/xl/worksheets/sheet5.xml" Id="Ra51bf88a7e7e4ce6" /><Relationship Type="http://schemas.openxmlformats.org/officeDocument/2006/relationships/worksheet" Target="/xl/worksheets/sheet6.xml" Id="R5807a05fc7ad4b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19SpeciesTable" displayName="LME019SpeciesTable" ref="A1:U65" headerRowCount="1" totalsRowCount="0" totalsRowShown="0">
  <x:autoFilter ref="A1:U6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9CommercialTable" displayName="LME019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9FunctionalTable" displayName="LME019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9ValidationTable" displayName="LME01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b1410cc5ab4a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816b22e97445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6d5c69fb6b49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3466f3ed4347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LME_019</x:v>
      </x:c>
      <x:c r="B2" s="24" t="str">
        <x:v>Greenland Sea</x:v>
      </x:c>
      <x:c r="C2" s="24" t="str">
        <x:v>LME</x:v>
      </x:c>
      <x:c r="D2" s="30" t="n">
        <x:v>2019</x:v>
      </x:c>
      <x:c r="E2" s="24" t="str">
        <x:v>Gadus morhua</x:v>
      </x:c>
      <x:c r="F2" s="24" t="str">
        <x:v>Atlantic cod</x:v>
      </x:c>
      <x:c r="G2" s="24" t="str">
        <x:v>Large benthopelagics (&gt;=90 cm)</x:v>
      </x:c>
      <x:c r="H2" s="24" t="str">
        <x:v>Cod-likes</x:v>
      </x:c>
      <x:c r="I2" s="31" t="n">
        <x:v>35664.8241626968</x:v>
      </x:c>
      <x:c r="J2" s="31" t="n">
        <x:v>32931.8139634021</x:v>
      </x:c>
      <x:c r="K2" s="31" t="n">
        <x:v>2733.0101992946998</x:v>
      </x:c>
      <x:c r="L2" s="31" t="n">
        <x:v>32814.1611192375</x:v>
      </x:c>
      <x:c r="M2" s="31" t="n">
        <x:v>2850.6630434593</x:v>
      </x:c>
      <x:c r="N2" s="24" t="str">
        <x:v>gadus morhua</x:v>
      </x:c>
      <x:c r="O2" s="32" t="n">
        <x:v>4.09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Gadus morhua</x:v>
      </x:c>
      <x:c r="T2" s="32" t="n">
        <x:f>IF(O2="","",(1/'Metadata'!$B$5)^(O2-1))</x:f>
        <x:v>1230.268770812381</x:v>
      </x:c>
      <x:c r="U2" s="31" t="n">
        <x:f>IF(T2="","",I2*T2)</x:f>
        <x:v>43877319.3838807</x:v>
      </x:c>
    </x:row>
    <x:row r="3" ht="18" customHeight="1">
      <x:c r="A3" s="24" t="str">
        <x:v>LME_019</x:v>
      </x:c>
      <x:c r="B3" s="24" t="str">
        <x:v>Greenland Sea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32873.2410165229</x:v>
      </x:c>
      <x:c r="J3" s="31" t="n">
        <x:v>32395.3719795672</x:v>
      </x:c>
      <x:c r="K3" s="31" t="n">
        <x:v>477.8690369557</x:v>
      </x:c>
      <x:c r="L3" s="31" t="n">
        <x:v>32372.283413229</x:v>
      </x:c>
      <x:c r="M3" s="31" t="n">
        <x:v>500.9576032939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6263866.942912256</x:v>
      </x:c>
    </x:row>
    <x:row r="4" ht="18" customHeight="1">
      <x:c r="A4" s="24" t="str">
        <x:v>LME_019</x:v>
      </x:c>
      <x:c r="B4" s="24" t="str">
        <x:v>Greenland Sea</x:v>
      </x:c>
      <x:c r="C4" s="24" t="str">
        <x:v>LME</x:v>
      </x:c>
      <x:c r="D4" s="30" t="n">
        <x:v>2019</x:v>
      </x:c>
      <x:c r="E4" s="24" t="str">
        <x:v>Reinhardtius hippoglossoides</x:v>
      </x:c>
      <x:c r="F4" s="24" t="str">
        <x:v>Greenland halibut</x:v>
      </x:c>
      <x:c r="G4" s="24" t="str">
        <x:v>Small to medium flatfishes (&lt;90 cm)</x:v>
      </x:c>
      <x:c r="H4" s="24" t="str">
        <x:v>Flatfishes</x:v>
      </x:c>
      <x:c r="I4" s="31" t="n">
        <x:v>7174.1142948135</x:v>
      </x:c>
      <x:c r="J4" s="31" t="n">
        <x:v>7165.240237411001</x:v>
      </x:c>
      <x:c r="K4" s="31" t="n">
        <x:v>8.8740574025</x:v>
      </x:c>
      <x:c r="L4" s="31" t="n">
        <x:v>7142.0964922210005</x:v>
      </x:c>
      <x:c r="M4" s="31" t="n">
        <x:v>32.017802592500004</x:v>
      </x:c>
      <x:c r="N4" s="24" t="str">
        <x:v>reinhardtius hippoglossoides</x:v>
      </x:c>
      <x:c r="O4" s="32" t="n">
        <x:v>4.38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Reinhardtius hippoglossoides</x:v>
      </x:c>
      <x:c r="T4" s="32" t="n">
        <x:f>IF(O4="","",(1/'Metadata'!$B$5)^(O4-1))</x:f>
        <x:v>2398.83291901949</x:v>
      </x:c>
      <x:c r="U4" s="31" t="n">
        <x:f>IF(T4="","",I4*T4)</x:f>
        <x:v>17209501.535206918</x:v>
      </x:c>
    </x:row>
    <x:row r="5" ht="18" customHeight="1">
      <x:c r="A5" s="24" t="str">
        <x:v>LME_019</x:v>
      </x:c>
      <x:c r="B5" s="24" t="str">
        <x:v>Greenland Sea</x:v>
      </x:c>
      <x:c r="C5" s="24" t="str">
        <x:v>LME</x:v>
      </x:c>
      <x:c r="D5" s="30" t="n">
        <x:v>2019</x:v>
      </x:c>
      <x:c r="E5" s="24" t="str">
        <x:v>Sebastes norvegicus</x:v>
      </x:c>
      <x:c r="F5" s="24" t="str">
        <x:v>Golden redfish</x:v>
      </x:c>
      <x:c r="G5" s="24" t="str">
        <x:v>Medium benthopelagics (30 - 89 cm)</x:v>
      </x:c>
      <x:c r="H5" s="24" t="str">
        <x:v>Scorpionfishes</x:v>
      </x:c>
      <x:c r="I5" s="31" t="n">
        <x:v>5308.096414566699</x:v>
      </x:c>
      <x:c r="J5" s="31" t="n">
        <x:v>5119.497032761999</x:v>
      </x:c>
      <x:c r="K5" s="31" t="n">
        <x:v>188.5993818047</x:v>
      </x:c>
      <x:c r="L5" s="31" t="n">
        <x:v>5119.497032761999</x:v>
      </x:c>
      <x:c r="M5" s="31" t="n">
        <x:v>188.5993818047</x:v>
      </x:c>
      <x:c r="N5" s="24" t="str">
        <x:v>sebastes norvegicus</x:v>
      </x:c>
      <x:c r="O5" s="32" t="n">
        <x:v>4.04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Sebastes norvegicus</x:v>
      </x:c>
      <x:c r="T5" s="32" t="n">
        <x:f>IF(O5="","",(1/'Metadata'!$B$5)^(O5-1))</x:f>
        <x:v>1096.4781961431852</x:v>
      </x:c>
      <x:c r="U5" s="31" t="n">
        <x:f>IF(T5="","",I5*T5)</x:f>
        <x:v>5820211.981598203</x:v>
      </x:c>
    </x:row>
    <x:row r="6" ht="18" customHeight="1">
      <x:c r="A6" s="24" t="str">
        <x:v>LME_019</x:v>
      </x:c>
      <x:c r="B6" s="24" t="str">
        <x:v>Greenland Sea</x:v>
      </x:c>
      <x:c r="C6" s="24" t="str">
        <x:v>LME</x:v>
      </x:c>
      <x:c r="D6" s="30" t="n">
        <x:v>2019</x:v>
      </x:c>
      <x:c r="E6" s="24" t="str">
        <x:v>Sebastes mentella</x:v>
      </x:c>
      <x:c r="F6" s="24" t="str">
        <x:v>Beaked redfish</x:v>
      </x:c>
      <x:c r="G6" s="24" t="str">
        <x:v>Medium bathypelagics (30 - 89 cm)</x:v>
      </x:c>
      <x:c r="H6" s="24" t="str">
        <x:v>Scorpionfishes</x:v>
      </x:c>
      <x:c r="I6" s="31" t="n">
        <x:v>3016.3923402471</x:v>
      </x:c>
      <x:c r="J6" s="31" t="n">
        <x:v>2828.5941826932003</x:v>
      </x:c>
      <x:c r="K6" s="31" t="n">
        <x:v>187.7981575539</x:v>
      </x:c>
      <x:c r="L6" s="31" t="n">
        <x:v>2828.5941826932003</x:v>
      </x:c>
      <x:c r="M6" s="31" t="n">
        <x:v>187.7981575539</x:v>
      </x:c>
      <x:c r="N6" s="24" t="str">
        <x:v>sebastes mentella</x:v>
      </x:c>
      <x:c r="O6" s="32" t="n">
        <x:v>3.65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Sebastes mentella</x:v>
      </x:c>
      <x:c r="T6" s="32" t="n">
        <x:f>IF(O6="","",(1/'Metadata'!$B$5)^(O6-1))</x:f>
        <x:v>446.683592150963</x:v>
      </x:c>
      <x:c r="U6" s="31" t="n">
        <x:f>IF(T6="","",I6*T6)</x:f>
        <x:v>1347372.9658782245</x:v>
      </x:c>
    </x:row>
    <x:row r="7" ht="18" customHeight="1">
      <x:c r="A7" s="24" t="str">
        <x:v>LME_019</x:v>
      </x:c>
      <x:c r="B7" s="24" t="str">
        <x:v>Greenland Sea</x:v>
      </x:c>
      <x:c r="C7" s="24" t="str">
        <x:v>LME</x:v>
      </x:c>
      <x:c r="D7" s="30" t="n">
        <x:v>2019</x:v>
      </x:c>
      <x:c r="E7" s="24" t="str">
        <x:v>Pandalus borealis</x:v>
      </x:c>
      <x:c r="F7" s="24" t="str">
        <x:v>Northern prawn</x:v>
      </x:c>
      <x:c r="G7" s="24" t="str">
        <x:v>Shrimps</x:v>
      </x:c>
      <x:c r="H7" s="24" t="str">
        <x:v>Crustaceans</x:v>
      </x:c>
      <x:c r="I7" s="31" t="n">
        <x:v>955.2559528649999</x:v>
      </x:c>
      <x:c r="J7" s="31" t="n">
        <x:v>930.5854882069</x:v>
      </x:c>
      <x:c r="K7" s="31" t="n">
        <x:v>24.6704646581</x:v>
      </x:c>
      <x:c r="L7" s="31" t="n">
        <x:v>930.5854882069</x:v>
      </x:c>
      <x:c r="M7" s="31" t="n">
        <x:v>24.6704646581</x:v>
      </x:c>
      <x:c r="N7" s="24" t="str">
        <x:v>pandalus borealis</x:v>
      </x:c>
      <x:c r="O7" s="32" t="n">
        <x:v>3.07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Pandalus borealis</x:v>
      </x:c>
      <x:c r="T7" s="32" t="n">
        <x:f>IF(O7="","",(1/'Metadata'!$B$5)^(O7-1))</x:f>
        <x:v>117.48975549395291</x:v>
      </x:c>
      <x:c r="U7" s="31" t="n">
        <x:f>IF(T7="","",I7*T7)</x:f>
        <x:v>112232.78833625185</x:v>
      </x:c>
    </x:row>
    <x:row r="8" ht="18" customHeight="1">
      <x:c r="A8" s="24" t="str">
        <x:v>LME_019</x:v>
      </x:c>
      <x:c r="B8" s="24" t="str">
        <x:v>Greenland Sea</x:v>
      </x:c>
      <x:c r="C8" s="24" t="str">
        <x:v>LME</x:v>
      </x:c>
      <x:c r="D8" s="30" t="n">
        <x:v>2019</x:v>
      </x:c>
      <x:c r="E8" s="24" t="str">
        <x:v>Melanogrammus aeglefinus</x:v>
      </x:c>
      <x:c r="F8" s="24" t="str">
        <x:v>Haddock</x:v>
      </x:c>
      <x:c r="G8" s="24" t="str">
        <x:v>Medium demersals (30 - 89 cm)</x:v>
      </x:c>
      <x:c r="H8" s="24" t="str">
        <x:v>Cod-likes</x:v>
      </x:c>
      <x:c r="I8" s="31" t="n">
        <x:v>495.0276677995</x:v>
      </x:c>
      <x:c r="J8" s="31" t="n">
        <x:v>494.69109057260005</x:v>
      </x:c>
      <x:c r="K8" s="31" t="n">
        <x:v>0.3365772269</x:v>
      </x:c>
      <x:c r="L8" s="31" t="n">
        <x:v>494.5590515411</x:v>
      </x:c>
      <x:c r="M8" s="31" t="n">
        <x:v>0.4686162584</x:v>
      </x:c>
      <x:c r="N8" s="24" t="str">
        <x:v>melanogrammus aeglefinus</x:v>
      </x:c>
      <x:c r="O8" s="32" t="n">
        <x:v>4.03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Melanogrammus aeglefinus</x:v>
      </x:c>
      <x:c r="T8" s="32" t="n">
        <x:f>IF(O8="","",(1/'Metadata'!$B$5)^(O8-1))</x:f>
        <x:v>1071.519305237607</x:v>
      </x:c>
      <x:c r="U8" s="31" t="n">
        <x:f>IF(T8="","",I8*T8)</x:f>
        <x:v>530431.7026739132</x:v>
      </x:c>
    </x:row>
    <x:row r="9" ht="18" customHeight="1">
      <x:c r="A9" s="24" t="str">
        <x:v>LME_019</x:v>
      </x:c>
      <x:c r="B9" s="24" t="str">
        <x:v>Greenland Sea</x:v>
      </x:c>
      <x:c r="C9" s="24" t="str">
        <x:v>LME</x:v>
      </x:c>
      <x:c r="D9" s="30" t="n">
        <x:v>2019</x:v>
      </x:c>
      <x:c r="E9" s="24" t="str">
        <x:v>Pleuronectes platessa</x:v>
      </x:c>
      <x:c r="F9" s="24" t="str">
        <x:v>European plaice</x:v>
      </x:c>
      <x:c r="G9" s="24" t="str">
        <x:v>Large flatfishes (&gt;=90 cm)</x:v>
      </x:c>
      <x:c r="H9" s="24" t="str">
        <x:v>Flatfishes</x:v>
      </x:c>
      <x:c r="I9" s="31" t="n">
        <x:v>261.6448301612</x:v>
      </x:c>
      <x:c r="J9" s="31" t="n">
        <x:v>256.8553265215</x:v>
      </x:c>
      <x:c r="K9" s="31" t="n">
        <x:v>4.7895036397</x:v>
      </x:c>
      <x:c r="L9" s="31" t="n">
        <x:v>252.08235836010002</x:v>
      </x:c>
      <x:c r="M9" s="31" t="n">
        <x:v>9.562471801100001</x:v>
      </x:c>
      <x:c r="N9" s="24" t="str">
        <x:v>pleuronectes platessa</x:v>
      </x:c>
      <x:c r="O9" s="32" t="n">
        <x:v>3.26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Pleuronectes platessa</x:v>
      </x:c>
      <x:c r="T9" s="32" t="n">
        <x:f>IF(O9="","",(1/'Metadata'!$B$5)^(O9-1))</x:f>
        <x:v>181.97008586099827</x:v>
      </x:c>
      <x:c r="U9" s="31" t="n">
        <x:f>IF(T9="","",I9*T9)</x:f>
        <x:v>47611.53220951987</x:v>
      </x:c>
    </x:row>
    <x:row r="10" ht="18" customHeight="1">
      <x:c r="A10" s="24" t="str">
        <x:v>LME_019</x:v>
      </x:c>
      <x:c r="B10" s="24" t="str">
        <x:v>Greenland Sea</x:v>
      </x:c>
      <x:c r="C10" s="24" t="str">
        <x:v>LME</x:v>
      </x:c>
      <x:c r="D10" s="30" t="n">
        <x:v>2019</x:v>
      </x:c>
      <x:c r="E10" s="24" t="str">
        <x:v>Clupea harengus</x:v>
      </x:c>
      <x:c r="F10" s="24" t="str">
        <x:v>Atlantic herring</x:v>
      </x:c>
      <x:c r="G10" s="24" t="str">
        <x:v>Medium pelagics (30 - 89 cm)</x:v>
      </x:c>
      <x:c r="H10" s="24" t="str">
        <x:v>Herring-likes</x:v>
      </x:c>
      <x:c r="I10" s="31" t="n">
        <x:v>171.4682063955</x:v>
      </x:c>
      <x:c r="J10" s="31" t="n">
        <x:v>171.4648956199</x:v>
      </x:c>
      <x:c r="K10" s="31" t="n">
        <x:v>0.0033107756</x:v>
      </x:c>
      <x:c r="L10" s="31" t="n">
        <x:v>171.4648956199</x:v>
      </x:c>
      <x:c r="M10" s="31" t="n">
        <x:v>0.0033107756</x:v>
      </x:c>
      <x:c r="N10" s="24" t="str">
        <x:v>clupea harengus</x:v>
      </x:c>
      <x:c r="O10" s="32" t="n">
        <x:v>3.38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Clupea harengus</x:v>
      </x:c>
      <x:c r="T10" s="32" t="n">
        <x:f>IF(O10="","",(1/'Metadata'!$B$5)^(O10-1))</x:f>
        <x:v>239.88329190194898</x:v>
      </x:c>
      <x:c r="U10" s="31" t="n">
        <x:f>IF(T10="","",I10*T10)</x:f>
        <x:v>41132.35780667536</x:v>
      </x:c>
    </x:row>
    <x:row r="11" ht="18" customHeight="1">
      <x:c r="A11" s="24" t="str">
        <x:v>LME_019</x:v>
      </x:c>
      <x:c r="B11" s="24" t="str">
        <x:v>Greenland Sea</x:v>
      </x:c>
      <x:c r="C11" s="24" t="str">
        <x:v>LME</x:v>
      </x:c>
      <x:c r="D11" s="30" t="n">
        <x:v>2019</x:v>
      </x:c>
      <x:c r="E11" s="24" t="str">
        <x:v>Perciformes</x:v>
      </x:c>
      <x:c r="F11" s="24" t="str">
        <x:v>Perch-likes</x:v>
      </x:c>
      <x:c r="G11" s="24" t="str">
        <x:v>Medium demersals (30 - 89 cm)</x:v>
      </x:c>
      <x:c r="H11" s="24" t="str">
        <x:v>Perch-likes</x:v>
      </x:c>
      <x:c r="I11" s="31" t="n">
        <x:v>134.6444490137</x:v>
      </x:c>
      <x:c r="J11" s="31" t="n">
        <x:v>134.6444490137</x:v>
      </x:c>
      <x:c r="K11" s="31" t="n">
        <x:v>0</x:v>
      </x:c>
      <x:c r="L11" s="31" t="n">
        <x:v>134.6444490137</x:v>
      </x:c>
      <x:c r="M11" s="31" t="n">
        <x:v>0</x:v>
      </x:c>
      <x:c r="N11" s="24" t="str">
        <x:v>perciformes</x:v>
      </x:c>
      <x:c r="O11" s="32" t="n">
        <x:v>3.53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Perciformes</x:v>
      </x:c>
      <x:c r="T11" s="32" t="n">
        <x:f>IF(O11="","",(1/'Metadata'!$B$5)^(O11-1))</x:f>
        <x:v>338.84415613920237</x:v>
      </x:c>
      <x:c r="U11" s="31" t="n">
        <x:f>IF(T11="","",I11*T11)</x:f>
        <x:v>45623.48470487504</x:v>
      </x:c>
    </x:row>
    <x:row r="12" ht="18" customHeight="1">
      <x:c r="A12" s="24" t="str">
        <x:v>LME_019</x:v>
      </x:c>
      <x:c r="B12" s="24" t="str">
        <x:v>Greenland Sea</x:v>
      </x:c>
      <x:c r="C12" s="24" t="str">
        <x:v>LME</x:v>
      </x:c>
      <x:c r="D12" s="30" t="n">
        <x:v>2019</x:v>
      </x:c>
      <x:c r="E12" s="24" t="str">
        <x:v>Micromesistius poutassou</x:v>
      </x:c>
      <x:c r="F12" s="24" t="str">
        <x:v>Blue whiting</x:v>
      </x:c>
      <x:c r="G12" s="24" t="str">
        <x:v>Medium benthopelagics (30 - 89 cm)</x:v>
      </x:c>
      <x:c r="H12" s="24" t="str">
        <x:v>Cod-likes</x:v>
      </x:c>
      <x:c r="I12" s="31" t="n">
        <x:v>107.6291198957</x:v>
      </x:c>
      <x:c r="J12" s="31" t="n">
        <x:v>104.5498094052</x:v>
      </x:c>
      <x:c r="K12" s="31" t="n">
        <x:v>3.0793104904999997</x:v>
      </x:c>
      <x:c r="L12" s="31" t="n">
        <x:v>104.5498094052</x:v>
      </x:c>
      <x:c r="M12" s="31" t="n">
        <x:v>3.0793104904999997</x:v>
      </x:c>
      <x:c r="N12" s="24" t="str">
        <x:v>micromesistius poutassou</x:v>
      </x:c>
      <x:c r="O12" s="32" t="n">
        <x:v>4.13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Micromesistius poutassou</x:v>
      </x:c>
      <x:c r="T12" s="32" t="n">
        <x:f>IF(O12="","",(1/'Metadata'!$B$5)^(O12-1))</x:f>
        <x:v>1348.9628825916532</x:v>
      </x:c>
      <x:c r="U12" s="31" t="n">
        <x:f>IF(T12="","",I12*T12)</x:f>
        <x:v>145187.68782530611</x:v>
      </x:c>
    </x:row>
    <x:row r="13" ht="18" customHeight="1">
      <x:c r="A13" s="24" t="str">
        <x:v>LME_019</x:v>
      </x:c>
      <x:c r="B13" s="24" t="str">
        <x:v>Greenland Sea</x:v>
      </x:c>
      <x:c r="C13" s="24" t="str">
        <x:v>LME</x:v>
      </x:c>
      <x:c r="D13" s="30" t="n">
        <x:v>2019</x:v>
      </x:c>
      <x:c r="E13" s="24" t="str">
        <x:v>Brosme brosme</x:v>
      </x:c>
      <x:c r="F13" s="24" t="str">
        <x:v>Tusk</x:v>
      </x:c>
      <x:c r="G13" s="24" t="str">
        <x:v>Large demersals (&gt;=90 cm)</x:v>
      </x:c>
      <x:c r="H13" s="24" t="str">
        <x:v>Cod-likes</x:v>
      </x:c>
      <x:c r="I13" s="31" t="n">
        <x:v>105.850831181</x:v>
      </x:c>
      <x:c r="J13" s="31" t="n">
        <x:v>103.3457247062</x:v>
      </x:c>
      <x:c r="K13" s="31" t="n">
        <x:v>2.5051064748000003</x:v>
      </x:c>
      <x:c r="L13" s="31" t="n">
        <x:v>103.3457247062</x:v>
      </x:c>
      <x:c r="M13" s="31" t="n">
        <x:v>2.5051064748000003</x:v>
      </x:c>
      <x:c r="N13" s="24" t="str">
        <x:v>brosme brosme</x:v>
      </x:c>
      <x:c r="O13" s="32" t="n">
        <x:v>3.9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Brosme brosme</x:v>
      </x:c>
      <x:c r="T13" s="32" t="n">
        <x:f>IF(O13="","",(1/'Metadata'!$B$5)^(O13-1))</x:f>
        <x:v>794.3282347242813</x:v>
      </x:c>
      <x:c r="U13" s="31" t="n">
        <x:f>IF(T13="","",I13*T13)</x:f>
        <x:v>84080.30387610165</x:v>
      </x:c>
    </x:row>
    <x:row r="14" ht="18" customHeight="1">
      <x:c r="A14" s="24" t="str">
        <x:v>LME_019</x:v>
      </x:c>
      <x:c r="B14" s="24" t="str">
        <x:v>Greenland Sea</x:v>
      </x:c>
      <x:c r="C14" s="24" t="str">
        <x:v>LME</x:v>
      </x:c>
      <x:c r="D14" s="30" t="n">
        <x:v>2019</x:v>
      </x:c>
      <x:c r="E14" s="24" t="str">
        <x:v>Elasmobranchii</x:v>
      </x:c>
      <x:c r="F14" s="24" t="str">
        <x:v>Sharks, rays, skates</x:v>
      </x:c>
      <x:c r="G14" s="24" t="str">
        <x:v>Large sharks (&gt;=90 cm)</x:v>
      </x:c>
      <x:c r="H14" s="24" t="str">
        <x:v>Sharks &amp; rays</x:v>
      </x:c>
      <x:c r="I14" s="31" t="n">
        <x:v>103.5279945743</x:v>
      </x:c>
      <x:c r="J14" s="31" t="n">
        <x:v>0.0407658413</x:v>
      </x:c>
      <x:c r="K14" s="31" t="n">
        <x:v>103.487228733</x:v>
      </x:c>
      <x:c r="L14" s="31" t="n">
        <x:v>0.0407658413</x:v>
      </x:c>
      <x:c r="M14" s="31" t="n">
        <x:v>103.487228733</x:v>
      </x:c>
      <x:c r="N14" s="24" t="str">
        <x:v>elasmobranchii</x:v>
      </x:c>
      <x:c r="O14" s="32" t="n">
        <x:v>4.05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Elasmobranchii</x:v>
      </x:c>
      <x:c r="T14" s="32" t="n">
        <x:f>IF(O14="","",(1/'Metadata'!$B$5)^(O14-1))</x:f>
        <x:v>1122.018454301963</x:v>
      </x:c>
      <x:c r="U14" s="31" t="n">
        <x:f>IF(T14="","",I14*T14)</x:f>
        <x:v>116160.32044923809</x:v>
      </x:c>
    </x:row>
    <x:row r="15" ht="18" customHeight="1">
      <x:c r="A15" s="24" t="str">
        <x:v>LME_019</x:v>
      </x:c>
      <x:c r="B15" s="24" t="str">
        <x:v>Greenland Sea</x:v>
      </x:c>
      <x:c r="C15" s="24" t="str">
        <x:v>LME</x:v>
      </x:c>
      <x:c r="D15" s="30" t="n">
        <x:v>2019</x:v>
      </x:c>
      <x:c r="E15" s="24" t="str">
        <x:v>Anarhichas denticulatus</x:v>
      </x:c>
      <x:c r="F15" s="24" t="str">
        <x:v>Northern wolffish</x:v>
      </x:c>
      <x:c r="G15" s="24" t="str">
        <x:v>Large benthopelagics (&gt;=90 cm)</x:v>
      </x:c>
      <x:c r="H15" s="24" t="str">
        <x:v>Perch-likes</x:v>
      </x:c>
      <x:c r="I15" s="31" t="n">
        <x:v>97.4363906322</x:v>
      </x:c>
      <x:c r="J15" s="31" t="n">
        <x:v>97.41123599160001</x:v>
      </x:c>
      <x:c r="K15" s="31" t="n">
        <x:v>0.0251546406</x:v>
      </x:c>
      <x:c r="L15" s="31" t="n">
        <x:v>97.41123599160001</x:v>
      </x:c>
      <x:c r="M15" s="31" t="n">
        <x:v>0.0251546406</x:v>
      </x:c>
      <x:c r="N15" s="24" t="str">
        <x:v>anarhichas denticulatus</x:v>
      </x:c>
      <x:c r="O15" s="32" t="n">
        <x:v>3.75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Anarhichas denticulatus</x:v>
      </x:c>
      <x:c r="T15" s="32" t="n">
        <x:f>IF(O15="","",(1/'Metadata'!$B$5)^(O15-1))</x:f>
        <x:v>562.341325190349</x:v>
      </x:c>
      <x:c r="U15" s="31" t="n">
        <x:f>IF(T15="","",I15*T15)</x:f>
        <x:v>54792.50902987586</x:v>
      </x:c>
    </x:row>
    <x:row r="16" ht="18" customHeight="1">
      <x:c r="A16" s="24" t="str">
        <x:v>LME_019</x:v>
      </x:c>
      <x:c r="B16" s="24" t="str">
        <x:v>Greenland Sea</x:v>
      </x:c>
      <x:c r="C16" s="24" t="str">
        <x:v>LME</x:v>
      </x:c>
      <x:c r="D16" s="30" t="n">
        <x:v>2019</x:v>
      </x:c>
      <x:c r="E16" s="24" t="str">
        <x:v>Sebastes</x:v>
      </x:c>
      <x:c r="F16" s="24" t="str">
        <x:v>Redfishes</x:v>
      </x:c>
      <x:c r="G16" s="24" t="str">
        <x:v>Large reef assoc. fish (&gt;=90 cm)</x:v>
      </x:c>
      <x:c r="H16" s="24" t="str">
        <x:v>Scorpionfishes</x:v>
      </x:c>
      <x:c r="I16" s="31" t="n">
        <x:v>94.7742200645</x:v>
      </x:c>
      <x:c r="J16" s="31" t="n">
        <x:v>94.14665843360001</x:v>
      </x:c>
      <x:c r="K16" s="31" t="n">
        <x:v>0.6275616309</x:v>
      </x:c>
      <x:c r="L16" s="31" t="n">
        <x:v>89.21521999330001</x:v>
      </x:c>
      <x:c r="M16" s="31" t="n">
        <x:v>5.5590000712</x:v>
      </x:c>
      <x:c r="N16" s="24" t="str">
        <x:v>sebastes</x:v>
      </x:c>
      <x:c r="O16" s="32" t="n">
        <x:v>3.79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Sebastes</x:v>
      </x:c>
      <x:c r="T16" s="32" t="n">
        <x:f>IF(O16="","",(1/'Metadata'!$B$5)^(O16-1))</x:f>
        <x:v>616.5950018614822</x:v>
      </x:c>
      <x:c r="U16" s="31" t="n">
        <x:f>IF(T16="","",I16*T16)</x:f>
        <x:v>58437.3103970909</x:v>
      </x:c>
    </x:row>
    <x:row r="17" ht="18" customHeight="1">
      <x:c r="A17" s="24" t="str">
        <x:v>LME_019</x:v>
      </x:c>
      <x:c r="B17" s="24" t="str">
        <x:v>Greenland Sea</x:v>
      </x:c>
      <x:c r="C17" s="24" t="str">
        <x:v>LME</x:v>
      </x:c>
      <x:c r="D17" s="30" t="n">
        <x:v>2019</x:v>
      </x:c>
      <x:c r="E17" s="24" t="str">
        <x:v>Squaliformes</x:v>
      </x:c>
      <x:c r="F17" s="24" t="str">
        <x:v>Bramble, sleeper, dogfish sharks</x:v>
      </x:c>
      <x:c r="G17" s="24" t="str">
        <x:v>Large sharks (&gt;=90 cm)</x:v>
      </x:c>
      <x:c r="H17" s="24" t="str">
        <x:v>Sharks &amp; rays</x:v>
      </x:c>
      <x:c r="I17" s="31" t="n">
        <x:v>88.4639759877</x:v>
      </x:c>
      <x:c r="J17" s="31" t="n">
        <x:v>0</x:v>
      </x:c>
      <x:c r="K17" s="31" t="n">
        <x:v>88.4639759877</x:v>
      </x:c>
      <x:c r="L17" s="31" t="n">
        <x:v>0</x:v>
      </x:c>
      <x:c r="M17" s="31" t="n">
        <x:v>88.4639759877</x:v>
      </x:c>
      <x:c r="N17" s="24" t="str">
        <x:v>squaliformes</x:v>
      </x:c>
      <x:c r="O17" s="32" t="n">
        <x:v>4.19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Squaliformes</x:v>
      </x:c>
      <x:c r="T17" s="32" t="n">
        <x:f>IF(O17="","",(1/'Metadata'!$B$5)^(O17-1))</x:f>
        <x:v>1548.8166189124827</x:v>
      </x:c>
      <x:c r="U17" s="31" t="n">
        <x:f>IF(T17="","",I17*T17)</x:f>
        <x:v>137014.47618482457</x:v>
      </x:c>
    </x:row>
    <x:row r="18" ht="18" customHeight="1">
      <x:c r="A18" s="24" t="str">
        <x:v>LME_019</x:v>
      </x:c>
      <x:c r="B18" s="24" t="str">
        <x:v>Greenland Sea</x:v>
      </x:c>
      <x:c r="C18" s="24" t="str">
        <x:v>LME</x:v>
      </x:c>
      <x:c r="D18" s="30" t="n">
        <x:v>2019</x:v>
      </x:c>
      <x:c r="E18" s="24" t="str">
        <x:v>Coryphaenoides rupestris</x:v>
      </x:c>
      <x:c r="F18" s="24" t="str">
        <x:v>Roundnose grenadier</x:v>
      </x:c>
      <x:c r="G18" s="24" t="str">
        <x:v>Large bathypelagics (&gt;=90 cm)</x:v>
      </x:c>
      <x:c r="H18" s="24" t="str">
        <x:v>Cod-likes</x:v>
      </x:c>
      <x:c r="I18" s="31" t="n">
        <x:v>59.4047536078</x:v>
      </x:c>
      <x:c r="J18" s="31" t="n">
        <x:v>59.4045998094</x:v>
      </x:c>
      <x:c r="K18" s="31" t="n">
        <x:v>0.0001537984</x:v>
      </x:c>
      <x:c r="L18" s="31" t="n">
        <x:v>59.4045998094</x:v>
      </x:c>
      <x:c r="M18" s="31" t="n">
        <x:v>0.0001537984</x:v>
      </x:c>
      <x:c r="N18" s="24" t="str">
        <x:v>coryphaenoides rupestris</x:v>
      </x:c>
      <x:c r="O18" s="32" t="n">
        <x:v>3.54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Coryphaenoides rupestris</x:v>
      </x:c>
      <x:c r="T18" s="32" t="n">
        <x:f>IF(O18="","",(1/'Metadata'!$B$5)^(O18-1))</x:f>
        <x:v>346.73685045253166</x:v>
      </x:c>
      <x:c r="U18" s="31" t="n">
        <x:f>IF(T18="","",I18*T18)</x:f>
        <x:v>20597.817167877238</x:v>
      </x:c>
    </x:row>
    <x:row r="19" ht="18" customHeight="1">
      <x:c r="A19" s="24" t="str">
        <x:v>LME_019</x:v>
      </x:c>
      <x:c r="B19" s="24" t="str">
        <x:v>Greenland Sea</x:v>
      </x:c>
      <x:c r="C19" s="24" t="str">
        <x:v>LME</x:v>
      </x:c>
      <x:c r="D19" s="30" t="n">
        <x:v>2019</x:v>
      </x:c>
      <x:c r="E19" s="24" t="str">
        <x:v>Somniosus microcephalus</x:v>
      </x:c>
      <x:c r="F19" s="24" t="str">
        <x:v>Greenland shark</x:v>
      </x:c>
      <x:c r="G19" s="24" t="str">
        <x:v>Large sharks (&gt;=90 cm)</x:v>
      </x:c>
      <x:c r="H19" s="24" t="str">
        <x:v>Sharks &amp; rays</x:v>
      </x:c>
      <x:c r="I19" s="31" t="n">
        <x:v>38.7559565674</x:v>
      </x:c>
      <x:c r="J19" s="31" t="n">
        <x:v>38.7559565674</x:v>
      </x:c>
      <x:c r="K19" s="31" t="n">
        <x:v>0</x:v>
      </x:c>
      <x:c r="L19" s="31" t="n">
        <x:v>38.7559565674</x:v>
      </x:c>
      <x:c r="M19" s="31" t="n">
        <x:v>0</x:v>
      </x:c>
      <x:c r="N19" s="24" t="str">
        <x:v>somniosus microcephalus</x:v>
      </x:c>
      <x:c r="O19" s="32" t="n">
        <x:v>4.22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Somniosus microcephalus</x:v>
      </x:c>
      <x:c r="T19" s="32" t="n">
        <x:f>IF(O19="","",(1/'Metadata'!$B$5)^(O19-1))</x:f>
        <x:v>1659.5869074375596</x:v>
      </x:c>
      <x:c r="U19" s="31" t="n">
        <x:f>IF(T19="","",I19*T19)</x:f>
        <x:v>64318.87810447574</x:v>
      </x:c>
    </x:row>
    <x:row r="20" ht="18" customHeight="1">
      <x:c r="A20" s="24" t="str">
        <x:v>LME_019</x:v>
      </x:c>
      <x:c r="B20" s="24" t="str">
        <x:v>Greenland Sea</x:v>
      </x:c>
      <x:c r="C20" s="24" t="str">
        <x:v>LME</x:v>
      </x:c>
      <x:c r="D20" s="30" t="n">
        <x:v>2019</x:v>
      </x:c>
      <x:c r="E20" s="24" t="str">
        <x:v>Marine finfishes not identified</x:v>
      </x:c>
      <x:c r="F20" s="24" t="str">
        <x:v>Finfishes</x:v>
      </x:c>
      <x:c r="G20" s="24" t="str">
        <x:v>Medium demersals (30 - 89 cm)</x:v>
      </x:c>
      <x:c r="H20" s="24" t="str">
        <x:v>Other fishes &amp; inverts</x:v>
      </x:c>
      <x:c r="I20" s="31" t="n">
        <x:v>35.6270304682</x:v>
      </x:c>
      <x:c r="J20" s="31" t="n">
        <x:v>24.0244565354</x:v>
      </x:c>
      <x:c r="K20" s="31" t="n">
        <x:v>11.6025739328</x:v>
      </x:c>
      <x:c r="L20" s="31" t="n">
        <x:v>24.0244565354</x:v>
      </x:c>
      <x:c r="M20" s="31" t="n">
        <x:v>11.6025739328</x:v>
      </x:c>
      <x:c r="N20" s="24" t="str">
        <x:v>marine finfishes not identified</x:v>
      </x:c>
      <x:c r="O20" s="32" t="n">
        <x:v>3.23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Marine finfishes not identified</x:v>
      </x:c>
      <x:c r="T20" s="32" t="n">
        <x:f>IF(O20="","",(1/'Metadata'!$B$5)^(O20-1))</x:f>
        <x:v>169.82436524617444</x:v>
      </x:c>
      <x:c r="U20" s="31" t="n">
        <x:f>IF(T20="","",I20*T20)</x:f>
        <x:v>6050.337834868182</x:v>
      </x:c>
    </x:row>
    <x:row r="21" ht="18" customHeight="1">
      <x:c r="A21" s="24" t="str">
        <x:v>LME_019</x:v>
      </x:c>
      <x:c r="B21" s="24" t="str">
        <x:v>Greenland Sea</x:v>
      </x:c>
      <x:c r="C21" s="24" t="str">
        <x:v>LME</x:v>
      </x:c>
      <x:c r="D21" s="30" t="n">
        <x:v>2019</x:v>
      </x:c>
      <x:c r="E21" s="24" t="str">
        <x:v>Salmo salar</x:v>
      </x:c>
      <x:c r="F21" s="24" t="str">
        <x:v>Atlantic salmon</x:v>
      </x:c>
      <x:c r="G21" s="24" t="str">
        <x:v>Large benthopelagics (&gt;=90 cm)</x:v>
      </x:c>
      <x:c r="H21" s="24" t="str">
        <x:v>Salmon, smelts, etc</x:v>
      </x:c>
      <x:c r="I21" s="31" t="n">
        <x:v>28.6987572264</x:v>
      </x:c>
      <x:c r="J21" s="31" t="n">
        <x:v>28.6987572264</x:v>
      </x:c>
      <x:c r="K21" s="31" t="n">
        <x:v>0</x:v>
      </x:c>
      <x:c r="L21" s="31" t="n">
        <x:v>0</x:v>
      </x:c>
      <x:c r="M21" s="31" t="n">
        <x:v>28.6987572264</x:v>
      </x:c>
      <x:c r="N21" s="24" t="str">
        <x:v>salmo salar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Salmo salar</x:v>
      </x:c>
      <x:c r="T21" s="32" t="n">
        <x:f>IF(O21="","",(1/'Metadata'!$B$5)^(O21-1))</x:f>
        <x:v>3162.2776601683795</x:v>
      </x:c>
      <x:c r="U21" s="31" t="n">
        <x:f>IF(T21="","",I21*T21)</x:f>
        <x:v>90753.43885164057</x:v>
      </x:c>
    </x:row>
    <x:row r="22" ht="18" customHeight="1">
      <x:c r="A22" s="24" t="str">
        <x:v>LME_019</x:v>
      </x:c>
      <x:c r="B22" s="24" t="str">
        <x:v>Greenland Sea</x:v>
      </x:c>
      <x:c r="C22" s="24" t="str">
        <x:v>LME</x:v>
      </x:c>
      <x:c r="D22" s="30" t="n">
        <x:v>2019</x:v>
      </x:c>
      <x:c r="E22" s="24" t="str">
        <x:v>Molva dypterygia</x:v>
      </x:c>
      <x:c r="F22" s="24" t="str">
        <x:v>Blue ling</x:v>
      </x:c>
      <x:c r="G22" s="24" t="str">
        <x:v>Large demersals (&gt;=90 cm)</x:v>
      </x:c>
      <x:c r="H22" s="24" t="str">
        <x:v>Cod-likes</x:v>
      </x:c>
      <x:c r="I22" s="31" t="n">
        <x:v>27.127886586600003</x:v>
      </x:c>
      <x:c r="J22" s="31" t="n">
        <x:v>27.124764274100002</x:v>
      </x:c>
      <x:c r="K22" s="31" t="n">
        <x:v>0.0031223125</x:v>
      </x:c>
      <x:c r="L22" s="31" t="n">
        <x:v>27.1000793828</x:v>
      </x:c>
      <x:c r="M22" s="31" t="n">
        <x:v>0.027807203800000003</x:v>
      </x:c>
      <x:c r="N22" s="24" t="str">
        <x:v>molva dypterygia</x:v>
      </x:c>
      <x:c r="O22" s="32" t="n">
        <x:v>4.49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Molva dypterygia</x:v>
      </x:c>
      <x:c r="T22" s="32" t="n">
        <x:f>IF(O22="","",(1/'Metadata'!$B$5)^(O22-1))</x:f>
        <x:v>3090.295432513592</x:v>
      </x:c>
      <x:c r="U22" s="31" t="n">
        <x:f>IF(T22="","",I22*T22)</x:f>
        <x:v>83833.18401231672</x:v>
      </x:c>
    </x:row>
    <x:row r="23" ht="18" customHeight="1">
      <x:c r="A23" s="24" t="str">
        <x:v>LME_019</x:v>
      </x:c>
      <x:c r="B23" s="24" t="str">
        <x:v>Greenland Sea</x:v>
      </x:c>
      <x:c r="C23" s="24" t="str">
        <x:v>LME</x:v>
      </x:c>
      <x:c r="D23" s="30" t="n">
        <x:v>2019</x:v>
      </x:c>
      <x:c r="E23" s="24" t="str">
        <x:v>Anarhichadidae</x:v>
      </x:c>
      <x:c r="F23" s="24" t="str">
        <x:v>Wolffishes, wolfeels</x:v>
      </x:c>
      <x:c r="G23" s="24" t="str">
        <x:v>Large demersals (&gt;=90 cm)</x:v>
      </x:c>
      <x:c r="H23" s="24" t="str">
        <x:v>Perch-likes</x:v>
      </x:c>
      <x:c r="I23" s="31" t="n">
        <x:v>24.8891755556</x:v>
      </x:c>
      <x:c r="J23" s="31" t="n">
        <x:v>24.8891755556</x:v>
      </x:c>
      <x:c r="K23" s="31" t="n">
        <x:v>0</x:v>
      </x:c>
      <x:c r="L23" s="31" t="n">
        <x:v>19.8666732031</x:v>
      </x:c>
      <x:c r="M23" s="31" t="n">
        <x:v>5.0225023525</x:v>
      </x:c>
      <x:c r="N23" s="24" t="str">
        <x:v>anarhichadidae</x:v>
      </x:c>
      <x:c r="O23" s="32" t="n">
        <x:v>3.47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Anarhichadidae</x:v>
      </x:c>
      <x:c r="T23" s="32" t="n">
        <x:f>IF(O23="","",(1/'Metadata'!$B$5)^(O23-1))</x:f>
        <x:v>295.1209226666387</x:v>
      </x:c>
      <x:c r="U23" s="31" t="n">
        <x:f>IF(T23="","",I23*T23)</x:f>
        <x:v>7345.316454380622</x:v>
      </x:c>
    </x:row>
    <x:row r="24" ht="18" customHeight="1">
      <x:c r="A24" s="24" t="str">
        <x:v>LME_019</x:v>
      </x:c>
      <x:c r="B24" s="24" t="str">
        <x:v>Greenland Sea</x:v>
      </x:c>
      <x:c r="C24" s="24" t="str">
        <x:v>LME</x:v>
      </x:c>
      <x:c r="D24" s="30" t="n">
        <x:v>2019</x:v>
      </x:c>
      <x:c r="E24" s="24" t="str">
        <x:v>Chondrichthyes</x:v>
      </x:c>
      <x:c r="F24" s="24" t="str">
        <x:v>Sharks, rays, chimaeras</x:v>
      </x:c>
      <x:c r="G24" s="24" t="str">
        <x:v>Large sharks (&gt;=90 cm)</x:v>
      </x:c>
      <x:c r="H24" s="24" t="str">
        <x:v>Sharks &amp; rays</x:v>
      </x:c>
      <x:c r="I24" s="31" t="n">
        <x:v>22.628285619899998</x:v>
      </x:c>
      <x:c r="J24" s="31" t="n">
        <x:v>22.628285619899998</x:v>
      </x:c>
      <x:c r="K24" s="31" t="n">
        <x:v>0</x:v>
      </x:c>
      <x:c r="L24" s="31" t="n">
        <x:v>22.628285619899998</x:v>
      </x:c>
      <x:c r="M24" s="31" t="n">
        <x:v>0</x:v>
      </x:c>
      <x:c r="N24" s="24" t="str">
        <x:v>chondrichthyes</x:v>
      </x:c>
      <x:c r="O24" s="32" t="n">
        <x:v>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Chondrichthyes</x:v>
      </x:c>
      <x:c r="T24" s="32" t="n">
        <x:f>IF(O24="","",(1/'Metadata'!$B$5)^(O24-1))</x:f>
        <x:v>1000</x:v>
      </x:c>
      <x:c r="U24" s="31" t="n">
        <x:f>IF(T24="","",I24*T24)</x:f>
        <x:v>22628.285619899998</x:v>
      </x:c>
    </x:row>
    <x:row r="25" ht="18" customHeight="1">
      <x:c r="A25" s="24" t="str">
        <x:v>LME_019</x:v>
      </x:c>
      <x:c r="B25" s="24" t="str">
        <x:v>Greenland Sea</x:v>
      </x:c>
      <x:c r="C25" s="24" t="str">
        <x:v>LME</x:v>
      </x:c>
      <x:c r="D25" s="30" t="n">
        <x:v>2019</x:v>
      </x:c>
      <x:c r="E25" s="24" t="str">
        <x:v>Anarhichas minor</x:v>
      </x:c>
      <x:c r="F25" s="24" t="str">
        <x:v>Spotted wolffish</x:v>
      </x:c>
      <x:c r="G25" s="24" t="str">
        <x:v>Large demersals (&gt;=90 cm)</x:v>
      </x:c>
      <x:c r="H25" s="24" t="str">
        <x:v>Perch-likes</x:v>
      </x:c>
      <x:c r="I25" s="31" t="n">
        <x:v>21.9702996416</x:v>
      </x:c>
      <x:c r="J25" s="31" t="n">
        <x:v>21.9702996416</x:v>
      </x:c>
      <x:c r="K25" s="31" t="n">
        <x:v>0</x:v>
      </x:c>
      <x:c r="L25" s="31" t="n">
        <x:v>21.9702996416</x:v>
      </x:c>
      <x:c r="M25" s="31" t="n">
        <x:v>0</x:v>
      </x:c>
      <x:c r="N25" s="24" t="str">
        <x:v>anarhichas minor</x:v>
      </x:c>
      <x:c r="O25" s="32" t="n">
        <x:v>3.45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Anarhichas minor</x:v>
      </x:c>
      <x:c r="T25" s="32" t="n">
        <x:f>IF(O25="","",(1/'Metadata'!$B$5)^(O25-1))</x:f>
        <x:v>281.8382931264455</x:v>
      </x:c>
      <x:c r="U25" s="31" t="n">
        <x:f>IF(T25="","",I25*T25)</x:f>
        <x:v>6192.071750465101</x:v>
      </x:c>
    </x:row>
    <x:row r="26" ht="18" customHeight="1">
      <x:c r="A26" s="24" t="str">
        <x:v>LME_019</x:v>
      </x:c>
      <x:c r="B26" s="24" t="str">
        <x:v>Greenland Sea</x:v>
      </x:c>
      <x:c r="C26" s="24" t="str">
        <x:v>LME</x:v>
      </x:c>
      <x:c r="D26" s="30" t="n">
        <x:v>2019</x:v>
      </x:c>
      <x:c r="E26" s="24" t="str">
        <x:v>Miscellaneous marine crustaceans</x:v>
      </x:c>
      <x:c r="F26" s="24" t="str">
        <x:v>Marine crabs, shrimps, lobsters nei</x:v>
      </x:c>
      <x:c r="G26" s="24" t="str">
        <x:v>Shrimps</x:v>
      </x:c>
      <x:c r="H26" s="24" t="str">
        <x:v>Crustaceans</x:v>
      </x:c>
      <x:c r="I26" s="31" t="n">
        <x:v>21.6407408437</x:v>
      </x:c>
      <x:c r="J26" s="31" t="n">
        <x:v>0.0656423692</x:v>
      </x:c>
      <x:c r="K26" s="31" t="n">
        <x:v>21.575098474500003</x:v>
      </x:c>
      <x:c r="L26" s="31" t="n">
        <x:v>0.0656423692</x:v>
      </x:c>
      <x:c r="M26" s="31" t="n">
        <x:v>21.575098474500003</x:v>
      </x:c>
      <x:c r="N26" s="24" t="str">
        <x:v>miscellaneous marine crustaceans</x:v>
      </x:c>
      <x:c r="O26" s="32" t="n">
        <x:v>2.7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Miscellaneous marine crustaceans</x:v>
      </x:c>
      <x:c r="T26" s="32" t="n">
        <x:f>IF(O26="","",(1/'Metadata'!$B$5)^(O26-1))</x:f>
        <x:v>50.11872336272725</x:v>
      </x:c>
      <x:c r="U26" s="31" t="n">
        <x:f>IF(T26="","",I26*T26)</x:f>
        <x:v>1084.6063037098731</x:v>
      </x:c>
    </x:row>
    <x:row r="27" ht="18" customHeight="1">
      <x:c r="A27" s="24" t="str">
        <x:v>LME_019</x:v>
      </x:c>
      <x:c r="B27" s="24" t="str">
        <x:v>Greenland Sea</x:v>
      </x:c>
      <x:c r="C27" s="24" t="str">
        <x:v>LME</x:v>
      </x:c>
      <x:c r="D27" s="30" t="n">
        <x:v>2019</x:v>
      </x:c>
      <x:c r="E27" s="24" t="str">
        <x:v>Anarhichas</x:v>
      </x:c>
      <x:c r="F27" s="24" t="str">
        <x:v>Wolffishes</x:v>
      </x:c>
      <x:c r="G27" s="24" t="str">
        <x:v>Large demersals (&gt;=90 cm)</x:v>
      </x:c>
      <x:c r="H27" s="24" t="str">
        <x:v>Perch-likes</x:v>
      </x:c>
      <x:c r="I27" s="31" t="n">
        <x:v>20.5382274445</x:v>
      </x:c>
      <x:c r="J27" s="31" t="n">
        <x:v>20.5382274445</x:v>
      </x:c>
      <x:c r="K27" s="31" t="n">
        <x:v>0</x:v>
      </x:c>
      <x:c r="L27" s="31" t="n">
        <x:v>20.5382274445</x:v>
      </x:c>
      <x:c r="M27" s="31" t="n">
        <x:v>0</x:v>
      </x:c>
      <x:c r="N27" s="24" t="str">
        <x:v>anarhichas</x:v>
      </x:c>
      <x:c r="O27" s="32" t="n">
        <x:v>3.35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Anarhichas</x:v>
      </x:c>
      <x:c r="T27" s="32" t="n">
        <x:f>IF(O27="","",(1/'Metadata'!$B$5)^(O27-1))</x:f>
        <x:v>223.872113856834</x:v>
      </x:c>
      <x:c r="U27" s="31" t="n">
        <x:f>IF(T27="","",I27*T27)</x:f>
        <x:v>4597.936392872656</x:v>
      </x:c>
    </x:row>
    <x:row r="28" ht="18" customHeight="1">
      <x:c r="A28" s="24" t="str">
        <x:v>LME_019</x:v>
      </x:c>
      <x:c r="B28" s="24" t="str">
        <x:v>Greenland Sea</x:v>
      </x:c>
      <x:c r="C28" s="24" t="str">
        <x:v>LME</x:v>
      </x:c>
      <x:c r="D28" s="30" t="n">
        <x:v>2019</x:v>
      </x:c>
      <x:c r="E28" s="24" t="str">
        <x:v>Cephalopoda</x:v>
      </x:c>
      <x:c r="F28" s="24" t="str">
        <x:v>Squids, cuttlefishes, octopuses</x:v>
      </x:c>
      <x:c r="G28" s="24" t="str">
        <x:v>Cephalopods</x:v>
      </x:c>
      <x:c r="H28" s="24" t="str">
        <x:v>Other fishes &amp; inverts</x:v>
      </x:c>
      <x:c r="I28" s="31" t="n">
        <x:v>19.6936668453</x:v>
      </x:c>
      <x:c r="J28" s="31" t="n">
        <x:v>0</x:v>
      </x:c>
      <x:c r="K28" s="31" t="n">
        <x:v>19.6936668453</x:v>
      </x:c>
      <x:c r="L28" s="31" t="n">
        <x:v>0</x:v>
      </x:c>
      <x:c r="M28" s="31" t="n">
        <x:v>19.6936668453</x:v>
      </x:c>
      <x:c r="N28" s="24" t="str">
        <x:v>cephalopoda</x:v>
      </x:c>
      <x:c r="O28" s="32" t="n">
        <x:v>3.81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Cephalopoda</x:v>
      </x:c>
      <x:c r="T28" s="32" t="n">
        <x:f>IF(O28="","",(1/'Metadata'!$B$5)^(O28-1))</x:f>
        <x:v>645.6542290346556</x:v>
      </x:c>
      <x:c r="U28" s="31" t="n">
        <x:f>IF(T28="","",I28*T28)</x:f>
        <x:v>12715.29928386753</x:v>
      </x:c>
    </x:row>
    <x:row r="29" ht="18" customHeight="1">
      <x:c r="A29" s="24" t="str">
        <x:v>LME_019</x:v>
      </x:c>
      <x:c r="B29" s="24" t="str">
        <x:v>Greenland Sea</x:v>
      </x:c>
      <x:c r="C29" s="24" t="str">
        <x:v>LME</x:v>
      </x:c>
      <x:c r="D29" s="30" t="n">
        <x:v>2019</x:v>
      </x:c>
      <x:c r="E29" s="24" t="str">
        <x:v>Gadiformes</x:v>
      </x:c>
      <x:c r="F29" s="24" t="str">
        <x:v>Cods</x:v>
      </x:c>
      <x:c r="G29" s="24" t="str">
        <x:v>Medium benthopelagics (30 - 89 cm)</x:v>
      </x:c>
      <x:c r="H29" s="24" t="str">
        <x:v>Cod-likes</x:v>
      </x:c>
      <x:c r="I29" s="31" t="n">
        <x:v>19.444692238</x:v>
      </x:c>
      <x:c r="J29" s="31" t="n">
        <x:v>8.5992558702</x:v>
      </x:c>
      <x:c r="K29" s="31" t="n">
        <x:v>10.8454363678</x:v>
      </x:c>
      <x:c r="L29" s="31" t="n">
        <x:v>8.5992558702</x:v>
      </x:c>
      <x:c r="M29" s="31" t="n">
        <x:v>10.8454363678</x:v>
      </x:c>
      <x:c r="N29" s="24" t="str">
        <x:v>gadiformes</x:v>
      </x:c>
      <x:c r="O29" s="32" t="n">
        <x:v>3.91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Gadiformes</x:v>
      </x:c>
      <x:c r="T29" s="32" t="n">
        <x:f>IF(O29="","",(1/'Metadata'!$B$5)^(O29-1))</x:f>
        <x:v>812.8305161640995</x:v>
      </x:c>
      <x:c r="U29" s="31" t="n">
        <x:f>IF(T29="","",I29*T29)</x:f>
        <x:v>15805.239228465598</x:v>
      </x:c>
    </x:row>
    <x:row r="30" ht="18" customHeight="1">
      <x:c r="A30" s="24" t="str">
        <x:v>LME_019</x:v>
      </x:c>
      <x:c r="B30" s="24" t="str">
        <x:v>Greenland Sea</x:v>
      </x:c>
      <x:c r="C30" s="24" t="str">
        <x:v>LME</x:v>
      </x:c>
      <x:c r="D30" s="30" t="n">
        <x:v>2019</x:v>
      </x:c>
      <x:c r="E30" s="24" t="str">
        <x:v>Brachyura</x:v>
      </x:c>
      <x:c r="F30" s="24" t="str">
        <x:v>Marine crabs</x:v>
      </x:c>
      <x:c r="G30" s="24" t="str">
        <x:v>Lobsters, crabs</x:v>
      </x:c>
      <x:c r="H30" s="24" t="str">
        <x:v>Crustaceans</x:v>
      </x:c>
      <x:c r="I30" s="31" t="n">
        <x:v>14.6554642644</x:v>
      </x:c>
      <x:c r="J30" s="31" t="n">
        <x:v>14.6554642644</x:v>
      </x:c>
      <x:c r="K30" s="31" t="n">
        <x:v>0</x:v>
      </x:c>
      <x:c r="L30" s="31" t="n">
        <x:v>14.6554642644</x:v>
      </x:c>
      <x:c r="M30" s="31" t="n">
        <x:v>0</x:v>
      </x:c>
      <x:c r="N30" s="24" t="str">
        <x:v>brachyura</x:v>
      </x:c>
      <x:c r="O30" s="32" t="n">
        <x:v>2.6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Brachyura</x:v>
      </x:c>
      <x:c r="T30" s="32" t="n">
        <x:f>IF(O30="","",(1/'Metadata'!$B$5)^(O30-1))</x:f>
        <x:v>39.810717055349734</x:v>
      </x:c>
      <x:c r="U30" s="31" t="n">
        <x:f>IF(T30="","",I30*T30)</x:f>
        <x:v>583.4445411448177</x:v>
      </x:c>
    </x:row>
    <x:row r="31" ht="18" customHeight="1">
      <x:c r="A31" s="24" t="str">
        <x:v>LME_019</x:v>
      </x:c>
      <x:c r="B31" s="24" t="str">
        <x:v>Greenland Sea</x:v>
      </x:c>
      <x:c r="C31" s="24" t="str">
        <x:v>LME</x:v>
      </x:c>
      <x:c r="D31" s="30" t="n">
        <x:v>2019</x:v>
      </x:c>
      <x:c r="E31" s="24" t="str">
        <x:v>Echinoidea</x:v>
      </x:c>
      <x:c r="F31" s="24" t="str">
        <x:v>Sea urchins, sea hedgehogs</x:v>
      </x:c>
      <x:c r="G31" s="24" t="str">
        <x:v>Other demersal invertebrates</x:v>
      </x:c>
      <x:c r="H31" s="24" t="str">
        <x:v>Other fishes &amp; inverts</x:v>
      </x:c>
      <x:c r="I31" s="31" t="n">
        <x:v>13.125023022899999</x:v>
      </x:c>
      <x:c r="J31" s="31" t="n">
        <x:v>11.7541959303</x:v>
      </x:c>
      <x:c r="K31" s="31" t="n">
        <x:v>1.3708270926</x:v>
      </x:c>
      <x:c r="L31" s="31" t="n">
        <x:v>11.7541959303</x:v>
      </x:c>
      <x:c r="M31" s="31" t="n">
        <x:v>1.3708270926</x:v>
      </x:c>
      <x:c r="N31" s="24" t="str">
        <x:v>echinoidea</x:v>
      </x:c>
      <x:c r="O31" s="32" t="n">
        <x:v>2.51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Echinoidea</x:v>
      </x:c>
      <x:c r="T31" s="32" t="n">
        <x:f>IF(O31="","",(1/'Metadata'!$B$5)^(O31-1))</x:f>
        <x:v>32.35936569296281</x:v>
      </x:c>
      <x:c r="U31" s="31" t="n">
        <x:f>IF(T31="","",I31*T31)</x:f>
        <x:v>424.71741972657725</x:v>
      </x:c>
    </x:row>
    <x:row r="32" ht="18" customHeight="1">
      <x:c r="A32" s="24" t="str">
        <x:v>LME_019</x:v>
      </x:c>
      <x:c r="B32" s="24" t="str">
        <x:v>Greenland Sea</x:v>
      </x:c>
      <x:c r="C32" s="24" t="str">
        <x:v>LME</x:v>
      </x:c>
      <x:c r="D32" s="30" t="n">
        <x:v>2019</x:v>
      </x:c>
      <x:c r="E32" s="24" t="str">
        <x:v>Gadidae</x:v>
      </x:c>
      <x:c r="F32" s="24" t="str">
        <x:v>Cods, haddocks</x:v>
      </x:c>
      <x:c r="G32" s="24" t="str">
        <x:v>Medium demersals (30 - 89 cm)</x:v>
      </x:c>
      <x:c r="H32" s="24" t="str">
        <x:v>Cod-likes</x:v>
      </x:c>
      <x:c r="I32" s="31" t="n">
        <x:v>12.553102795200001</x:v>
      </x:c>
      <x:c r="J32" s="31" t="n">
        <x:v>0</x:v>
      </x:c>
      <x:c r="K32" s="31" t="n">
        <x:v>12.553102795200001</x:v>
      </x:c>
      <x:c r="L32" s="31" t="n">
        <x:v>0</x:v>
      </x:c>
      <x:c r="M32" s="31" t="n">
        <x:v>12.553102795200001</x:v>
      </x:c>
      <x:c r="N32" s="24" t="str">
        <x:v>gadidae</x:v>
      </x:c>
      <x:c r="O32" s="32" t="n">
        <x:v>3.84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Gadidae</x:v>
      </x:c>
      <x:c r="T32" s="32" t="n">
        <x:f>IF(O32="","",(1/'Metadata'!$B$5)^(O32-1))</x:f>
        <x:v>691.8309709189363</x:v>
      </x:c>
      <x:c r="U32" s="31" t="n">
        <x:f>IF(T32="","",I32*T32)</x:f>
        <x:v>8684.625294848429</x:v>
      </x:c>
    </x:row>
    <x:row r="33" ht="18" customHeight="1">
      <x:c r="A33" s="24" t="str">
        <x:v>LME_019</x:v>
      </x:c>
      <x:c r="B33" s="24" t="str">
        <x:v>Greenland Sea</x:v>
      </x:c>
      <x:c r="C33" s="24" t="str">
        <x:v>LME</x:v>
      </x:c>
      <x:c r="D33" s="30" t="n">
        <x:v>2019</x:v>
      </x:c>
      <x:c r="E33" s="24" t="str">
        <x:v>Cyclopterus lumpus</x:v>
      </x:c>
      <x:c r="F33" s="24" t="str">
        <x:v>Lumpfish</x:v>
      </x:c>
      <x:c r="G33" s="24" t="str">
        <x:v>Medium benthopelagics (30 - 89 cm)</x:v>
      </x:c>
      <x:c r="H33" s="24" t="str">
        <x:v>Scorpionfishes</x:v>
      </x:c>
      <x:c r="I33" s="31" t="n">
        <x:v>11.1321160492</x:v>
      </x:c>
      <x:c r="J33" s="31" t="n">
        <x:v>10.0656216736</x:v>
      </x:c>
      <x:c r="K33" s="31" t="n">
        <x:v>1.0664943756</x:v>
      </x:c>
      <x:c r="L33" s="31" t="n">
        <x:v>6.4276161608</x:v>
      </x:c>
      <x:c r="M33" s="31" t="n">
        <x:v>4.7044998884</x:v>
      </x:c>
      <x:c r="N33" s="24" t="str">
        <x:v>cyclopterus lumpus</x:v>
      </x:c>
      <x:c r="O33" s="32" t="n">
        <x:v>3.89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Cyclopterus lumpus</x:v>
      </x:c>
      <x:c r="T33" s="32" t="n">
        <x:f>IF(O33="","",(1/'Metadata'!$B$5)^(O33-1))</x:f>
        <x:v>776.247116628692</x:v>
      </x:c>
      <x:c r="U33" s="31" t="n">
        <x:f>IF(T33="","",I33*T33)</x:f>
        <x:v>8641.272985167487</x:v>
      </x:c>
    </x:row>
    <x:row r="34" ht="18" customHeight="1">
      <x:c r="A34" s="24" t="str">
        <x:v>LME_019</x:v>
      </x:c>
      <x:c r="B34" s="24" t="str">
        <x:v>Greenland Sea</x:v>
      </x:c>
      <x:c r="C34" s="24" t="str">
        <x:v>LME</x:v>
      </x:c>
      <x:c r="D34" s="30" t="n">
        <x:v>2019</x:v>
      </x:c>
      <x:c r="E34" s="24" t="str">
        <x:v>Buccinum undatum</x:v>
      </x:c>
      <x:c r="F34" s="24" t="str">
        <x:v>Whelk</x:v>
      </x:c>
      <x:c r="G34" s="24" t="str">
        <x:v>Other demersal invertebrates</x:v>
      </x:c>
      <x:c r="H34" s="24" t="str">
        <x:v>Molluscs</x:v>
      </x:c>
      <x:c r="I34" s="31" t="n">
        <x:v>9.8088695832</x:v>
      </x:c>
      <x:c r="J34" s="31" t="n">
        <x:v>9.530092659100001</x:v>
      </x:c>
      <x:c r="K34" s="31" t="n">
        <x:v>0.2787769241</x:v>
      </x:c>
      <x:c r="L34" s="31" t="n">
        <x:v>9.530092659100001</x:v>
      </x:c>
      <x:c r="M34" s="31" t="n">
        <x:v>0.2787769241</x:v>
      </x:c>
      <x:c r="N34" s="24" t="str">
        <x:v>buccinum undatum</x:v>
      </x:c>
      <x:c r="O34" s="32" t="n">
        <x:v>3.75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Buccinum undatum</x:v>
      </x:c>
      <x:c r="T34" s="32" t="n">
        <x:f>IF(O34="","",(1/'Metadata'!$B$5)^(O34-1))</x:f>
        <x:v>562.341325190349</x:v>
      </x:c>
      <x:c r="U34" s="31" t="n">
        <x:f>IF(T34="","",I34*T34)</x:f>
        <x:v>5515.932720035995</x:v>
      </x:c>
    </x:row>
    <x:row r="35" ht="18" customHeight="1">
      <x:c r="A35" s="24" t="str">
        <x:v>LME_019</x:v>
      </x:c>
      <x:c r="B35" s="24" t="str">
        <x:v>Greenland Sea</x:v>
      </x:c>
      <x:c r="C35" s="24" t="str">
        <x:v>LME</x:v>
      </x:c>
      <x:c r="D35" s="30" t="n">
        <x:v>2019</x:v>
      </x:c>
      <x:c r="E35" s="24" t="str">
        <x:v>Hippoglossus hippoglossus</x:v>
      </x:c>
      <x:c r="F35" s="24" t="str">
        <x:v>Atlantic halibut</x:v>
      </x:c>
      <x:c r="G35" s="24" t="str">
        <x:v>Large flatfishes (&gt;=90 cm)</x:v>
      </x:c>
      <x:c r="H35" s="24" t="str">
        <x:v>Flatfishes</x:v>
      </x:c>
      <x:c r="I35" s="31" t="n">
        <x:v>8.5655922742</x:v>
      </x:c>
      <x:c r="J35" s="31" t="n">
        <x:v>8.5641708711</x:v>
      </x:c>
      <x:c r="K35" s="31" t="n">
        <x:v>0.0014214031</x:v>
      </x:c>
      <x:c r="L35" s="31" t="n">
        <x:v>8.4564882676</x:v>
      </x:c>
      <x:c r="M35" s="31" t="n">
        <x:v>0.1091040066</x:v>
      </x:c>
      <x:c r="N35" s="24" t="str">
        <x:v>hippoglossus hippoglossus</x:v>
      </x:c>
      <x:c r="O35" s="32" t="n">
        <x:v>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Hippoglossus hippoglossus</x:v>
      </x:c>
      <x:c r="T35" s="32" t="n">
        <x:f>IF(O35="","",(1/'Metadata'!$B$5)^(O35-1))</x:f>
        <x:v>1000</x:v>
      </x:c>
      <x:c r="U35" s="31" t="n">
        <x:f>IF(T35="","",I35*T35)</x:f>
        <x:v>8565.5922742</x:v>
      </x:c>
    </x:row>
    <x:row r="36" ht="18" customHeight="1">
      <x:c r="A36" s="24" t="str">
        <x:v>LME_019</x:v>
      </x:c>
      <x:c r="B36" s="24" t="str">
        <x:v>Greenland Sea</x:v>
      </x:c>
      <x:c r="C36" s="24" t="str">
        <x:v>LME</x:v>
      </x:c>
      <x:c r="D36" s="30" t="n">
        <x:v>2019</x:v>
      </x:c>
      <x:c r="E36" s="24" t="str">
        <x:v>Mallotus villosus</x:v>
      </x:c>
      <x:c r="F36" s="24" t="str">
        <x:v>Capelin</x:v>
      </x:c>
      <x:c r="G36" s="24" t="str">
        <x:v>Small pelagics (&lt;30 cm)</x:v>
      </x:c>
      <x:c r="H36" s="24" t="str">
        <x:v>Salmon, smelts, etc</x:v>
      </x:c>
      <x:c r="I36" s="31" t="n">
        <x:v>6.0536360525</x:v>
      </x:c>
      <x:c r="J36" s="31" t="n">
        <x:v>6.0269653141</x:v>
      </x:c>
      <x:c r="K36" s="31" t="n">
        <x:v>0.0266707384</x:v>
      </x:c>
      <x:c r="L36" s="31" t="n">
        <x:v>1.1846868574</x:v>
      </x:c>
      <x:c r="M36" s="31" t="n">
        <x:v>4.8689491951</x:v>
      </x:c>
      <x:c r="N36" s="24" t="str">
        <x:v>mallotus villosus</x:v>
      </x:c>
      <x:c r="O36" s="32" t="n">
        <x:v>3.15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Mallotus villosus</x:v>
      </x:c>
      <x:c r="T36" s="32" t="n">
        <x:f>IF(O36="","",(1/'Metadata'!$B$5)^(O36-1))</x:f>
        <x:v>141.2537544622754</x:v>
      </x:c>
      <x:c r="U36" s="31" t="n">
        <x:f>IF(T36="","",I36*T36)</x:f>
        <x:v>855.0988205638131</x:v>
      </x:c>
    </x:row>
    <x:row r="37" ht="18" customHeight="1">
      <x:c r="A37" s="24" t="str">
        <x:v>LME_019</x:v>
      </x:c>
      <x:c r="B37" s="24" t="str">
        <x:v>Greenland Sea</x:v>
      </x:c>
      <x:c r="C37" s="24" t="str">
        <x:v>LME</x:v>
      </x:c>
      <x:c r="D37" s="30" t="n">
        <x:v>2019</x:v>
      </x:c>
      <x:c r="E37" s="24" t="str">
        <x:v>Bivalvia</x:v>
      </x:c>
      <x:c r="F37" s="24" t="str">
        <x:v>Clams</x:v>
      </x:c>
      <x:c r="G37" s="24" t="str">
        <x:v>Other demersal invertebrates</x:v>
      </x:c>
      <x:c r="H37" s="24" t="str">
        <x:v>Molluscs</x:v>
      </x:c>
      <x:c r="I37" s="31" t="n">
        <x:v>5.0580042256</x:v>
      </x:c>
      <x:c r="J37" s="31" t="n">
        <x:v>0.0067382392</x:v>
      </x:c>
      <x:c r="K37" s="31" t="n">
        <x:v>5.0512659864</x:v>
      </x:c>
      <x:c r="L37" s="31" t="n">
        <x:v>0.0067382392</x:v>
      </x:c>
      <x:c r="M37" s="31" t="n">
        <x:v>5.0512659864</x:v>
      </x:c>
      <x:c r="N37" s="24" t="str">
        <x:v>bivalvia</x:v>
      </x:c>
      <x:c r="O37" s="32" t="n">
        <x:v>2.23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Bivalvia</x:v>
      </x:c>
      <x:c r="T37" s="32" t="n">
        <x:f>IF(O37="","",(1/'Metadata'!$B$5)^(O37-1))</x:f>
        <x:v>16.982436524617444</x:v>
      </x:c>
      <x:c r="U37" s="31" t="n">
        <x:f>IF(T37="","",I37*T37)</x:f>
        <x:v>85.89723570249882</x:v>
      </x:c>
    </x:row>
    <x:row r="38" ht="18" customHeight="1">
      <x:c r="A38" s="24" t="str">
        <x:v>LME_019</x:v>
      </x:c>
      <x:c r="B38" s="24" t="str">
        <x:v>Greenland Sea</x:v>
      </x:c>
      <x:c r="C38" s="24" t="str">
        <x:v>LME</x:v>
      </x:c>
      <x:c r="D38" s="30" t="n">
        <x:v>2019</x:v>
      </x:c>
      <x:c r="E38" s="24" t="str">
        <x:v>Anarhichas lupus</x:v>
      </x:c>
      <x:c r="F38" s="24" t="str">
        <x:v>Atlantic wolffish</x:v>
      </x:c>
      <x:c r="G38" s="24" t="str">
        <x:v>Large demersals (&gt;=90 cm)</x:v>
      </x:c>
      <x:c r="H38" s="24" t="str">
        <x:v>Perch-likes</x:v>
      </x:c>
      <x:c r="I38" s="31" t="n">
        <x:v>4.5130480224</x:v>
      </x:c>
      <x:c r="J38" s="31" t="n">
        <x:v>4.5130480224</x:v>
      </x:c>
      <x:c r="K38" s="31" t="n">
        <x:v>0</x:v>
      </x:c>
      <x:c r="L38" s="31" t="n">
        <x:v>4.5130480224</x:v>
      </x:c>
      <x:c r="M38" s="31" t="n">
        <x:v>0</x:v>
      </x:c>
      <x:c r="N38" s="24" t="str">
        <x:v>anarhichas lupus</x:v>
      </x:c>
      <x:c r="O38" s="32" t="n">
        <x:v>3.55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Anarhichas lupus</x:v>
      </x:c>
      <x:c r="T38" s="32" t="n">
        <x:f>IF(O38="","",(1/'Metadata'!$B$5)^(O38-1))</x:f>
        <x:v>354.8133892335753</x:v>
      </x:c>
      <x:c r="U38" s="31" t="n">
        <x:f>IF(T38="","",I38*T38)</x:f>
        <x:v>1601.2898646016283</x:v>
      </x:c>
    </x:row>
    <x:row r="39" ht="18" customHeight="1">
      <x:c r="A39" s="24" t="str">
        <x:v>LME_019</x:v>
      </x:c>
      <x:c r="B39" s="24" t="str">
        <x:v>Greenland Sea</x:v>
      </x:c>
      <x:c r="C39" s="24" t="str">
        <x:v>LME</x:v>
      </x:c>
      <x:c r="D39" s="30" t="n">
        <x:v>2019</x:v>
      </x:c>
      <x:c r="E39" s="24" t="str">
        <x:v>Rajidae</x:v>
      </x:c>
      <x:c r="F39" s="24" t="str">
        <x:v>Stingrays</x:v>
      </x:c>
      <x:c r="G39" s="24" t="str">
        <x:v>Large rays (&gt;=90 cm)</x:v>
      </x:c>
      <x:c r="H39" s="24" t="str">
        <x:v>Sharks &amp; rays</x:v>
      </x:c>
      <x:c r="I39" s="31" t="n">
        <x:v>2.6749408600999995</x:v>
      </x:c>
      <x:c r="J39" s="31" t="n">
        <x:v>2.6749408600999995</x:v>
      </x:c>
      <x:c r="K39" s="31" t="n">
        <x:v>0</x:v>
      </x:c>
      <x:c r="L39" s="31" t="n">
        <x:v>2.6749408600999995</x:v>
      </x:c>
      <x:c r="M39" s="31" t="n">
        <x:v>0</x:v>
      </x:c>
      <x:c r="N39" s="24" t="str">
        <x:v>rajidae</x:v>
      </x:c>
      <x:c r="O39" s="32" t="n">
        <x:v>3.82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Rajidae</x:v>
      </x:c>
      <x:c r="T39" s="32" t="n">
        <x:f>IF(O39="","",(1/'Metadata'!$B$5)^(O39-1))</x:f>
        <x:v>660.6934480075957</x:v>
      </x:c>
      <x:c r="U39" s="31" t="n">
        <x:f>IF(T39="","",I39*T39)</x:f>
        <x:v>1767.3159000758726</x:v>
      </x:c>
    </x:row>
    <x:row r="40" ht="18" customHeight="1">
      <x:c r="A40" s="24" t="str">
        <x:v>LME_019</x:v>
      </x:c>
      <x:c r="B40" s="24" t="str">
        <x:v>Greenland Sea</x:v>
      </x:c>
      <x:c r="C40" s="24" t="str">
        <x:v>LME</x:v>
      </x:c>
      <x:c r="D40" s="30" t="n">
        <x:v>2019</x:v>
      </x:c>
      <x:c r="E40" s="24" t="str">
        <x:v>Sebastidae</x:v>
      </x:c>
      <x:c r="F40" s="24" t="str">
        <x:v>Rockfishes, rockcods, thornyheads</x:v>
      </x:c>
      <x:c r="G40" s="24" t="str">
        <x:v>Medium demersals (30 - 89 cm)</x:v>
      </x:c>
      <x:c r="H40" s="24" t="str">
        <x:v>Scorpionfishes</x:v>
      </x:c>
      <x:c r="I40" s="31" t="n">
        <x:v>2.4067710595</x:v>
      </x:c>
      <x:c r="J40" s="31" t="n">
        <x:v>0</x:v>
      </x:c>
      <x:c r="K40" s="31" t="n">
        <x:v>2.4067710595</x:v>
      </x:c>
      <x:c r="L40" s="31" t="n">
        <x:v>0</x:v>
      </x:c>
      <x:c r="M40" s="31" t="n">
        <x:v>2.4067710595</x:v>
      </x:c>
      <x:c r="N40" s="24" t="str">
        <x:v>sebastidae</x:v>
      </x:c>
      <x:c r="O40" s="32" t="n">
        <x:v>3.74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Sebastidae</x:v>
      </x:c>
      <x:c r="T40" s="32" t="n">
        <x:f>IF(O40="","",(1/'Metadata'!$B$5)^(O40-1))</x:f>
        <x:v>549.5408738576248</x:v>
      </x:c>
      <x:c r="U40" s="31" t="n">
        <x:f>IF(T40="","",I40*T40)</x:f>
        <x:v>1322.6190712128714</x:v>
      </x:c>
    </x:row>
    <x:row r="41" ht="18" customHeight="1">
      <x:c r="A41" s="24" t="str">
        <x:v>LME_019</x:v>
      </x:c>
      <x:c r="B41" s="24" t="str">
        <x:v>Greenland Sea</x:v>
      </x:c>
      <x:c r="C41" s="24" t="str">
        <x:v>LME</x:v>
      </x:c>
      <x:c r="D41" s="30" t="n">
        <x:v>2019</x:v>
      </x:c>
      <x:c r="E41" s="24" t="str">
        <x:v>Hippoglossoides platessoides</x:v>
      </x:c>
      <x:c r="F41" s="24" t="str">
        <x:v>American plaice</x:v>
      </x:c>
      <x:c r="G41" s="24" t="str">
        <x:v>Small to medium flatfishes (&lt;90 cm)</x:v>
      </x:c>
      <x:c r="H41" s="24" t="str">
        <x:v>Flatfishes</x:v>
      </x:c>
      <x:c r="I41" s="31" t="n">
        <x:v>1.9422287041</x:v>
      </x:c>
      <x:c r="J41" s="31" t="n">
        <x:v>1.9422287041</x:v>
      </x:c>
      <x:c r="K41" s="31" t="n">
        <x:v>0</x:v>
      </x:c>
      <x:c r="L41" s="31" t="n">
        <x:v>1.9422287041</x:v>
      </x:c>
      <x:c r="M41" s="31" t="n">
        <x:v>0</x:v>
      </x:c>
      <x:c r="N41" s="24" t="str">
        <x:v>hippoglossoides platessoides</x:v>
      </x:c>
      <x:c r="O41" s="32" t="n">
        <x:v>4.08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Hippoglossoides platessoides</x:v>
      </x:c>
      <x:c r="T41" s="32" t="n">
        <x:f>IF(O41="","",(1/'Metadata'!$B$5)^(O41-1))</x:f>
        <x:v>1202.2644346174131</x:v>
      </x:c>
      <x:c r="U41" s="31" t="n">
        <x:f>IF(T41="","",I41*T41)</x:f>
        <x:v>2335.0724948324973</x:v>
      </x:c>
    </x:row>
    <x:row r="42" ht="18" customHeight="1">
      <x:c r="A42" s="24" t="str">
        <x:v>LME_019</x:v>
      </x:c>
      <x:c r="B42" s="24" t="str">
        <x:v>Greenland Sea</x:v>
      </x:c>
      <x:c r="C42" s="24" t="str">
        <x:v>LME</x:v>
      </x:c>
      <x:c r="D42" s="30" t="n">
        <x:v>2019</x:v>
      </x:c>
      <x:c r="E42" s="24" t="str">
        <x:v>Squalidae</x:v>
      </x:c>
      <x:c r="F42" s="24" t="str">
        <x:v>Dogfish sharks</x:v>
      </x:c>
      <x:c r="G42" s="24" t="str">
        <x:v>Large sharks (&gt;=90 cm)</x:v>
      </x:c>
      <x:c r="H42" s="24" t="str">
        <x:v>Sharks &amp; rays</x:v>
      </x:c>
      <x:c r="I42" s="31" t="n">
        <x:v>1.9391477769999999</x:v>
      </x:c>
      <x:c r="J42" s="31" t="n">
        <x:v>1.9391477769999999</x:v>
      </x:c>
      <x:c r="K42" s="31" t="n">
        <x:v>0</x:v>
      </x:c>
      <x:c r="L42" s="31" t="n">
        <x:v>1.9391477769999999</x:v>
      </x:c>
      <x:c r="M42" s="31" t="n">
        <x:v>0</x:v>
      </x:c>
      <x:c r="N42" s="24" t="str">
        <x:v>squalidae</x:v>
      </x:c>
      <x:c r="O42" s="32" t="n">
        <x:v>4.23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Squalidae</x:v>
      </x:c>
      <x:c r="T42" s="32" t="n">
        <x:f>IF(O42="","",(1/'Metadata'!$B$5)^(O42-1))</x:f>
        <x:v>1698.243652461746</x:v>
      </x:c>
      <x:c r="U42" s="31" t="n">
        <x:f>IF(T42="","",I42*T42)</x:f>
        <x:v>3293.145403475555</x:v>
      </x:c>
    </x:row>
    <x:row r="43" ht="18" customHeight="1">
      <x:c r="A43" s="24" t="str">
        <x:v>LME_019</x:v>
      </x:c>
      <x:c r="B43" s="24" t="str">
        <x:v>Greenland Sea</x:v>
      </x:c>
      <x:c r="C43" s="24" t="str">
        <x:v>LME</x:v>
      </x:c>
      <x:c r="D43" s="30" t="n">
        <x:v>2019</x:v>
      </x:c>
      <x:c r="E43" s="24" t="str">
        <x:v>Argentina silus</x:v>
      </x:c>
      <x:c r="F43" s="24" t="str">
        <x:v>Greater argentine</x:v>
      </x:c>
      <x:c r="G43" s="24" t="str">
        <x:v>Medium bathydemersals (30 - 89 cm)</x:v>
      </x:c>
      <x:c r="H43" s="24" t="str">
        <x:v>Salmon, smelts, etc</x:v>
      </x:c>
      <x:c r="I43" s="31" t="n">
        <x:v>1.4292086992000002</x:v>
      </x:c>
      <x:c r="J43" s="31" t="n">
        <x:v>1.3938117331000002</x:v>
      </x:c>
      <x:c r="K43" s="31" t="n">
        <x:v>0.0353969661</x:v>
      </x:c>
      <x:c r="L43" s="31" t="n">
        <x:v>1.3938117331000002</x:v>
      </x:c>
      <x:c r="M43" s="31" t="n">
        <x:v>0.0353969661</x:v>
      </x:c>
      <x:c r="N43" s="24" t="str">
        <x:v>argentina silus</x:v>
      </x:c>
      <x:c r="O43" s="32" t="n">
        <x:v>3.32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Argentina silus</x:v>
      </x:c>
      <x:c r="T43" s="32" t="n">
        <x:f>IF(O43="","",(1/'Metadata'!$B$5)^(O43-1))</x:f>
        <x:v>208.92961308540387</x:v>
      </x:c>
      <x:c r="U43" s="31" t="n">
        <x:f>IF(T43="","",I43*T43)</x:f>
        <x:v>298.6040205421494</x:v>
      </x:c>
    </x:row>
    <x:row r="44" ht="18" customHeight="1">
      <x:c r="A44" s="24" t="str">
        <x:v>LME_019</x:v>
      </x:c>
      <x:c r="B44" s="24" t="str">
        <x:v>Greenland Sea</x:v>
      </x:c>
      <x:c r="C44" s="24" t="str">
        <x:v>LME</x:v>
      </x:c>
      <x:c r="D44" s="30" t="n">
        <x:v>2019</x:v>
      </x:c>
      <x:c r="E44" s="24" t="str">
        <x:v>Macrourus berglax</x:v>
      </x:c>
      <x:c r="F44" s="24" t="str">
        <x:v>Roughhead grenadier</x:v>
      </x:c>
      <x:c r="G44" s="24" t="str">
        <x:v>Large benthopelagics (&gt;=90 cm)</x:v>
      </x:c>
      <x:c r="H44" s="24" t="str">
        <x:v>Cod-likes</x:v>
      </x:c>
      <x:c r="I44" s="31" t="n">
        <x:v>1.2616029252</x:v>
      </x:c>
      <x:c r="J44" s="31" t="n">
        <x:v>1.2613063205</x:v>
      </x:c>
      <x:c r="K44" s="31" t="n">
        <x:v>0.0002966047</x:v>
      </x:c>
      <x:c r="L44" s="31" t="n">
        <x:v>1.2613063205</x:v>
      </x:c>
      <x:c r="M44" s="31" t="n">
        <x:v>0.0002966047</x:v>
      </x:c>
      <x:c r="N44" s="24" t="str">
        <x:v>macrourus berglax</x:v>
      </x:c>
      <x:c r="O44" s="32" t="n">
        <x:v>4.48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Macrourus berglax</x:v>
      </x:c>
      <x:c r="T44" s="32" t="n">
        <x:f>IF(O44="","",(1/'Metadata'!$B$5)^(O44-1))</x:f>
        <x:v>3019.951720402019</x:v>
      </x:c>
      <x:c r="U44" s="31" t="n">
        <x:f>IF(T44="","",I44*T44)</x:f>
        <x:v>3809.97992442196</x:v>
      </x:c>
    </x:row>
    <x:row r="45" ht="18" customHeight="1">
      <x:c r="A45" s="24" t="str">
        <x:v>LME_019</x:v>
      </x:c>
      <x:c r="B45" s="24" t="str">
        <x:v>Greenland Sea</x:v>
      </x:c>
      <x:c r="C45" s="24" t="str">
        <x:v>LME</x:v>
      </x:c>
      <x:c r="D45" s="30" t="n">
        <x:v>2019</x:v>
      </x:c>
      <x:c r="E45" s="24" t="str">
        <x:v>Merlucciidae</x:v>
      </x:c>
      <x:c r="F45" s="24" t="str">
        <x:v>Merluccid hakes</x:v>
      </x:c>
      <x:c r="G45" s="24" t="str">
        <x:v>Large bathydemersals (&gt;=90 cm)</x:v>
      </x:c>
      <x:c r="H45" s="24" t="str">
        <x:v>Cod-likes</x:v>
      </x:c>
      <x:c r="I45" s="31" t="n">
        <x:v>0.8882822246000001</x:v>
      </x:c>
      <x:c r="J45" s="31" t="n">
        <x:v>0</x:v>
      </x:c>
      <x:c r="K45" s="31" t="n">
        <x:v>0.8882822246000001</x:v>
      </x:c>
      <x:c r="L45" s="31" t="n">
        <x:v>0</x:v>
      </x:c>
      <x:c r="M45" s="31" t="n">
        <x:v>0.8882822246000001</x:v>
      </x:c>
      <x:c r="N45" s="24" t="str">
        <x:v>merlucciidae</x:v>
      </x:c>
      <x:c r="O45" s="32" t="n">
        <x:v>4.35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Merlucciidae</x:v>
      </x:c>
      <x:c r="T45" s="32" t="n">
        <x:f>IF(O45="","",(1/'Metadata'!$B$5)^(O45-1))</x:f>
        <x:v>2238.7211385683377</x:v>
      </x:c>
      <x:c r="U45" s="31" t="n">
        <x:f>IF(T45="","",I45*T45)</x:f>
        <x:v>1988.616193226528</x:v>
      </x:c>
    </x:row>
    <x:row r="46" ht="18" customHeight="1">
      <x:c r="A46" s="24" t="str">
        <x:v>LME_019</x:v>
      </x:c>
      <x:c r="B46" s="24" t="str">
        <x:v>Greenland Sea</x:v>
      </x:c>
      <x:c r="C46" s="24" t="str">
        <x:v>LME</x:v>
      </x:c>
      <x:c r="D46" s="30" t="n">
        <x:v>2019</x:v>
      </x:c>
      <x:c r="E46" s="24" t="str">
        <x:v>Mollusca</x:v>
      </x:c>
      <x:c r="F46" s="24" t="str">
        <x:v>Clams, seasnails, squids, octopuses</x:v>
      </x:c>
      <x:c r="G46" s="24" t="str">
        <x:v>Other demersal invertebrates</x:v>
      </x:c>
      <x:c r="H46" s="24" t="str">
        <x:v>Molluscs</x:v>
      </x:c>
      <x:c r="I46" s="31" t="n">
        <x:v>0.6597593676</x:v>
      </x:c>
      <x:c r="J46" s="31" t="n">
        <x:v>0.0846674021</x:v>
      </x:c>
      <x:c r="K46" s="31" t="n">
        <x:v>0.5750919655</x:v>
      </x:c>
      <x:c r="L46" s="31" t="n">
        <x:v>0.0846674021</x:v>
      </x:c>
      <x:c r="M46" s="31" t="n">
        <x:v>0.5750919655</x:v>
      </x:c>
      <x:c r="N46" s="24" t="str">
        <x:v>mollusca</x:v>
      </x:c>
      <x:c r="O46" s="32" t="n">
        <x:v>2.1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Mollusca</x:v>
      </x:c>
      <x:c r="T46" s="32" t="n">
        <x:f>IF(O46="","",(1/'Metadata'!$B$5)^(O46-1))</x:f>
        <x:v>12.589254117941675</x:v>
      </x:c>
      <x:c r="U46" s="31" t="n">
        <x:f>IF(T46="","",I46*T46)</x:f>
        <x:v>8.305878335408895</x:v>
      </x:c>
    </x:row>
    <x:row r="47" ht="18" customHeight="1">
      <x:c r="A47" s="24" t="str">
        <x:v>LME_019</x:v>
      </x:c>
      <x:c r="B47" s="24" t="str">
        <x:v>Greenland Sea</x:v>
      </x:c>
      <x:c r="C47" s="24" t="str">
        <x:v>LME</x:v>
      </x:c>
      <x:c r="D47" s="30" t="n">
        <x:v>2019</x:v>
      </x:c>
      <x:c r="E47" s="24" t="str">
        <x:v>Lophiidae</x:v>
      </x:c>
      <x:c r="F47" s="24" t="str">
        <x:v>Goosefishes</x:v>
      </x:c>
      <x:c r="G47" s="24" t="str">
        <x:v>Medium bathydemersals (30 - 89 cm)</x:v>
      </x:c>
      <x:c r="H47" s="24" t="str">
        <x:v>Other fishes &amp; inverts</x:v>
      </x:c>
      <x:c r="I47" s="31" t="n">
        <x:v>0.427270731</x:v>
      </x:c>
      <x:c r="J47" s="31" t="n">
        <x:v>0.427270731</x:v>
      </x:c>
      <x:c r="K47" s="31" t="n">
        <x:v>0</x:v>
      </x:c>
      <x:c r="L47" s="31" t="n">
        <x:v>0.427270731</x:v>
      </x:c>
      <x:c r="M47" s="31" t="n">
        <x:v>0</x:v>
      </x:c>
      <x:c r="N47" s="24" t="str">
        <x:v>lophiidae</x:v>
      </x:c>
      <x:c r="O47" s="32" t="n">
        <x:v>4.46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Lophiidae</x:v>
      </x:c>
      <x:c r="T47" s="32" t="n">
        <x:f>IF(O47="","",(1/'Metadata'!$B$5)^(O47-1))</x:f>
        <x:v>2884.031503126606</x:v>
      </x:c>
      <x:c r="U47" s="31" t="n">
        <x:f>IF(T47="","",I47*T47)</x:f>
        <x:v>1232.2622485679337</x:v>
      </x:c>
    </x:row>
    <x:row r="48" ht="18" customHeight="1">
      <x:c r="A48" s="24" t="str">
        <x:v>LME_019</x:v>
      </x:c>
      <x:c r="B48" s="24" t="str">
        <x:v>Greenland Sea</x:v>
      </x:c>
      <x:c r="C48" s="24" t="str">
        <x:v>LME</x:v>
      </x:c>
      <x:c r="D48" s="30" t="n">
        <x:v>2019</x:v>
      </x:c>
      <x:c r="E48" s="24" t="str">
        <x:v>Rajiformes</x:v>
      </x:c>
      <x:c r="F48" s="24" t="str">
        <x:v>Skates and rays</x:v>
      </x:c>
      <x:c r="G48" s="24" t="str">
        <x:v>Large rays (&gt;=90 cm)</x:v>
      </x:c>
      <x:c r="H48" s="24" t="str">
        <x:v>Sharks &amp; rays</x:v>
      </x:c>
      <x:c r="I48" s="31" t="n">
        <x:v>0.3240776408</x:v>
      </x:c>
      <x:c r="J48" s="31" t="n">
        <x:v>0.3240776408</x:v>
      </x:c>
      <x:c r="K48" s="31" t="n">
        <x:v>0</x:v>
      </x:c>
      <x:c r="L48" s="31" t="n">
        <x:v>0.3240776408</x:v>
      </x:c>
      <x:c r="M48" s="31" t="n">
        <x:v>0</x:v>
      </x:c>
      <x:c r="N48" s="24" t="str">
        <x:v>rajiformes</x:v>
      </x:c>
      <x:c r="O48" s="32" t="n">
        <x:v>3.61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Rajiformes</x:v>
      </x:c>
      <x:c r="T48" s="32" t="n">
        <x:f>IF(O48="","",(1/'Metadata'!$B$5)^(O48-1))</x:f>
        <x:v>407.3802778041126</x:v>
      </x:c>
      <x:c r="U48" s="31" t="n">
        <x:f>IF(T48="","",I48*T48)</x:f>
        <x:v>132.02283933920543</x:v>
      </x:c>
    </x:row>
    <x:row r="49" ht="18" customHeight="1">
      <x:c r="A49" s="24" t="str">
        <x:v>LME_019</x:v>
      </x:c>
      <x:c r="B49" s="24" t="str">
        <x:v>Greenland Sea</x:v>
      </x:c>
      <x:c r="C49" s="24" t="str">
        <x:v>LME</x:v>
      </x:c>
      <x:c r="D49" s="30" t="n">
        <x:v>2019</x:v>
      </x:c>
      <x:c r="E49" s="24" t="str">
        <x:v>Aphanopus carbo</x:v>
      </x:c>
      <x:c r="F49" s="24" t="str">
        <x:v>Black scabbardfish</x:v>
      </x:c>
      <x:c r="G49" s="24" t="str">
        <x:v>Large benthopelagics (&gt;=90 cm)</x:v>
      </x:c>
      <x:c r="H49" s="24" t="str">
        <x:v>Perch-likes</x:v>
      </x:c>
      <x:c r="I49" s="31" t="n">
        <x:v>0.31447652910000007</x:v>
      </x:c>
      <x:c r="J49" s="31" t="n">
        <x:v>0.29192304710000005</x:v>
      </x:c>
      <x:c r="K49" s="31" t="n">
        <x:v>0.022553482</x:v>
      </x:c>
      <x:c r="L49" s="31" t="n">
        <x:v>0.29192304710000005</x:v>
      </x:c>
      <x:c r="M49" s="31" t="n">
        <x:v>0.022553482</x:v>
      </x:c>
      <x:c r="N49" s="24" t="str">
        <x:v>aphanopus carbo</x:v>
      </x:c>
      <x:c r="O49" s="32" t="n">
        <x:v>4.48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Aphanopus carbo</x:v>
      </x:c>
      <x:c r="T49" s="32" t="n">
        <x:f>IF(O49="","",(1/'Metadata'!$B$5)^(O49-1))</x:f>
        <x:v>3019.951720402019</x:v>
      </x:c>
      <x:c r="U49" s="31" t="n">
        <x:f>IF(T49="","",I49*T49)</x:f>
        <x:v>949.7039350816008</x:v>
      </x:c>
    </x:row>
    <x:row r="50" ht="18" customHeight="1">
      <x:c r="A50" s="24" t="str">
        <x:v>LME_019</x:v>
      </x:c>
      <x:c r="B50" s="24" t="str">
        <x:v>Greenland Sea</x:v>
      </x:c>
      <x:c r="C50" s="24" t="str">
        <x:v>LME</x:v>
      </x:c>
      <x:c r="D50" s="30" t="n">
        <x:v>2019</x:v>
      </x:c>
      <x:c r="E50" s="24" t="str">
        <x:v>Pleuronectidae</x:v>
      </x:c>
      <x:c r="F50" s="24" t="str">
        <x:v>Righteye flounders</x:v>
      </x:c>
      <x:c r="G50" s="24" t="str">
        <x:v>Small to medium flatfishes (&lt;90 cm)</x:v>
      </x:c>
      <x:c r="H50" s="24" t="str">
        <x:v>Flatfishes</x:v>
      </x:c>
      <x:c r="I50" s="31" t="n">
        <x:v>0.2917606964</x:v>
      </x:c>
      <x:c r="J50" s="31" t="n">
        <x:v>0.0000595172</x:v>
      </x:c>
      <x:c r="K50" s="31" t="n">
        <x:v>0.2917011792</x:v>
      </x:c>
      <x:c r="L50" s="31" t="n">
        <x:v>0.0000595172</x:v>
      </x:c>
      <x:c r="M50" s="31" t="n">
        <x:v>0.2917011792</x:v>
      </x:c>
      <x:c r="N50" s="24" t="str">
        <x:v>pleuronectidae</x:v>
      </x:c>
      <x:c r="O50" s="32" t="n">
        <x:v>3.49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Pleuronectidae</x:v>
      </x:c>
      <x:c r="T50" s="32" t="n">
        <x:f>IF(O50="","",(1/'Metadata'!$B$5)^(O50-1))</x:f>
        <x:v>309.0295432513592</x:v>
      </x:c>
      <x:c r="U50" s="31" t="n">
        <x:f>IF(T50="","",I50*T50)</x:f>
        <x:v>90.1626747471905</x:v>
      </x:c>
    </x:row>
    <x:row r="51" ht="18" customHeight="1">
      <x:c r="A51" s="24" t="str">
        <x:v>LME_019</x:v>
      </x:c>
      <x:c r="B51" s="24" t="str">
        <x:v>Greenland Sea</x:v>
      </x:c>
      <x:c r="C51" s="24" t="str">
        <x:v>LME</x:v>
      </x:c>
      <x:c r="D51" s="30" t="n">
        <x:v>2019</x:v>
      </x:c>
      <x:c r="E51" s="24" t="str">
        <x:v>Clupeidae</x:v>
      </x:c>
      <x:c r="F51" s="24" t="str">
        <x:v>Herrings, sardines, menhadens</x:v>
      </x:c>
      <x:c r="G51" s="24" t="str">
        <x:v>Small pelagics (&lt;30 cm)</x:v>
      </x:c>
      <x:c r="H51" s="24" t="str">
        <x:v>Herring-likes</x:v>
      </x:c>
      <x:c r="I51" s="31" t="n">
        <x:v>0.20257858680000002</x:v>
      </x:c>
      <x:c r="J51" s="31" t="n">
        <x:v>0.0057799645</x:v>
      </x:c>
      <x:c r="K51" s="31" t="n">
        <x:v>0.1967986223</x:v>
      </x:c>
      <x:c r="L51" s="31" t="n">
        <x:v>0.0057799645</x:v>
      </x:c>
      <x:c r="M51" s="31" t="n">
        <x:v>0.1967986223</x:v>
      </x:c>
      <x:c r="N51" s="24" t="str">
        <x:v>clupeidae</x:v>
      </x:c>
      <x:c r="O51" s="32" t="n">
        <x:v>3.16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Clupeidae</x:v>
      </x:c>
      <x:c r="T51" s="32" t="n">
        <x:f>IF(O51="","",(1/'Metadata'!$B$5)^(O51-1))</x:f>
        <x:v>144.5439770745928</x:v>
      </x:c>
      <x:c r="U51" s="31" t="n">
        <x:f>IF(T51="","",I51*T51)</x:f>
        <x:v>29.281514606222608</x:v>
      </x:c>
    </x:row>
    <x:row r="52" ht="18" customHeight="1">
      <x:c r="A52" s="24" t="str">
        <x:v>LME_019</x:v>
      </x:c>
      <x:c r="B52" s="24" t="str">
        <x:v>Greenland Sea</x:v>
      </x:c>
      <x:c r="C52" s="24" t="str">
        <x:v>LME</x:v>
      </x:c>
      <x:c r="D52" s="30" t="n">
        <x:v>2019</x:v>
      </x:c>
      <x:c r="E52" s="24" t="str">
        <x:v>Platichthys flesus</x:v>
      </x:c>
      <x:c r="F52" s="24" t="str">
        <x:v>European flounder</x:v>
      </x:c>
      <x:c r="G52" s="24" t="str">
        <x:v>Small to medium flatfishes (&lt;90 cm)</x:v>
      </x:c>
      <x:c r="H52" s="24" t="str">
        <x:v>Flatfishes</x:v>
      </x:c>
      <x:c r="I52" s="31" t="n">
        <x:v>0.19795898069999998</x:v>
      </x:c>
      <x:c r="J52" s="31" t="n">
        <x:v>0.19795898069999998</x:v>
      </x:c>
      <x:c r="K52" s="31" t="n">
        <x:v>0</x:v>
      </x:c>
      <x:c r="L52" s="31" t="n">
        <x:v>0.19795898069999998</x:v>
      </x:c>
      <x:c r="M52" s="31" t="n">
        <x:v>0</x:v>
      </x:c>
      <x:c r="N52" s="24" t="str">
        <x:v>platichthys flesus</x:v>
      </x:c>
      <x:c r="O52" s="32" t="n">
        <x:v>3.32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Platichthys flesus</x:v>
      </x:c>
      <x:c r="T52" s="32" t="n">
        <x:f>IF(O52="","",(1/'Metadata'!$B$5)^(O52-1))</x:f>
        <x:v>208.92961308540387</x:v>
      </x:c>
      <x:c r="U52" s="31" t="n">
        <x:f>IF(T52="","",I52*T52)</x:f>
        <x:v>41.35949324443193</x:v>
      </x:c>
    </x:row>
    <x:row r="53" ht="18" customHeight="1">
      <x:c r="A53" s="24" t="str">
        <x:v>LME_019</x:v>
      </x:c>
      <x:c r="B53" s="24" t="str">
        <x:v>Greenland Sea</x:v>
      </x:c>
      <x:c r="C53" s="24" t="str">
        <x:v>LME</x:v>
      </x:c>
      <x:c r="D53" s="30" t="n">
        <x:v>2019</x:v>
      </x:c>
      <x:c r="E53" s="24" t="str">
        <x:v>Macrouridae</x:v>
      </x:c>
      <x:c r="F53" s="24" t="str">
        <x:v>Grenadiers, rattails</x:v>
      </x:c>
      <x:c r="G53" s="24" t="str">
        <x:v>Medium benthopelagics (30 - 89 cm)</x:v>
      </x:c>
      <x:c r="H53" s="24" t="str">
        <x:v>Cod-likes</x:v>
      </x:c>
      <x:c r="I53" s="31" t="n">
        <x:v>0.1683665114</x:v>
      </x:c>
      <x:c r="J53" s="31" t="n">
        <x:v>0</x:v>
      </x:c>
      <x:c r="K53" s="31" t="n">
        <x:v>0.1683665114</x:v>
      </x:c>
      <x:c r="L53" s="31" t="n">
        <x:v>0</x:v>
      </x:c>
      <x:c r="M53" s="31" t="n">
        <x:v>0.1683665114</x:v>
      </x:c>
      <x:c r="N53" s="24" t="str">
        <x:v>macrouridae</x:v>
      </x:c>
      <x:c r="O53" s="32" t="n">
        <x:v>3.88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Macrouridae</x:v>
      </x:c>
      <x:c r="T53" s="32" t="n">
        <x:f>IF(O53="","",(1/'Metadata'!$B$5)^(O53-1))</x:f>
        <x:v>758.5775750291835</x:v>
      </x:c>
      <x:c r="U53" s="31" t="n">
        <x:f>IF(T53="","",I53*T53)</x:f>
        <x:v>127.71905993393538</x:v>
      </x:c>
    </x:row>
    <x:row r="54" ht="18" customHeight="1">
      <x:c r="A54" s="24" t="str">
        <x:v>LME_019</x:v>
      </x:c>
      <x:c r="B54" s="24" t="str">
        <x:v>Greenland Sea</x:v>
      </x:c>
      <x:c r="C54" s="24" t="str">
        <x:v>LME</x:v>
      </x:c>
      <x:c r="D54" s="30" t="n">
        <x:v>2019</x:v>
      </x:c>
      <x:c r="E54" s="24" t="str">
        <x:v>Salvelinus alpinus</x:v>
      </x:c>
      <x:c r="F54" s="24" t="str">
        <x:v>Arctic char</x:v>
      </x:c>
      <x:c r="G54" s="24" t="str">
        <x:v>Medium benthopelagics (30 - 89 cm)</x:v>
      </x:c>
      <x:c r="H54" s="24" t="str">
        <x:v>Salmon, smelts, etc</x:v>
      </x:c>
      <x:c r="I54" s="31" t="n">
        <x:v>0.1531191814</x:v>
      </x:c>
      <x:c r="J54" s="31" t="n">
        <x:v>0.1531191814</x:v>
      </x:c>
      <x:c r="K54" s="31" t="n">
        <x:v>0</x:v>
      </x:c>
      <x:c r="L54" s="31" t="n">
        <x:v>0</x:v>
      </x:c>
      <x:c r="M54" s="31" t="n">
        <x:v>0.1531191814</x:v>
      </x:c>
      <x:c r="N54" s="24" t="str">
        <x:v>salvelinus alpinus</x:v>
      </x:c>
      <x:c r="O54" s="32" t="n">
        <x:v>4.39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Salvelinus alpinus</x:v>
      </x:c>
      <x:c r="T54" s="32" t="n">
        <x:f>IF(O54="","",(1/'Metadata'!$B$5)^(O54-1))</x:f>
        <x:v>2454.7089156850284</x:v>
      </x:c>
      <x:c r="U54" s="31" t="n">
        <x:f>IF(T54="","",I54*T54)</x:f>
        <x:v>375.86301974497314</x:v>
      </x:c>
    </x:row>
    <x:row r="55" ht="18" customHeight="1">
      <x:c r="A55" s="24" t="str">
        <x:v>LME_019</x:v>
      </x:c>
      <x:c r="B55" s="24" t="str">
        <x:v>Greenland Sea</x:v>
      </x:c>
      <x:c r="C55" s="24" t="str">
        <x:v>LME</x:v>
      </x:c>
      <x:c r="D55" s="30" t="n">
        <x:v>2019</x:v>
      </x:c>
      <x:c r="E55" s="24" t="str">
        <x:v>Alepocephalus bairdii</x:v>
      </x:c>
      <x:c r="F55" s="24" t="str">
        <x:v>Baird's slickhead</x:v>
      </x:c>
      <x:c r="G55" s="24" t="str">
        <x:v>Large bathydemersals (&gt;=90 cm)</x:v>
      </x:c>
      <x:c r="H55" s="24" t="str">
        <x:v>Salmon, smelts, etc</x:v>
      </x:c>
      <x:c r="I55" s="31" t="n">
        <x:v>0.1001014708</x:v>
      </x:c>
      <x:c r="J55" s="31" t="n">
        <x:v>0.1001014708</x:v>
      </x:c>
      <x:c r="K55" s="31" t="n">
        <x:v>0</x:v>
      </x:c>
      <x:c r="L55" s="31" t="n">
        <x:v>0.1001014708</x:v>
      </x:c>
      <x:c r="M55" s="31" t="n">
        <x:v>0</x:v>
      </x:c>
      <x:c r="N55" s="24" t="str">
        <x:v>alepocephalus bairdii</x:v>
      </x:c>
      <x:c r="O55" s="32" t="n">
        <x:v>3.69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Alepocephalus bairdii</x:v>
      </x:c>
      <x:c r="T55" s="32" t="n">
        <x:f>IF(O55="","",(1/'Metadata'!$B$5)^(O55-1))</x:f>
        <x:v>489.77881936844614</x:v>
      </x:c>
      <x:c r="U55" s="31" t="n">
        <x:f>IF(T55="","",I55*T55)</x:f>
        <x:v>49.027580185468985</x:v>
      </x:c>
    </x:row>
    <x:row r="56" ht="18" customHeight="1">
      <x:c r="A56" s="24" t="str">
        <x:v>LME_019</x:v>
      </x:c>
      <x:c r="B56" s="24" t="str">
        <x:v>Greenland Sea</x:v>
      </x:c>
      <x:c r="C56" s="24" t="str">
        <x:v>LME</x:v>
      </x:c>
      <x:c r="D56" s="30" t="n">
        <x:v>2019</x:v>
      </x:c>
      <x:c r="E56" s="24" t="str">
        <x:v>Gastropoda</x:v>
      </x:c>
      <x:c r="F56" s="24" t="str">
        <x:v>Sea snails</x:v>
      </x:c>
      <x:c r="G56" s="24" t="str">
        <x:v>Other demersal invertebrates</x:v>
      </x:c>
      <x:c r="H56" s="24" t="str">
        <x:v>Molluscs</x:v>
      </x:c>
      <x:c r="I56" s="31" t="n">
        <x:v>0.0881887505</x:v>
      </x:c>
      <x:c r="J56" s="31" t="n">
        <x:v>0</x:v>
      </x:c>
      <x:c r="K56" s="31" t="n">
        <x:v>0.0881887505</x:v>
      </x:c>
      <x:c r="L56" s="31" t="n">
        <x:v>0</x:v>
      </x:c>
      <x:c r="M56" s="31" t="n">
        <x:v>0.0881887505</x:v>
      </x:c>
      <x:c r="N56" s="24" t="str">
        <x:v>gastropoda</x:v>
      </x:c>
      <x:c r="O56" s="32" t="n">
        <x:v>3.06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Gastropoda</x:v>
      </x:c>
      <x:c r="T56" s="32" t="n">
        <x:f>IF(O56="","",(1/'Metadata'!$B$5)^(O56-1))</x:f>
        <x:v>114.81536214968828</x:v>
      </x:c>
      <x:c r="U56" s="31" t="n">
        <x:f>IF(T56="","",I56*T56)</x:f>
        <x:v>10.125423326186004</x:v>
      </x:c>
    </x:row>
    <x:row r="57" ht="18" customHeight="1">
      <x:c r="A57" s="24" t="str">
        <x:v>LME_019</x:v>
      </x:c>
      <x:c r="B57" s="24" t="str">
        <x:v>Greenland Sea</x:v>
      </x:c>
      <x:c r="C57" s="24" t="str">
        <x:v>LME</x:v>
      </x:c>
      <x:c r="D57" s="30" t="n">
        <x:v>2019</x:v>
      </x:c>
      <x:c r="E57" s="24" t="str">
        <x:v>Clupeiformes</x:v>
      </x:c>
      <x:c r="F57" s="24" t="str">
        <x:v>Herrings, shads, anchovies</x:v>
      </x:c>
      <x:c r="G57" s="24" t="str">
        <x:v>Small pelagics (&lt;30 cm)</x:v>
      </x:c>
      <x:c r="H57" s="24" t="str">
        <x:v>Other fishes &amp; inverts</x:v>
      </x:c>
      <x:c r="I57" s="31" t="n">
        <x:v>0.0438233537</x:v>
      </x:c>
      <x:c r="J57" s="31" t="n">
        <x:v>0.0438233537</x:v>
      </x:c>
      <x:c r="K57" s="31" t="n">
        <x:v>0</x:v>
      </x:c>
      <x:c r="L57" s="31" t="n">
        <x:v>0.0438233537</x:v>
      </x:c>
      <x:c r="M57" s="31" t="n">
        <x:v>0</x:v>
      </x:c>
      <x:c r="N57" s="24" t="str">
        <x:v>clupeiformes</x:v>
      </x:c>
      <x:c r="O57" s="32" t="n">
        <x:v>3.24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Clupeiformes</x:v>
      </x:c>
      <x:c r="T57" s="32" t="n">
        <x:f>IF(O57="","",(1/'Metadata'!$B$5)^(O57-1))</x:f>
        <x:v>173.78008287493762</x:v>
      </x:c>
      <x:c r="U57" s="31" t="n">
        <x:f>IF(T57="","",I57*T57)</x:f>
        <x:v>7.615626037843704</x:v>
      </x:c>
    </x:row>
    <x:row r="58" ht="18" customHeight="1">
      <x:c r="A58" s="24" t="str">
        <x:v>LME_019</x:v>
      </x:c>
      <x:c r="B58" s="24" t="str">
        <x:v>Greenland Sea</x:v>
      </x:c>
      <x:c r="C58" s="24" t="str">
        <x:v>LME</x:v>
      </x:c>
      <x:c r="D58" s="30" t="n">
        <x:v>2019</x:v>
      </x:c>
      <x:c r="E58" s="24" t="str">
        <x:v>Lamnidae</x:v>
      </x:c>
      <x:c r="F58" s="24" t="str">
        <x:v>Mackerel/white sharks</x:v>
      </x:c>
      <x:c r="G58" s="24" t="str">
        <x:v>Large sharks (&gt;=90 cm)</x:v>
      </x:c>
      <x:c r="H58" s="24" t="str">
        <x:v>Sharks &amp; rays</x:v>
      </x:c>
      <x:c r="I58" s="31" t="n">
        <x:v>0.017540601</x:v>
      </x:c>
      <x:c r="J58" s="31" t="n">
        <x:v>0.017540601</x:v>
      </x:c>
      <x:c r="K58" s="31" t="n">
        <x:v>0</x:v>
      </x:c>
      <x:c r="L58" s="31" t="n">
        <x:v>0.017540601</x:v>
      </x:c>
      <x:c r="M58" s="31" t="n">
        <x:v>0</x:v>
      </x:c>
      <x:c r="N58" s="24" t="str">
        <x:v>lamnidae</x:v>
      </x:c>
      <x:c r="O58" s="32" t="n">
        <x:v>4.5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Lamnidae</x:v>
      </x:c>
      <x:c r="T58" s="32" t="n">
        <x:f>IF(O58="","",(1/'Metadata'!$B$5)^(O58-1))</x:f>
        <x:v>3162.2776601683795</x:v>
      </x:c>
      <x:c r="U58" s="31" t="n">
        <x:f>IF(T58="","",I58*T58)</x:f>
        <x:v>55.46825068822714</x:v>
      </x:c>
    </x:row>
    <x:row r="59" ht="18" customHeight="1">
      <x:c r="A59" s="24" t="str">
        <x:v>LME_019</x:v>
      </x:c>
      <x:c r="B59" s="24" t="str">
        <x:v>Greenland Sea</x:v>
      </x:c>
      <x:c r="C59" s="24" t="str">
        <x:v>LME</x:v>
      </x:c>
      <x:c r="D59" s="30" t="n">
        <x:v>2019</x:v>
      </x:c>
      <x:c r="E59" s="24" t="str">
        <x:v>Pleuronectiformes</x:v>
      </x:c>
      <x:c r="F59" s="24" t="str">
        <x:v>Flatfishes</x:v>
      </x:c>
      <x:c r="G59" s="24" t="str">
        <x:v>Small to medium flatfishes (&lt;90 cm)</x:v>
      </x:c>
      <x:c r="H59" s="24" t="str">
        <x:v>Flatfishes</x:v>
      </x:c>
      <x:c r="I59" s="31" t="n">
        <x:v>0.0035191375999999996</x:v>
      </x:c>
      <x:c r="J59" s="31" t="n">
        <x:v>0.0035191375999999996</x:v>
      </x:c>
      <x:c r="K59" s="31" t="n">
        <x:v>0</x:v>
      </x:c>
      <x:c r="L59" s="31" t="n">
        <x:v>0.0035191375999999996</x:v>
      </x:c>
      <x:c r="M59" s="31" t="n">
        <x:v>0</x:v>
      </x:c>
      <x:c r="N59" s="24" t="str">
        <x:v>pleuronectiformes</x:v>
      </x:c>
      <x:c r="O59" s="32" t="n">
        <x:v>3.57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Pleuronectiformes</x:v>
      </x:c>
      <x:c r="T59" s="32" t="n">
        <x:f>IF(O59="","",(1/'Metadata'!$B$5)^(O59-1))</x:f>
        <x:v>371.5352290971724</x:v>
      </x:c>
      <x:c r="U59" s="31" t="n">
        <x:f>IF(T59="","",I59*T59)</x:f>
        <x:v>1.3074835944404735</x:v>
      </x:c>
    </x:row>
    <x:row r="60" ht="18" customHeight="1">
      <x:c r="A60" s="24" t="str">
        <x:v>LME_019</x:v>
      </x:c>
      <x:c r="B60" s="24" t="str">
        <x:v>Greenland Sea</x:v>
      </x:c>
      <x:c r="C60" s="24" t="str">
        <x:v>LME</x:v>
      </x:c>
      <x:c r="D60" s="30" t="n">
        <x:v>2019</x:v>
      </x:c>
      <x:c r="E60" s="24" t="str">
        <x:v>Dendrobranchiata</x:v>
      </x:c>
      <x:c r="F60" s="24" t="str">
        <x:v>Shrimps and prawns</x:v>
      </x:c>
      <x:c r="G60" s="24" t="str">
        <x:v>Shrimps</x:v>
      </x:c>
      <x:c r="H60" s="24" t="str">
        <x:v>Crustaceans</x:v>
      </x:c>
      <x:c r="I60" s="31" t="n">
        <x:v>0.0032707876</x:v>
      </x:c>
      <x:c r="J60" s="31" t="n">
        <x:v>0.0032707876</x:v>
      </x:c>
      <x:c r="K60" s="31" t="n">
        <x:v>0</x:v>
      </x:c>
      <x:c r="L60" s="31" t="n">
        <x:v>0.0032707876</x:v>
      </x:c>
      <x:c r="M60" s="31" t="n">
        <x:v>0</x:v>
      </x:c>
      <x:c r="N60" s="24" t="str">
        <x:v>dendrobranchiata</x:v>
      </x:c>
      <x:c r="O60" s="32" t="n">
        <x:v>3.24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Dendrobranchiata</x:v>
      </x:c>
      <x:c r="T60" s="32" t="n">
        <x:f>IF(O60="","",(1/'Metadata'!$B$5)^(O60-1))</x:f>
        <x:v>173.78008287493762</x:v>
      </x:c>
      <x:c r="U60" s="31" t="n">
        <x:f>IF(T60="","",I60*T60)</x:f>
        <x:v>0.5683977401943183</x:v>
      </x:c>
    </x:row>
    <x:row r="61" ht="18" customHeight="1">
      <x:c r="A61" s="24" t="str">
        <x:v>LME_019</x:v>
      </x:c>
      <x:c r="B61" s="24" t="str">
        <x:v>Greenland Sea</x:v>
      </x:c>
      <x:c r="C61" s="24" t="str">
        <x:v>LME</x:v>
      </x:c>
      <x:c r="D61" s="30" t="n">
        <x:v>2019</x:v>
      </x:c>
      <x:c r="E61" s="24" t="str">
        <x:v>Osteichthyes</x:v>
      </x:c>
      <x:c r="F61" s="24" t="str">
        <x:v>Bony fishes</x:v>
      </x:c>
      <x:c r="G61" s="24" t="str">
        <x:v>Medium demersals (30 - 89 cm)</x:v>
      </x:c>
      <x:c r="H61" s="24" t="str">
        <x:v>Other fishes &amp; inverts</x:v>
      </x:c>
      <x:c r="I61" s="31" t="n">
        <x:v>0.0026986463</x:v>
      </x:c>
      <x:c r="J61" s="31" t="n">
        <x:v>0.0026986463</x:v>
      </x:c>
      <x:c r="K61" s="31" t="n">
        <x:v>0</x:v>
      </x:c>
      <x:c r="L61" s="31" t="n">
        <x:v>0.0026986463</x:v>
      </x:c>
      <x:c r="M61" s="31" t="n">
        <x:v>0</x:v>
      </x:c>
      <x:c r="N61" s="24" t="str">
        <x:v>osteichthyes</x:v>
      </x:c>
      <x:c r="O61" s="32" t="n">
        <x:v>3.79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Osteichthyes</x:v>
      </x:c>
      <x:c r="T61" s="32" t="n">
        <x:f>IF(O61="","",(1/'Metadata'!$B$5)^(O61-1))</x:f>
        <x:v>616.5950018614822</x:v>
      </x:c>
      <x:c r="U61" s="31" t="n">
        <x:f>IF(T61="","",I61*T61)</x:f>
        <x:v>1.663971820371982</x:v>
      </x:c>
    </x:row>
    <x:row r="62" ht="18" customHeight="1">
      <x:c r="A62" s="24" t="str">
        <x:v>LME_019</x:v>
      </x:c>
      <x:c r="B62" s="24" t="str">
        <x:v>Greenland Sea</x:v>
      </x:c>
      <x:c r="C62" s="24" t="str">
        <x:v>LME</x:v>
      </x:c>
      <x:c r="D62" s="30" t="n">
        <x:v>2019</x:v>
      </x:c>
      <x:c r="E62" s="24" t="str">
        <x:v>Rajella lintea</x:v>
      </x:c>
      <x:c r="F62" s="24" t="str">
        <x:v>Sailray</x:v>
      </x:c>
      <x:c r="G62" s="24" t="str">
        <x:v>Large rays (&gt;=90 cm)</x:v>
      </x:c>
      <x:c r="H62" s="24" t="str">
        <x:v>Sharks &amp; rays</x:v>
      </x:c>
      <x:c r="I62" s="31" t="n">
        <x:v>0.002278616</x:v>
      </x:c>
      <x:c r="J62" s="31" t="n">
        <x:v>0.0022604265</x:v>
      </x:c>
      <x:c r="K62" s="31" t="n">
        <x:v>0.0000181895</x:v>
      </x:c>
      <x:c r="L62" s="31" t="n">
        <x:v>0.0022604265</x:v>
      </x:c>
      <x:c r="M62" s="31" t="n">
        <x:v>0.0000181895</x:v>
      </x:c>
      <x:c r="N62" s="24" t="str">
        <x:v>rajella lintea</x:v>
      </x:c>
      <x:c r="O62" s="32" t="n">
        <x:v>3.62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Rajella lintea</x:v>
      </x:c>
      <x:c r="T62" s="32" t="n">
        <x:f>IF(O62="","",(1/'Metadata'!$B$5)^(O62-1))</x:f>
        <x:v>416.8693834703355</x:v>
      </x:c>
      <x:c r="U62" s="31" t="n">
        <x:f>IF(T62="","",I62*T62)</x:f>
        <x:v>0.9498852470856419</x:v>
      </x:c>
    </x:row>
    <x:row r="63" ht="18" customHeight="1">
      <x:c r="A63" s="24" t="str">
        <x:v>LME_019</x:v>
      </x:c>
      <x:c r="B63" s="24" t="str">
        <x:v>Greenland Sea</x:v>
      </x:c>
      <x:c r="C63" s="24" t="str">
        <x:v>LME</x:v>
      </x:c>
      <x:c r="D63" s="30" t="n">
        <x:v>2019</x:v>
      </x:c>
      <x:c r="E63" s="24" t="str">
        <x:v>Maurolicus muelleri</x:v>
      </x:c>
      <x:c r="F63" s="24" t="str">
        <x:v>Silvery lightfish</x:v>
      </x:c>
      <x:c r="G63" s="24" t="str">
        <x:v>Small bathypelagics (&lt;30 cm)</x:v>
      </x:c>
      <x:c r="H63" s="24" t="str">
        <x:v>Other fishes &amp; inverts</x:v>
      </x:c>
      <x:c r="I63" s="31" t="n">
        <x:v>0.0022309099</x:v>
      </x:c>
      <x:c r="J63" s="31" t="n">
        <x:v>0</x:v>
      </x:c>
      <x:c r="K63" s="31" t="n">
        <x:v>0.0022309099</x:v>
      </x:c>
      <x:c r="L63" s="31" t="n">
        <x:v>0</x:v>
      </x:c>
      <x:c r="M63" s="31" t="n">
        <x:v>0.0022309099</x:v>
      </x:c>
      <x:c r="N63" s="24" t="str">
        <x:v>maurolicus muelleri</x:v>
      </x:c>
      <x:c r="O63" s="32" t="n">
        <x:v>3.01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Maurolicus muelleri</x:v>
      </x:c>
      <x:c r="T63" s="32" t="n">
        <x:f>IF(O63="","",(1/'Metadata'!$B$5)^(O63-1))</x:f>
        <x:v>102.32929922807536</x:v>
      </x:c>
      <x:c r="U63" s="31" t="n">
        <x:f>IF(T63="","",I63*T63)</x:f>
        <x:v>0.22828744670797566</x:v>
      </x:c>
    </x:row>
    <x:row r="64" ht="18" customHeight="1">
      <x:c r="A64" s="24" t="str">
        <x:v>LME_019</x:v>
      </x:c>
      <x:c r="B64" s="24" t="str">
        <x:v>Greenland Sea</x:v>
      </x:c>
      <x:c r="C64" s="24" t="str">
        <x:v>LME</x:v>
      </x:c>
      <x:c r="D64" s="30" t="n">
        <x:v>2019</x:v>
      </x:c>
      <x:c r="E64" s="24" t="str">
        <x:v>Carangidae</x:v>
      </x:c>
      <x:c r="F64" s="24" t="str">
        <x:v>Jacks, pompanos</x:v>
      </x:c>
      <x:c r="G64" s="24" t="str">
        <x:v>Medium pelagics (30 - 89 cm)</x:v>
      </x:c>
      <x:c r="H64" s="24" t="str">
        <x:v>Perch-likes</x:v>
      </x:c>
      <x:c r="I64" s="31" t="n">
        <x:v>0.0018128188</x:v>
      </x:c>
      <x:c r="J64" s="31" t="n">
        <x:v>0</x:v>
      </x:c>
      <x:c r="K64" s="31" t="n">
        <x:v>0.0018128188</x:v>
      </x:c>
      <x:c r="L64" s="31" t="n">
        <x:v>0</x:v>
      </x:c>
      <x:c r="M64" s="31" t="n">
        <x:v>0.0018128188</x:v>
      </x:c>
      <x:c r="N64" s="24" t="str">
        <x:v>carangidae</x:v>
      </x:c>
      <x:c r="O64" s="32" t="n">
        <x:v>4.05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Carangidae</x:v>
      </x:c>
      <x:c r="T64" s="32" t="n">
        <x:f>IF(O64="","",(1/'Metadata'!$B$5)^(O64-1))</x:f>
        <x:v>1122.018454301963</x:v>
      </x:c>
      <x:c r="U64" s="31" t="n">
        <x:f>IF(T64="","",I64*T64)</x:f>
        <x:v>2.034016147905539</x:v>
      </x:c>
    </x:row>
    <x:row r="65" ht="18" customHeight="1">
      <x:c r="A65" s="24" t="str">
        <x:v>LME_019</x:v>
      </x:c>
      <x:c r="B65" s="24" t="str">
        <x:v>Greenland Sea</x:v>
      </x:c>
      <x:c r="C65" s="24" t="str">
        <x:v>LME</x:v>
      </x:c>
      <x:c r="D65" s="30" t="n">
        <x:v>2019</x:v>
      </x:c>
      <x:c r="E65" s="24" t="str">
        <x:v>Triglidae</x:v>
      </x:c>
      <x:c r="F65" s="24" t="str">
        <x:v>Searobins, gurnards</x:v>
      </x:c>
      <x:c r="G65" s="24" t="str">
        <x:v>Medium demersals (30 - 89 cm)</x:v>
      </x:c>
      <x:c r="H65" s="24" t="str">
        <x:v>Scorpionfishes</x:v>
      </x:c>
      <x:c r="I65" s="31" t="n">
        <x:v>0.0003618012</x:v>
      </x:c>
      <x:c r="J65" s="31" t="n">
        <x:v>0.00017193419999999998</x:v>
      </x:c>
      <x:c r="K65" s="31" t="n">
        <x:v>0.000189867</x:v>
      </x:c>
      <x:c r="L65" s="31" t="n">
        <x:v>0.00017193419999999998</x:v>
      </x:c>
      <x:c r="M65" s="31" t="n">
        <x:v>0.000189867</x:v>
      </x:c>
      <x:c r="N65" s="24" t="str">
        <x:v>triglidae</x:v>
      </x:c>
      <x:c r="O65" s="32" t="n">
        <x:v>3.74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Triglidae</x:v>
      </x:c>
      <x:c r="T65" s="32" t="n">
        <x:f>IF(O65="","",(1/'Metadata'!$B$5)^(O65-1))</x:f>
        <x:v>549.5408738576248</x:v>
      </x:c>
      <x:c r="U65" s="31" t="n">
        <x:f>IF(T65="","",I65*T65)</x:f>
        <x:v>0.19882454761073726</x:v>
      </x:c>
    </x:row>
  </x:sheetData>
  <x:conditionalFormatting sqref="R2:R6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6b1410cc5ab4a7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36494.180468461804</x:v>
      </x:c>
      <x:c r="C2" s="32" t="n">
        <x:v>4.087992000070825</x:v>
      </x:c>
      <x:c r="D2" s="32" t="n">
        <x:f>IF(C2="","",(1/'Metadata'!$B$5)^(C2-1))</x:f>
        <x:v>1224.5936414084836</x:v>
      </x:c>
      <x:c r="E2" s="31" t="n">
        <x:f>IF(B2=0,"",B2*D2)</x:f>
        <x:v>44690541.350092</x:v>
      </x:c>
    </x:row>
    <x:row r="3" ht="18" customHeight="1">
      <x:c r="A3" s="24" t="str">
        <x:v>Crustaceans</x:v>
      </x:c>
      <x:c r="B3" s="31" t="n">
        <x:v>991.5554287606999</x:v>
      </x:c>
      <x:c r="C3" s="32" t="n">
        <x:v>3.0549785641321523</x:v>
      </x:c>
      <x:c r="D3" s="32" t="n">
        <x:f>IF(C3="","",(1/'Metadata'!$B$5)^(C3-1))</x:f>
        <x:v>113.49547952934326</x:v>
      </x:c>
      <x:c r="E3" s="31" t="n">
        <x:f>IF(B3=0,"",B3*D3)</x:f>
        <x:v>112537.0588671192</x:v>
      </x:c>
    </x:row>
    <x:row r="4" ht="18" customHeight="1">
      <x:c r="A4" s="24" t="str">
        <x:v>Flatfishes</x:v>
      </x:c>
      <x:c r="B4" s="31" t="n">
        <x:v>7446.7601847677</x:v>
      </x:c>
      <x:c r="C4" s="32" t="n">
        <x:v>4.340069594008816</x:v>
      </x:c>
      <x:c r="D4" s="32" t="n">
        <x:f>IF(C4="","",(1/'Metadata'!$B$5)^(C4-1))</x:f>
        <x:v>2188.1122323682325</x:v>
      </x:c>
      <x:c r="E4" s="31" t="n">
        <x:f>IF(B4=0,"",B4*D4)</x:f>
        <x:v>16294347.051802924</x:v>
      </x:c>
    </x:row>
    <x:row r="5" ht="18" customHeight="1">
      <x:c r="A5" s="24" t="str">
        <x:v>Herring-likes</x:v>
      </x:c>
      <x:c r="B5" s="31" t="n">
        <x:v>171.6707849823</x:v>
      </x:c>
      <x:c r="C5" s="32" t="n">
        <x:v>3.3797403909517825</x:v>
      </x:c>
      <x:c r="D5" s="32" t="n">
        <x:f>IF(C5="","",(1/'Metadata'!$B$5)^(C5-1))</x:f>
        <x:v>239.73993925527216</x:v>
      </x:c>
      <x:c r="E5" s="31" t="n">
        <x:f>IF(B5=0,"",B5*D5)</x:f>
        <x:v>41156.343563561495</x:v>
      </x:c>
    </x:row>
    <x:row r="6" ht="18" customHeight="1">
      <x:c r="A6" s="24" t="str">
        <x:v>Molluscs</x:v>
      </x:c>
      <x:c r="B6" s="31" t="n">
        <x:v>15.614821926900001</x:v>
      </x:c>
      <x:c r="C6" s="32" t="n">
        <x:v>3.1840236693911805</x:v>
      </x:c>
      <x:c r="D6" s="32" t="n">
        <x:f>IF(C6="","",(1/'Metadata'!$B$5)^(C6-1))</x:f>
        <x:v>152.76493140596213</x:v>
      </x:c>
      <x:c r="E6" s="31" t="n">
        <x:f>IF(B6=0,"",B6*D6)</x:f>
        <x:v>2385.397200579192</x:v>
      </x:c>
    </x:row>
    <x:row r="7" ht="18" customHeight="1">
      <x:c r="A7" s="24" t="str">
        <x:v>Other fishes &amp; inverts</x:v>
      </x:c>
      <x:c r="B7" s="31" t="n">
        <x:v>32942.1627605002</x:v>
      </x:c>
      <x:c r="C7" s="32" t="n">
        <x:v>3.2799712594665524</x:v>
      </x:c>
      <x:c r="D7" s="32" t="n">
        <x:f>IF(C7="","",(1/'Metadata'!$B$5)^(C7-1))</x:f>
        <x:v>190.53346234634367</x:v>
      </x:c>
      <x:c r="E7" s="31" t="n">
        <x:f>IF(B7=0,"",B7*D7)</x:f>
        <x:v>6276584.327934889</x:v>
      </x:c>
    </x:row>
    <x:row r="8" ht="18" customHeight="1">
      <x:c r="A8" s="24" t="str">
        <x:v>Perch-likes</x:v>
      </x:c>
      <x:c r="B8" s="31" t="n">
        <x:v>304.30787965790006</x:v>
      </x:c>
      <x:c r="C8" s="32" t="n">
        <x:v>3.5788916252842506</x:v>
      </x:c>
      <x:c r="D8" s="32" t="n">
        <x:f>IF(C8="","",(1/'Metadata'!$B$5)^(C8-1))</x:f>
        <x:v>379.2203417610467</x:v>
      </x:c>
      <x:c r="E8" s="31" t="n">
        <x:f>IF(B8=0,"",B8*D8)</x:f>
        <x:v>115399.73812444834</x:v>
      </x:c>
    </x:row>
    <x:row r="9" ht="18" customHeight="1">
      <x:c r="A9" s="24" t="str">
        <x:v>Salmon, smelts, etc</x:v>
      </x:c>
      <x:c r="B9" s="31" t="n">
        <x:v>36.434822630300005</x:v>
      </x:c>
      <x:c r="C9" s="32" t="n">
        <x:v>4.226722966699646</x:v>
      </x:c>
      <x:c r="D9" s="32" t="n">
        <x:f>IF(C9="","",(1/'Metadata'!$B$5)^(C9-1))</x:f>
        <x:v>1685.4775285076048</x:v>
      </x:c>
      <x:c r="E9" s="31" t="n">
        <x:f>IF(B9=0,"",B9*D9)</x:f>
        <x:v>61410.074798531</x:v>
      </x:c>
    </x:row>
    <x:row r="10" ht="18" customHeight="1">
      <x:c r="A10" s="24" t="str">
        <x:v>Scorpionfishes</x:v>
      </x:c>
      <x:c r="B10" s="31" t="n">
        <x:v>8432.802223788201</x:v>
      </x:c>
      <x:c r="C10" s="32" t="n">
        <x:v>3.8974046333511767</x:v>
      </x:c>
      <x:c r="D10" s="32" t="n">
        <x:f>IF(C10="","",(1/'Metadata'!$B$5)^(C10-1))</x:f>
        <x:v>789.5954432370964</x:v>
      </x:c>
      <x:c r="E10" s="31" t="n">
        <x:f>IF(B10=0,"",B10*D10)</x:f>
        <x:v>6658502.209622817</x:v>
      </x:c>
    </x:row>
    <x:row r="11" ht="18" customHeight="1">
      <x:c r="A11" s="24" t="str">
        <x:v>Sharks &amp; rays</x:v>
      </x:c>
      <x:c r="B11" s="31" t="n">
        <x:v>258.3341982442</x:v>
      </x:c>
      <x:c r="C11" s="32" t="n">
        <x:v>4.117510165506271</x:v>
      </x:c>
      <x:c r="D11" s="32" t="n">
        <x:f>IF(C11="","",(1/'Metadata'!$B$5)^(C11-1))</x:f>
        <x:v>1310.7207219725112</x:v>
      </x:c>
      <x:c r="E11" s="31" t="n">
        <x:f>IF(B11=0,"",B11*D11)</x:f>
        <x:v>338603.9868328277</x:v>
      </x:c>
    </x:row>
  </x:sheetData>
  <x:pageMargins left="0.7" right="0.7" top="0.75" bottom="0.75" header="0.3" footer="0.3"/>
  <x:tableParts count="1">
    <x:tablePart xmlns:r="http://schemas.openxmlformats.org/officeDocument/2006/relationships" r:id="R9b816b22e974450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19.6936668453</x:v>
      </x:c>
      <x:c r="C2" s="32" t="n">
        <x:v>3.81</x:v>
      </x:c>
      <x:c r="D2" s="32" t="n">
        <x:f>IF(C2="","",(1/'Metadata'!$B$5)^(C2-1))</x:f>
        <x:v>645.6542290346556</x:v>
      </x:c>
      <x:c r="E2" s="31" t="n">
        <x:f>IF(B2=0,"",B2*D2)</x:f>
        <x:v>12715.29928386753</x:v>
      </x:c>
    </x:row>
    <x:row r="3" ht="18" customHeight="1">
      <x:c r="A3" s="24" t="str">
        <x:v>Large bathydemersals (&gt;=90 cm)</x:v>
      </x:c>
      <x:c r="B3" s="31" t="n">
        <x:v>0.9883836954</x:v>
      </x:c>
      <x:c r="C3" s="32" t="n">
        <x:v>4.283156555459707</x:v>
      </x:c>
      <x:c r="D3" s="32" t="n">
        <x:f>IF(C3="","",(1/'Metadata'!$B$5)^(C3-1))</x:f>
        <x:v>1919.360511407033</x:v>
      </x:c>
      <x:c r="E3" s="31" t="n">
        <x:f>IF(B3=0,"",B3*D3)</x:f>
        <x:v>1897.0646350693173</x:v>
      </x:c>
    </x:row>
    <x:row r="4" ht="18" customHeight="1">
      <x:c r="A4" s="24" t="str">
        <x:v>Large bathypelagics (&gt;=90 cm)</x:v>
      </x:c>
      <x:c r="B4" s="31" t="n">
        <x:v>59.4047536078</x:v>
      </x:c>
      <x:c r="C4" s="32" t="n">
        <x:v>3.54</x:v>
      </x:c>
      <x:c r="D4" s="32" t="n">
        <x:f>IF(C4="","",(1/'Metadata'!$B$5)^(C4-1))</x:f>
        <x:v>346.73685045253166</x:v>
      </x:c>
      <x:c r="E4" s="31" t="n">
        <x:f>IF(B4=0,"",B4*D4)</x:f>
        <x:v>20597.817167877238</x:v>
      </x:c>
    </x:row>
    <x:row r="5" ht="18" customHeight="1">
      <x:c r="A5" s="24" t="str">
        <x:v>Large benthopelagics (&gt;=90 cm)</x:v>
      </x:c>
      <x:c r="B5" s="31" t="n">
        <x:v>35792.5353900097</x:v>
      </x:c>
      <x:c r="C5" s="32" t="n">
        <x:v>4.089420348093844</x:v>
      </x:c>
      <x:c r="D5" s="32" t="n">
        <x:f>IF(C5="","",(1/'Metadata'!$B$5)^(C5-1))</x:f>
        <x:v>1228.6278290678235</x:v>
      </x:c>
      <x:c r="E5" s="31" t="n">
        <x:f>IF(B5=0,"",B5*D5)</x:f>
        <x:v>43975705.05306087</x:v>
      </x:c>
    </x:row>
    <x:row r="6" ht="18" customHeight="1">
      <x:c r="A6" s="24" t="str">
        <x:v>Large demersals (&gt;=90 cm)</x:v>
      </x:c>
      <x:c r="B6" s="31" t="n">
        <x:v>204.8894684317</x:v>
      </x:c>
      <x:c r="C6" s="32" t="n">
        <x:v>3.8147876204790436</x:v>
      </x:c>
      <x:c r="D6" s="32" t="n">
        <x:f>IF(C6="","",(1/'Metadata'!$B$5)^(C6-1))</x:f>
        <x:v>652.8112355741392</x:v>
      </x:c>
      <x:c r="E6" s="31" t="n">
        <x:f>IF(B6=0,"",B6*D6)</x:f>
        <x:v>133754.1470430267</x:v>
      </x:c>
    </x:row>
    <x:row r="7" ht="18" customHeight="1">
      <x:c r="A7" s="24" t="str">
        <x:v>Large flatfishes (&gt;=90 cm)</x:v>
      </x:c>
      <x:c r="B7" s="31" t="n">
        <x:v>270.2104224354</x:v>
      </x:c>
      <x:c r="C7" s="32" t="n">
        <x:v>3.283457786068275</x:v>
      </x:c>
      <x:c r="D7" s="32" t="n">
        <x:f>IF(C7="","",(1/'Metadata'!$B$5)^(C7-1))</x:f>
        <x:v>192.06922591436887</x:v>
      </x:c>
      <x:c r="E7" s="31" t="n">
        <x:f>IF(B7=0,"",B7*D7)</x:f>
        <x:v>51899.10667116189</x:v>
      </x:c>
    </x:row>
    <x:row r="8" ht="18" customHeight="1">
      <x:c r="A8" s="24" t="str">
        <x:v>Large rays (&gt;=90 cm)</x:v>
      </x:c>
      <x:c r="B8" s="31" t="n">
        <x:v>3.0012971168999996</x:v>
      </x:c>
      <x:c r="C8" s="32" t="n">
        <x:v>3.7971725273775077</x:v>
      </x:c>
      <x:c r="D8" s="32" t="n">
        <x:f>IF(C8="","",(1/'Metadata'!$B$5)^(C8-1))</x:f>
        <x:v>626.8628421002716</x:v>
      </x:c>
      <x:c r="E8" s="31" t="n">
        <x:f>IF(B8=0,"",B8*D8)</x:f>
        <x:v>1881.4016406872847</x:v>
      </x:c>
    </x:row>
    <x:row r="9" ht="18" customHeight="1">
      <x:c r="A9" s="24" t="str">
        <x:v>Large reef assoc. fish (&gt;=90 cm)</x:v>
      </x:c>
      <x:c r="B9" s="31" t="n">
        <x:v>94.7742200645</x:v>
      </x:c>
      <x:c r="C9" s="32" t="n">
        <x:v>3.7899999999999996</x:v>
      </x:c>
      <x:c r="D9" s="32" t="n">
        <x:f>IF(C9="","",(1/'Metadata'!$B$5)^(C9-1))</x:f>
        <x:v>616.5950018614816</x:v>
      </x:c>
      <x:c r="E9" s="31" t="n">
        <x:f>IF(B9=0,"",B9*D9)</x:f>
        <x:v>58437.31039709084</x:v>
      </x:c>
    </x:row>
    <x:row r="10" ht="18" customHeight="1">
      <x:c r="A10" s="24" t="str">
        <x:v>Large sharks (&gt;=90 cm)</x:v>
      </x:c>
      <x:c r="B10" s="31" t="n">
        <x:v>255.3329011273</x:v>
      </x:c>
      <x:c r="C10" s="32" t="n">
        <x:v>4.121275557375105</x:v>
      </x:c>
      <x:c r="D10" s="32" t="n">
        <x:f>IF(C10="","",(1/'Metadata'!$B$5)^(C10-1))</x:f>
        <x:v>1322.134254762461</x:v>
      </x:c>
      <x:c r="E10" s="31" t="n">
        <x:f>IF(B10=0,"",B10*D10)</x:f>
        <x:v>337584.37494827993</x:v>
      </x:c>
    </x:row>
    <x:row r="11" ht="18" customHeight="1">
      <x:c r="A11" s="24" t="str">
        <x:v>Lobsters, crabs</x:v>
      </x:c>
      <x:c r="B11" s="31" t="n">
        <x:v>14.6554642644</x:v>
      </x:c>
      <x:c r="C11" s="32" t="n">
        <x:v>2.6</x:v>
      </x:c>
      <x:c r="D11" s="32" t="n">
        <x:f>IF(C11="","",(1/'Metadata'!$B$5)^(C11-1))</x:f>
        <x:v>39.810717055349734</x:v>
      </x:c>
      <x:c r="E11" s="31" t="n">
        <x:f>IF(B11=0,"",B11*D11)</x:f>
        <x:v>583.4445411448177</x:v>
      </x:c>
    </x:row>
    <x:row r="12" ht="18" customHeight="1">
      <x:c r="A12" s="24" t="str">
        <x:v>Medium bathydemersals (30 - 89 cm)</x:v>
      </x:c>
      <x:c r="B12" s="31" t="n">
        <x:v>1.8564794302000003</x:v>
      </x:c>
      <x:c r="C12" s="32" t="n">
        <x:v>3.582372222076021</x:v>
      </x:c>
      <x:c r="D12" s="32" t="n">
        <x:f>IF(C12="","",(1/'Metadata'!$B$5)^(C12-1))</x:f>
        <x:v>382.27176528671333</x:v>
      </x:c>
      <x:c r="E12" s="31" t="n">
        <x:f>IF(B12=0,"",B12*D12)</x:f>
        <x:v>709.6796690010258</x:v>
      </x:c>
    </x:row>
    <x:row r="13" ht="18" customHeight="1">
      <x:c r="A13" s="24" t="str">
        <x:v>Medium bathypelagics (30 - 89 cm)</x:v>
      </x:c>
      <x:c r="B13" s="31" t="n">
        <x:v>3016.3923402471</x:v>
      </x:c>
      <x:c r="C13" s="32" t="n">
        <x:v>3.65</x:v>
      </x:c>
      <x:c r="D13" s="32" t="n">
        <x:f>IF(C13="","",(1/'Metadata'!$B$5)^(C13-1))</x:f>
        <x:v>446.683592150963</x:v>
      </x:c>
      <x:c r="E13" s="31" t="n">
        <x:f>IF(B13=0,"",B13*D13)</x:f>
        <x:v>1347372.9658782245</x:v>
      </x:c>
    </x:row>
    <x:row r="14" ht="18" customHeight="1">
      <x:c r="A14" s="24" t="str">
        <x:v>Medium benthopelagics (30 - 89 cm)</x:v>
      </x:c>
      <x:c r="B14" s="31" t="n">
        <x:v>5446.623828442399</x:v>
      </x:c>
      <x:c r="C14" s="32" t="n">
        <x:v>4.041012672554171</x:v>
      </x:c>
      <x:c r="D14" s="32" t="n">
        <x:f>IF(C14="","",(1/'Metadata'!$B$5)^(C14-1))</x:f>
        <x:v>1099.037908488915</x:v>
      </x:c>
      <x:c r="E14" s="31" t="n">
        <x:f>IF(B14=0,"",B14*D14)</x:f>
        <x:v>5986046.0607372215</x:v>
      </x:c>
    </x:row>
    <x:row r="15" ht="18" customHeight="1">
      <x:c r="A15" s="24" t="str">
        <x:v>Medium demersals (30 - 89 cm)</x:v>
      </x:c>
      <x:c r="B15" s="31" t="n">
        <x:v>33553.5030981065</x:v>
      </x:c>
      <x:c r="C15" s="32" t="n">
        <x:v>3.2922577039234304</x:v>
      </x:c>
      <x:c r="D15" s="32" t="n">
        <x:f>IF(C15="","",(1/'Metadata'!$B$5)^(C15-1))</x:f>
        <x:v>196.000736789754</x:v>
      </x:c>
      <x:c r="E15" s="31" t="n">
        <x:f>IF(B15=0,"",B15*D15)</x:f>
        <x:v>6576511.329106167</x:v>
      </x:c>
    </x:row>
    <x:row r="16" ht="18" customHeight="1">
      <x:c r="A16" s="24" t="str">
        <x:v>Medium pelagics (30 - 89 cm)</x:v>
      </x:c>
      <x:c r="B16" s="31" t="n">
        <x:v>171.4700192143</x:v>
      </x:c>
      <x:c r="C16" s="32" t="n">
        <x:v>3.3800070833875306</x:v>
      </x:c>
      <x:c r="D16" s="32" t="n">
        <x:f>IF(C16="","",(1/'Metadata'!$B$5)^(C16-1))</x:f>
        <x:v>239.8872044549436</x:v>
      </x:c>
      <x:c r="E16" s="31" t="n">
        <x:f>IF(B16=0,"",B16*D16)</x:f>
        <x:v>41133.4635571539</x:v>
      </x:c>
    </x:row>
    <x:row r="17" ht="18" customHeight="1">
      <x:c r="A17" s="24" t="str">
        <x:v>Other demersal invertebrates</x:v>
      </x:c>
      <x:c r="B17" s="31" t="n">
        <x:v>28.7398449498</x:v>
      </x:c>
      <x:c r="C17" s="32" t="n">
        <x:v>2.876207945465351</x:v>
      </x:c>
      <x:c r="D17" s="32" t="n">
        <x:f>IF(C17="","",(1/'Metadata'!$B$5)^(C17-1))</x:f>
        <x:v>75.1982866348731</x:v>
      </x:c>
      <x:c r="E17" s="31" t="n">
        <x:f>IF(B17=0,"",B17*D17)</x:f>
        <x:v>2161.1870983768704</x:v>
      </x:c>
    </x:row>
    <x:row r="18" ht="18" customHeight="1">
      <x:c r="A18" s="24" t="str">
        <x:v>Shrimps</x:v>
      </x:c>
      <x:c r="B18" s="31" t="n">
        <x:v>976.8999644962998</x:v>
      </x:c>
      <x:c r="C18" s="32" t="n">
        <x:v>3.061804157672986</x:v>
      </x:c>
      <x:c r="D18" s="32" t="n">
        <x:f>IF(C18="","",(1/'Metadata'!$B$5)^(C18-1))</x:f>
        <x:v>115.29332326901475</x:v>
      </x:c>
      <x:c r="E18" s="31" t="n">
        <x:f>IF(B18=0,"",B18*D18)</x:f>
        <x:v>112630.04340816093</x:v>
      </x:c>
    </x:row>
    <x:row r="19" ht="18" customHeight="1">
      <x:c r="A19" s="24" t="str">
        <x:v>Small bathypelagics (&lt;30 cm)</x:v>
      </x:c>
      <x:c r="B19" s="31" t="n">
        <x:v>0.0022309099</x:v>
      </x:c>
      <x:c r="C19" s="32" t="n">
        <x:v>3.01</x:v>
      </x:c>
      <x:c r="D19" s="32" t="n">
        <x:f>IF(C19="","",(1/'Metadata'!$B$5)^(C19-1))</x:f>
        <x:v>102.32929922807536</x:v>
      </x:c>
      <x:c r="E19" s="31" t="n">
        <x:f>IF(B19=0,"",B19*D19)</x:f>
        <x:v>0.22828744670797566</x:v>
      </x:c>
    </x:row>
    <x:row r="20" ht="18" customHeight="1">
      <x:c r="A20" s="24" t="str">
        <x:v>Small pelagics (&lt;30 cm)</x:v>
      </x:c>
      <x:c r="B20" s="31" t="n">
        <x:v>6.300037992999999</x:v>
      </x:c>
      <x:c r="C20" s="32" t="n">
        <x:v>3.150947595507779</x:v>
      </x:c>
      <x:c r="D20" s="32" t="n">
        <x:f>IF(C20="","",(1/'Metadata'!$B$5)^(C20-1))</x:f>
        <x:v>141.56229523710468</x:v>
      </x:c>
      <x:c r="E20" s="31" t="n">
        <x:f>IF(B20=0,"",B20*D20)</x:f>
        <x:v>891.8478383700423</x:v>
      </x:c>
    </x:row>
    <x:row r="21" ht="18" customHeight="1">
      <x:c r="A21" s="24" t="str">
        <x:v>Small to medium flatfishes (&lt;90 cm)</x:v>
      </x:c>
      <x:c r="B21" s="31" t="n">
        <x:v>7176.5497623323</x:v>
      </x:c>
      <x:c r="C21" s="32" t="n">
        <x:v>4.379852990268728</x:v>
      </x:c>
      <x:c r="D21" s="32" t="n">
        <x:f>IF(C21="","",(1/'Metadata'!$B$5)^(C21-1))</x:f>
        <x:v>2398.0210456997092</x:v>
      </x:c>
      <x:c r="E21" s="31" t="n">
        <x:f>IF(B21=0,"",B21*D21)</x:f>
        <x:v>17209517.3655841</x:v>
      </x:c>
    </x:row>
  </x:sheetData>
  <x:pageMargins left="0.7" right="0.7" top="0.75" bottom="0.75" header="0.3" footer="0.3"/>
  <x:tableParts count="1">
    <x:tablePart xmlns:r="http://schemas.openxmlformats.org/officeDocument/2006/relationships" r:id="R0d6d5c69fb6b490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LME_019</x:v>
      </x:c>
      <x:c r="B2" s="24" t="str">
        <x:v>raw_filtered_tonnes</x:v>
      </x:c>
      <x:c r="C2" s="24" t="n">
        <x:v>87093.82357372019</x:v>
      </x:c>
      <x:c r="D2" s="24" t="str">
        <x:v>tonnes</x:v>
      </x:c>
    </x:row>
    <x:row r="3" ht="18" customHeight="1">
      <x:c r="A3" s="24" t="str">
        <x:v>LME_019</x:v>
      </x:c>
      <x:c r="B3" s="24" t="str">
        <x:v>species_catch_tonnes</x:v>
      </x:c>
      <x:c r="C3" s="24" t="n">
        <x:v>87093.8235737202</x:v>
      </x:c>
      <x:c r="D3" s="24" t="str">
        <x:v>tonnes</x:v>
      </x:c>
    </x:row>
    <x:row r="4" ht="18" customHeight="1">
      <x:c r="A4" s="24" t="str">
        <x:v>LME_019</x:v>
      </x:c>
      <x:c r="B4" s="24" t="str">
        <x:v>catch_difference_tonnes</x:v>
      </x:c>
      <x:c r="C4" s="24" t="n">
        <x:v>1.4551915228366852e-11</x:v>
      </x:c>
      <x:c r="D4" s="24" t="str">
        <x:v>tonnes</x:v>
      </x:c>
    </x:row>
    <x:row r="5" ht="18" customHeight="1">
      <x:c r="A5" s="24" t="str">
        <x:v>LME_019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LME_019</x:v>
      </x:c>
      <x:c r="B6" s="24" t="str">
        <x:v>matched_catch_tonnes</x:v>
      </x:c>
      <x:c r="C6" s="24" t="n">
        <x:v>87093.8235737202</x:v>
      </x:c>
      <x:c r="D6" s="24" t="str">
        <x:v>tonnes</x:v>
      </x:c>
    </x:row>
    <x:row r="7" ht="18" customHeight="1">
      <x:c r="A7" s="24" t="str">
        <x:v>LME_019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LME_019</x:v>
      </x:c>
      <x:c r="B8" s="24" t="str">
        <x:v>taxa_count</x:v>
      </x:c>
      <x:c r="C8" s="24" t="n">
        <x:v>64</x:v>
      </x:c>
      <x:c r="D8" s="24" t="str">
        <x:v>count</x:v>
      </x:c>
    </x:row>
    <x:row r="9" ht="18" customHeight="1">
      <x:c r="A9" s="24" t="str">
        <x:v>LME_019</x:v>
      </x:c>
      <x:c r="B9" s="24" t="str">
        <x:v>matched_taxa_count</x:v>
      </x:c>
      <x:c r="C9" s="24" t="n">
        <x:v>64</x:v>
      </x:c>
      <x:c r="D9" s="24" t="str">
        <x:v>count</x:v>
      </x:c>
    </x:row>
    <x:row r="10" ht="18" customHeight="1">
      <x:c r="A10" s="24" t="str">
        <x:v>LME_019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LME_019</x:v>
      </x:c>
      <x:c r="B11" s="24" t="str">
        <x:v>species_ppr</x:v>
      </x:c>
      <x:c r="C11" s="24" t="n">
        <x:v>76279788.78654897</x:v>
      </x:c>
      <x:c r="D11" s="24" t="str">
        <x:v>tonnes_primary_production_equivalent</x:v>
      </x:c>
    </x:row>
    <x:row r="12" ht="18" customHeight="1">
      <x:c r="A12" s="24" t="str">
        <x:v>LME_019</x:v>
      </x:c>
      <x:c r="B12" s="24" t="str">
        <x:v>commercial_ppr</x:v>
      </x:c>
      <x:c r="C12" s="24" t="n">
        <x:v>74591467.5388397</x:v>
      </x:c>
      <x:c r="D12" s="24" t="str">
        <x:v>tonnes_primary_production_equivalent</x:v>
      </x:c>
    </x:row>
    <x:row r="13" ht="18" customHeight="1">
      <x:c r="A13" s="24" t="str">
        <x:v>LME_019</x:v>
      </x:c>
      <x:c r="B13" s="24" t="str">
        <x:v>functional_ppr</x:v>
      </x:c>
      <x:c r="C13" s="24" t="n">
        <x:v>75872029.19055331</x:v>
      </x:c>
      <x:c r="D13" s="24" t="str">
        <x:v>tonnes_primary_production_equivalent</x:v>
      </x:c>
    </x:row>
    <x:row r="14" ht="18" customHeight="1">
      <x:c r="A14" s="24" t="str">
        <x:v>LME_019</x:v>
      </x:c>
      <x:c r="B14" s="24" t="str">
        <x:v>commercial_ppr_difference</x:v>
      </x:c>
      <x:c r="C14" s="24" t="n">
        <x:v>-1688321.2477092743</x:v>
      </x:c>
      <x:c r="D14" s="24" t="str">
        <x:v>tonnes_primary_production_equivalent</x:v>
      </x:c>
    </x:row>
    <x:row r="15" ht="18" customHeight="1">
      <x:c r="A15" s="24" t="str">
        <x:v>LME_019</x:v>
      </x:c>
      <x:c r="B15" s="24" t="str">
        <x:v>functional_ppr_difference</x:v>
      </x:c>
      <x:c r="C15" s="24" t="n">
        <x:v>-407759.5959956646</x:v>
      </x:c>
      <x:c r="D15" s="24" t="str">
        <x:v>tonnes_primary_production_equivalent</x:v>
      </x:c>
    </x:row>
    <x:row r="16" ht="18" customHeight="1">
      <x:c r="A16" s="24" t="str">
        <x:v>LME_019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LME_019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b3466f3ed4347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LME_019 - Greenland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LME_019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raw_data/SAU_downloads/LME_019-catch.zip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