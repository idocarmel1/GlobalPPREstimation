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159bcb18a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6c13057292f4673"/>
    <x:sheet xmlns:r="http://schemas.openxmlformats.org/officeDocument/2006/relationships" name="Commercial" sheetId="2" r:id="R481310d83b2d49c6"/>
    <x:sheet xmlns:r="http://schemas.openxmlformats.org/officeDocument/2006/relationships" name="Functional" sheetId="3" r:id="Rf1dedd7cb5124a40"/>
    <x:sheet xmlns:r="http://schemas.openxmlformats.org/officeDocument/2006/relationships" name="Missing TL" sheetId="4" r:id="R94617d81e6114b15"/>
    <x:sheet xmlns:r="http://schemas.openxmlformats.org/officeDocument/2006/relationships" name="Validation" sheetId="5" r:id="Rc8143486bb8048ee"/>
    <x:sheet xmlns:r="http://schemas.openxmlformats.org/officeDocument/2006/relationships" name="Metadata" sheetId="6" r:id="R5ab2d911fb27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eb9bba9bd43c9" /><Relationship Type="http://schemas.openxmlformats.org/officeDocument/2006/relationships/theme" Target="/xl/theme/theme1.xml" Id="R2d721b75e2c7479e" /><Relationship Type="http://schemas.microsoft.com/office/2022/11/relationships/FeaturePropertyBag" Target="/xl/featurePropertyBag/featurePropertyBag.xml" Id="R76aee2d800a84339" /><Relationship Type="http://schemas.openxmlformats.org/officeDocument/2006/relationships/sharedStrings" Target="/xl/sharedStrings.xml" Id="Rc9f372484d614b1e" /><Relationship Type="http://schemas.openxmlformats.org/officeDocument/2006/relationships/worksheet" Target="/xl/worksheets/sheet1.xml" Id="R66c13057292f4673" /><Relationship Type="http://schemas.openxmlformats.org/officeDocument/2006/relationships/worksheet" Target="/xl/worksheets/sheet2.xml" Id="R481310d83b2d49c6" /><Relationship Type="http://schemas.openxmlformats.org/officeDocument/2006/relationships/worksheet" Target="/xl/worksheets/sheet3.xml" Id="Rf1dedd7cb5124a40" /><Relationship Type="http://schemas.openxmlformats.org/officeDocument/2006/relationships/worksheet" Target="/xl/worksheets/sheet4.xml" Id="R94617d81e6114b15" /><Relationship Type="http://schemas.openxmlformats.org/officeDocument/2006/relationships/worksheet" Target="/xl/worksheets/sheet5.xml" Id="Rc8143486bb8048ee" /><Relationship Type="http://schemas.openxmlformats.org/officeDocument/2006/relationships/worksheet" Target="/xl/worksheets/sheet6.xml" Id="R5ab2d911fb274a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67SpeciesTable" displayName="HS067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7CommercialTable" displayName="HS067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7FunctionalTable" displayName="HS067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7ValidationTable" displayName="HS06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94fdd63bc548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c9fa96b6fa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e7bb20b3e841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ee826cf23849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HS_067</x:v>
      </x:c>
      <x:c r="B2" s="24" t="str">
        <x:v>Pacific, Northeast</x:v>
      </x:c>
      <x:c r="C2" s="24" t="str">
        <x:v>High Seas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234.1920153673</x:v>
      </x:c>
      <x:c r="J2" s="31" t="n">
        <x:v>234.1920153673</x:v>
      </x:c>
      <x:c r="K2" s="31" t="n">
        <x:v>0</x:v>
      </x:c>
      <x:c r="L2" s="31" t="n">
        <x:v>234.1920153673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467274.50272898626</x:v>
      </x:c>
    </x:row>
    <x:row r="3" ht="18" customHeight="1">
      <x:c r="A3" s="24" t="str">
        <x:v>HS_067</x:v>
      </x:c>
      <x:c r="B3" s="24" t="str">
        <x:v>Pacific, Northeast</x:v>
      </x:c>
      <x:c r="C3" s="24" t="str">
        <x:v>High Seas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46.3154993586</x:v>
      </x:c>
      <x:c r="J3" s="31" t="n">
        <x:v>0</x:v>
      </x:c>
      <x:c r="K3" s="31" t="n">
        <x:v>46.3154993586</x:v>
      </x:c>
      <x:c r="L3" s="31" t="n">
        <x:v>0</x:v>
      </x:c>
      <x:c r="M3" s="31" t="n">
        <x:v>46.3154993586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103687.4874574461</x:v>
      </x:c>
    </x:row>
    <x:row r="4" ht="18" customHeight="1">
      <x:c r="A4" s="24" t="str">
        <x:v>HS_067</x:v>
      </x:c>
      <x:c r="B4" s="24" t="str">
        <x:v>Pacific, Northeast</x:v>
      </x:c>
      <x:c r="C4" s="24" t="str">
        <x:v>High Seas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45.259104008</x:v>
      </x:c>
      <x:c r="J4" s="31" t="n">
        <x:v>45.2576744264</x:v>
      </x:c>
      <x:c r="K4" s="31" t="n">
        <x:v>0.0014295815999999999</x:v>
      </x:c>
      <x:c r="L4" s="31" t="n">
        <x:v>45.2576744264</x:v>
      </x:c>
      <x:c r="M4" s="31" t="n">
        <x:v>0.0014295815999999999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50781.54992214794</x:v>
      </x:c>
    </x:row>
    <x:row r="5" ht="18" customHeight="1">
      <x:c r="A5" s="24" t="str">
        <x:v>HS_067</x:v>
      </x:c>
      <x:c r="B5" s="24" t="str">
        <x:v>Pacific, Northeast</x:v>
      </x:c>
      <x:c r="C5" s="24" t="str">
        <x:v>High Seas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20.615099850300002</x:v>
      </x:c>
      <x:c r="J5" s="31" t="n">
        <x:v>0</x:v>
      </x:c>
      <x:c r="K5" s="31" t="n">
        <x:v>20.615099850300002</x:v>
      </x:c>
      <x:c r="L5" s="31" t="n">
        <x:v>0</x:v>
      </x:c>
      <x:c r="M5" s="31" t="n">
        <x:v>20.615099850300002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3928.1262961636653</x:v>
      </x:c>
    </x:row>
    <x:row r="6" ht="18" customHeight="1">
      <x:c r="A6" s="24" t="str">
        <x:v>HS_067</x:v>
      </x:c>
      <x:c r="B6" s="24" t="str">
        <x:v>Pacific, Northeast</x:v>
      </x:c>
      <x:c r="C6" s="24" t="str">
        <x:v>High Seas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14.4422173504</x:v>
      </x:c>
      <x:c r="J6" s="31" t="n">
        <x:v>14.0730464082</x:v>
      </x:c>
      <x:c r="K6" s="31" t="n">
        <x:v>0.3691709422</x:v>
      </x:c>
      <x:c r="L6" s="31" t="n">
        <x:v>14.0730464082</x:v>
      </x:c>
      <x:c r="M6" s="31" t="n">
        <x:v>0.3691709422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44630.71831330967</x:v>
      </x:c>
    </x:row>
    <x:row r="7" ht="18" customHeight="1">
      <x:c r="A7" s="24" t="str">
        <x:v>HS_067</x:v>
      </x:c>
      <x:c r="B7" s="24" t="str">
        <x:v>Pacific, Northeast</x:v>
      </x:c>
      <x:c r="C7" s="24" t="str">
        <x:v>High Seas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11.8019136371</x:v>
      </x:c>
      <x:c r="J7" s="31" t="n">
        <x:v>0.14994273349999998</x:v>
      </x:c>
      <x:c r="K7" s="31" t="n">
        <x:v>11.6519709036</x:v>
      </x:c>
      <x:c r="L7" s="31" t="n">
        <x:v>0.14994273349999998</x:v>
      </x:c>
      <x:c r="M7" s="31" t="n">
        <x:v>11.6519709036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2642.119353493373</x:v>
      </x:c>
    </x:row>
    <x:row r="8" ht="18" customHeight="1">
      <x:c r="A8" s="24" t="str">
        <x:v>HS_067</x:v>
      </x:c>
      <x:c r="B8" s="24" t="str">
        <x:v>Pacific, Northeast</x:v>
      </x:c>
      <x:c r="C8" s="24" t="str">
        <x:v>High Seas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9.4923856665</x:v>
      </x:c>
      <x:c r="J8" s="31" t="n">
        <x:v>1.9001113754</x:v>
      </x:c>
      <x:c r="K8" s="31" t="n">
        <x:v>7.5922742911</x:v>
      </x:c>
      <x:c r="L8" s="31" t="n">
        <x:v>1.9001113754</x:v>
      </x:c>
      <x:c r="M8" s="31" t="n">
        <x:v>7.5922742911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32164.39410913056</x:v>
      </x:c>
    </x:row>
    <x:row r="9" ht="18" customHeight="1">
      <x:c r="A9" s="24" t="str">
        <x:v>HS_067</x:v>
      </x:c>
      <x:c r="B9" s="24" t="str">
        <x:v>Pacific, Northeast</x:v>
      </x:c>
      <x:c r="C9" s="24" t="str">
        <x:v>High Seas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5.390235908999999</x:v>
      </x:c>
      <x:c r="J9" s="31" t="n">
        <x:v>0</x:v>
      </x:c>
      <x:c r="K9" s="31" t="n">
        <x:v>5.390235908999999</x:v>
      </x:c>
      <x:c r="L9" s="31" t="n">
        <x:v>0</x:v>
      </x:c>
      <x:c r="M9" s="31" t="n">
        <x:v>5.390235908999999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9808.61691171766</x:v>
      </x:c>
    </x:row>
    <x:row r="10" ht="18" customHeight="1">
      <x:c r="A10" s="24" t="str">
        <x:v>HS_067</x:v>
      </x:c>
      <x:c r="B10" s="24" t="str">
        <x:v>Pacific, Northeast</x:v>
      </x:c>
      <x:c r="C10" s="24" t="str">
        <x:v>High Seas</x:v>
      </x:c>
      <x:c r="D10" s="30" t="n">
        <x:v>2019</x:v>
      </x:c>
      <x:c r="E10" s="24" t="str">
        <x:v>Isurus</x:v>
      </x:c>
      <x:c r="F10" s="24" t="str">
        <x:v>Mako sharks</x:v>
      </x:c>
      <x:c r="G10" s="24" t="str">
        <x:v>Large sharks (&gt;=90 cm)</x:v>
      </x:c>
      <x:c r="H10" s="24" t="str">
        <x:v>Sharks &amp; rays</x:v>
      </x:c>
      <x:c r="I10" s="31" t="n">
        <x:v>5.3885250996</x:v>
      </x:c>
      <x:c r="J10" s="31" t="n">
        <x:v>0</x:v>
      </x:c>
      <x:c r="K10" s="31" t="n">
        <x:v>5.3885250996</x:v>
      </x:c>
      <x:c r="L10" s="31" t="n">
        <x:v>0</x:v>
      </x:c>
      <x:c r="M10" s="31" t="n">
        <x:v>5.3885250996</x:v>
      </x:c>
      <x:c r="N10" s="24" t="str">
        <x:v>isurus</x:v>
      </x:c>
      <x:c r="O10" s="32" t="n">
        <x:v>4.5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Isurus</x:v>
      </x:c>
      <x:c r="T10" s="32" t="n">
        <x:f>IF(O10="","",(1/'Metadata'!$B$5)^(O10-1))</x:f>
        <x:v>3162.2776601683795</x:v>
      </x:c>
      <x:c r="U10" s="31" t="n">
        <x:f>IF(T10="","",I10*T10)</x:f>
        <x:v>17040.01254372167</x:v>
      </x:c>
    </x:row>
    <x:row r="11" ht="18" customHeight="1">
      <x:c r="A11" s="24" t="str">
        <x:v>HS_067</x:v>
      </x:c>
      <x:c r="B11" s="24" t="str">
        <x:v>Pacific, Northeast</x:v>
      </x:c>
      <x:c r="C11" s="24" t="str">
        <x:v>High Seas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5.1379067947</x:v>
      </x:c>
      <x:c r="J11" s="31" t="n">
        <x:v>4.4511383345999995</x:v>
      </x:c>
      <x:c r="K11" s="31" t="n">
        <x:v>0.6867684601</x:v>
      </x:c>
      <x:c r="L11" s="31" t="n">
        <x:v>4.4511383345999995</x:v>
      </x:c>
      <x:c r="M11" s="31" t="n">
        <x:v>0.6867684601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13206.453957356374</x:v>
      </x:c>
    </x:row>
    <x:row r="12" ht="18" customHeight="1">
      <x:c r="A12" s="24" t="str">
        <x:v>HS_067</x:v>
      </x:c>
      <x:c r="B12" s="24" t="str">
        <x:v>Pacific, Northeast</x:v>
      </x:c>
      <x:c r="C12" s="24" t="str">
        <x:v>High Seas</x:v>
      </x:c>
      <x:c r="D12" s="30" t="n">
        <x:v>2019</x:v>
      </x:c>
      <x:c r="E12" s="24" t="str">
        <x:v>Kajikia audax</x:v>
      </x:c>
      <x:c r="F12" s="24" t="str">
        <x:v>Striped marlin</x:v>
      </x:c>
      <x:c r="G12" s="24" t="str">
        <x:v>Large pelagics (&gt;=90 cm)</x:v>
      </x:c>
      <x:c r="H12" s="24" t="str">
        <x:v>Tuna &amp; billfishes</x:v>
      </x:c>
      <x:c r="I12" s="31" t="n">
        <x:v>2.4566723779</x:v>
      </x:c>
      <x:c r="J12" s="31" t="n">
        <x:v>2.4566723779</x:v>
      </x:c>
      <x:c r="K12" s="31" t="n">
        <x:v>0</x:v>
      </x:c>
      <x:c r="L12" s="31" t="n">
        <x:v>2.4566723779</x:v>
      </x:c>
      <x:c r="M12" s="31" t="n">
        <x:v>0</x:v>
      </x:c>
      <x:c r="N12" s="24" t="str">
        <x:v>kajikia audax</x:v>
      </x:c>
      <x:c r="O12" s="32" t="n">
        <x:v>4.58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Kajikia audax</x:v>
      </x:c>
      <x:c r="T12" s="32" t="n">
        <x:f>IF(O12="","",(1/'Metadata'!$B$5)^(O12-1))</x:f>
        <x:v>3801.8939632056126</x:v>
      </x:c>
      <x:c r="U12" s="31" t="n">
        <x:f>IF(T12="","",I12*T12)</x:f>
        <x:v>9340.007883111988</x:v>
      </x:c>
    </x:row>
    <x:row r="13" ht="18" customHeight="1">
      <x:c r="A13" s="24" t="str">
        <x:v>HS_067</x:v>
      </x:c>
      <x:c r="B13" s="24" t="str">
        <x:v>Pacific, Northeast</x:v>
      </x:c>
      <x:c r="C13" s="24" t="str">
        <x:v>High Seas</x:v>
      </x:c>
      <x:c r="D13" s="30" t="n">
        <x:v>2019</x:v>
      </x:c>
      <x:c r="E13" s="24" t="str">
        <x:v>Istiophoridae</x:v>
      </x:c>
      <x:c r="F13" s="24" t="str">
        <x:v>Billfishes</x:v>
      </x:c>
      <x:c r="G13" s="24" t="str">
        <x:v>Large pelagics (&gt;=90 cm)</x:v>
      </x:c>
      <x:c r="H13" s="24" t="str">
        <x:v>Tuna &amp; billfishes</x:v>
      </x:c>
      <x:c r="I13" s="31" t="n">
        <x:v>1.4220674051</x:v>
      </x:c>
      <x:c r="J13" s="31" t="n">
        <x:v>0.2554043463</x:v>
      </x:c>
      <x:c r="K13" s="31" t="n">
        <x:v>1.1666630588</x:v>
      </x:c>
      <x:c r="L13" s="31" t="n">
        <x:v>0.2554043463</x:v>
      </x:c>
      <x:c r="M13" s="31" t="n">
        <x:v>1.1666630588</x:v>
      </x:c>
      <x:c r="N13" s="24" t="str">
        <x:v>istiophoridae</x:v>
      </x:c>
      <x:c r="O13" s="32" t="n">
        <x:v>4.48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Istiophoridae</x:v>
      </x:c>
      <x:c r="T13" s="32" t="n">
        <x:f>IF(O13="","",(1/'Metadata'!$B$5)^(O13-1))</x:f>
        <x:v>3019.951720402019</x:v>
      </x:c>
      <x:c r="U13" s="31" t="n">
        <x:f>IF(T13="","",I13*T13)</x:f>
        <x:v>4294.57490655938</x:v>
      </x:c>
    </x:row>
    <x:row r="14" ht="18" customHeight="1">
      <x:c r="A14" s="24" t="str">
        <x:v>HS_067</x:v>
      </x:c>
      <x:c r="B14" s="24" t="str">
        <x:v>Pacific, Northeast</x:v>
      </x:c>
      <x:c r="C14" s="24" t="str">
        <x:v>High Seas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0.3566784183</x:v>
      </x:c>
      <x:c r="J14" s="31" t="n">
        <x:v>0.3566784183</x:v>
      </x:c>
      <x:c r="K14" s="31" t="n">
        <x:v>0</x:v>
      </x:c>
      <x:c r="L14" s="31" t="n">
        <x:v>0.3566784183</x:v>
      </x:c>
      <x:c r="M14" s="31" t="n">
        <x:v>0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960.0123766640523</x:v>
      </x:c>
    </x:row>
    <x:row r="15" ht="18" customHeight="1">
      <x:c r="A15" s="24" t="str">
        <x:v>HS_067</x:v>
      </x:c>
      <x:c r="B15" s="24" t="str">
        <x:v>Pacific, Northeast</x:v>
      </x:c>
      <x:c r="C15" s="24" t="str">
        <x:v>High Seas</x:v>
      </x:c>
      <x:c r="D15" s="30" t="n">
        <x:v>2019</x:v>
      </x:c>
      <x:c r="E15" s="24" t="str">
        <x:v>Alopias</x:v>
      </x:c>
      <x:c r="F15" s="24" t="str">
        <x:v>Thresher sharks</x:v>
      </x:c>
      <x:c r="G15" s="24" t="str">
        <x:v>Large sharks (&gt;=90 cm)</x:v>
      </x:c>
      <x:c r="H15" s="24" t="str">
        <x:v>Sharks &amp; rays</x:v>
      </x:c>
      <x:c r="I15" s="31" t="n">
        <x:v>0.0168122533</x:v>
      </x:c>
      <x:c r="J15" s="31" t="n">
        <x:v>0</x:v>
      </x:c>
      <x:c r="K15" s="31" t="n">
        <x:v>0.0168122533</x:v>
      </x:c>
      <x:c r="L15" s="31" t="n">
        <x:v>0</x:v>
      </x:c>
      <x:c r="M15" s="31" t="n">
        <x:v>0.0168122533</x:v>
      </x:c>
      <x:c r="N15" s="24" t="str">
        <x:v>alopias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Alopias</x:v>
      </x:c>
      <x:c r="T15" s="32" t="n">
        <x:f>IF(O15="","",(1/'Metadata'!$B$5)^(O15-1))</x:f>
        <x:v>3162.2776601683795</x:v>
      </x:c>
      <x:c r="U15" s="31" t="n">
        <x:f>IF(T15="","",I15*T15)</x:f>
        <x:v>53.165013027682114</x:v>
      </x:c>
    </x:row>
    <x:row r="16" ht="18" customHeight="1">
      <x:c r="A16" s="24" t="str">
        <x:v>HS_067</x:v>
      </x:c>
      <x:c r="B16" s="24" t="str">
        <x:v>Pacific, Northeast</x:v>
      </x:c>
      <x:c r="C16" s="24" t="str">
        <x:v>High Seas</x:v>
      </x:c>
      <x:c r="D16" s="30" t="n">
        <x:v>2019</x:v>
      </x:c>
      <x:c r="E16" s="24" t="str">
        <x:v>Thunnus orientalis</x:v>
      </x:c>
      <x:c r="F16" s="24" t="str">
        <x:v>Pacific bluefin tuna</x:v>
      </x:c>
      <x:c r="G16" s="24" t="str">
        <x:v>Large pelagics (&gt;=90 cm)</x:v>
      </x:c>
      <x:c r="H16" s="24" t="str">
        <x:v>Tuna &amp; billfishes</x:v>
      </x:c>
      <x:c r="I16" s="31" t="n">
        <x:v>0.0030567733</x:v>
      </x:c>
      <x:c r="J16" s="31" t="n">
        <x:v>0</x:v>
      </x:c>
      <x:c r="K16" s="31" t="n">
        <x:v>0.0030567733</x:v>
      </x:c>
      <x:c r="L16" s="31" t="n">
        <x:v>0</x:v>
      </x:c>
      <x:c r="M16" s="31" t="n">
        <x:v>0.0030567733</x:v>
      </x:c>
      <x:c r="N16" s="24" t="str">
        <x:v>thunnus orientalis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orientalis</x:v>
      </x:c>
      <x:c r="T16" s="32" t="n">
        <x:f>IF(O16="","",(1/'Metadata'!$B$5)^(O16-1))</x:f>
        <x:v>1122.018454301963</x:v>
      </x:c>
      <x:c r="U16" s="31" t="n">
        <x:f>IF(T16="","",I16*T16)</x:f>
        <x:v>3.4297560532175106</x:v>
      </x:c>
    </x:row>
    <x:row r="17" ht="18" customHeight="1">
      <x:c r="A17" s="24" t="str">
        <x:v>HS_067</x:v>
      </x:c>
      <x:c r="B17" s="24" t="str">
        <x:v>Pacific, Northeast</x:v>
      </x:c>
      <x:c r="C17" s="24" t="str">
        <x:v>High Seas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0.0012051393</x:v>
      </x:c>
      <x:c r="J17" s="31" t="n">
        <x:v>0.0003138984</x:v>
      </x:c>
      <x:c r="K17" s="31" t="n">
        <x:v>0.0008912409</x:v>
      </x:c>
      <x:c r="L17" s="31" t="n">
        <x:v>0.0003138984</x:v>
      </x:c>
      <x:c r="M17" s="31" t="n">
        <x:v>0.0008912409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1.3521885346045495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194fdd63bc548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32.4170134874</x:v>
      </x:c>
      <x:c r="C2" s="32" t="n">
        <x:v>3.30548457941439</x:v>
      </x:c>
      <x:c r="D2" s="32" t="n">
        <x:f>IF(C2="","",(1/'Metadata'!$B$5)^(C2-1))</x:f>
        <x:v>202.06196841499147</x:v>
      </x:c>
      <x:c r="E2" s="31" t="n">
        <x:f>IF(B2=0,"",B2*D2)</x:f>
        <x:v>6550.245555399371</x:v>
      </x:c>
    </x:row>
    <x:row r="3" ht="18" customHeight="1">
      <x:c r="A3" s="24" t="str">
        <x:v>Perch-likes</x:v>
      </x:c>
      <x:c r="B3" s="31" t="n">
        <x:v>5.391441048299999</x:v>
      </x:c>
      <x:c r="C3" s="32" t="n">
        <x:v>4.259953059070713</x:v>
      </x:c>
      <x:c r="D3" s="32" t="n">
        <x:f>IF(C3="","",(1/'Metadata'!$B$5)^(C3-1))</x:f>
        <x:v>1819.5041859908147</x:v>
      </x:c>
      <x:c r="E3" s="31" t="n">
        <x:f>IF(B3=0,"",B3*D3)</x:f>
        <x:v>9809.749555904555</x:v>
      </x:c>
    </x:row>
    <x:row r="4" ht="18" customHeight="1">
      <x:c r="A4" s="24" t="str">
        <x:v>Sharks &amp; rays</x:v>
      </x:c>
      <x:c r="B4" s="31" t="n">
        <x:v>96.97994071950001</x:v>
      </x:c>
      <x:c r="C4" s="32" t="n">
        <x:v>4.2183549350025755</x:v>
      </x:c>
      <x:c r="D4" s="32" t="n">
        <x:f>IF(C4="","",(1/'Metadata'!$B$5)^(C4-1))</x:f>
        <x:v>1653.3124456650928</x:v>
      </x:c>
      <x:c r="E4" s="31" t="n">
        <x:f>IF(B4=0,"",B4*D4)</x:f>
        <x:v>160338.14297141228</x:v>
      </x:c>
    </x:row>
    <x:row r="5" ht="18" customHeight="1">
      <x:c r="A5" s="24" t="str">
        <x:v>Tuna &amp; billfishes</x:v>
      </x:c>
      <x:c r="B5" s="31" t="n">
        <x:v>267.5030001535</x:v>
      </x:c>
      <x:c r="C5" s="32" t="n">
        <x:v>4.324231070841645</x:v>
      </x:c>
      <x:c r="D5" s="32" t="n">
        <x:f>IF(C5="","",(1/'Metadata'!$B$5)^(C5-1))</x:f>
        <x:v>2109.7503657241996</x:v>
      </x:c>
      <x:c r="E5" s="31" t="n">
        <x:f>IF(B5=0,"",B5*D5)</x:f>
        <x:v>564364.5524061673</x:v>
      </x:c>
    </x:row>
  </x:sheetData>
  <x:pageMargins left="0.7" right="0.7" top="0.75" bottom="0.75" header="0.3" footer="0.3"/>
  <x:tableParts count="1">
    <x:tablePart xmlns:r="http://schemas.openxmlformats.org/officeDocument/2006/relationships" r:id="Rabc9fa96b6fa42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267.5030001535</x:v>
      </x:c>
      <x:c r="C2" s="32" t="n">
        <x:v>4.324231070841645</x:v>
      </x:c>
      <x:c r="D2" s="32" t="n">
        <x:f>IF(C2="","",(1/'Metadata'!$B$5)^(C2-1))</x:f>
        <x:v>2109.7503657241996</x:v>
      </x:c>
      <x:c r="E2" s="31" t="n">
        <x:f>IF(B2=0,"",B2*D2)</x:f>
        <x:v>564364.5524061673</x:v>
      </x:c>
    </x:row>
    <x:row r="3" ht="18" customHeight="1">
      <x:c r="A3" s="24" t="str">
        <x:v>Large sharks (&gt;=90 cm)</x:v>
      </x:c>
      <x:c r="B3" s="31" t="n">
        <x:v>96.97994071950001</x:v>
      </x:c>
      <x:c r="C3" s="32" t="n">
        <x:v>4.2183549350025755</x:v>
      </x:c>
      <x:c r="D3" s="32" t="n">
        <x:f>IF(C3="","",(1/'Metadata'!$B$5)^(C3-1))</x:f>
        <x:v>1653.3124456650928</x:v>
      </x:c>
      <x:c r="E3" s="31" t="n">
        <x:f>IF(B3=0,"",B3*D3)</x:f>
        <x:v>160338.14297141228</x:v>
      </x:c>
    </x:row>
    <x:row r="4" ht="18" customHeight="1">
      <x:c r="A4" s="24" t="str">
        <x:v>Medium demersals (30 - 89 cm)</x:v>
      </x:c>
      <x:c r="B4" s="31" t="n">
        <x:v>20.615099850300002</x:v>
      </x:c>
      <x:c r="C4" s="32" t="n">
        <x:v>3.2799999999999994</x:v>
      </x:c>
      <x:c r="D4" s="32" t="n">
        <x:f>IF(C4="","",(1/'Metadata'!$B$5)^(C4-1))</x:f>
        <x:v>190.54607179632444</x:v>
      </x:c>
      <x:c r="E4" s="31" t="n">
        <x:f>IF(B4=0,"",B4*D4)</x:f>
        <x:v>3928.126296163661</x:v>
      </x:c>
    </x:row>
    <x:row r="5" ht="18" customHeight="1">
      <x:c r="A5" s="24" t="str">
        <x:v>Medium pelagics (30 - 89 cm)</x:v>
      </x:c>
      <x:c r="B5" s="31" t="n">
        <x:v>17.1933546854</x:v>
      </x:c>
      <x:c r="C5" s="32" t="n">
        <x:v>3.6353403750732816</x:v>
      </x:c>
      <x:c r="D5" s="32" t="n">
        <x:f>IF(C5="","",(1/'Metadata'!$B$5)^(C5-1))</x:f>
        <x:v>431.8574092633886</x:v>
      </x:c>
      <x:c r="E5" s="31" t="n">
        <x:f>IF(B5=0,"",B5*D5)</x:f>
        <x:v>7425.077610983388</x:v>
      </x:c>
    </x:row>
  </x:sheetData>
  <x:pageMargins left="0.7" right="0.7" top="0.75" bottom="0.75" header="0.3" footer="0.3"/>
  <x:tableParts count="1">
    <x:tablePart xmlns:r="http://schemas.openxmlformats.org/officeDocument/2006/relationships" r:id="R46e7bb20b3e841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HS_067</x:v>
      </x:c>
      <x:c r="B2" s="24" t="str">
        <x:v>raw_filtered_tonnes</x:v>
      </x:c>
      <x:c r="C2" s="24" t="n">
        <x:v>402.2913954087</x:v>
      </x:c>
      <x:c r="D2" s="24" t="str">
        <x:v>tonnes</x:v>
      </x:c>
    </x:row>
    <x:row r="3" ht="18" customHeight="1">
      <x:c r="A3" s="24" t="str">
        <x:v>HS_067</x:v>
      </x:c>
      <x:c r="B3" s="24" t="str">
        <x:v>species_catch_tonnes</x:v>
      </x:c>
      <x:c r="C3" s="24" t="n">
        <x:v>402.29139540870005</x:v>
      </x:c>
      <x:c r="D3" s="24" t="str">
        <x:v>tonnes</x:v>
      </x:c>
    </x:row>
    <x:row r="4" ht="18" customHeight="1">
      <x:c r="A4" s="24" t="str">
        <x:v>HS_067</x:v>
      </x:c>
      <x:c r="B4" s="24" t="str">
        <x:v>catch_difference_tonnes</x:v>
      </x:c>
      <x:c r="C4" s="24" t="n">
        <x:v>5.684341886080802e-14</x:v>
      </x:c>
      <x:c r="D4" s="24" t="str">
        <x:v>tonnes</x:v>
      </x:c>
    </x:row>
    <x:row r="5" ht="18" customHeight="1">
      <x:c r="A5" s="24" t="str">
        <x:v>HS_067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HS_067</x:v>
      </x:c>
      <x:c r="B6" s="24" t="str">
        <x:v>matched_catch_tonnes</x:v>
      </x:c>
      <x:c r="C6" s="24" t="n">
        <x:v>402.29139540870005</x:v>
      </x:c>
      <x:c r="D6" s="24" t="str">
        <x:v>tonnes</x:v>
      </x:c>
    </x:row>
    <x:row r="7" ht="18" customHeight="1">
      <x:c r="A7" s="24" t="str">
        <x:v>HS_067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HS_067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HS_067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HS_067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HS_067</x:v>
      </x:c>
      <x:c r="B11" s="24" t="str">
        <x:v>species_ppr</x:v>
      </x:c>
      <x:c r="C11" s="24" t="n">
        <x:v>759816.5237174243</x:v>
      </x:c>
      <x:c r="D11" s="24" t="str">
        <x:v>tonnes_primary_production_equivalent</x:v>
      </x:c>
    </x:row>
    <x:row r="12" ht="18" customHeight="1">
      <x:c r="A12" s="24" t="str">
        <x:v>HS_067</x:v>
      </x:c>
      <x:c r="B12" s="24" t="str">
        <x:v>commercial_ppr</x:v>
      </x:c>
      <x:c r="C12" s="24" t="n">
        <x:v>741062.6904888835</x:v>
      </x:c>
      <x:c r="D12" s="24" t="str">
        <x:v>tonnes_primary_production_equivalent</x:v>
      </x:c>
    </x:row>
    <x:row r="13" ht="18" customHeight="1">
      <x:c r="A13" s="24" t="str">
        <x:v>HS_067</x:v>
      </x:c>
      <x:c r="B13" s="24" t="str">
        <x:v>functional_ppr</x:v>
      </x:c>
      <x:c r="C13" s="24" t="n">
        <x:v>736055.8992847266</x:v>
      </x:c>
      <x:c r="D13" s="24" t="str">
        <x:v>tonnes_primary_production_equivalent</x:v>
      </x:c>
    </x:row>
    <x:row r="14" ht="18" customHeight="1">
      <x:c r="A14" s="24" t="str">
        <x:v>HS_067</x:v>
      </x:c>
      <x:c r="B14" s="24" t="str">
        <x:v>commercial_ppr_difference</x:v>
      </x:c>
      <x:c r="C14" s="24" t="n">
        <x:v>-18753.833228540723</x:v>
      </x:c>
      <x:c r="D14" s="24" t="str">
        <x:v>tonnes_primary_production_equivalent</x:v>
      </x:c>
    </x:row>
    <x:row r="15" ht="18" customHeight="1">
      <x:c r="A15" s="24" t="str">
        <x:v>HS_067</x:v>
      </x:c>
      <x:c r="B15" s="24" t="str">
        <x:v>functional_ppr_difference</x:v>
      </x:c>
      <x:c r="C15" s="24" t="n">
        <x:v>-23760.62443269766</x:v>
      </x:c>
      <x:c r="D15" s="24" t="str">
        <x:v>tonnes_primary_production_equivalent</x:v>
      </x:c>
    </x:row>
    <x:row r="16" ht="18" customHeight="1">
      <x:c r="A16" s="24" t="str">
        <x:v>HS_067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HS_067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4ee826cf23849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HS_067 - Pacific, Northeast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HS_067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raw_data/SAU_downloads/HS_067-catch.zip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