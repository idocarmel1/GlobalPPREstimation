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2fcfe6251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4ed29faf7b4406e"/>
    <x:sheet xmlns:r="http://schemas.openxmlformats.org/officeDocument/2006/relationships" name="Commercial" sheetId="2" r:id="Rd1880f35a7c143b3"/>
    <x:sheet xmlns:r="http://schemas.openxmlformats.org/officeDocument/2006/relationships" name="Functional" sheetId="3" r:id="R1394ab73d4b74864"/>
    <x:sheet xmlns:r="http://schemas.openxmlformats.org/officeDocument/2006/relationships" name="Missing TL" sheetId="4" r:id="R96fb03a716a54b24"/>
    <x:sheet xmlns:r="http://schemas.openxmlformats.org/officeDocument/2006/relationships" name="Validation" sheetId="5" r:id="R02c27485a9f049c5"/>
    <x:sheet xmlns:r="http://schemas.openxmlformats.org/officeDocument/2006/relationships" name="Metadata" sheetId="6" r:id="Rdc3a14a4f028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5bb0c195848d2" /><Relationship Type="http://schemas.openxmlformats.org/officeDocument/2006/relationships/theme" Target="/xl/theme/theme1.xml" Id="R766d44e4507641cc" /><Relationship Type="http://schemas.microsoft.com/office/2022/11/relationships/FeaturePropertyBag" Target="/xl/featurePropertyBag/featurePropertyBag.xml" Id="Rbbbc9e2d9a37465a" /><Relationship Type="http://schemas.openxmlformats.org/officeDocument/2006/relationships/sharedStrings" Target="/xl/sharedStrings.xml" Id="Raf79704d27274b53" /><Relationship Type="http://schemas.openxmlformats.org/officeDocument/2006/relationships/worksheet" Target="/xl/worksheets/sheet1.xml" Id="R64ed29faf7b4406e" /><Relationship Type="http://schemas.openxmlformats.org/officeDocument/2006/relationships/worksheet" Target="/xl/worksheets/sheet2.xml" Id="Rd1880f35a7c143b3" /><Relationship Type="http://schemas.openxmlformats.org/officeDocument/2006/relationships/worksheet" Target="/xl/worksheets/sheet3.xml" Id="R1394ab73d4b74864" /><Relationship Type="http://schemas.openxmlformats.org/officeDocument/2006/relationships/worksheet" Target="/xl/worksheets/sheet4.xml" Id="R96fb03a716a54b24" /><Relationship Type="http://schemas.openxmlformats.org/officeDocument/2006/relationships/worksheet" Target="/xl/worksheets/sheet5.xml" Id="R02c27485a9f049c5" /><Relationship Type="http://schemas.openxmlformats.org/officeDocument/2006/relationships/worksheet" Target="/xl/worksheets/sheet6.xml" Id="Rdc3a14a4f02846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57SpeciesTable" displayName="LME057SpeciesTable" ref="A1:U6" headerRowCount="1" totalsRowCount="0" totalsRowShown="0">
  <x:autoFilter ref="A1:U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7CommercialTable" displayName="LME057CommercialTable" ref="A1:E3" headerRowCount="1" totalsRowCount="0" totalsRowShown="0">
  <x:autoFilter ref="A1:E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7FunctionalTable" displayName="LME057FunctionalTable" ref="A1:E4" headerRowCount="1" totalsRowCount="0" totalsRowShown="0">
  <x:autoFilter ref="A1:E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7ValidationTable" displayName="LME05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b1ece2344e4c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b3776a87d946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8a14c871d341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c79443159646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LME_057</x:v>
      </x:c>
      <x:c r="B2" s="24" t="str">
        <x:v>Laptev Sea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1128.8195392729</x:v>
      </x:c>
      <x:c r="J2" s="31" t="n">
        <x:v>1128.8195392729</x:v>
      </x:c>
      <x:c r="K2" s="31" t="n">
        <x:v>0</x:v>
      </x:c>
      <x:c r="L2" s="31" t="n">
        <x:v>0</x:v>
      </x:c>
      <x:c r="M2" s="31" t="n">
        <x:v>1128.8195392729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215092.12897538813</x:v>
      </x:c>
    </x:row>
    <x:row r="3" ht="18" customHeight="1">
      <x:c r="A3" s="24" t="str">
        <x:v>LME_057</x:v>
      </x:c>
      <x:c r="B3" s="24" t="str">
        <x:v>Laptev Sea</x:v>
      </x:c>
      <x:c r="C3" s="24" t="str">
        <x:v>LME</x:v>
      </x:c>
      <x:c r="D3" s="30" t="n">
        <x:v>2019</x:v>
      </x:c>
      <x:c r="E3" s="24" t="str">
        <x:v>Coregonus sardinella</x:v>
      </x:c>
      <x:c r="F3" s="24" t="str">
        <x:v>Sardine cisco</x:v>
      </x:c>
      <x:c r="G3" s="24" t="str">
        <x:v>Medium pelagics (30 - 89 cm)</x:v>
      </x:c>
      <x:c r="H3" s="24" t="str">
        <x:v>Salmon, smelts, etc</x:v>
      </x:c>
      <x:c r="I3" s="31" t="n">
        <x:v>707.1833091418</x:v>
      </x:c>
      <x:c r="J3" s="31" t="n">
        <x:v>707.1833091418</x:v>
      </x:c>
      <x:c r="K3" s="31" t="n">
        <x:v>0</x:v>
      </x:c>
      <x:c r="L3" s="31" t="n">
        <x:v>0</x:v>
      </x:c>
      <x:c r="M3" s="31" t="n">
        <x:v>707.1833091418</x:v>
      </x:c>
      <x:c r="N3" s="24" t="str">
        <x:v>coregonus sardinella</x:v>
      </x:c>
      <x:c r="O3" s="32" t="n">
        <x:v>3.21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Coregonus sardinella</x:v>
      </x:c>
      <x:c r="T3" s="32" t="n">
        <x:f>IF(O3="","",(1/'Metadata'!$B$5)^(O3-1))</x:f>
        <x:v>162.18100973589299</x:v>
      </x:c>
      <x:c r="U3" s="31" t="n">
        <x:f>IF(T3="","",I3*T3)</x:f>
        <x:v>114691.70314498729</x:v>
      </x:c>
    </x:row>
    <x:row r="4" ht="18" customHeight="1">
      <x:c r="A4" s="24" t="str">
        <x:v>LME_057</x:v>
      </x:c>
      <x:c r="B4" s="24" t="str">
        <x:v>Laptev Sea</x:v>
      </x:c>
      <x:c r="C4" s="24" t="str">
        <x:v>LME</x:v>
      </x:c>
      <x:c r="D4" s="30" t="n">
        <x:v>2019</x:v>
      </x:c>
      <x:c r="E4" s="24" t="str">
        <x:v>Coregonus muksun</x:v>
      </x:c>
      <x:c r="F4" s="24" t="str">
        <x:v>Muksun</x:v>
      </x:c>
      <x:c r="G4" s="24" t="str">
        <x:v>Large benthopelagics (&gt;=90 cm)</x:v>
      </x:c>
      <x:c r="H4" s="24" t="str">
        <x:v>Salmon, smelts, etc</x:v>
      </x:c>
      <x:c r="I4" s="31" t="n">
        <x:v>508.346393164</x:v>
      </x:c>
      <x:c r="J4" s="31" t="n">
        <x:v>508.346393164</x:v>
      </x:c>
      <x:c r="K4" s="31" t="n">
        <x:v>0</x:v>
      </x:c>
      <x:c r="L4" s="31" t="n">
        <x:v>0</x:v>
      </x:c>
      <x:c r="M4" s="31" t="n">
        <x:v>508.346393164</x:v>
      </x:c>
      <x:c r="N4" s="24" t="str">
        <x:v>coregonus muksun</x:v>
      </x:c>
      <x:c r="O4" s="32" t="n">
        <x:v>3.27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Coregonus muksun</x:v>
      </x:c>
      <x:c r="T4" s="32" t="n">
        <x:f>IF(O4="","",(1/'Metadata'!$B$5)^(O4-1))</x:f>
        <x:v>186.20871366628674</x:v>
      </x:c>
      <x:c r="U4" s="31" t="n">
        <x:f>IF(T4="","",I4*T4)</x:f>
        <x:v>94658.5279679649</x:v>
      </x:c>
    </x:row>
    <x:row r="5" ht="18" customHeight="1">
      <x:c r="A5" s="24" t="str">
        <x:v>LME_057</x:v>
      </x:c>
      <x:c r="B5" s="24" t="str">
        <x:v>Laptev Sea</x:v>
      </x:c>
      <x:c r="C5" s="24" t="str">
        <x:v>LME</x:v>
      </x:c>
      <x:c r="D5" s="30" t="n">
        <x:v>2019</x:v>
      </x:c>
      <x:c r="E5" s="24" t="str">
        <x:v>Coregonus</x:v>
      </x:c>
      <x:c r="F5" s="24" t="str">
        <x:v>Whitefishes</x:v>
      </x:c>
      <x:c r="G5" s="24" t="str">
        <x:v>Medium pelagics (30 - 89 cm)</x:v>
      </x:c>
      <x:c r="H5" s="24" t="str">
        <x:v>Salmon, smelts, etc</x:v>
      </x:c>
      <x:c r="I5" s="31" t="n">
        <x:v>165.8549513662</x:v>
      </x:c>
      <x:c r="J5" s="31" t="n">
        <x:v>165.8549513662</x:v>
      </x:c>
      <x:c r="K5" s="31" t="n">
        <x:v>0</x:v>
      </x:c>
      <x:c r="L5" s="31" t="n">
        <x:v>0</x:v>
      </x:c>
      <x:c r="M5" s="31" t="n">
        <x:v>165.8549513662</x:v>
      </x:c>
      <x:c r="N5" s="24" t="str">
        <x:v>coregonus</x:v>
      </x:c>
      <x:c r="O5" s="32" t="n">
        <x:v>3.3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Coregonus</x:v>
      </x:c>
      <x:c r="T5" s="32" t="n">
        <x:f>IF(O5="","",(1/'Metadata'!$B$5)^(O5-1))</x:f>
        <x:v>199.52623149688787</x:v>
      </x:c>
      <x:c r="U5" s="31" t="n">
        <x:f>IF(T5="","",I5*T5)</x:f>
        <x:v>33092.4134211975</x:v>
      </x:c>
    </x:row>
    <x:row r="6" ht="18" customHeight="1">
      <x:c r="A6" s="24" t="str">
        <x:v>LME_057</x:v>
      </x:c>
      <x:c r="B6" s="24" t="str">
        <x:v>Laptev Sea</x:v>
      </x:c>
      <x:c r="C6" s="24" t="str">
        <x:v>LME</x:v>
      </x:c>
      <x:c r="D6" s="30" t="n">
        <x:v>2019</x:v>
      </x:c>
      <x:c r="E6" s="24" t="str">
        <x:v>Coregonus autumnalis</x:v>
      </x:c>
      <x:c r="F6" s="24" t="str">
        <x:v>Arctic cisco</x:v>
      </x:c>
      <x:c r="G6" s="24" t="str">
        <x:v>Medium pelagics (30 - 89 cm)</x:v>
      </x:c>
      <x:c r="H6" s="24" t="str">
        <x:v>Salmon, smelts, etc</x:v>
      </x:c>
      <x:c r="I6" s="31" t="n">
        <x:v>105.9792232908</x:v>
      </x:c>
      <x:c r="J6" s="31" t="n">
        <x:v>105.9792232908</x:v>
      </x:c>
      <x:c r="K6" s="31" t="n">
        <x:v>0</x:v>
      </x:c>
      <x:c r="L6" s="31" t="n">
        <x:v>0</x:v>
      </x:c>
      <x:c r="M6" s="31" t="n">
        <x:v>105.9792232908</x:v>
      </x:c>
      <x:c r="N6" s="24" t="str">
        <x:v>coregonus autumnalis</x:v>
      </x:c>
      <x:c r="O6" s="32" t="n">
        <x:v>3.67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Coregonus autumnalis</x:v>
      </x:c>
      <x:c r="T6" s="32" t="n">
        <x:f>IF(O6="","",(1/'Metadata'!$B$5)^(O6-1))</x:f>
        <x:v>467.73514128719813</x:v>
      </x:c>
      <x:c r="U6" s="31" t="n">
        <x:f>IF(T6="","",I6*T6)</x:f>
        <x:v>49570.20697942985</x:v>
      </x:c>
    </x:row>
  </x:sheetData>
  <x:conditionalFormatting sqref="R2:R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fb1ece2344e4cf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1128.8195392729</x:v>
      </x:c>
      <x:c r="C2" s="32" t="n">
        <x:v>3.28</x:v>
      </x:c>
      <x:c r="D2" s="32" t="n">
        <x:f>IF(C2="","",(1/'Metadata'!$B$5)^(C2-1))</x:f>
        <x:v>190.54607179632464</x:v>
      </x:c>
      <x:c r="E2" s="31" t="n">
        <x:f>IF(B2=0,"",B2*D2)</x:f>
        <x:v>215092.12897538813</x:v>
      </x:c>
    </x:row>
    <x:row r="3" ht="18" customHeight="1">
      <x:c r="A3" s="24" t="str">
        <x:v>Salmon, smelts, etc</x:v>
      </x:c>
      <x:c r="B3" s="31" t="n">
        <x:v>1487.3638769628003</x:v>
      </x:c>
      <x:c r="C3" s="32" t="n">
        <x:v>3.27331885114682</x:v>
      </x:c>
      <x:c r="D3" s="32" t="n">
        <x:f>IF(C3="","",(1/'Metadata'!$B$5)^(C3-1))</x:f>
        <x:v>187.6371600549579</x:v>
      </x:c>
      <x:c r="E3" s="31" t="n">
        <x:f>IF(B3=0,"",B3*D3)</x:f>
        <x:v>279084.7338416317</x:v>
      </x:c>
    </x:row>
  </x:sheetData>
  <x:pageMargins left="0.7" right="0.7" top="0.75" bottom="0.75" header="0.3" footer="0.3"/>
  <x:tableParts count="1">
    <x:tablePart xmlns:r="http://schemas.openxmlformats.org/officeDocument/2006/relationships" r:id="R95b3776a87d9462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508.346393164</x:v>
      </x:c>
      <x:c r="C2" s="32" t="n">
        <x:v>3.27</x:v>
      </x:c>
      <x:c r="D2" s="32" t="n">
        <x:f>IF(C2="","",(1/'Metadata'!$B$5)^(C2-1))</x:f>
        <x:v>186.20871366628674</x:v>
      </x:c>
      <x:c r="E2" s="31" t="n">
        <x:f>IF(B2=0,"",B2*D2)</x:f>
        <x:v>94658.5279679649</x:v>
      </x:c>
    </x:row>
    <x:row r="3" ht="18" customHeight="1">
      <x:c r="A3" s="24" t="str">
        <x:v>Medium demersals (30 - 89 cm)</x:v>
      </x:c>
      <x:c r="B3" s="31" t="n">
        <x:v>1128.8195392729</x:v>
      </x:c>
      <x:c r="C3" s="32" t="n">
        <x:v>3.28</x:v>
      </x:c>
      <x:c r="D3" s="32" t="n">
        <x:f>IF(C3="","",(1/'Metadata'!$B$5)^(C3-1))</x:f>
        <x:v>190.54607179632464</x:v>
      </x:c>
      <x:c r="E3" s="31" t="n">
        <x:f>IF(B3=0,"",B3*D3)</x:f>
        <x:v>215092.12897538813</x:v>
      </x:c>
    </x:row>
    <x:row r="4" ht="18" customHeight="1">
      <x:c r="A4" s="24" t="str">
        <x:v>Medium pelagics (30 - 89 cm)</x:v>
      </x:c>
      <x:c r="B4" s="31" t="n">
        <x:v>979.0174837988</x:v>
      </x:c>
      <x:c r="C4" s="32" t="n">
        <x:v>3.2750421360093016</x:v>
      </x:c>
      <x:c r="D4" s="32" t="n">
        <x:f>IF(C4="","",(1/'Metadata'!$B$5)^(C4-1))</x:f>
        <x:v>188.38318532808898</x:v>
      </x:c>
      <x:c r="E4" s="31" t="n">
        <x:f>IF(B4=0,"",B4*D4)</x:f>
        <x:v>184430.4320899087</x:v>
      </x:c>
    </x:row>
  </x:sheetData>
  <x:pageMargins left="0.7" right="0.7" top="0.75" bottom="0.75" header="0.3" footer="0.3"/>
  <x:tableParts count="1">
    <x:tablePart xmlns:r="http://schemas.openxmlformats.org/officeDocument/2006/relationships" r:id="R908a14c871d3414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LME_057</x:v>
      </x:c>
      <x:c r="B2" s="24" t="str">
        <x:v>raw_filtered_tonnes</x:v>
      </x:c>
      <x:c r="C2" s="24" t="n">
        <x:v>2616.1834162357</x:v>
      </x:c>
      <x:c r="D2" s="24" t="str">
        <x:v>tonnes</x:v>
      </x:c>
    </x:row>
    <x:row r="3" ht="18" customHeight="1">
      <x:c r="A3" s="24" t="str">
        <x:v>LME_057</x:v>
      </x:c>
      <x:c r="B3" s="24" t="str">
        <x:v>species_catch_tonnes</x:v>
      </x:c>
      <x:c r="C3" s="24" t="n">
        <x:v>2616.1834162357</x:v>
      </x:c>
      <x:c r="D3" s="24" t="str">
        <x:v>tonnes</x:v>
      </x:c>
    </x:row>
    <x:row r="4" ht="18" customHeight="1">
      <x:c r="A4" s="24" t="str">
        <x:v>LME_057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LME_057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LME_057</x:v>
      </x:c>
      <x:c r="B6" s="24" t="str">
        <x:v>matched_catch_tonnes</x:v>
      </x:c>
      <x:c r="C6" s="24" t="n">
        <x:v>2616.1834162357</x:v>
      </x:c>
      <x:c r="D6" s="24" t="str">
        <x:v>tonnes</x:v>
      </x:c>
    </x:row>
    <x:row r="7" ht="18" customHeight="1">
      <x:c r="A7" s="24" t="str">
        <x:v>LME_057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LME_057</x:v>
      </x:c>
      <x:c r="B8" s="24" t="str">
        <x:v>taxa_count</x:v>
      </x:c>
      <x:c r="C8" s="24" t="n">
        <x:v>5</x:v>
      </x:c>
      <x:c r="D8" s="24" t="str">
        <x:v>count</x:v>
      </x:c>
    </x:row>
    <x:row r="9" ht="18" customHeight="1">
      <x:c r="A9" s="24" t="str">
        <x:v>LME_057</x:v>
      </x:c>
      <x:c r="B9" s="24" t="str">
        <x:v>matched_taxa_count</x:v>
      </x:c>
      <x:c r="C9" s="24" t="n">
        <x:v>5</x:v>
      </x:c>
      <x:c r="D9" s="24" t="str">
        <x:v>count</x:v>
      </x:c>
    </x:row>
    <x:row r="10" ht="18" customHeight="1">
      <x:c r="A10" s="24" t="str">
        <x:v>LME_057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LME_057</x:v>
      </x:c>
      <x:c r="B11" s="24" t="str">
        <x:v>species_ppr</x:v>
      </x:c>
      <x:c r="C11" s="24" t="n">
        <x:v>507104.9804889677</x:v>
      </x:c>
      <x:c r="D11" s="24" t="str">
        <x:v>tonnes_primary_production_equivalent</x:v>
      </x:c>
    </x:row>
    <x:row r="12" ht="18" customHeight="1">
      <x:c r="A12" s="24" t="str">
        <x:v>LME_057</x:v>
      </x:c>
      <x:c r="B12" s="24" t="str">
        <x:v>commercial_ppr</x:v>
      </x:c>
      <x:c r="C12" s="24" t="n">
        <x:v>494176.8628170198</x:v>
      </x:c>
      <x:c r="D12" s="24" t="str">
        <x:v>tonnes_primary_production_equivalent</x:v>
      </x:c>
    </x:row>
    <x:row r="13" ht="18" customHeight="1">
      <x:c r="A13" s="24" t="str">
        <x:v>LME_057</x:v>
      </x:c>
      <x:c r="B13" s="24" t="str">
        <x:v>functional_ppr</x:v>
      </x:c>
      <x:c r="C13" s="24" t="n">
        <x:v>494181.0890332617</x:v>
      </x:c>
      <x:c r="D13" s="24" t="str">
        <x:v>tonnes_primary_production_equivalent</x:v>
      </x:c>
    </x:row>
    <x:row r="14" ht="18" customHeight="1">
      <x:c r="A14" s="24" t="str">
        <x:v>LME_057</x:v>
      </x:c>
      <x:c r="B14" s="24" t="str">
        <x:v>commercial_ppr_difference</x:v>
      </x:c>
      <x:c r="C14" s="24" t="n">
        <x:v>-12928.117671947868</x:v>
      </x:c>
      <x:c r="D14" s="24" t="str">
        <x:v>tonnes_primary_production_equivalent</x:v>
      </x:c>
    </x:row>
    <x:row r="15" ht="18" customHeight="1">
      <x:c r="A15" s="24" t="str">
        <x:v>LME_057</x:v>
      </x:c>
      <x:c r="B15" s="24" t="str">
        <x:v>functional_ppr_difference</x:v>
      </x:c>
      <x:c r="C15" s="24" t="n">
        <x:v>-12923.891455705976</x:v>
      </x:c>
      <x:c r="D15" s="24" t="str">
        <x:v>tonnes_primary_production_equivalent</x:v>
      </x:c>
    </x:row>
    <x:row r="16" ht="18" customHeight="1">
      <x:c r="A16" s="24" t="str">
        <x:v>LME_057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LME_057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9c79443159646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LME_057 - Laptev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LME_057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raw_data/SAU_downloads/LME_057-catch.zip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