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74f42f808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283356c1d1c440a"/>
    <x:sheet xmlns:r="http://schemas.openxmlformats.org/officeDocument/2006/relationships" name="Commercial" sheetId="2" r:id="R23180ce823054aa7"/>
    <x:sheet xmlns:r="http://schemas.openxmlformats.org/officeDocument/2006/relationships" name="Functional" sheetId="3" r:id="R921e014009964de2"/>
    <x:sheet xmlns:r="http://schemas.openxmlformats.org/officeDocument/2006/relationships" name="Missing TL" sheetId="4" r:id="R3df1d0c73c0c4fe2"/>
    <x:sheet xmlns:r="http://schemas.openxmlformats.org/officeDocument/2006/relationships" name="Validation" sheetId="5" r:id="R3d803f59d21e4da4"/>
    <x:sheet xmlns:r="http://schemas.openxmlformats.org/officeDocument/2006/relationships" name="Metadata" sheetId="6" r:id="R972149f495c2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f161a1d3f4fcd" /><Relationship Type="http://schemas.openxmlformats.org/officeDocument/2006/relationships/theme" Target="/xl/theme/theme1.xml" Id="R9f38c3ed6cc64867" /><Relationship Type="http://schemas.microsoft.com/office/2022/11/relationships/FeaturePropertyBag" Target="/xl/featurePropertyBag/featurePropertyBag.xml" Id="Rca5ed504f3994701" /><Relationship Type="http://schemas.openxmlformats.org/officeDocument/2006/relationships/sharedStrings" Target="/xl/sharedStrings.xml" Id="R4c122bfcc44849e4" /><Relationship Type="http://schemas.openxmlformats.org/officeDocument/2006/relationships/worksheet" Target="/xl/worksheets/sheet1.xml" Id="R5283356c1d1c440a" /><Relationship Type="http://schemas.openxmlformats.org/officeDocument/2006/relationships/worksheet" Target="/xl/worksheets/sheet2.xml" Id="R23180ce823054aa7" /><Relationship Type="http://schemas.openxmlformats.org/officeDocument/2006/relationships/worksheet" Target="/xl/worksheets/sheet3.xml" Id="R921e014009964de2" /><Relationship Type="http://schemas.openxmlformats.org/officeDocument/2006/relationships/worksheet" Target="/xl/worksheets/sheet4.xml" Id="R3df1d0c73c0c4fe2" /><Relationship Type="http://schemas.openxmlformats.org/officeDocument/2006/relationships/worksheet" Target="/xl/worksheets/sheet5.xml" Id="R3d803f59d21e4da4" /><Relationship Type="http://schemas.openxmlformats.org/officeDocument/2006/relationships/worksheet" Target="/xl/worksheets/sheet6.xml" Id="R972149f495c243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41SpeciesTable" displayName="HS041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41CommercialTable" displayName="HS041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41FunctionalTable" displayName="HS041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41ValidationTable" displayName="HS04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acbc37334c49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3612e1bf8a4c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20379f7f7447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2dd220c99c4a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HS_041</x:v>
      </x:c>
      <x:c r="B2" s="24" t="str">
        <x:v>Atlantic, Southwest</x:v>
      </x:c>
      <x:c r="C2" s="24" t="str">
        <x:v>High Seas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14596.4057386432</x:v>
      </x:c>
      <x:c r="J2" s="31" t="n">
        <x:v>14596.4057386432</x:v>
      </x:c>
      <x:c r="K2" s="31" t="n">
        <x:v>0</x:v>
      </x:c>
      <x:c r="L2" s="31" t="n">
        <x:v>14596.4057386432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39286734.0577967</x:v>
      </x:c>
    </x:row>
    <x:row r="3" ht="18" customHeight="1">
      <x:c r="A3" s="24" t="str">
        <x:v>HS_041</x:v>
      </x:c>
      <x:c r="B3" s="24" t="str">
        <x:v>Atlantic, Southwest</x:v>
      </x:c>
      <x:c r="C3" s="24" t="str">
        <x:v>High Seas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14575.5564025251</x:v>
      </x:c>
      <x:c r="J3" s="31" t="n">
        <x:v>14575.5564025251</x:v>
      </x:c>
      <x:c r="K3" s="31" t="n">
        <x:v>0</x:v>
      </x:c>
      <x:c r="L3" s="31" t="n">
        <x:v>14575.5564025251</x:v>
      </x:c>
      <x:c r="M3" s="31" t="n">
        <x:v>0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37464948.70856024</x:v>
      </x:c>
    </x:row>
    <x:row r="4" ht="18" customHeight="1">
      <x:c r="A4" s="24" t="str">
        <x:v>HS_041</x:v>
      </x:c>
      <x:c r="B4" s="24" t="str">
        <x:v>Atlantic, Southwest</x:v>
      </x:c>
      <x:c r="C4" s="24" t="str">
        <x:v>High Seas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7903.5859289505</x:v>
      </x:c>
      <x:c r="J4" s="31" t="n">
        <x:v>7903.5859289505</x:v>
      </x:c>
      <x:c r="K4" s="31" t="n">
        <x:v>0</x:v>
      </x:c>
      <x:c r="L4" s="31" t="n">
        <x:v>7903.5859289505</x:v>
      </x:c>
      <x:c r="M4" s="31" t="n">
        <x:v>0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17693924.889632754</x:v>
      </x:c>
    </x:row>
    <x:row r="5" ht="18" customHeight="1">
      <x:c r="A5" s="24" t="str">
        <x:v>HS_041</x:v>
      </x:c>
      <x:c r="B5" s="24" t="str">
        <x:v>Atlantic, Southwest</x:v>
      </x:c>
      <x:c r="C5" s="24" t="str">
        <x:v>High Seas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7266.3771590647</x:v>
      </x:c>
      <x:c r="J5" s="31" t="n">
        <x:v>7266.3771590647</x:v>
      </x:c>
      <x:c r="K5" s="31" t="n">
        <x:v>0</x:v>
      </x:c>
      <x:c r="L5" s="31" t="n">
        <x:v>7266.3771590647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22455252.145578735</x:v>
      </x:c>
    </x:row>
    <x:row r="6" ht="18" customHeight="1">
      <x:c r="A6" s="24" t="str">
        <x:v>HS_041</x:v>
      </x:c>
      <x:c r="B6" s="24" t="str">
        <x:v>Atlantic, Southwest</x:v>
      </x:c>
      <x:c r="C6" s="24" t="str">
        <x:v>High Seas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6893.0174150516</x:v>
      </x:c>
      <x:c r="J6" s="31" t="n">
        <x:v>6893.0174150516</x:v>
      </x:c>
      <x:c r="K6" s="31" t="n">
        <x:v>0</x:v>
      </x:c>
      <x:c r="L6" s="31" t="n">
        <x:v>6893.0174150516</x:v>
      </x:c>
      <x:c r="M6" s="31" t="n">
        <x:v>0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13753377.884676654</x:v>
      </x:c>
    </x:row>
    <x:row r="7" ht="18" customHeight="1">
      <x:c r="A7" s="24" t="str">
        <x:v>HS_041</x:v>
      </x:c>
      <x:c r="B7" s="24" t="str">
        <x:v>Atlantic, Southwest</x:v>
      </x:c>
      <x:c r="C7" s="24" t="str">
        <x:v>High Seas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4930.3777470704</x:v>
      </x:c>
      <x:c r="J7" s="31" t="n">
        <x:v>5.629999999999999e-7</x:v>
      </x:c>
      <x:c r="K7" s="31" t="n">
        <x:v>4930.3777465074</x:v>
      </x:c>
      <x:c r="L7" s="31" t="n">
        <x:v>5.629999999999999e-7</x:v>
      </x:c>
      <x:c r="M7" s="31" t="n">
        <x:v>4930.3777465074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939464.1121762778</x:v>
      </x:c>
    </x:row>
    <x:row r="8" ht="18" customHeight="1">
      <x:c r="A8" s="24" t="str">
        <x:v>HS_041</x:v>
      </x:c>
      <x:c r="B8" s="24" t="str">
        <x:v>Atlantic, Southwest</x:v>
      </x:c>
      <x:c r="C8" s="24" t="str">
        <x:v>High Seas</x:v>
      </x:c>
      <x:c r="D8" s="30" t="n">
        <x:v>2019</x:v>
      </x:c>
      <x:c r="E8" s="24" t="str">
        <x:v>Xiphias gladius</x:v>
      </x:c>
      <x:c r="F8" s="24" t="str">
        <x:v>Swordfish</x:v>
      </x:c>
      <x:c r="G8" s="24" t="str">
        <x:v>Large pelagics (&gt;=90 cm)</x:v>
      </x:c>
      <x:c r="H8" s="24" t="str">
        <x:v>Tuna &amp; billfishes</x:v>
      </x:c>
      <x:c r="I8" s="31" t="n">
        <x:v>3746.4603297259996</x:v>
      </x:c>
      <x:c r="J8" s="31" t="n">
        <x:v>3746.4603297259996</x:v>
      </x:c>
      <x:c r="K8" s="31" t="n">
        <x:v>0</x:v>
      </x:c>
      <x:c r="L8" s="31" t="n">
        <x:v>3746.4603297259996</x:v>
      </x:c>
      <x:c r="M8" s="31" t="n">
        <x:v>0</x:v>
      </x:c>
      <x:c r="N8" s="24" t="str">
        <x:v>xiphias gladius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Xiphias gladius</x:v>
      </x:c>
      <x:c r="T8" s="32" t="n">
        <x:f>IF(O8="","",(1/'Metadata'!$B$5)^(O8-1))</x:f>
        <x:v>3388.4415613920273</x:v>
      </x:c>
      <x:c r="U8" s="31" t="n">
        <x:f>IF(T8="","",I8*T8)</x:f>
        <x:v>12694661.889350055</x:v>
      </x:c>
    </x:row>
    <x:row r="9" ht="18" customHeight="1">
      <x:c r="A9" s="24" t="str">
        <x:v>HS_041</x:v>
      </x:c>
      <x:c r="B9" s="24" t="str">
        <x:v>Atlantic, Southwest</x:v>
      </x:c>
      <x:c r="C9" s="24" t="str">
        <x:v>High Seas</x:v>
      </x:c>
      <x:c r="D9" s="30" t="n">
        <x:v>2019</x:v>
      </x:c>
      <x:c r="E9" s="24" t="str">
        <x:v>Isurus oxyrinchus</x:v>
      </x:c>
      <x:c r="F9" s="24" t="str">
        <x:v>Shortfin mako</x:v>
      </x:c>
      <x:c r="G9" s="24" t="str">
        <x:v>Large sharks (&gt;=90 cm)</x:v>
      </x:c>
      <x:c r="H9" s="24" t="str">
        <x:v>Sharks &amp; rays</x:v>
      </x:c>
      <x:c r="I9" s="31" t="n">
        <x:v>422.25852748</x:v>
      </x:c>
      <x:c r="J9" s="31" t="n">
        <x:v>422.25852748</x:v>
      </x:c>
      <x:c r="K9" s="31" t="n">
        <x:v>0</x:v>
      </x:c>
      <x:c r="L9" s="31" t="n">
        <x:v>422.25852748</x:v>
      </x:c>
      <x:c r="M9" s="31" t="n">
        <x:v>0</x:v>
      </x:c>
      <x:c r="N9" s="24" t="str">
        <x:v>isurus oxyrinchus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Isurus oxyrinchus</x:v>
      </x:c>
      <x:c r="T9" s="32" t="n">
        <x:f>IF(O9="","",(1/'Metadata'!$B$5)^(O9-1))</x:f>
        <x:v>3162.2776601683795</x:v>
      </x:c>
      <x:c r="U9" s="31" t="n">
        <x:f>IF(T9="","",I9*T9)</x:f>
        <x:v>1335298.7082655998</x:v>
      </x:c>
    </x:row>
    <x:row r="10" ht="18" customHeight="1">
      <x:c r="A10" s="24" t="str">
        <x:v>HS_041</x:v>
      </x:c>
      <x:c r="B10" s="24" t="str">
        <x:v>Atlantic, Southwest</x:v>
      </x:c>
      <x:c r="C10" s="24" t="str">
        <x:v>High Seas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381.04967881700003</x:v>
      </x:c>
      <x:c r="J10" s="31" t="n">
        <x:v>381.04967881700003</x:v>
      </x:c>
      <x:c r="K10" s="31" t="n">
        <x:v>0</x:v>
      </x:c>
      <x:c r="L10" s="31" t="n">
        <x:v>381.04967881700003</x:v>
      </x:c>
      <x:c r="M10" s="31" t="n">
        <x:v>0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85306.39708122946</x:v>
      </x:c>
    </x:row>
    <x:row r="11" ht="18" customHeight="1">
      <x:c r="A11" s="24" t="str">
        <x:v>HS_041</x:v>
      </x:c>
      <x:c r="B11" s="24" t="str">
        <x:v>Atlantic, Southwest</x:v>
      </x:c>
      <x:c r="C11" s="24" t="str">
        <x:v>High Seas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306.5465286814</x:v>
      </x:c>
      <x:c r="J11" s="31" t="n">
        <x:v>306.5465286814</x:v>
      </x:c>
      <x:c r="K11" s="31" t="n">
        <x:v>0</x:v>
      </x:c>
      <x:c r="L11" s="31" t="n">
        <x:v>306.5465286814</x:v>
      </x:c>
      <x:c r="M11" s="31" t="n">
        <x:v>0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718615.2057712331</x:v>
      </x:c>
    </x:row>
    <x:row r="12" ht="18" customHeight="1">
      <x:c r="A12" s="24" t="str">
        <x:v>HS_041</x:v>
      </x:c>
      <x:c r="B12" s="24" t="str">
        <x:v>Atlantic, Southwest</x:v>
      </x:c>
      <x:c r="C12" s="24" t="str">
        <x:v>High Seas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284.8893094239</x:v>
      </x:c>
      <x:c r="J12" s="31" t="n">
        <x:v>284.8893094239</x:v>
      </x:c>
      <x:c r="K12" s="31" t="n">
        <x:v>0</x:v>
      </x:c>
      <x:c r="L12" s="31" t="n">
        <x:v>284.8893094239</x:v>
      </x:c>
      <x:c r="M12" s="31" t="n">
        <x:v>0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518413.3209674758</x:v>
      </x:c>
    </x:row>
    <x:row r="13" ht="18" customHeight="1">
      <x:c r="A13" s="24" t="str">
        <x:v>HS_041</x:v>
      </x:c>
      <x:c r="B13" s="24" t="str">
        <x:v>Atlantic, Southwest</x:v>
      </x:c>
      <x:c r="C13" s="24" t="str">
        <x:v>High Seas</x:v>
      </x:c>
      <x:c r="D13" s="30" t="n">
        <x:v>2019</x:v>
      </x:c>
      <x:c r="E13" s="24" t="str">
        <x:v>Auxis thazard</x:v>
      </x:c>
      <x:c r="F13" s="24" t="str">
        <x:v>Frigate tuna</x:v>
      </x:c>
      <x:c r="G13" s="24" t="str">
        <x:v>Medium pelagics (30 - 89 cm)</x:v>
      </x:c>
      <x:c r="H13" s="24" t="str">
        <x:v>Tuna &amp; billfishes</x:v>
      </x:c>
      <x:c r="I13" s="31" t="n">
        <x:v>254.9016488986</x:v>
      </x:c>
      <x:c r="J13" s="31" t="n">
        <x:v>254.9016488986</x:v>
      </x:c>
      <x:c r="K13" s="31" t="n">
        <x:v>0</x:v>
      </x:c>
      <x:c r="L13" s="31" t="n">
        <x:v>254.9016488986</x:v>
      </x:c>
      <x:c r="M13" s="31" t="n">
        <x:v>0</x:v>
      </x:c>
      <x:c r="N13" s="24" t="str">
        <x:v>auxis thazard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Auxis thazard</x:v>
      </x:c>
      <x:c r="T13" s="32" t="n">
        <x:f>IF(O13="","",(1/'Metadata'!$B$5)^(O13-1))</x:f>
        <x:v>2344.228815319923</x:v>
      </x:c>
      <x:c r="U13" s="31" t="n">
        <x:f>IF(T13="","",I13*T13)</x:f>
        <x:v>597547.79042066</x:v>
      </x:c>
    </x:row>
    <x:row r="14" ht="18" customHeight="1">
      <x:c r="A14" s="24" t="str">
        <x:v>HS_041</x:v>
      </x:c>
      <x:c r="B14" s="24" t="str">
        <x:v>Atlantic, Southwest</x:v>
      </x:c>
      <x:c r="C14" s="24" t="str">
        <x:v>High Seas</x:v>
      </x:c>
      <x:c r="D14" s="30" t="n">
        <x:v>2019</x:v>
      </x:c>
      <x:c r="E14" s="24" t="str">
        <x:v>Istiophorus albicans</x:v>
      </x:c>
      <x:c r="F14" s="24" t="str">
        <x:v>Atlantic sailfish</x:v>
      </x:c>
      <x:c r="G14" s="24" t="str">
        <x:v>Large pelagics (&gt;=90 cm)</x:v>
      </x:c>
      <x:c r="H14" s="24" t="str">
        <x:v>Tuna &amp; billfishes</x:v>
      </x:c>
      <x:c r="I14" s="31" t="n">
        <x:v>247.0895222426</x:v>
      </x:c>
      <x:c r="J14" s="31" t="n">
        <x:v>247.0895222426</x:v>
      </x:c>
      <x:c r="K14" s="31" t="n">
        <x:v>0</x:v>
      </x:c>
      <x:c r="L14" s="31" t="n">
        <x:v>247.0895222426</x:v>
      </x:c>
      <x:c r="M14" s="31" t="n">
        <x:v>0</x:v>
      </x:c>
      <x:c r="N14" s="24" t="str">
        <x:v>istiophorus albicans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Istiophorus albicans</x:v>
      </x:c>
      <x:c r="T14" s="32" t="n">
        <x:f>IF(O14="","",(1/'Metadata'!$B$5)^(O14-1))</x:f>
        <x:v>3162.2776601683795</x:v>
      </x:c>
      <x:c r="U14" s="31" t="n">
        <x:f>IF(T14="","",I14*T14)</x:f>
        <x:v>781365.6762494519</x:v>
      </x:c>
    </x:row>
    <x:row r="15" ht="18" customHeight="1">
      <x:c r="A15" s="24" t="str">
        <x:v>HS_041</x:v>
      </x:c>
      <x:c r="B15" s="24" t="str">
        <x:v>Atlantic, Southwest</x:v>
      </x:c>
      <x:c r="C15" s="24" t="str">
        <x:v>High Seas</x:v>
      </x:c>
      <x:c r="D15" s="30" t="n">
        <x:v>2019</x:v>
      </x:c>
      <x:c r="E15" s="24" t="str">
        <x:v>Thunnus atlanticus</x:v>
      </x:c>
      <x:c r="F15" s="24" t="str">
        <x:v>Blackfin tuna</x:v>
      </x:c>
      <x:c r="G15" s="24" t="str">
        <x:v>Large pelagics (&gt;=90 cm)</x:v>
      </x:c>
      <x:c r="H15" s="24" t="str">
        <x:v>Tuna &amp; billfishes</x:v>
      </x:c>
      <x:c r="I15" s="31" t="n">
        <x:v>154.26008688</x:v>
      </x:c>
      <x:c r="J15" s="31" t="n">
        <x:v>154.26008688</x:v>
      </x:c>
      <x:c r="K15" s="31" t="n">
        <x:v>0</x:v>
      </x:c>
      <x:c r="L15" s="31" t="n">
        <x:v>154.26008688</x:v>
      </x:c>
      <x:c r="M15" s="31" t="n">
        <x:v>0</x:v>
      </x:c>
      <x:c r="N15" s="24" t="str">
        <x:v>thunnus atlanticus</x:v>
      </x:c>
      <x:c r="O15" s="32" t="n">
        <x:v>4.35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atlanticus</x:v>
      </x:c>
      <x:c r="T15" s="32" t="n">
        <x:f>IF(O15="","",(1/'Metadata'!$B$5)^(O15-1))</x:f>
        <x:v>2238.7211385683377</x:v>
      </x:c>
      <x:c r="U15" s="31" t="n">
        <x:f>IF(T15="","",I15*T15)</x:f>
        <x:v>345345.3173356443</x:v>
      </x:c>
    </x:row>
    <x:row r="16" ht="18" customHeight="1">
      <x:c r="A16" s="24" t="str">
        <x:v>HS_041</x:v>
      </x:c>
      <x:c r="B16" s="24" t="str">
        <x:v>Atlantic, Southwest</x:v>
      </x:c>
      <x:c r="C16" s="24" t="str">
        <x:v>High Seas</x:v>
      </x:c>
      <x:c r="D16" s="30" t="n">
        <x:v>2019</x:v>
      </x:c>
      <x:c r="E16" s="24" t="str">
        <x:v>Acanthocybium solandri</x:v>
      </x:c>
      <x:c r="F16" s="24" t="str">
        <x:v>Wahoo</x:v>
      </x:c>
      <x:c r="G16" s="24" t="str">
        <x:v>Large pelagics (&gt;=90 cm)</x:v>
      </x:c>
      <x:c r="H16" s="24" t="str">
        <x:v>Perch-likes</x:v>
      </x:c>
      <x:c r="I16" s="31" t="n">
        <x:v>69.2416238515</x:v>
      </x:c>
      <x:c r="J16" s="31" t="n">
        <x:v>69.2416238515</x:v>
      </x:c>
      <x:c r="K16" s="31" t="n">
        <x:v>0</x:v>
      </x:c>
      <x:c r="L16" s="31" t="n">
        <x:v>69.2416238515</x:v>
      </x:c>
      <x:c r="M16" s="31" t="n">
        <x:v>0</x:v>
      </x:c>
      <x:c r="N16" s="24" t="str">
        <x:v>acanthocybium solandri</x:v>
      </x:c>
      <x:c r="O16" s="32" t="n">
        <x:v>4.26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Acanthocybium solandri</x:v>
      </x:c>
      <x:c r="T16" s="32" t="n">
        <x:f>IF(O16="","",(1/'Metadata'!$B$5)^(O16-1))</x:f>
        <x:v>1819.7008586099826</x:v>
      </x:c>
      <x:c r="U16" s="31" t="n">
        <x:f>IF(T16="","",I16*T16)</x:f>
        <x:v>125999.042374124</x:v>
      </x:c>
    </x:row>
    <x:row r="17" ht="18" customHeight="1">
      <x:c r="A17" s="24" t="str">
        <x:v>HS_041</x:v>
      </x:c>
      <x:c r="B17" s="24" t="str">
        <x:v>Atlantic, Southwest</x:v>
      </x:c>
      <x:c r="C17" s="24" t="str">
        <x:v>High Seas</x:v>
      </x:c>
      <x:c r="D17" s="30" t="n">
        <x:v>2019</x:v>
      </x:c>
      <x:c r="E17" s="24" t="str">
        <x:v>Makaira nigricans</x:v>
      </x:c>
      <x:c r="F17" s="24" t="str">
        <x:v>Blue marlin</x:v>
      </x:c>
      <x:c r="G17" s="24" t="str">
        <x:v>Large pelagics (&gt;=90 cm)</x:v>
      </x:c>
      <x:c r="H17" s="24" t="str">
        <x:v>Tuna &amp; billfishes</x:v>
      </x:c>
      <x:c r="I17" s="31" t="n">
        <x:v>67.6819366871</x:v>
      </x:c>
      <x:c r="J17" s="31" t="n">
        <x:v>67.6819366871</x:v>
      </x:c>
      <x:c r="K17" s="31" t="n">
        <x:v>0</x:v>
      </x:c>
      <x:c r="L17" s="31" t="n">
        <x:v>67.6819366871</x:v>
      </x:c>
      <x:c r="M17" s="31" t="n">
        <x:v>0</x:v>
      </x:c>
      <x:c r="N17" s="24" t="str">
        <x:v>makaira nigricans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Makaira nigricans</x:v>
      </x:c>
      <x:c r="T17" s="32" t="n">
        <x:f>IF(O17="","",(1/'Metadata'!$B$5)^(O17-1))</x:f>
        <x:v>3090.295432513592</x:v>
      </x:c>
      <x:c r="U17" s="31" t="n">
        <x:f>IF(T17="","",I17*T17)</x:f>
        <x:v>209157.17980781925</x:v>
      </x:c>
    </x:row>
    <x:row r="18" ht="18" customHeight="1">
      <x:c r="A18" s="24" t="str">
        <x:v>HS_041</x:v>
      </x:c>
      <x:c r="B18" s="24" t="str">
        <x:v>Atlantic, Southwest</x:v>
      </x:c>
      <x:c r="C18" s="24" t="str">
        <x:v>High Seas</x:v>
      </x:c>
      <x:c r="D18" s="30" t="n">
        <x:v>2019</x:v>
      </x:c>
      <x:c r="E18" s="24" t="str">
        <x:v>Tetrapturus pfluegeri</x:v>
      </x:c>
      <x:c r="F18" s="24" t="str">
        <x:v>Longbill spearfish</x:v>
      </x:c>
      <x:c r="G18" s="24" t="str">
        <x:v>Large pelagics (&gt;=90 cm)</x:v>
      </x:c>
      <x:c r="H18" s="24" t="str">
        <x:v>Tuna &amp; billfishes</x:v>
      </x:c>
      <x:c r="I18" s="31" t="n">
        <x:v>50.663048833000005</x:v>
      </x:c>
      <x:c r="J18" s="31" t="n">
        <x:v>50.663048833000005</x:v>
      </x:c>
      <x:c r="K18" s="31" t="n">
        <x:v>0</x:v>
      </x:c>
      <x:c r="L18" s="31" t="n">
        <x:v>50.663048833000005</x:v>
      </x:c>
      <x:c r="M18" s="31" t="n">
        <x:v>0</x:v>
      </x:c>
      <x:c r="N18" s="24" t="str">
        <x:v>tetrapturus pfluegeri</x:v>
      </x:c>
      <x:c r="O18" s="32" t="n">
        <x:v>4.4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Tetrapturus pfluegeri</x:v>
      </x:c>
      <x:c r="T18" s="32" t="n">
        <x:f>IF(O18="","",(1/'Metadata'!$B$5)^(O18-1))</x:f>
        <x:v>2511.886431509582</x:v>
      </x:c>
      <x:c r="U18" s="31" t="n">
        <x:f>IF(T18="","",I18*T18)</x:f>
        <x:v>127259.82494252008</x:v>
      </x:c>
    </x:row>
    <x:row r="19" ht="18" customHeight="1">
      <x:c r="A19" s="24" t="str">
        <x:v>HS_041</x:v>
      </x:c>
      <x:c r="B19" s="24" t="str">
        <x:v>Atlantic, Southwest</x:v>
      </x:c>
      <x:c r="C19" s="24" t="str">
        <x:v>High Seas</x:v>
      </x:c>
      <x:c r="D19" s="30" t="n">
        <x:v>2019</x:v>
      </x:c>
      <x:c r="E19" s="24" t="str">
        <x:v>Kajikia albida</x:v>
      </x:c>
      <x:c r="F19" s="24" t="str">
        <x:v>Atlantic white marlin</x:v>
      </x:c>
      <x:c r="G19" s="24" t="str">
        <x:v>Large pelagics (&gt;=90 cm)</x:v>
      </x:c>
      <x:c r="H19" s="24" t="str">
        <x:v>Tuna &amp; billfishes</x:v>
      </x:c>
      <x:c r="I19" s="31" t="n">
        <x:v>31.8600546676</x:v>
      </x:c>
      <x:c r="J19" s="31" t="n">
        <x:v>31.8600546676</x:v>
      </x:c>
      <x:c r="K19" s="31" t="n">
        <x:v>0</x:v>
      </x:c>
      <x:c r="L19" s="31" t="n">
        <x:v>31.8600546676</x:v>
      </x:c>
      <x:c r="M19" s="31" t="n">
        <x:v>0</x:v>
      </x:c>
      <x:c r="N19" s="24" t="str">
        <x:v>kajikia albida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Kajikia albida</x:v>
      </x:c>
      <x:c r="T19" s="32" t="n">
        <x:f>IF(O19="","",(1/'Metadata'!$B$5)^(O19-1))</x:f>
        <x:v>3090.295432513592</x:v>
      </x:c>
      <x:c r="U19" s="31" t="n">
        <x:f>IF(T19="","",I19*T19)</x:f>
        <x:v>98456.98141891762</x:v>
      </x:c>
    </x:row>
    <x:row r="20" ht="18" customHeight="1">
      <x:c r="A20" s="24" t="str">
        <x:v>HS_041</x:v>
      </x:c>
      <x:c r="B20" s="24" t="str">
        <x:v>Atlantic, Southwest</x:v>
      </x:c>
      <x:c r="C20" s="24" t="str">
        <x:v>High Seas</x:v>
      </x:c>
      <x:c r="D20" s="30" t="n">
        <x:v>2019</x:v>
      </x:c>
      <x:c r="E20" s="24" t="str">
        <x:v>Isurus paucus</x:v>
      </x:c>
      <x:c r="F20" s="24" t="str">
        <x:v>Longfin mako</x:v>
      </x:c>
      <x:c r="G20" s="24" t="str">
        <x:v>Large sharks (&gt;=90 cm)</x:v>
      </x:c>
      <x:c r="H20" s="24" t="str">
        <x:v>Sharks &amp; rays</x:v>
      </x:c>
      <x:c r="I20" s="31" t="n">
        <x:v>21.4303262629</x:v>
      </x:c>
      <x:c r="J20" s="31" t="n">
        <x:v>21.4303262629</x:v>
      </x:c>
      <x:c r="K20" s="31" t="n">
        <x:v>0</x:v>
      </x:c>
      <x:c r="L20" s="31" t="n">
        <x:v>21.4303262629</x:v>
      </x:c>
      <x:c r="M20" s="31" t="n">
        <x:v>0</x:v>
      </x:c>
      <x:c r="N20" s="24" t="str">
        <x:v>isurus paucus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Isurus paucus</x:v>
      </x:c>
      <x:c r="T20" s="32" t="n">
        <x:f>IF(O20="","",(1/'Metadata'!$B$5)^(O20-1))</x:f>
        <x:v>3235.936569296281</x:v>
      </x:c>
      <x:c r="U20" s="31" t="n">
        <x:f>IF(T20="","",I20*T20)</x:f>
        <x:v>69347.17644606861</x:v>
      </x:c>
    </x:row>
    <x:row r="21" ht="18" customHeight="1">
      <x:c r="A21" s="24" t="str">
        <x:v>HS_041</x:v>
      </x:c>
      <x:c r="B21" s="24" t="str">
        <x:v>Atlantic, Southwest</x:v>
      </x:c>
      <x:c r="C21" s="24" t="str">
        <x:v>High Seas</x:v>
      </x:c>
      <x:c r="D21" s="30" t="n">
        <x:v>2019</x:v>
      </x:c>
      <x:c r="E21" s="24" t="str">
        <x:v>Scomberomorus brasiliensis</x:v>
      </x:c>
      <x:c r="F21" s="24" t="str">
        <x:v>Serra Spanish mackerel</x:v>
      </x:c>
      <x:c r="G21" s="24" t="str">
        <x:v>Large pelagics (&gt;=90 cm)</x:v>
      </x:c>
      <x:c r="H21" s="24" t="str">
        <x:v>Perch-likes</x:v>
      </x:c>
      <x:c r="I21" s="31" t="n">
        <x:v>12.966098029</x:v>
      </x:c>
      <x:c r="J21" s="31" t="n">
        <x:v>12.966098029</x:v>
      </x:c>
      <x:c r="K21" s="31" t="n">
        <x:v>0</x:v>
      </x:c>
      <x:c r="L21" s="31" t="n">
        <x:v>12.966098029</x:v>
      </x:c>
      <x:c r="M21" s="31" t="n">
        <x:v>0</x:v>
      </x:c>
      <x:c r="N21" s="24" t="str">
        <x:v>scomberomorus brasiliensis</x:v>
      </x:c>
      <x:c r="O21" s="32" t="n">
        <x:v>3.31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Scomberomorus brasiliensis</x:v>
      </x:c>
      <x:c r="T21" s="32" t="n">
        <x:f>IF(O21="","",(1/'Metadata'!$B$5)^(O21-1))</x:f>
        <x:v>204.17379446695296</x:v>
      </x:c>
      <x:c r="U21" s="31" t="n">
        <x:f>IF(T21="","",I21*T21)</x:f>
        <x:v>2647.3374340114096</x:v>
      </x:c>
    </x:row>
    <x:row r="22" ht="18" customHeight="1">
      <x:c r="A22" s="24" t="str">
        <x:v>HS_041</x:v>
      </x:c>
      <x:c r="B22" s="24" t="str">
        <x:v>Atlantic, Southwest</x:v>
      </x:c>
      <x:c r="C22" s="24" t="str">
        <x:v>High Seas</x:v>
      </x:c>
      <x:c r="D22" s="30" t="n">
        <x:v>2019</x:v>
      </x:c>
      <x:c r="E22" s="24" t="str">
        <x:v>Thunnus thynnus</x:v>
      </x:c>
      <x:c r="F22" s="24" t="str">
        <x:v>Atlantic bluefin tuna</x:v>
      </x:c>
      <x:c r="G22" s="24" t="str">
        <x:v>Large pelagics (&gt;=90 cm)</x:v>
      </x:c>
      <x:c r="H22" s="24" t="str">
        <x:v>Tuna &amp; billfishes</x:v>
      </x:c>
      <x:c r="I22" s="31" t="n">
        <x:v>6.9999028802</x:v>
      </x:c>
      <x:c r="J22" s="31" t="n">
        <x:v>6.9999028802</x:v>
      </x:c>
      <x:c r="K22" s="31" t="n">
        <x:v>0</x:v>
      </x:c>
      <x:c r="L22" s="31" t="n">
        <x:v>6.9999028802</x:v>
      </x:c>
      <x:c r="M22" s="31" t="n">
        <x:v>0</x:v>
      </x:c>
      <x:c r="N22" s="24" t="str">
        <x:v>thunnus thynnus</x:v>
      </x:c>
      <x:c r="O22" s="32" t="n">
        <x:v>4.45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thynnus</x:v>
      </x:c>
      <x:c r="T22" s="32" t="n">
        <x:f>IF(O22="","",(1/'Metadata'!$B$5)^(O22-1))</x:f>
        <x:v>2818.382931264455</x:v>
      </x:c>
      <x:c r="U22" s="31" t="n">
        <x:f>IF(T22="","",I22*T22)</x:f>
        <x:v>19728.406798064574</x:v>
      </x:c>
    </x:row>
    <x:row r="23" ht="18" customHeight="1">
      <x:c r="A23" s="24" t="str">
        <x:v>HS_041</x:v>
      </x:c>
      <x:c r="B23" s="24" t="str">
        <x:v>Atlantic, Southwest</x:v>
      </x:c>
      <x:c r="C23" s="24" t="str">
        <x:v>High Seas</x:v>
      </x:c>
      <x:c r="D23" s="30" t="n">
        <x:v>2019</x:v>
      </x:c>
      <x:c r="E23" s="24" t="str">
        <x:v>Elasmobranchii</x:v>
      </x:c>
      <x:c r="F23" s="24" t="str">
        <x:v>Sharks, rays, skates</x:v>
      </x:c>
      <x:c r="G23" s="24" t="str">
        <x:v>Large sharks (&gt;=90 cm)</x:v>
      </x:c>
      <x:c r="H23" s="24" t="str">
        <x:v>Sharks &amp; rays</x:v>
      </x:c>
      <x:c r="I23" s="31" t="n">
        <x:v>4.9763026022000005</x:v>
      </x:c>
      <x:c r="J23" s="31" t="n">
        <x:v>4.9763026022000005</x:v>
      </x:c>
      <x:c r="K23" s="31" t="n">
        <x:v>0</x:v>
      </x:c>
      <x:c r="L23" s="31" t="n">
        <x:v>4.9763026022000005</x:v>
      </x:c>
      <x:c r="M23" s="31" t="n">
        <x:v>0</x:v>
      </x:c>
      <x:c r="N23" s="24" t="str">
        <x:v>elasmobranchii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Elasmobranchii</x:v>
      </x:c>
      <x:c r="T23" s="32" t="n">
        <x:f>IF(O23="","",(1/'Metadata'!$B$5)^(O23-1))</x:f>
        <x:v>1122.018454301963</x:v>
      </x:c>
      <x:c r="U23" s="31" t="n">
        <x:f>IF(T23="","",I23*T23)</x:f>
        <x:v>5583.503353859281</x:v>
      </x:c>
    </x:row>
    <x:row r="24" ht="18" customHeight="1">
      <x:c r="A24" s="24" t="str">
        <x:v>HS_041</x:v>
      </x:c>
      <x:c r="B24" s="24" t="str">
        <x:v>Atlantic, Southwest</x:v>
      </x:c>
      <x:c r="C24" s="24" t="str">
        <x:v>High Seas</x:v>
      </x:c>
      <x:c r="D24" s="30" t="n">
        <x:v>2019</x:v>
      </x:c>
      <x:c r="E24" s="24" t="str">
        <x:v>Istiophoridae</x:v>
      </x:c>
      <x:c r="F24" s="24" t="str">
        <x:v>Billfishes</x:v>
      </x:c>
      <x:c r="G24" s="24" t="str">
        <x:v>Large pelagics (&gt;=90 cm)</x:v>
      </x:c>
      <x:c r="H24" s="24" t="str">
        <x:v>Tuna &amp; billfishes</x:v>
      </x:c>
      <x:c r="I24" s="31" t="n">
        <x:v>2.4198758425999998</x:v>
      </x:c>
      <x:c r="J24" s="31" t="n">
        <x:v>2.4198758425999998</x:v>
      </x:c>
      <x:c r="K24" s="31" t="n">
        <x:v>0</x:v>
      </x:c>
      <x:c r="L24" s="31" t="n">
        <x:v>2.4198758425999998</x:v>
      </x:c>
      <x:c r="M24" s="31" t="n">
        <x:v>0</x:v>
      </x:c>
      <x:c r="N24" s="24" t="str">
        <x:v>istiophoridae</x:v>
      </x:c>
      <x:c r="O24" s="32" t="n">
        <x:v>4.48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Istiophoridae</x:v>
      </x:c>
      <x:c r="T24" s="32" t="n">
        <x:f>IF(O24="","",(1/'Metadata'!$B$5)^(O24-1))</x:f>
        <x:v>3019.951720402019</x:v>
      </x:c>
      <x:c r="U24" s="31" t="n">
        <x:f>IF(T24="","",I24*T24)</x:f>
        <x:v>7307.908214019155</x:v>
      </x:c>
    </x:row>
    <x:row r="25" ht="18" customHeight="1">
      <x:c r="A25" s="24" t="str">
        <x:v>HS_041</x:v>
      </x:c>
      <x:c r="B25" s="24" t="str">
        <x:v>Atlantic, Southwest</x:v>
      </x:c>
      <x:c r="C25" s="24" t="str">
        <x:v>High Seas</x:v>
      </x:c>
      <x:c r="D25" s="30" t="n">
        <x:v>2019</x:v>
      </x:c>
      <x:c r="E25" s="24" t="str">
        <x:v>Caranx hippos</x:v>
      </x:c>
      <x:c r="F25" s="24" t="str">
        <x:v>Crevalle jack</x:v>
      </x:c>
      <x:c r="G25" s="24" t="str">
        <x:v>Large reef assoc. fish (&gt;=90 cm)</x:v>
      </x:c>
      <x:c r="H25" s="24" t="str">
        <x:v>Perch-likes</x:v>
      </x:c>
      <x:c r="I25" s="31" t="n">
        <x:v>2.1461092799</x:v>
      </x:c>
      <x:c r="J25" s="31" t="n">
        <x:v>2.1461092799</x:v>
      </x:c>
      <x:c r="K25" s="31" t="n">
        <x:v>0</x:v>
      </x:c>
      <x:c r="L25" s="31" t="n">
        <x:v>2.1461092799</x:v>
      </x:c>
      <x:c r="M25" s="31" t="n">
        <x:v>0</x:v>
      </x:c>
      <x:c r="N25" s="24" t="str">
        <x:v>caranx hippos</x:v>
      </x:c>
      <x:c r="O25" s="32" t="n">
        <x:v>3.56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Caranx hippos</x:v>
      </x:c>
      <x:c r="T25" s="32" t="n">
        <x:f>IF(O25="","",(1/'Metadata'!$B$5)^(O25-1))</x:f>
        <x:v>363.0780547701014</x:v>
      </x:c>
      <x:c r="U25" s="31" t="n">
        <x:f>IF(T25="","",I25*T25)</x:f>
        <x:v>779.2051826701551</x:v>
      </x:c>
    </x:row>
    <x:row r="26" ht="18" customHeight="1">
      <x:c r="A26" s="24" t="str">
        <x:v>HS_041</x:v>
      </x:c>
      <x:c r="B26" s="24" t="str">
        <x:v>Atlantic, Southwest</x:v>
      </x:c>
      <x:c r="C26" s="24" t="str">
        <x:v>High Seas</x:v>
      </x:c>
      <x:c r="D26" s="30" t="n">
        <x:v>2019</x:v>
      </x:c>
      <x:c r="E26" s="24" t="str">
        <x:v>Sphyrna</x:v>
      </x:c>
      <x:c r="F26" s="24" t="str">
        <x:v>Hammerhead sharks</x:v>
      </x:c>
      <x:c r="G26" s="24" t="str">
        <x:v>Large sharks (&gt;=90 cm)</x:v>
      </x:c>
      <x:c r="H26" s="24" t="str">
        <x:v>Sharks &amp; rays</x:v>
      </x:c>
      <x:c r="I26" s="31" t="n">
        <x:v>1.8388276443</x:v>
      </x:c>
      <x:c r="J26" s="31" t="n">
        <x:v>1.8388276443</x:v>
      </x:c>
      <x:c r="K26" s="31" t="n">
        <x:v>0</x:v>
      </x:c>
      <x:c r="L26" s="31" t="n">
        <x:v>1.8388276443</x:v>
      </x:c>
      <x:c r="M26" s="31" t="n">
        <x:v>0</x:v>
      </x:c>
      <x:c r="N26" s="24" t="str">
        <x:v>sphyrna</x:v>
      </x:c>
      <x:c r="O26" s="32" t="n">
        <x:v>4.2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Sphyrna</x:v>
      </x:c>
      <x:c r="T26" s="32" t="n">
        <x:f>IF(O26="","",(1/'Metadata'!$B$5)^(O26-1))</x:f>
        <x:v>1584.893192461114</x:v>
      </x:c>
      <x:c r="U26" s="31" t="n">
        <x:f>IF(T26="","",I26*T26)</x:f>
        <x:v>2914.3454155603768</x:v>
      </x:c>
    </x:row>
    <x:row r="27" ht="18" customHeight="1">
      <x:c r="A27" s="24" t="str">
        <x:v>HS_041</x:v>
      </x:c>
      <x:c r="B27" s="24" t="str">
        <x:v>Atlantic, Southwest</x:v>
      </x:c>
      <x:c r="C27" s="24" t="str">
        <x:v>High Seas</x:v>
      </x:c>
      <x:c r="D27" s="30" t="n">
        <x:v>2019</x:v>
      </x:c>
      <x:c r="E27" s="24" t="str">
        <x:v>Alopias</x:v>
      </x:c>
      <x:c r="F27" s="24" t="str">
        <x:v>Thresher sharks</x:v>
      </x:c>
      <x:c r="G27" s="24" t="str">
        <x:v>Large sharks (&gt;=90 cm)</x:v>
      </x:c>
      <x:c r="H27" s="24" t="str">
        <x:v>Sharks &amp; rays</x:v>
      </x:c>
      <x:c r="I27" s="31" t="n">
        <x:v>1.2667884081</x:v>
      </x:c>
      <x:c r="J27" s="31" t="n">
        <x:v>1.2667884081</x:v>
      </x:c>
      <x:c r="K27" s="31" t="n">
        <x:v>0</x:v>
      </x:c>
      <x:c r="L27" s="31" t="n">
        <x:v>1.2667884081</x:v>
      </x:c>
      <x:c r="M27" s="31" t="n">
        <x:v>0</x:v>
      </x:c>
      <x:c r="N27" s="24" t="str">
        <x:v>alopias</x:v>
      </x:c>
      <x:c r="O27" s="32" t="n">
        <x:v>4.5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Alopias</x:v>
      </x:c>
      <x:c r="T27" s="32" t="n">
        <x:f>IF(O27="","",(1/'Metadata'!$B$5)^(O27-1))</x:f>
        <x:v>3162.2776601683795</x:v>
      </x:c>
      <x:c r="U27" s="31" t="n">
        <x:f>IF(T27="","",I27*T27)</x:f>
        <x:v>4005.9366830948943</x:v>
      </x:c>
    </x:row>
    <x:row r="28" ht="18" customHeight="1">
      <x:c r="A28" s="24" t="str">
        <x:v>HS_041</x:v>
      </x:c>
      <x:c r="B28" s="24" t="str">
        <x:v>Atlantic, Southwest</x:v>
      </x:c>
      <x:c r="C28" s="24" t="str">
        <x:v>High Seas</x:v>
      </x:c>
      <x:c r="D28" s="30" t="n">
        <x:v>2019</x:v>
      </x:c>
      <x:c r="E28" s="24" t="str">
        <x:v>Sphyraena barracuda</x:v>
      </x:c>
      <x:c r="F28" s="24" t="str">
        <x:v>Great barracuda</x:v>
      </x:c>
      <x:c r="G28" s="24" t="str">
        <x:v>Large pelagics (&gt;=90 cm)</x:v>
      </x:c>
      <x:c r="H28" s="24" t="str">
        <x:v>Perch-likes</x:v>
      </x:c>
      <x:c r="I28" s="31" t="n">
        <x:v>0.8609336578</x:v>
      </x:c>
      <x:c r="J28" s="31" t="n">
        <x:v>0.8609336578</x:v>
      </x:c>
      <x:c r="K28" s="31" t="n">
        <x:v>0</x:v>
      </x:c>
      <x:c r="L28" s="31" t="n">
        <x:v>0.8609336578</x:v>
      </x:c>
      <x:c r="M28" s="31" t="n">
        <x:v>0</x:v>
      </x:c>
      <x:c r="N28" s="24" t="str">
        <x:v>sphyraena barracuda</x:v>
      </x:c>
      <x:c r="O28" s="32" t="n">
        <x:v>4.49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Sphyraena barracuda</x:v>
      </x:c>
      <x:c r="T28" s="32" t="n">
        <x:f>IF(O28="","",(1/'Metadata'!$B$5)^(O28-1))</x:f>
        <x:v>3090.295432513592</x:v>
      </x:c>
      <x:c r="U28" s="31" t="n">
        <x:f>IF(T28="","",I28*T28)</x:f>
        <x:v>2660.5393503965597</x:v>
      </x:c>
    </x:row>
    <x:row r="29" ht="18" customHeight="1">
      <x:c r="A29" s="24" t="str">
        <x:v>HS_041</x:v>
      </x:c>
      <x:c r="B29" s="24" t="str">
        <x:v>Atlantic, Southwest</x:v>
      </x:c>
      <x:c r="C29" s="24" t="str">
        <x:v>High Seas</x:v>
      </x:c>
      <x:c r="D29" s="30" t="n">
        <x:v>2019</x:v>
      </x:c>
      <x:c r="E29" s="24" t="str">
        <x:v>Sarda sarda</x:v>
      </x:c>
      <x:c r="F29" s="24" t="str">
        <x:v>Atlantic bonito</x:v>
      </x:c>
      <x:c r="G29" s="24" t="str">
        <x:v>Medium pelagics (30 - 89 cm)</x:v>
      </x:c>
      <x:c r="H29" s="24" t="str">
        <x:v>Tuna &amp; billfishes</x:v>
      </x:c>
      <x:c r="I29" s="31" t="n">
        <x:v>0.7673075278</x:v>
      </x:c>
      <x:c r="J29" s="31" t="n">
        <x:v>0.7673075278</x:v>
      </x:c>
      <x:c r="K29" s="31" t="n">
        <x:v>0</x:v>
      </x:c>
      <x:c r="L29" s="31" t="n">
        <x:v>0.7673075278</x:v>
      </x:c>
      <x:c r="M29" s="31" t="n">
        <x:v>0</x:v>
      </x:c>
      <x:c r="N29" s="24" t="str">
        <x:v>sarda sarda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Sarda sarda</x:v>
      </x:c>
      <x:c r="T29" s="32" t="n">
        <x:f>IF(O29="","",(1/'Metadata'!$B$5)^(O29-1))</x:f>
        <x:v>3162.2776601683795</x:v>
      </x:c>
      <x:c r="U29" s="31" t="n">
        <x:f>IF(T29="","",I29*T29)</x:f>
        <x:v>2426.4394536409677</x:v>
      </x:c>
    </x:row>
    <x:row r="30" ht="18" customHeight="1">
      <x:c r="A30" s="24" t="str">
        <x:v>HS_041</x:v>
      </x:c>
      <x:c r="B30" s="24" t="str">
        <x:v>Atlantic, Southwest</x:v>
      </x:c>
      <x:c r="C30" s="24" t="str">
        <x:v>High Seas</x:v>
      </x:c>
      <x:c r="D30" s="30" t="n">
        <x:v>2019</x:v>
      </x:c>
      <x:c r="E30" s="24" t="str">
        <x:v>Thunnus</x:v>
      </x:c>
      <x:c r="F30" s="24" t="str">
        <x:v>Tunas</x:v>
      </x:c>
      <x:c r="G30" s="24" t="str">
        <x:v>Large pelagics (&gt;=90 cm)</x:v>
      </x:c>
      <x:c r="H30" s="24" t="str">
        <x:v>Tuna &amp; billfishes</x:v>
      </x:c>
      <x:c r="I30" s="31" t="n">
        <x:v>0.2341146996</x:v>
      </x:c>
      <x:c r="J30" s="31" t="n">
        <x:v>0.2341146996</x:v>
      </x:c>
      <x:c r="K30" s="31" t="n">
        <x:v>0</x:v>
      </x:c>
      <x:c r="L30" s="31" t="n">
        <x:v>0.2341146996</x:v>
      </x:c>
      <x:c r="M30" s="31" t="n">
        <x:v>0</x:v>
      </x:c>
      <x:c r="N30" s="24" t="str">
        <x:v>thunnus</x:v>
      </x:c>
      <x:c r="O30" s="32" t="n">
        <x:v>4.34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Thunnus</x:v>
      </x:c>
      <x:c r="T30" s="32" t="n">
        <x:f>IF(O30="","",(1/'Metadata'!$B$5)^(O30-1))</x:f>
        <x:v>2187.761623949552</x:v>
      </x:c>
      <x:c r="U30" s="31" t="n">
        <x:f>IF(T30="","",I30*T30)</x:f>
        <x:v>512.1871553873575</x:v>
      </x:c>
    </x:row>
    <x:row r="31" ht="18" customHeight="1">
      <x:c r="A31" s="24" t="str">
        <x:v>HS_041</x:v>
      </x:c>
      <x:c r="B31" s="24" t="str">
        <x:v>Atlantic, Southwest</x:v>
      </x:c>
      <x:c r="C31" s="24" t="str">
        <x:v>High Seas</x:v>
      </x:c>
      <x:c r="D31" s="30" t="n">
        <x:v>2019</x:v>
      </x:c>
      <x:c r="E31" s="24" t="str">
        <x:v>Sphyrnidae</x:v>
      </x:c>
      <x:c r="F31" s="24" t="str">
        <x:v>Hammer, bonnet, scoophead sharks</x:v>
      </x:c>
      <x:c r="G31" s="24" t="str">
        <x:v>Large sharks (&gt;=90 cm)</x:v>
      </x:c>
      <x:c r="H31" s="24" t="str">
        <x:v>Sharks &amp; rays</x:v>
      </x:c>
      <x:c r="I31" s="31" t="n">
        <x:v>0.1973614776</x:v>
      </x:c>
      <x:c r="J31" s="31" t="n">
        <x:v>0.1973614776</x:v>
      </x:c>
      <x:c r="K31" s="31" t="n">
        <x:v>0</x:v>
      </x:c>
      <x:c r="L31" s="31" t="n">
        <x:v>0.1973614776</x:v>
      </x:c>
      <x:c r="M31" s="31" t="n">
        <x:v>0</x:v>
      </x:c>
      <x:c r="N31" s="24" t="str">
        <x:v>sphyrnidae</x:v>
      </x:c>
      <x:c r="O31" s="32" t="n">
        <x:v>4.19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Sphyrnidae</x:v>
      </x:c>
      <x:c r="T31" s="32" t="n">
        <x:f>IF(O31="","",(1/'Metadata'!$B$5)^(O31-1))</x:f>
        <x:v>1548.8166189124827</x:v>
      </x:c>
      <x:c r="U31" s="31" t="n">
        <x:f>IF(T31="","",I31*T31)</x:f>
        <x:v>305.6767364400037</x:v>
      </x:c>
    </x:row>
    <x:row r="32" ht="18" customHeight="1">
      <x:c r="A32" s="24" t="str">
        <x:v>HS_041</x:v>
      </x:c>
      <x:c r="B32" s="24" t="str">
        <x:v>Atlantic, Southwest</x:v>
      </x:c>
      <x:c r="C32" s="24" t="str">
        <x:v>High Seas</x:v>
      </x:c>
      <x:c r="D32" s="30" t="n">
        <x:v>2019</x:v>
      </x:c>
      <x:c r="E32" s="24" t="str">
        <x:v>Carcharhinus falciformis</x:v>
      </x:c>
      <x:c r="F32" s="24" t="str">
        <x:v>Silky shark</x:v>
      </x:c>
      <x:c r="G32" s="24" t="str">
        <x:v>Large sharks (&gt;=90 cm)</x:v>
      </x:c>
      <x:c r="H32" s="24" t="str">
        <x:v>Sharks &amp; rays</x:v>
      </x:c>
      <x:c r="I32" s="31" t="n">
        <x:v>0.029961851299999998</x:v>
      </x:c>
      <x:c r="J32" s="31" t="n">
        <x:v>0.029961851299999998</x:v>
      </x:c>
      <x:c r="K32" s="31" t="n">
        <x:v>0</x:v>
      </x:c>
      <x:c r="L32" s="31" t="n">
        <x:v>0.029961851299999998</x:v>
      </x:c>
      <x:c r="M32" s="31" t="n">
        <x:v>0</x:v>
      </x:c>
      <x:c r="N32" s="24" t="str">
        <x:v>carcharhinus falciformis</x:v>
      </x:c>
      <x:c r="O32" s="32" t="n">
        <x:v>4.51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Carcharhinus falciformis</x:v>
      </x:c>
      <x:c r="T32" s="32" t="n">
        <x:f>IF(O32="","",(1/'Metadata'!$B$5)^(O32-1))</x:f>
        <x:v>3235.936569296281</x:v>
      </x:c>
      <x:c r="U32" s="31" t="n">
        <x:f>IF(T32="","",I32*T32)</x:f>
        <x:v>96.9546503054873</x:v>
      </x:c>
    </x:row>
    <x:row r="33" ht="18" customHeight="1">
      <x:c r="A33" s="24" t="str">
        <x:v>HS_041</x:v>
      </x:c>
      <x:c r="B33" s="24" t="str">
        <x:v>Atlantic, Southwest</x:v>
      </x:c>
      <x:c r="C33" s="24" t="str">
        <x:v>High Seas</x:v>
      </x:c>
      <x:c r="D33" s="30" t="n">
        <x:v>2019</x:v>
      </x:c>
      <x:c r="E33" s="24" t="str">
        <x:v>Carcharhinus longimanus</x:v>
      </x:c>
      <x:c r="F33" s="24" t="str">
        <x:v>Oceanic whitetip shark</x:v>
      </x:c>
      <x:c r="G33" s="24" t="str">
        <x:v>Large sharks (&gt;=90 cm)</x:v>
      </x:c>
      <x:c r="H33" s="24" t="str">
        <x:v>Sharks &amp; rays</x:v>
      </x:c>
      <x:c r="I33" s="31" t="n">
        <x:v>0.0055740597</x:v>
      </x:c>
      <x:c r="J33" s="31" t="n">
        <x:v>0.0055740597</x:v>
      </x:c>
      <x:c r="K33" s="31" t="n">
        <x:v>0</x:v>
      </x:c>
      <x:c r="L33" s="31" t="n">
        <x:v>0.0055740597</x:v>
      </x:c>
      <x:c r="M33" s="31" t="n">
        <x:v>0</x:v>
      </x:c>
      <x:c r="N33" s="24" t="str">
        <x:v>carcharhinus longimanus</x:v>
      </x:c>
      <x:c r="O33" s="32" t="n">
        <x:v>4.16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Carcharhinus longimanus</x:v>
      </x:c>
      <x:c r="T33" s="32" t="n">
        <x:f>IF(O33="","",(1/'Metadata'!$B$5)^(O33-1))</x:f>
        <x:v>1445.439770745928</x:v>
      </x:c>
      <x:c r="U33" s="31" t="n">
        <x:f>IF(T33="","",I33*T33)</x:f>
        <x:v>8.056967574892116</x:v>
      </x:c>
    </x:row>
    <x:row r="34" ht="18" customHeight="1">
      <x:c r="A34" s="24" t="str">
        <x:v>HS_041</x:v>
      </x:c>
      <x:c r="B34" s="24" t="str">
        <x:v>Atlantic, Southwest</x:v>
      </x:c>
      <x:c r="C34" s="24" t="str">
        <x:v>High Seas</x:v>
      </x:c>
      <x:c r="D34" s="30" t="n">
        <x:v>2019</x:v>
      </x:c>
      <x:c r="E34" s="24" t="str">
        <x:v>Brama brama</x:v>
      </x:c>
      <x:c r="F34" s="24" t="str">
        <x:v>Atlantic pomfret</x:v>
      </x:c>
      <x:c r="G34" s="24" t="str">
        <x:v>Medium bathypelagics (30 - 89 cm)</x:v>
      </x:c>
      <x:c r="H34" s="24" t="str">
        <x:v>Perch-likes</x:v>
      </x:c>
      <x:c r="I34" s="31" t="n">
        <x:v>0.0030415779</x:v>
      </x:c>
      <x:c r="J34" s="31" t="n">
        <x:v>0.0030415779</x:v>
      </x:c>
      <x:c r="K34" s="31" t="n">
        <x:v>0</x:v>
      </x:c>
      <x:c r="L34" s="31" t="n">
        <x:v>0.0030415779</x:v>
      </x:c>
      <x:c r="M34" s="31" t="n">
        <x:v>0</x:v>
      </x:c>
      <x:c r="N34" s="24" t="str">
        <x:v>brama brama</x:v>
      </x:c>
      <x:c r="O34" s="32" t="n">
        <x:v>4.08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Brama brama</x:v>
      </x:c>
      <x:c r="T34" s="32" t="n">
        <x:f>IF(O34="","",(1/'Metadata'!$B$5)^(O34-1))</x:f>
        <x:v>1202.2644346174131</x:v>
      </x:c>
      <x:c r="U34" s="31" t="n">
        <x:f>IF(T34="","",I34*T34)</x:f>
        <x:v>3.6567809342883186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facbc37334c490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5311.4274258874</x:v>
      </x:c>
      <x:c r="C2" s="32" t="n">
        <x:v>3.2850219037893997</x:v>
      </x:c>
      <x:c r="D2" s="32" t="n">
        <x:f>IF(C2="","",(1/'Metadata'!$B$5)^(C2-1))</x:f>
        <x:v>192.76221310148574</x:v>
      </x:c>
      <x:c r="E2" s="31" t="n">
        <x:f>IF(B2=0,"",B2*D2)</x:f>
        <x:v>1023842.5053419829</x:v>
      </x:c>
    </x:row>
    <x:row r="3" ht="18" customHeight="1">
      <x:c r="A3" s="24" t="str">
        <x:v>Perch-likes</x:v>
      </x:c>
      <x:c r="B3" s="31" t="n">
        <x:v>676.6536445014001</x:v>
      </x:c>
      <x:c r="C3" s="32" t="n">
        <x:v>4.289701333839051</x:v>
      </x:c>
      <x:c r="D3" s="32" t="n">
        <x:f>IF(C3="","",(1/'Metadata'!$B$5)^(C3-1))</x:f>
        <x:v>1948.5041443112668</x:v>
      </x:c>
      <x:c r="E3" s="31" t="n">
        <x:f>IF(B3=0,"",B3*D3)</x:f>
        <x:v>1318462.4305743007</x:v>
      </x:c>
    </x:row>
    <x:row r="4" ht="18" customHeight="1">
      <x:c r="A4" s="24" t="str">
        <x:v>Sharks &amp; rays</x:v>
      </x:c>
      <x:c r="B4" s="31" t="n">
        <x:v>8355.589598736598</x:v>
      </x:c>
      <x:c r="C4" s="32" t="n">
        <x:v>4.357798503130919</x:v>
      </x:c>
      <x:c r="D4" s="32" t="n">
        <x:f>IF(C4="","",(1/'Metadata'!$B$5)^(C4-1))</x:f>
        <x:v>2279.2843214828904</x:v>
      </x:c>
      <x:c r="E4" s="31" t="n">
        <x:f>IF(B4=0,"",B4*D4)</x:f>
        <x:v>19044764.369145844</x:v>
      </x:c>
    </x:row>
    <x:row r="5" ht="18" customHeight="1">
      <x:c r="A5" s="24" t="str">
        <x:v>Tuna &amp; billfishes</x:v>
      </x:c>
      <x:c r="B5" s="31" t="n">
        <x:v>47894.694544169695</x:v>
      </x:c>
      <x:c r="C5" s="32" t="n">
        <x:v>4.422012328058691</x:v>
      </x:c>
      <x:c r="D5" s="32" t="n">
        <x:f>IF(C5="","",(1/'Metadata'!$B$5)^(C5-1))</x:f>
        <x:v>2642.4837668695277</x:v>
      </x:c>
      <x:c r="E5" s="31" t="n">
        <x:f>IF(B5=0,"",B5*D5)</x:f>
        <x:v>126560952.85214296</x:v>
      </x:c>
    </x:row>
  </x:sheetData>
  <x:pageMargins left="0.7" right="0.7" top="0.75" bottom="0.75" header="0.3" footer="0.3"/>
  <x:tableParts count="1">
    <x:tablePart xmlns:r="http://schemas.openxmlformats.org/officeDocument/2006/relationships" r:id="R323612e1bf8a4c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48028.64077196299</x:v>
      </x:c>
      <x:c r="C2" s="32" t="n">
        <x:v>4.421422597948468</x:v>
      </x:c>
      <x:c r="D2" s="32" t="n">
        <x:f>IF(C2="","",(1/'Metadata'!$B$5)^(C2-1))</x:f>
        <x:v>2638.897963363959</x:v>
      </x:c>
      <x:c r="E2" s="31" t="n">
        <x:f>IF(B2=0,"",B2*D2)</x:f>
        <x:v>126742682.31627236</x:v>
      </x:c>
    </x:row>
    <x:row r="3" ht="18" customHeight="1">
      <x:c r="A3" s="24" t="str">
        <x:v>Large reef assoc. fish (&gt;=90 cm)</x:v>
      </x:c>
      <x:c r="B3" s="31" t="n">
        <x:v>2.1461092799</x:v>
      </x:c>
      <x:c r="C3" s="32" t="n">
        <x:v>3.56</x:v>
      </x:c>
      <x:c r="D3" s="32" t="n">
        <x:f>IF(C3="","",(1/'Metadata'!$B$5)^(C3-1))</x:f>
        <x:v>363.0780547701014</x:v>
      </x:c>
      <x:c r="E3" s="31" t="n">
        <x:f>IF(B3=0,"",B3*D3)</x:f>
        <x:v>779.2051826701551</x:v>
      </x:c>
    </x:row>
    <x:row r="4" ht="18" customHeight="1">
      <x:c r="A4" s="24" t="str">
        <x:v>Large sharks (&gt;=90 cm)</x:v>
      </x:c>
      <x:c r="B4" s="31" t="n">
        <x:v>8355.589598736598</x:v>
      </x:c>
      <x:c r="C4" s="32" t="n">
        <x:v>4.357798503130919</x:v>
      </x:c>
      <x:c r="D4" s="32" t="n">
        <x:f>IF(C4="","",(1/'Metadata'!$B$5)^(C4-1))</x:f>
        <x:v>2279.2843214828904</x:v>
      </x:c>
      <x:c r="E4" s="31" t="n">
        <x:f>IF(B4=0,"",B4*D4)</x:f>
        <x:v>19044764.369145844</x:v>
      </x:c>
    </x:row>
    <x:row r="5" ht="18" customHeight="1">
      <x:c r="A5" s="24" t="str">
        <x:v>Medium bathypelagics (30 - 89 cm)</x:v>
      </x:c>
      <x:c r="B5" s="31" t="n">
        <x:v>0.0030415779</x:v>
      </x:c>
      <x:c r="C5" s="32" t="n">
        <x:v>4.08</x:v>
      </x:c>
      <x:c r="D5" s="32" t="n">
        <x:f>IF(C5="","",(1/'Metadata'!$B$5)^(C5-1))</x:f>
        <x:v>1202.2644346174131</x:v>
      </x:c>
      <x:c r="E5" s="31" t="n">
        <x:f>IF(B5=0,"",B5*D5)</x:f>
        <x:v>3.6567809342883186</x:v>
      </x:c>
    </x:row>
    <x:row r="6" ht="18" customHeight="1">
      <x:c r="A6" s="24" t="str">
        <x:v>Medium demersals (30 - 89 cm)</x:v>
      </x:c>
      <x:c r="B6" s="31" t="n">
        <x:v>4930.3777470704</x:v>
      </x:c>
      <x:c r="C6" s="32" t="n">
        <x:v>3.28</x:v>
      </x:c>
      <x:c r="D6" s="32" t="n">
        <x:f>IF(C6="","",(1/'Metadata'!$B$5)^(C6-1))</x:f>
        <x:v>190.54607179632464</x:v>
      </x:c>
      <x:c r="E6" s="31" t="n">
        <x:f>IF(B6=0,"",B6*D6)</x:f>
        <x:v>939464.1121762778</x:v>
      </x:c>
    </x:row>
    <x:row r="7" ht="18" customHeight="1">
      <x:c r="A7" s="24" t="str">
        <x:v>Medium pelagics (30 - 89 cm)</x:v>
      </x:c>
      <x:c r="B7" s="31" t="n">
        <x:v>921.6079446673</x:v>
      </x:c>
      <x:c r="C7" s="32" t="n">
        <x:v>3.9143737775036853</x:v>
      </x:c>
      <x:c r="D7" s="32" t="n">
        <x:f>IF(C7="","",(1/'Metadata'!$B$5)^(C7-1))</x:f>
        <x:v>821.0578874997742</x:v>
      </x:c>
      <x:c r="E7" s="31" t="n">
        <x:f>IF(B7=0,"",B7*D7)</x:f>
        <x:v>756693.4721515421</x:v>
      </x:c>
    </x:row>
  </x:sheetData>
  <x:pageMargins left="0.7" right="0.7" top="0.75" bottom="0.75" header="0.3" footer="0.3"/>
  <x:tableParts count="1">
    <x:tablePart xmlns:r="http://schemas.openxmlformats.org/officeDocument/2006/relationships" r:id="Ra920379f7f7447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HS_041</x:v>
      </x:c>
      <x:c r="B2" s="24" t="str">
        <x:v>raw_filtered_tonnes</x:v>
      </x:c>
      <x:c r="C2" s="24" t="n">
        <x:v>62238.3652132951</x:v>
      </x:c>
      <x:c r="D2" s="24" t="str">
        <x:v>tonnes</x:v>
      </x:c>
    </x:row>
    <x:row r="3" ht="18" customHeight="1">
      <x:c r="A3" s="24" t="str">
        <x:v>HS_041</x:v>
      </x:c>
      <x:c r="B3" s="24" t="str">
        <x:v>species_catch_tonnes</x:v>
      </x:c>
      <x:c r="C3" s="24" t="n">
        <x:v>62238.365213295096</x:v>
      </x:c>
      <x:c r="D3" s="24" t="str">
        <x:v>tonnes</x:v>
      </x:c>
    </x:row>
    <x:row r="4" ht="18" customHeight="1">
      <x:c r="A4" s="24" t="str">
        <x:v>HS_041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HS_041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HS_041</x:v>
      </x:c>
      <x:c r="B6" s="24" t="str">
        <x:v>matched_catch_tonnes</x:v>
      </x:c>
      <x:c r="C6" s="24" t="n">
        <x:v>62238.365213295096</x:v>
      </x:c>
      <x:c r="D6" s="24" t="str">
        <x:v>tonnes</x:v>
      </x:c>
    </x:row>
    <x:row r="7" ht="18" customHeight="1">
      <x:c r="A7" s="24" t="str">
        <x:v>HS_041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HS_041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HS_041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HS_041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HS_041</x:v>
      </x:c>
      <x:c r="B11" s="24" t="str">
        <x:v>species_ppr</x:v>
      </x:c>
      <x:c r="C11" s="24" t="n">
        <x:v>149349456.4630281</x:v>
      </x:c>
      <x:c r="D11" s="24" t="str">
        <x:v>tonnes_primary_production_equivalent</x:v>
      </x:c>
    </x:row>
    <x:row r="12" ht="18" customHeight="1">
      <x:c r="A12" s="24" t="str">
        <x:v>HS_041</x:v>
      </x:c>
      <x:c r="B12" s="24" t="str">
        <x:v>commercial_ppr</x:v>
      </x:c>
      <x:c r="C12" s="24" t="n">
        <x:v>147948022.15720508</x:v>
      </x:c>
      <x:c r="D12" s="24" t="str">
        <x:v>tonnes_primary_production_equivalent</x:v>
      </x:c>
    </x:row>
    <x:row r="13" ht="18" customHeight="1">
      <x:c r="A13" s="24" t="str">
        <x:v>HS_041</x:v>
      </x:c>
      <x:c r="B13" s="24" t="str">
        <x:v>functional_ppr</x:v>
      </x:c>
      <x:c r="C13" s="24" t="n">
        <x:v>147484387.13170964</x:v>
      </x:c>
      <x:c r="D13" s="24" t="str">
        <x:v>tonnes_primary_production_equivalent</x:v>
      </x:c>
    </x:row>
    <x:row r="14" ht="18" customHeight="1">
      <x:c r="A14" s="24" t="str">
        <x:v>HS_041</x:v>
      </x:c>
      <x:c r="B14" s="24" t="str">
        <x:v>commercial_ppr_difference</x:v>
      </x:c>
      <x:c r="C14" s="24" t="n">
        <x:v>-1401434.305823028</x:v>
      </x:c>
      <x:c r="D14" s="24" t="str">
        <x:v>tonnes_primary_production_equivalent</x:v>
      </x:c>
    </x:row>
    <x:row r="15" ht="18" customHeight="1">
      <x:c r="A15" s="24" t="str">
        <x:v>HS_041</x:v>
      </x:c>
      <x:c r="B15" s="24" t="str">
        <x:v>functional_ppr_difference</x:v>
      </x:c>
      <x:c r="C15" s="24" t="n">
        <x:v>-1865069.3313184679</x:v>
      </x:c>
      <x:c r="D15" s="24" t="str">
        <x:v>tonnes_primary_production_equivalent</x:v>
      </x:c>
    </x:row>
    <x:row r="16" ht="18" customHeight="1">
      <x:c r="A16" s="24" t="str">
        <x:v>HS_041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HS_041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f2dd220c99c4a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HS_041 - Atlantic, Southwest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HS_041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raw_data/SAU_downloads/HS_041-catch.zip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