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25100a61f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5faf4064cef4c86"/>
    <x:sheet xmlns:r="http://schemas.openxmlformats.org/officeDocument/2006/relationships" name="Commercial" sheetId="2" r:id="Rfc18c999f830442a"/>
    <x:sheet xmlns:r="http://schemas.openxmlformats.org/officeDocument/2006/relationships" name="Functional" sheetId="3" r:id="R14a3e3bef52b4a0e"/>
    <x:sheet xmlns:r="http://schemas.openxmlformats.org/officeDocument/2006/relationships" name="Missing TL" sheetId="4" r:id="R31f4f47f5c4a452a"/>
    <x:sheet xmlns:r="http://schemas.openxmlformats.org/officeDocument/2006/relationships" name="Validation" sheetId="5" r:id="Rd98a26a083824f5d"/>
    <x:sheet xmlns:r="http://schemas.openxmlformats.org/officeDocument/2006/relationships" name="Metadata" sheetId="6" r:id="R7b4b67ef1433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27b29ddc94180" /><Relationship Type="http://schemas.openxmlformats.org/officeDocument/2006/relationships/theme" Target="/xl/theme/theme1.xml" Id="Rc25369296470486a" /><Relationship Type="http://schemas.microsoft.com/office/2022/11/relationships/FeaturePropertyBag" Target="/xl/featurePropertyBag/featurePropertyBag.xml" Id="R6d22b9e17c044829" /><Relationship Type="http://schemas.openxmlformats.org/officeDocument/2006/relationships/sharedStrings" Target="/xl/sharedStrings.xml" Id="R1536f8af77f3456b" /><Relationship Type="http://schemas.openxmlformats.org/officeDocument/2006/relationships/worksheet" Target="/xl/worksheets/sheet1.xml" Id="R85faf4064cef4c86" /><Relationship Type="http://schemas.openxmlformats.org/officeDocument/2006/relationships/worksheet" Target="/xl/worksheets/sheet2.xml" Id="Rfc18c999f830442a" /><Relationship Type="http://schemas.openxmlformats.org/officeDocument/2006/relationships/worksheet" Target="/xl/worksheets/sheet3.xml" Id="R14a3e3bef52b4a0e" /><Relationship Type="http://schemas.openxmlformats.org/officeDocument/2006/relationships/worksheet" Target="/xl/worksheets/sheet4.xml" Id="R31f4f47f5c4a452a" /><Relationship Type="http://schemas.openxmlformats.org/officeDocument/2006/relationships/worksheet" Target="/xl/worksheets/sheet5.xml" Id="Rd98a26a083824f5d" /><Relationship Type="http://schemas.openxmlformats.org/officeDocument/2006/relationships/worksheet" Target="/xl/worksheets/sheet6.xml" Id="R7b4b67ef143344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15SpeciesTable" displayName="LME015SpeciesTable" ref="A1:U265" headerRowCount="1" totalsRowCount="0" totalsRowShown="0">
  <x:autoFilter ref="A1:U26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5CommercialTable" displayName="LME015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5FunctionalTable" displayName="LME015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5ValidationTable" displayName="LME01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b3b9086a7247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b4828fb7af4d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63074cb6ff40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b003e34c1741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LME_015</x:v>
      </x:c>
      <x:c r="B2" s="24" t="str">
        <x:v>South Brazil Shelf</x:v>
      </x:c>
      <x:c r="C2" s="24" t="str">
        <x:v>LME</x:v>
      </x:c>
      <x:c r="D2" s="30" t="n">
        <x:v>2019</x:v>
      </x:c>
      <x:c r="E2" s="24" t="str">
        <x:v>Umbrina canosai</x:v>
      </x:c>
      <x:c r="F2" s="24" t="str">
        <x:v>Argentine croaker</x:v>
      </x:c>
      <x:c r="G2" s="24" t="str">
        <x:v>Medium demersals (30 - 89 cm)</x:v>
      </x:c>
      <x:c r="H2" s="24" t="str">
        <x:v>Perch-likes</x:v>
      </x:c>
      <x:c r="I2" s="31" t="n">
        <x:v>68119.2276874133</x:v>
      </x:c>
      <x:c r="J2" s="31" t="n">
        <x:v>38360.920651379696</x:v>
      </x:c>
      <x:c r="K2" s="31" t="n">
        <x:v>29758.3070360336</x:v>
      </x:c>
      <x:c r="L2" s="31" t="n">
        <x:v>10839.4328372819</x:v>
      </x:c>
      <x:c r="M2" s="31" t="n">
        <x:v>57279.7948501314</x:v>
      </x:c>
      <x:c r="N2" s="24" t="str">
        <x:v>umbrina canosai</x:v>
      </x:c>
      <x:c r="O2" s="32" t="n">
        <x:v>3.85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Umbrina canosai</x:v>
      </x:c>
      <x:c r="T2" s="32" t="n">
        <x:f>IF(O2="","",(1/'Metadata'!$B$5)^(O2-1))</x:f>
        <x:v>707.945784384138</x:v>
      </x:c>
      <x:c r="U2" s="31" t="n">
        <x:f>IF(T2="","",I2*T2)</x:f>
        <x:v>48224720.0768075</x:v>
      </x:c>
    </x:row>
    <x:row r="3" ht="18" customHeight="1">
      <x:c r="A3" s="24" t="str">
        <x:v>LME_015</x:v>
      </x:c>
      <x:c r="B3" s="24" t="str">
        <x:v>South Brazil Shelf</x:v>
      </x:c>
      <x:c r="C3" s="24" t="str">
        <x:v>LME</x:v>
      </x:c>
      <x:c r="D3" s="30" t="n">
        <x:v>2019</x:v>
      </x:c>
      <x:c r="E3" s="24" t="str">
        <x:v>Micropogonias furnieri</x:v>
      </x:c>
      <x:c r="F3" s="24" t="str">
        <x:v>Whitemouth croaker</x:v>
      </x:c>
      <x:c r="G3" s="24" t="str">
        <x:v>Medium demersals (30 - 89 cm)</x:v>
      </x:c>
      <x:c r="H3" s="24" t="str">
        <x:v>Perch-likes</x:v>
      </x:c>
      <x:c r="I3" s="31" t="n">
        <x:v>23849.8619633675</x:v>
      </x:c>
      <x:c r="J3" s="31" t="n">
        <x:v>12526.695142303899</x:v>
      </x:c>
      <x:c r="K3" s="31" t="n">
        <x:v>11323.1668210636</x:v>
      </x:c>
      <x:c r="L3" s="31" t="n">
        <x:v>11988.7426741294</x:v>
      </x:c>
      <x:c r="M3" s="31" t="n">
        <x:v>11861.1192892381</x:v>
      </x:c>
      <x:c r="N3" s="24" t="str">
        <x:v>micropogonias furnieri</x:v>
      </x:c>
      <x:c r="O3" s="32" t="n">
        <x:v>3.09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Micropogonias furnieri</x:v>
      </x:c>
      <x:c r="T3" s="32" t="n">
        <x:f>IF(O3="","",(1/'Metadata'!$B$5)^(O3-1))</x:f>
        <x:v>123.02687708123811</x:v>
      </x:c>
      <x:c r="U3" s="31" t="n">
        <x:f>IF(T3="","",I3*T3)</x:f>
        <x:v>2934174.0361717097</x:v>
      </x:c>
    </x:row>
    <x:row r="4" ht="18" customHeight="1">
      <x:c r="A4" s="24" t="str">
        <x:v>LME_015</x:v>
      </x:c>
      <x:c r="B4" s="24" t="str">
        <x:v>South Brazil Shelf</x:v>
      </x:c>
      <x:c r="C4" s="24" t="str">
        <x:v>LME</x:v>
      </x:c>
      <x:c r="D4" s="30" t="n">
        <x:v>2019</x:v>
      </x:c>
      <x:c r="E4" s="24" t="str">
        <x:v>Sardinella brasiliensis</x:v>
      </x:c>
      <x:c r="F4" s="24" t="str">
        <x:v>Brazilian sardinella</x:v>
      </x:c>
      <x:c r="G4" s="24" t="str">
        <x:v>Small pelagics (&lt;30 cm)</x:v>
      </x:c>
      <x:c r="H4" s="24" t="str">
        <x:v>Herring-likes</x:v>
      </x:c>
      <x:c r="I4" s="31" t="n">
        <x:v>16611.280981588</x:v>
      </x:c>
      <x:c r="J4" s="31" t="n">
        <x:v>16611.280981588</x:v>
      </x:c>
      <x:c r="K4" s="31" t="n">
        <x:v>0</x:v>
      </x:c>
      <x:c r="L4" s="31" t="n">
        <x:v>16014.3196936466</x:v>
      </x:c>
      <x:c r="M4" s="31" t="n">
        <x:v>596.9612879414</x:v>
      </x:c>
      <x:c r="N4" s="24" t="str">
        <x:v>sardinella brasiliensis</x:v>
      </x:c>
      <x:c r="O4" s="32" t="n">
        <x:v>3.1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Sardinella brasiliensis</x:v>
      </x:c>
      <x:c r="T4" s="32" t="n">
        <x:f>IF(O4="","",(1/'Metadata'!$B$5)^(O4-1))</x:f>
        <x:v>125.89254117941675</x:v>
      </x:c>
      <x:c r="U4" s="31" t="n">
        <x:f>IF(T4="","",I4*T4)</x:f>
        <x:v>2091236.3750174295</x:v>
      </x:c>
    </x:row>
    <x:row r="5" ht="18" customHeight="1">
      <x:c r="A5" s="24" t="str">
        <x:v>LME_015</x:v>
      </x:c>
      <x:c r="B5" s="24" t="str">
        <x:v>South Brazil Shelf</x:v>
      </x:c>
      <x:c r="C5" s="24" t="str">
        <x:v>LME</x:v>
      </x:c>
      <x:c r="D5" s="30" t="n">
        <x:v>2019</x:v>
      </x:c>
      <x:c r="E5" s="24" t="str">
        <x:v>Katsuwonus pelamis</x:v>
      </x:c>
      <x:c r="F5" s="24" t="str">
        <x:v>Skipjack tuna</x:v>
      </x:c>
      <x:c r="G5" s="24" t="str">
        <x:v>Large pelagics (&gt;=90 cm)</x:v>
      </x:c>
      <x:c r="H5" s="24" t="str">
        <x:v>Tuna &amp; billfishes</x:v>
      </x:c>
      <x:c r="I5" s="31" t="n">
        <x:v>15519.8990706763</x:v>
      </x:c>
      <x:c r="J5" s="31" t="n">
        <x:v>15519.8990706763</x:v>
      </x:c>
      <x:c r="K5" s="31" t="n">
        <x:v>0</x:v>
      </x:c>
      <x:c r="L5" s="31" t="n">
        <x:v>15303.584240840999</x:v>
      </x:c>
      <x:c r="M5" s="31" t="n">
        <x:v>216.3148298353</x:v>
      </x:c>
      <x:c r="N5" s="24" t="str">
        <x:v>katsuwonus pelamis</x:v>
      </x:c>
      <x:c r="O5" s="32" t="n">
        <x:v>4.43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Katsuwonus pelamis</x:v>
      </x:c>
      <x:c r="T5" s="32" t="n">
        <x:f>IF(O5="","",(1/'Metadata'!$B$5)^(O5-1))</x:f>
        <x:v>2691.534803926914</x:v>
      </x:c>
      <x:c r="U5" s="31" t="n">
        <x:f>IF(T5="","",I5*T5)</x:f>
        <x:v>41772348.502158225</x:v>
      </x:c>
    </x:row>
    <x:row r="6" ht="18" customHeight="1">
      <x:c r="A6" s="24" t="str">
        <x:v>LME_015</x:v>
      </x:c>
      <x:c r="B6" s="24" t="str">
        <x:v>South Brazil Shelf</x:v>
      </x:c>
      <x:c r="C6" s="24" t="str">
        <x:v>LME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15311.7568563098</x:v>
      </x:c>
      <x:c r="J6" s="31" t="n">
        <x:v>11654.3669289379</x:v>
      </x:c>
      <x:c r="K6" s="31" t="n">
        <x:v>3657.3899273719</x:v>
      </x:c>
      <x:c r="L6" s="31" t="n">
        <x:v>8402.2982587953</x:v>
      </x:c>
      <x:c r="M6" s="31" t="n">
        <x:v>6909.4585975145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2917595.121270273</x:v>
      </x:c>
    </x:row>
    <x:row r="7" ht="18" customHeight="1">
      <x:c r="A7" s="24" t="str">
        <x:v>LME_015</x:v>
      </x:c>
      <x:c r="B7" s="24" t="str">
        <x:v>South Brazil Shelf</x:v>
      </x:c>
      <x:c r="C7" s="24" t="str">
        <x:v>LME</x:v>
      </x:c>
      <x:c r="D7" s="30" t="n">
        <x:v>2019</x:v>
      </x:c>
      <x:c r="E7" s="24" t="str">
        <x:v>Macrodon ancylodon</x:v>
      </x:c>
      <x:c r="F7" s="24" t="str">
        <x:v>King weakfish</x:v>
      </x:c>
      <x:c r="G7" s="24" t="str">
        <x:v>Medium demersals (30 - 89 cm)</x:v>
      </x:c>
      <x:c r="H7" s="24" t="str">
        <x:v>Perch-likes</x:v>
      </x:c>
      <x:c r="I7" s="31" t="n">
        <x:v>10836.366691419</x:v>
      </x:c>
      <x:c r="J7" s="31" t="n">
        <x:v>2855.8999246611</x:v>
      </x:c>
      <x:c r="K7" s="31" t="n">
        <x:v>7980.4667667579</x:v>
      </x:c>
      <x:c r="L7" s="31" t="n">
        <x:v>2797.6929430068</x:v>
      </x:c>
      <x:c r="M7" s="31" t="n">
        <x:v>8038.6737484121995</x:v>
      </x:c>
      <x:c r="N7" s="24" t="str">
        <x:v>macrodon ancylodon</x:v>
      </x:c>
      <x:c r="O7" s="32" t="n">
        <x:v>3.9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Macrodon ancylodon</x:v>
      </x:c>
      <x:c r="T7" s="32" t="n">
        <x:f>IF(O7="","",(1/'Metadata'!$B$5)^(O7-1))</x:f>
        <x:v>794.3282347242813</x:v>
      </x:c>
      <x:c r="U7" s="31" t="n">
        <x:f>IF(T7="","",I7*T7)</x:f>
        <x:v>8607632.024819855</x:v>
      </x:c>
    </x:row>
    <x:row r="8" ht="18" customHeight="1">
      <x:c r="A8" s="24" t="str">
        <x:v>LME_015</x:v>
      </x:c>
      <x:c r="B8" s="24" t="str">
        <x:v>South Brazil Shelf</x:v>
      </x:c>
      <x:c r="C8" s="24" t="str">
        <x:v>LME</x:v>
      </x:c>
      <x:c r="D8" s="30" t="n">
        <x:v>2019</x:v>
      </x:c>
      <x:c r="E8" s="24" t="str">
        <x:v>Mustelus schmitti</x:v>
      </x:c>
      <x:c r="F8" s="24" t="str">
        <x:v>Narrownose smooth-hound</x:v>
      </x:c>
      <x:c r="G8" s="24" t="str">
        <x:v>Small to medium sharks (&lt;90 cm)</x:v>
      </x:c>
      <x:c r="H8" s="24" t="str">
        <x:v>Sharks &amp; rays</x:v>
      </x:c>
      <x:c r="I8" s="31" t="n">
        <x:v>10225.6885757543</x:v>
      </x:c>
      <x:c r="J8" s="31" t="n">
        <x:v>156.6008691633</x:v>
      </x:c>
      <x:c r="K8" s="31" t="n">
        <x:v>10069.087706591</x:v>
      </x:c>
      <x:c r="L8" s="31" t="n">
        <x:v>156.6008691633</x:v>
      </x:c>
      <x:c r="M8" s="31" t="n">
        <x:v>10069.087706591</x:v>
      </x:c>
      <x:c r="N8" s="24" t="str">
        <x:v>mustelus schmitti</x:v>
      </x:c>
      <x:c r="O8" s="32" t="n">
        <x:v>3.59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Mustelus schmitti</x:v>
      </x:c>
      <x:c r="T8" s="32" t="n">
        <x:f>IF(O8="","",(1/'Metadata'!$B$5)^(O8-1))</x:f>
        <x:v>389.04514499428046</x:v>
      </x:c>
      <x:c r="U8" s="31" t="n">
        <x:f>IF(T8="","",I8*T8)</x:f>
        <x:v>3978254.494620689</x:v>
      </x:c>
    </x:row>
    <x:row r="9" ht="18" customHeight="1">
      <x:c r="A9" s="24" t="str">
        <x:v>LME_015</x:v>
      </x:c>
      <x:c r="B9" s="24" t="str">
        <x:v>South Brazil Shelf</x:v>
      </x:c>
      <x:c r="C9" s="24" t="str">
        <x:v>LME</x:v>
      </x:c>
      <x:c r="D9" s="30" t="n">
        <x:v>2019</x:v>
      </x:c>
      <x:c r="E9" s="24" t="str">
        <x:v>Squalus</x:v>
      </x:c>
      <x:c r="F9" s="24" t="str">
        <x:v>Dogfishes</x:v>
      </x:c>
      <x:c r="G9" s="24" t="str">
        <x:v>Large sharks (&gt;=90 cm)</x:v>
      </x:c>
      <x:c r="H9" s="24" t="str">
        <x:v>Sharks &amp; rays</x:v>
      </x:c>
      <x:c r="I9" s="31" t="n">
        <x:v>10169.822249574801</x:v>
      </x:c>
      <x:c r="J9" s="31" t="n">
        <x:v>147.77741639020002</x:v>
      </x:c>
      <x:c r="K9" s="31" t="n">
        <x:v>10022.044833184602</x:v>
      </x:c>
      <x:c r="L9" s="31" t="n">
        <x:v>143.7997236273</x:v>
      </x:c>
      <x:c r="M9" s="31" t="n">
        <x:v>10026.022525947501</x:v>
      </x:c>
      <x:c r="N9" s="24" t="str">
        <x:v>squalus</x:v>
      </x:c>
      <x:c r="O9" s="32" t="n">
        <x:v>4.23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Squalus</x:v>
      </x:c>
      <x:c r="T9" s="32" t="n">
        <x:f>IF(O9="","",(1/'Metadata'!$B$5)^(O9-1))</x:f>
        <x:v>1698.243652461746</x:v>
      </x:c>
      <x:c r="U9" s="31" t="n">
        <x:f>IF(T9="","",I9*T9)</x:f>
        <x:v>17270836.08200464</x:v>
      </x:c>
    </x:row>
    <x:row r="10" ht="18" customHeight="1">
      <x:c r="A10" s="24" t="str">
        <x:v>LME_015</x:v>
      </x:c>
      <x:c r="B10" s="24" t="str">
        <x:v>South Brazil Shelf</x:v>
      </x:c>
      <x:c r="C10" s="24" t="str">
        <x:v>LME</x:v>
      </x:c>
      <x:c r="D10" s="30" t="n">
        <x:v>2019</x:v>
      </x:c>
      <x:c r="E10" s="24" t="str">
        <x:v>Mustelus</x:v>
      </x:c>
      <x:c r="F10" s="24" t="str">
        <x:v>Smoothhounds</x:v>
      </x:c>
      <x:c r="G10" s="24" t="str">
        <x:v>Large sharks (&gt;=90 cm)</x:v>
      </x:c>
      <x:c r="H10" s="24" t="str">
        <x:v>Sharks &amp; rays</x:v>
      </x:c>
      <x:c r="I10" s="31" t="n">
        <x:v>9507.0160241098</x:v>
      </x:c>
      <x:c r="J10" s="31" t="n">
        <x:v>3.2402544031000002</x:v>
      </x:c>
      <x:c r="K10" s="31" t="n">
        <x:v>9503.775769706699</x:v>
      </x:c>
      <x:c r="L10" s="31" t="n">
        <x:v>3.1374974914000004</x:v>
      </x:c>
      <x:c r="M10" s="31" t="n">
        <x:v>9503.8785266184</x:v>
      </x:c>
      <x:c r="N10" s="24" t="str">
        <x:v>mustelus</x:v>
      </x:c>
      <x:c r="O10" s="32" t="n">
        <x:v>3.73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Mustelus</x:v>
      </x:c>
      <x:c r="T10" s="32" t="n">
        <x:f>IF(O10="","",(1/'Metadata'!$B$5)^(O10-1))</x:f>
        <x:v>537.0317963702527</x:v>
      </x:c>
      <x:c r="U10" s="31" t="n">
        <x:f>IF(T10="","",I10*T10)</x:f>
        <x:v>5105569.8935484635</x:v>
      </x:c>
    </x:row>
    <x:row r="11" ht="18" customHeight="1">
      <x:c r="A11" s="24" t="str">
        <x:v>LME_015</x:v>
      </x:c>
      <x:c r="B11" s="24" t="str">
        <x:v>South Brazil Shelf</x:v>
      </x:c>
      <x:c r="C11" s="24" t="str">
        <x:v>LME</x:v>
      </x:c>
      <x:c r="D11" s="30" t="n">
        <x:v>2019</x:v>
      </x:c>
      <x:c r="E11" s="24" t="str">
        <x:v>Clupeidae</x:v>
      </x:c>
      <x:c r="F11" s="24" t="str">
        <x:v>Herrings, sardines, menhadens</x:v>
      </x:c>
      <x:c r="G11" s="24" t="str">
        <x:v>Small pelagics (&lt;30 cm)</x:v>
      </x:c>
      <x:c r="H11" s="24" t="str">
        <x:v>Herring-likes</x:v>
      </x:c>
      <x:c r="I11" s="31" t="n">
        <x:v>9458.7302737987</x:v>
      </x:c>
      <x:c r="J11" s="31" t="n">
        <x:v>2714.3626600038997</x:v>
      </x:c>
      <x:c r="K11" s="31" t="n">
        <x:v>6744.3676137948</x:v>
      </x:c>
      <x:c r="L11" s="31" t="n">
        <x:v>2614.8929056016</x:v>
      </x:c>
      <x:c r="M11" s="31" t="n">
        <x:v>6843.8373681971</x:v>
      </x:c>
      <x:c r="N11" s="24" t="str">
        <x:v>clupeidae</x:v>
      </x:c>
      <x:c r="O11" s="32" t="n">
        <x:v>3.16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Clupeidae</x:v>
      </x:c>
      <x:c r="T11" s="32" t="n">
        <x:f>IF(O11="","",(1/'Metadata'!$B$5)^(O11-1))</x:f>
        <x:v>144.5439770745928</x:v>
      </x:c>
      <x:c r="U11" s="31" t="n">
        <x:f>IF(T11="","",I11*T11)</x:f>
        <x:v>1367202.491850716</x:v>
      </x:c>
    </x:row>
    <x:row r="12" ht="18" customHeight="1">
      <x:c r="A12" s="24" t="str">
        <x:v>LME_015</x:v>
      </x:c>
      <x:c r="B12" s="24" t="str">
        <x:v>South Brazil Shelf</x:v>
      </x:c>
      <x:c r="C12" s="24" t="str">
        <x:v>LME</x:v>
      </x:c>
      <x:c r="D12" s="30" t="n">
        <x:v>2019</x:v>
      </x:c>
      <x:c r="E12" s="24" t="str">
        <x:v>Cynoscion guatucupa</x:v>
      </x:c>
      <x:c r="F12" s="24" t="str">
        <x:v>Stripped weakfish</x:v>
      </x:c>
      <x:c r="G12" s="24" t="str">
        <x:v>Medium demersals (30 - 89 cm)</x:v>
      </x:c>
      <x:c r="H12" s="24" t="str">
        <x:v>Perch-likes</x:v>
      </x:c>
      <x:c r="I12" s="31" t="n">
        <x:v>7880.9812557868</x:v>
      </x:c>
      <x:c r="J12" s="31" t="n">
        <x:v>2534.6360454623</x:v>
      </x:c>
      <x:c r="K12" s="31" t="n">
        <x:v>5346.3452103245</x:v>
      </x:c>
      <x:c r="L12" s="31" t="n">
        <x:v>2501.2216086117</x:v>
      </x:c>
      <x:c r="M12" s="31" t="n">
        <x:v>5379.7596471751</x:v>
      </x:c>
      <x:c r="N12" s="24" t="str">
        <x:v>cynoscion guatucupa</x:v>
      </x:c>
      <x:c r="O12" s="32" t="n">
        <x:v>3.72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Cynoscion guatucupa</x:v>
      </x:c>
      <x:c r="T12" s="32" t="n">
        <x:f>IF(O12="","",(1/'Metadata'!$B$5)^(O12-1))</x:f>
        <x:v>524.8074602497728</x:v>
      </x:c>
      <x:c r="U12" s="31" t="n">
        <x:f>IF(T12="","",I12*T12)</x:f>
        <x:v>4135997.7571255355</x:v>
      </x:c>
    </x:row>
    <x:row r="13" ht="18" customHeight="1">
      <x:c r="A13" s="24" t="str">
        <x:v>LME_015</x:v>
      </x:c>
      <x:c r="B13" s="24" t="str">
        <x:v>South Brazil Shelf</x:v>
      </x:c>
      <x:c r="C13" s="24" t="str">
        <x:v>LME</x:v>
      </x:c>
      <x:c r="D13" s="30" t="n">
        <x:v>2019</x:v>
      </x:c>
      <x:c r="E13" s="24" t="str">
        <x:v>Batoidea</x:v>
      </x:c>
      <x:c r="F13" s="24" t="str">
        <x:v>Batoids, skates, rays, sawfishes</x:v>
      </x:c>
      <x:c r="G13" s="24" t="str">
        <x:v>Large rays (&gt;=90 cm)</x:v>
      </x:c>
      <x:c r="H13" s="24" t="str">
        <x:v>Sharks &amp; rays</x:v>
      </x:c>
      <x:c r="I13" s="31" t="n">
        <x:v>6576.8151963377</x:v>
      </x:c>
      <x:c r="J13" s="31" t="n">
        <x:v>24.3570558087</x:v>
      </x:c>
      <x:c r="K13" s="31" t="n">
        <x:v>6552.458140529</x:v>
      </x:c>
      <x:c r="L13" s="31" t="n">
        <x:v>24.3570558087</x:v>
      </x:c>
      <x:c r="M13" s="31" t="n">
        <x:v>6552.458140529</x:v>
      </x:c>
      <x:c r="N13" s="24" t="str">
        <x:v>batoidea</x:v>
      </x:c>
      <x:c r="O13" s="32" t="n">
        <x:v>3.72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Batoidea</x:v>
      </x:c>
      <x:c r="T13" s="32" t="n">
        <x:f>IF(O13="","",(1/'Metadata'!$B$5)^(O13-1))</x:f>
        <x:v>524.8074602497728</x:v>
      </x:c>
      <x:c r="U13" s="31" t="n">
        <x:f>IF(T13="","",I13*T13)</x:f>
        <x:v>3451561.6797220996</x:v>
      </x:c>
    </x:row>
    <x:row r="14" ht="18" customHeight="1">
      <x:c r="A14" s="24" t="str">
        <x:v>LME_015</x:v>
      </x:c>
      <x:c r="B14" s="24" t="str">
        <x:v>South Brazil Shelf</x:v>
      </x:c>
      <x:c r="C14" s="24" t="str">
        <x:v>LME</x:v>
      </x:c>
      <x:c r="D14" s="30" t="n">
        <x:v>2019</x:v>
      </x:c>
      <x:c r="E14" s="24" t="str">
        <x:v>Trichiurus lepturus</x:v>
      </x:c>
      <x:c r="F14" s="24" t="str">
        <x:v>Largehead hairtail</x:v>
      </x:c>
      <x:c r="G14" s="24" t="str">
        <x:v>Large benthopelagics (&gt;=90 cm)</x:v>
      </x:c>
      <x:c r="H14" s="24" t="str">
        <x:v>Perch-likes</x:v>
      </x:c>
      <x:c r="I14" s="31" t="n">
        <x:v>6150.2665963407</x:v>
      </x:c>
      <x:c r="J14" s="31" t="n">
        <x:v>864.4504367067</x:v>
      </x:c>
      <x:c r="K14" s="31" t="n">
        <x:v>5285.816159634</x:v>
      </x:c>
      <x:c r="L14" s="31" t="n">
        <x:v>851.4609232212</x:v>
      </x:c>
      <x:c r="M14" s="31" t="n">
        <x:v>5298.8056731195</x:v>
      </x:c>
      <x:c r="N14" s="24" t="str">
        <x:v>trichiurus lepturus</x:v>
      </x:c>
      <x:c r="O14" s="32" t="n">
        <x:v>4.42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Trichiurus lepturus</x:v>
      </x:c>
      <x:c r="T14" s="32" t="n">
        <x:f>IF(O14="","",(1/'Metadata'!$B$5)^(O14-1))</x:f>
        <x:v>2630.2679918953813</x:v>
      </x:c>
      <x:c r="U14" s="31" t="n">
        <x:f>IF(T14="","",I14*T14)</x:f>
        <x:v>16176849.369978294</x:v>
      </x:c>
    </x:row>
    <x:row r="15" ht="18" customHeight="1">
      <x:c r="A15" s="24" t="str">
        <x:v>LME_015</x:v>
      </x:c>
      <x:c r="B15" s="24" t="str">
        <x:v>South Brazil Shelf</x:v>
      </x:c>
      <x:c r="C15" s="24" t="str">
        <x:v>LME</x:v>
      </x:c>
      <x:c r="D15" s="30" t="n">
        <x:v>2019</x:v>
      </x:c>
      <x:c r="E15" s="24" t="str">
        <x:v>Cynoscion acoupa</x:v>
      </x:c>
      <x:c r="F15" s="24" t="str">
        <x:v>Acoupa weakfish</x:v>
      </x:c>
      <x:c r="G15" s="24" t="str">
        <x:v>Large demersals (&gt;=90 cm)</x:v>
      </x:c>
      <x:c r="H15" s="24" t="str">
        <x:v>Perch-likes</x:v>
      </x:c>
      <x:c r="I15" s="31" t="n">
        <x:v>5726.3906414618</x:v>
      </x:c>
      <x:c r="J15" s="31" t="n">
        <x:v>5726.3906414618</x:v>
      </x:c>
      <x:c r="K15" s="31" t="n">
        <x:v>0</x:v>
      </x:c>
      <x:c r="L15" s="31" t="n">
        <x:v>5587.801563654901</x:v>
      </x:c>
      <x:c r="M15" s="31" t="n">
        <x:v>138.58907780689998</x:v>
      </x:c>
      <x:c r="N15" s="24" t="str">
        <x:v>cynoscion acoupa</x:v>
      </x:c>
      <x:c r="O15" s="32" t="n">
        <x:v>4.05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Cynoscion acoupa</x:v>
      </x:c>
      <x:c r="T15" s="32" t="n">
        <x:f>IF(O15="","",(1/'Metadata'!$B$5)^(O15-1))</x:f>
        <x:v>1122.018454301963</x:v>
      </x:c>
      <x:c r="U15" s="31" t="n">
        <x:f>IF(T15="","",I15*T15)</x:f>
        <x:v>6425115.976262195</x:v>
      </x:c>
    </x:row>
    <x:row r="16" ht="18" customHeight="1">
      <x:c r="A16" s="24" t="str">
        <x:v>LME_015</x:v>
      </x:c>
      <x:c r="B16" s="24" t="str">
        <x:v>South Brazil Shelf</x:v>
      </x:c>
      <x:c r="C16" s="24" t="str">
        <x:v>LME</x:v>
      </x:c>
      <x:c r="D16" s="30" t="n">
        <x:v>2019</x:v>
      </x:c>
      <x:c r="E16" s="24" t="str">
        <x:v>Urophycis brasiliensis</x:v>
      </x:c>
      <x:c r="F16" s="24" t="str">
        <x:v>Brazilian codling</x:v>
      </x:c>
      <x:c r="G16" s="24" t="str">
        <x:v>Medium demersals (30 - 89 cm)</x:v>
      </x:c>
      <x:c r="H16" s="24" t="str">
        <x:v>Cod-likes</x:v>
      </x:c>
      <x:c r="I16" s="31" t="n">
        <x:v>5413.355085059</x:v>
      </x:c>
      <x:c r="J16" s="31" t="n">
        <x:v>5413.355085059</x:v>
      </x:c>
      <x:c r="K16" s="31" t="n">
        <x:v>0</x:v>
      </x:c>
      <x:c r="L16" s="31" t="n">
        <x:v>5275.6410662459</x:v>
      </x:c>
      <x:c r="M16" s="31" t="n">
        <x:v>137.7140188131</x:v>
      </x:c>
      <x:c r="N16" s="24" t="str">
        <x:v>urophycis brasiliensis</x:v>
      </x:c>
      <x:c r="O16" s="32" t="n">
        <x:v>3.79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Urophycis brasiliensis</x:v>
      </x:c>
      <x:c r="T16" s="32" t="n">
        <x:f>IF(O16="","",(1/'Metadata'!$B$5)^(O16-1))</x:f>
        <x:v>616.5950018614822</x:v>
      </x:c>
      <x:c r="U16" s="31" t="n">
        <x:f>IF(T16="","",I16*T16)</x:f>
        <x:v>3337847.688748818</x:v>
      </x:c>
    </x:row>
    <x:row r="17" ht="18" customHeight="1">
      <x:c r="A17" s="24" t="str">
        <x:v>LME_015</x:v>
      </x:c>
      <x:c r="B17" s="24" t="str">
        <x:v>South Brazil Shelf</x:v>
      </x:c>
      <x:c r="C17" s="24" t="str">
        <x:v>LME</x:v>
      </x:c>
      <x:c r="D17" s="30" t="n">
        <x:v>2019</x:v>
      </x:c>
      <x:c r="E17" s="24" t="str">
        <x:v>Mugil</x:v>
      </x:c>
      <x:c r="F17" s="24" t="str">
        <x:v>Grey mullets</x:v>
      </x:c>
      <x:c r="G17" s="24" t="str">
        <x:v>Medium demersals (30 - 89 cm)</x:v>
      </x:c>
      <x:c r="H17" s="24" t="str">
        <x:v>Perch-likes</x:v>
      </x:c>
      <x:c r="I17" s="31" t="n">
        <x:v>3786.2551222554</x:v>
      </x:c>
      <x:c r="J17" s="31" t="n">
        <x:v>2643.0985691933</x:v>
      </x:c>
      <x:c r="K17" s="31" t="n">
        <x:v>1143.1565530621</x:v>
      </x:c>
      <x:c r="L17" s="31" t="n">
        <x:v>2224.5265235777997</x:v>
      </x:c>
      <x:c r="M17" s="31" t="n">
        <x:v>1561.7285986776</x:v>
      </x:c>
      <x:c r="N17" s="24" t="str">
        <x:v>mugil</x:v>
      </x:c>
      <x:c r="O17" s="32" t="n">
        <x:v>2.26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Mugil</x:v>
      </x:c>
      <x:c r="T17" s="32" t="n">
        <x:f>IF(O17="","",(1/'Metadata'!$B$5)^(O17-1))</x:f>
        <x:v>18.197008586099827</x:v>
      </x:c>
      <x:c r="U17" s="31" t="n">
        <x:f>IF(T17="","",I17*T17)</x:f>
        <x:v>68898.51696884596</x:v>
      </x:c>
    </x:row>
    <x:row r="18" ht="18" customHeight="1">
      <x:c r="A18" s="24" t="str">
        <x:v>LME_015</x:v>
      </x:c>
      <x:c r="B18" s="24" t="str">
        <x:v>South Brazil Shelf</x:v>
      </x:c>
      <x:c r="C18" s="24" t="str">
        <x:v>LME</x:v>
      </x:c>
      <x:c r="D18" s="30" t="n">
        <x:v>2019</x:v>
      </x:c>
      <x:c r="E18" s="24" t="str">
        <x:v>Artemesia longinaris</x:v>
      </x:c>
      <x:c r="F18" s="24" t="str">
        <x:v>Argentine stiletto shrimp</x:v>
      </x:c>
      <x:c r="G18" s="24" t="str">
        <x:v>Shrimps</x:v>
      </x:c>
      <x:c r="H18" s="24" t="str">
        <x:v>Crustaceans</x:v>
      </x:c>
      <x:c r="I18" s="31" t="n">
        <x:v>2829.0368658929</x:v>
      </x:c>
      <x:c r="J18" s="31" t="n">
        <x:v>2829.0368658929</x:v>
      </x:c>
      <x:c r="K18" s="31" t="n">
        <x:v>0</x:v>
      </x:c>
      <x:c r="L18" s="31" t="n">
        <x:v>2761.7242349653</x:v>
      </x:c>
      <x:c r="M18" s="31" t="n">
        <x:v>67.3126309276</x:v>
      </x:c>
      <x:c r="N18" s="24" t="str">
        <x:v>artemesia longinaris</x:v>
      </x:c>
      <x:c r="O18" s="32" t="n">
        <x:v>2.7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Artemesia longinaris</x:v>
      </x:c>
      <x:c r="T18" s="32" t="n">
        <x:f>IF(O18="","",(1/'Metadata'!$B$5)^(O18-1))</x:f>
        <x:v>50.11872336272725</x:v>
      </x:c>
      <x:c r="U18" s="31" t="n">
        <x:f>IF(T18="","",I18*T18)</x:f>
        <x:v>141787.71606464317</x:v>
      </x:c>
    </x:row>
    <x:row r="19" ht="18" customHeight="1">
      <x:c r="A19" s="24" t="str">
        <x:v>LME_015</x:v>
      </x:c>
      <x:c r="B19" s="24" t="str">
        <x:v>South Brazil Shelf</x:v>
      </x:c>
      <x:c r="C19" s="24" t="str">
        <x:v>LME</x:v>
      </x:c>
      <x:c r="D19" s="30" t="n">
        <x:v>2019</x:v>
      </x:c>
      <x:c r="E19" s="24" t="str">
        <x:v>Ariidae</x:v>
      </x:c>
      <x:c r="F19" s="24" t="str">
        <x:v>Sea catfishes, coblers</x:v>
      </x:c>
      <x:c r="G19" s="24" t="str">
        <x:v>Medium demersals (30 - 89 cm)</x:v>
      </x:c>
      <x:c r="H19" s="24" t="str">
        <x:v>Other fishes &amp; inverts</x:v>
      </x:c>
      <x:c r="I19" s="31" t="n">
        <x:v>2753.0108242051</x:v>
      </x:c>
      <x:c r="J19" s="31" t="n">
        <x:v>1348.6528384506</x:v>
      </x:c>
      <x:c r="K19" s="31" t="n">
        <x:v>1404.3579857544999</x:v>
      </x:c>
      <x:c r="L19" s="31" t="n">
        <x:v>1291.3047964694001</x:v>
      </x:c>
      <x:c r="M19" s="31" t="n">
        <x:v>1461.7060277357</x:v>
      </x:c>
      <x:c r="N19" s="24" t="str">
        <x:v>ariidae</x:v>
      </x:c>
      <x:c r="O19" s="32" t="n">
        <x:v>3.48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Ariidae</x:v>
      </x:c>
      <x:c r="T19" s="32" t="n">
        <x:f>IF(O19="","",(1/'Metadata'!$B$5)^(O19-1))</x:f>
        <x:v>301.9951720402016</x:v>
      </x:c>
      <x:c r="U19" s="31" t="n">
        <x:f>IF(T19="","",I19*T19)</x:f>
        <x:v>831395.9774843565</x:v>
      </x:c>
    </x:row>
    <x:row r="20" ht="18" customHeight="1">
      <x:c r="A20" s="24" t="str">
        <x:v>LME_015</x:v>
      </x:c>
      <x:c r="B20" s="24" t="str">
        <x:v>South Brazil Shelf</x:v>
      </x:c>
      <x:c r="C20" s="24" t="str">
        <x:v>LME</x:v>
      </x:c>
      <x:c r="D20" s="30" t="n">
        <x:v>2019</x:v>
      </x:c>
      <x:c r="E20" s="24" t="str">
        <x:v>Sciaenidae</x:v>
      </x:c>
      <x:c r="F20" s="24" t="str">
        <x:v>Drums, croakers</x:v>
      </x:c>
      <x:c r="G20" s="24" t="str">
        <x:v>Medium demersals (30 - 89 cm)</x:v>
      </x:c>
      <x:c r="H20" s="24" t="str">
        <x:v>Perch-likes</x:v>
      </x:c>
      <x:c r="I20" s="31" t="n">
        <x:v>2379.7505226324997</x:v>
      </x:c>
      <x:c r="J20" s="31" t="n">
        <x:v>764.4055292951999</x:v>
      </x:c>
      <x:c r="K20" s="31" t="n">
        <x:v>1615.3449933373</x:v>
      </x:c>
      <x:c r="L20" s="31" t="n">
        <x:v>66.8557412272</x:v>
      </x:c>
      <x:c r="M20" s="31" t="n">
        <x:v>2312.8947814053</x:v>
      </x:c>
      <x:c r="N20" s="24" t="str">
        <x:v>sciaenidae</x:v>
      </x:c>
      <x:c r="O20" s="32" t="n">
        <x:v>3.76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Sciaenidae</x:v>
      </x:c>
      <x:c r="T20" s="32" t="n">
        <x:f>IF(O20="","",(1/'Metadata'!$B$5)^(O20-1))</x:f>
        <x:v>575.4399373371566</x:v>
      </x:c>
      <x:c r="U20" s="31" t="n">
        <x:f>IF(T20="","",I20*T20)</x:f>
        <x:v>1369403.4916217113</x:v>
      </x:c>
    </x:row>
    <x:row r="21" ht="18" customHeight="1">
      <x:c r="A21" s="24" t="str">
        <x:v>LME_015</x:v>
      </x:c>
      <x:c r="B21" s="24" t="str">
        <x:v>South Brazil Shelf</x:v>
      </x:c>
      <x:c r="C21" s="24" t="str">
        <x:v>LME</x:v>
      </x:c>
      <x:c r="D21" s="30" t="n">
        <x:v>2019</x:v>
      </x:c>
      <x:c r="E21" s="24" t="str">
        <x:v>Penaeus brasiliensis</x:v>
      </x:c>
      <x:c r="F21" s="24" t="str">
        <x:v>Redspotted shrimp</x:v>
      </x:c>
      <x:c r="G21" s="24" t="str">
        <x:v>Shrimps</x:v>
      </x:c>
      <x:c r="H21" s="24" t="str">
        <x:v>Crustaceans</x:v>
      </x:c>
      <x:c r="I21" s="31" t="n">
        <x:v>2280.7407228594</x:v>
      </x:c>
      <x:c r="J21" s="31" t="n">
        <x:v>2280.7407228594</x:v>
      </x:c>
      <x:c r="K21" s="31" t="n">
        <x:v>0</x:v>
      </x:c>
      <x:c r="L21" s="31" t="n">
        <x:v>2280.7407228594</x:v>
      </x:c>
      <x:c r="M21" s="31" t="n">
        <x:v>0</x:v>
      </x:c>
      <x:c r="N21" s="24" t="str">
        <x:v>penaeus brasiliensis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Penaeus brasiliensis</x:v>
      </x:c>
      <x:c r="T21" s="32" t="n">
        <x:f>IF(O21="","",(1/'Metadata'!$B$5)^(O21-1))</x:f>
        <x:v>50.11872336272725</x:v>
      </x:c>
      <x:c r="U21" s="31" t="n">
        <x:f>IF(T21="","",I21*T21)</x:f>
        <x:v>114307.81335109686</x:v>
      </x:c>
    </x:row>
    <x:row r="22" ht="18" customHeight="1">
      <x:c r="A22" s="24" t="str">
        <x:v>LME_015</x:v>
      </x:c>
      <x:c r="B22" s="24" t="str">
        <x:v>South Brazil Shelf</x:v>
      </x:c>
      <x:c r="C22" s="24" t="str">
        <x:v>LME</x:v>
      </x:c>
      <x:c r="D22" s="30" t="n">
        <x:v>2019</x:v>
      </x:c>
      <x:c r="E22" s="24" t="str">
        <x:v>Cynoscion</x:v>
      </x:c>
      <x:c r="F22" s="24" t="str">
        <x:v>Weakfishes</x:v>
      </x:c>
      <x:c r="G22" s="24" t="str">
        <x:v>Medium demersals (30 - 89 cm)</x:v>
      </x:c>
      <x:c r="H22" s="24" t="str">
        <x:v>Perch-likes</x:v>
      </x:c>
      <x:c r="I22" s="31" t="n">
        <x:v>1857.9937845623</x:v>
      </x:c>
      <x:c r="J22" s="31" t="n">
        <x:v>1857.9937845623</x:v>
      </x:c>
      <x:c r="K22" s="31" t="n">
        <x:v>0</x:v>
      </x:c>
      <x:c r="L22" s="31" t="n">
        <x:v>1497.0493322987</x:v>
      </x:c>
      <x:c r="M22" s="31" t="n">
        <x:v>360.94445226359994</x:v>
      </x:c>
      <x:c r="N22" s="24" t="str">
        <x:v>cynoscion</x:v>
      </x:c>
      <x:c r="O22" s="32" t="n">
        <x:v>4.21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Cynoscion</x:v>
      </x:c>
      <x:c r="T22" s="32" t="n">
        <x:f>IF(O22="","",(1/'Metadata'!$B$5)^(O22-1))</x:f>
        <x:v>1621.8100973589299</x:v>
      </x:c>
      <x:c r="U22" s="31" t="n">
        <x:f>IF(T22="","",I22*T22)</x:f>
        <x:v>3013313.0806332706</x:v>
      </x:c>
    </x:row>
    <x:row r="23" ht="18" customHeight="1">
      <x:c r="A23" s="24" t="str">
        <x:v>LME_015</x:v>
      </x:c>
      <x:c r="B23" s="24" t="str">
        <x:v>South Brazil Shelf</x:v>
      </x:c>
      <x:c r="C23" s="24" t="str">
        <x:v>LME</x:v>
      </x:c>
      <x:c r="D23" s="30" t="n">
        <x:v>2019</x:v>
      </x:c>
      <x:c r="E23" s="24" t="str">
        <x:v>Merluccius hubbsi</x:v>
      </x:c>
      <x:c r="F23" s="24" t="str">
        <x:v>Argentine hake</x:v>
      </x:c>
      <x:c r="G23" s="24" t="str">
        <x:v>Medium benthopelagics (30 - 89 cm)</x:v>
      </x:c>
      <x:c r="H23" s="24" t="str">
        <x:v>Cod-likes</x:v>
      </x:c>
      <x:c r="I23" s="31" t="n">
        <x:v>1847.8233801899</x:v>
      </x:c>
      <x:c r="J23" s="31" t="n">
        <x:v>1847.8233801899</x:v>
      </x:c>
      <x:c r="K23" s="31" t="n">
        <x:v>0</x:v>
      </x:c>
      <x:c r="L23" s="31" t="n">
        <x:v>1809.5669431978</x:v>
      </x:c>
      <x:c r="M23" s="31" t="n">
        <x:v>38.2564369921</x:v>
      </x:c>
      <x:c r="N23" s="24" t="str">
        <x:v>merluccius hubbsi</x:v>
      </x:c>
      <x:c r="O23" s="32" t="n">
        <x:v>4.23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Merluccius hubbsi</x:v>
      </x:c>
      <x:c r="T23" s="32" t="n">
        <x:f>IF(O23="","",(1/'Metadata'!$B$5)^(O23-1))</x:f>
        <x:v>1698.243652461746</x:v>
      </x:c>
      <x:c r="U23" s="31" t="n">
        <x:f>IF(T23="","",I23*T23)</x:f>
        <x:v>3138054.3262779056</x:v>
      </x:c>
    </x:row>
    <x:row r="24" ht="18" customHeight="1">
      <x:c r="A24" s="24" t="str">
        <x:v>LME_015</x:v>
      </x:c>
      <x:c r="B24" s="24" t="str">
        <x:v>South Brazil Shelf</x:v>
      </x:c>
      <x:c r="C24" s="24" t="str">
        <x:v>LME</x:v>
      </x:c>
      <x:c r="D24" s="30" t="n">
        <x:v>2019</x:v>
      </x:c>
      <x:c r="E24" s="24" t="str">
        <x:v>Scombridae</x:v>
      </x:c>
      <x:c r="F24" s="24" t="str">
        <x:v>Mackerels, tunas, bonitos</x:v>
      </x:c>
      <x:c r="G24" s="24" t="str">
        <x:v>Medium pelagics (30 - 89 cm)</x:v>
      </x:c>
      <x:c r="H24" s="24" t="str">
        <x:v>Perch-likes</x:v>
      </x:c>
      <x:c r="I24" s="31" t="n">
        <x:v>1802.4052604052001</x:v>
      </x:c>
      <x:c r="J24" s="31" t="n">
        <x:v>1802.4052604052001</x:v>
      </x:c>
      <x:c r="K24" s="31" t="n">
        <x:v>0</x:v>
      </x:c>
      <x:c r="L24" s="31" t="n">
        <x:v>1721.6737848344</x:v>
      </x:c>
      <x:c r="M24" s="31" t="n">
        <x:v>80.7314755708</x:v>
      </x:c>
      <x:c r="N24" s="24" t="str">
        <x:v>scombridae</x:v>
      </x:c>
      <x:c r="O24" s="32" t="n">
        <x:v>4.26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Scombridae</x:v>
      </x:c>
      <x:c r="T24" s="32" t="n">
        <x:f>IF(O24="","",(1/'Metadata'!$B$5)^(O24-1))</x:f>
        <x:v>1819.7008586099826</x:v>
      </x:c>
      <x:c r="U24" s="31" t="n">
        <x:f>IF(T24="","",I24*T24)</x:f>
        <x:v>3279838.399922492</x:v>
      </x:c>
    </x:row>
    <x:row r="25" ht="18" customHeight="1">
      <x:c r="A25" s="24" t="str">
        <x:v>LME_015</x:v>
      </x:c>
      <x:c r="B25" s="24" t="str">
        <x:v>South Brazil Shelf</x:v>
      </x:c>
      <x:c r="C25" s="24" t="str">
        <x:v>LME</x:v>
      </x:c>
      <x:c r="D25" s="30" t="n">
        <x:v>2019</x:v>
      </x:c>
      <x:c r="E25" s="24" t="str">
        <x:v>Mugil liza</x:v>
      </x:c>
      <x:c r="F25" s="24" t="str">
        <x:v>Lebranche mullet</x:v>
      </x:c>
      <x:c r="G25" s="24" t="str">
        <x:v>Medium demersals (30 - 89 cm)</x:v>
      </x:c>
      <x:c r="H25" s="24" t="str">
        <x:v>Perch-likes</x:v>
      </x:c>
      <x:c r="I25" s="31" t="n">
        <x:v>1727.8580694743</x:v>
      </x:c>
      <x:c r="J25" s="31" t="n">
        <x:v>1727.8580694743</x:v>
      </x:c>
      <x:c r="K25" s="31" t="n">
        <x:v>0</x:v>
      </x:c>
      <x:c r="L25" s="31" t="n">
        <x:v>1694.8639486511</x:v>
      </x:c>
      <x:c r="M25" s="31" t="n">
        <x:v>32.9941208232</x:v>
      </x:c>
      <x:c r="N25" s="24" t="str">
        <x:v>mugil liza</x:v>
      </x:c>
      <x:c r="O25" s="32" t="n">
        <x:v>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Mugil liza</x:v>
      </x:c>
      <x:c r="T25" s="32" t="n">
        <x:f>IF(O25="","",(1/'Metadata'!$B$5)^(O25-1))</x:f>
        <x:v>10</x:v>
      </x:c>
      <x:c r="U25" s="31" t="n">
        <x:f>IF(T25="","",I25*T25)</x:f>
        <x:v>17278.580694743</x:v>
      </x:c>
    </x:row>
    <x:row r="26" ht="18" customHeight="1">
      <x:c r="A26" s="24" t="str">
        <x:v>LME_015</x:v>
      </x:c>
      <x:c r="B26" s="24" t="str">
        <x:v>South Brazil Shelf</x:v>
      </x:c>
      <x:c r="C26" s="24" t="str">
        <x:v>LME</x:v>
      </x:c>
      <x:c r="D26" s="30" t="n">
        <x:v>2019</x:v>
      </x:c>
      <x:c r="E26" s="24" t="str">
        <x:v>Xiphias gladius</x:v>
      </x:c>
      <x:c r="F26" s="24" t="str">
        <x:v>Swordfish</x:v>
      </x:c>
      <x:c r="G26" s="24" t="str">
        <x:v>Large pelagics (&gt;=90 cm)</x:v>
      </x:c>
      <x:c r="H26" s="24" t="str">
        <x:v>Tuna &amp; billfishes</x:v>
      </x:c>
      <x:c r="I26" s="31" t="n">
        <x:v>1591.981845279</x:v>
      </x:c>
      <x:c r="J26" s="31" t="n">
        <x:v>1591.981845279</x:v>
      </x:c>
      <x:c r="K26" s="31" t="n">
        <x:v>0</x:v>
      </x:c>
      <x:c r="L26" s="31" t="n">
        <x:v>1584.1606998145</x:v>
      </x:c>
      <x:c r="M26" s="31" t="n">
        <x:v>7.821145464500001</x:v>
      </x:c>
      <x:c r="N26" s="24" t="str">
        <x:v>xiphias gladius</x:v>
      </x:c>
      <x:c r="O26" s="32" t="n">
        <x:v>4.53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Xiphias gladius</x:v>
      </x:c>
      <x:c r="T26" s="32" t="n">
        <x:f>IF(O26="","",(1/'Metadata'!$B$5)^(O26-1))</x:f>
        <x:v>3388.4415613920273</x:v>
      </x:c>
      <x:c r="U26" s="31" t="n">
        <x:f>IF(T26="","",I26*T26)</x:f>
        <x:v>5394337.449524935</x:v>
      </x:c>
    </x:row>
    <x:row r="27" ht="18" customHeight="1">
      <x:c r="A27" s="24" t="str">
        <x:v>LME_015</x:v>
      </x:c>
      <x:c r="B27" s="24" t="str">
        <x:v>South Brazil Shelf</x:v>
      </x:c>
      <x:c r="C27" s="24" t="str">
        <x:v>LME</x:v>
      </x:c>
      <x:c r="D27" s="30" t="n">
        <x:v>2019</x:v>
      </x:c>
      <x:c r="E27" s="24" t="str">
        <x:v>Mytilidae</x:v>
      </x:c>
      <x:c r="F27" s="24" t="str">
        <x:v>Sea mussels</x:v>
      </x:c>
      <x:c r="G27" s="24" t="str">
        <x:v>Other demersal invertebrates</x:v>
      </x:c>
      <x:c r="H27" s="24" t="str">
        <x:v>Molluscs</x:v>
      </x:c>
      <x:c r="I27" s="31" t="n">
        <x:v>1591.6398593084</x:v>
      </x:c>
      <x:c r="J27" s="31" t="n">
        <x:v>1591.6398593084</x:v>
      </x:c>
      <x:c r="K27" s="31" t="n">
        <x:v>0</x:v>
      </x:c>
      <x:c r="L27" s="31" t="n">
        <x:v>1575.8761087253</x:v>
      </x:c>
      <x:c r="M27" s="31" t="n">
        <x:v>15.7637505831</x:v>
      </x:c>
      <x:c r="N27" s="24" t="str">
        <x:v>mytilidae</x:v>
      </x:c>
      <x:c r="O27" s="32" t="n">
        <x:v>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Mytilidae</x:v>
      </x:c>
      <x:c r="T27" s="32" t="n">
        <x:f>IF(O27="","",(1/'Metadata'!$B$5)^(O27-1))</x:f>
        <x:v>10</x:v>
      </x:c>
      <x:c r="U27" s="31" t="n">
        <x:f>IF(T27="","",I27*T27)</x:f>
        <x:v>15916.398593083999</x:v>
      </x:c>
    </x:row>
    <x:row r="28" ht="18" customHeight="1">
      <x:c r="A28" s="24" t="str">
        <x:v>LME_015</x:v>
      </x:c>
      <x:c r="B28" s="24" t="str">
        <x:v>South Brazil Shelf</x:v>
      </x:c>
      <x:c r="C28" s="24" t="str">
        <x:v>LME</x:v>
      </x:c>
      <x:c r="D28" s="30" t="n">
        <x:v>2019</x:v>
      </x:c>
      <x:c r="E28" s="24" t="str">
        <x:v>Siluriformes</x:v>
      </x:c>
      <x:c r="F28" s="24" t="str">
        <x:v>Catfishes</x:v>
      </x:c>
      <x:c r="G28" s="24" t="str">
        <x:v>Medium demersals (30 - 89 cm)</x:v>
      </x:c>
      <x:c r="H28" s="24" t="str">
        <x:v>Other fishes &amp; inverts</x:v>
      </x:c>
      <x:c r="I28" s="31" t="n">
        <x:v>1537.0181291233998</x:v>
      </x:c>
      <x:c r="J28" s="31" t="n">
        <x:v>0</x:v>
      </x:c>
      <x:c r="K28" s="31" t="n">
        <x:v>1537.0181291233998</x:v>
      </x:c>
      <x:c r="L28" s="31" t="n">
        <x:v>0</x:v>
      </x:c>
      <x:c r="M28" s="31" t="n">
        <x:v>1537.0181291233998</x:v>
      </x:c>
      <x:c r="N28" s="24" t="str">
        <x:v>siluriformes</x:v>
      </x:c>
      <x:c r="O28" s="32" t="n">
        <x:v>3.48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Siluriformes</x:v>
      </x:c>
      <x:c r="T28" s="32" t="n">
        <x:f>IF(O28="","",(1/'Metadata'!$B$5)^(O28-1))</x:f>
        <x:v>301.9951720402016</x:v>
      </x:c>
      <x:c r="U28" s="31" t="n">
        <x:f>IF(T28="","",I28*T28)</x:f>
        <x:v>464172.05433352996</x:v>
      </x:c>
    </x:row>
    <x:row r="29" ht="18" customHeight="1">
      <x:c r="A29" s="24" t="str">
        <x:v>LME_015</x:v>
      </x:c>
      <x:c r="B29" s="24" t="str">
        <x:v>South Brazil Shelf</x:v>
      </x:c>
      <x:c r="C29" s="24" t="str">
        <x:v>LME</x:v>
      </x:c>
      <x:c r="D29" s="30" t="n">
        <x:v>2019</x:v>
      </x:c>
      <x:c r="E29" s="24" t="str">
        <x:v>Bivalvia</x:v>
      </x:c>
      <x:c r="F29" s="24" t="str">
        <x:v>Clams</x:v>
      </x:c>
      <x:c r="G29" s="24" t="str">
        <x:v>Other demersal invertebrates</x:v>
      </x:c>
      <x:c r="H29" s="24" t="str">
        <x:v>Molluscs</x:v>
      </x:c>
      <x:c r="I29" s="31" t="n">
        <x:v>1353.1815534443</x:v>
      </x:c>
      <x:c r="J29" s="31" t="n">
        <x:v>1353.1815534443</x:v>
      </x:c>
      <x:c r="K29" s="31" t="n">
        <x:v>0</x:v>
      </x:c>
      <x:c r="L29" s="31" t="n">
        <x:v>412.06866799010004</x:v>
      </x:c>
      <x:c r="M29" s="31" t="n">
        <x:v>941.1128854542</x:v>
      </x:c>
      <x:c r="N29" s="24" t="str">
        <x:v>bivalvia</x:v>
      </x:c>
      <x:c r="O29" s="32" t="n">
        <x:v>2.23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Bivalvia</x:v>
      </x:c>
      <x:c r="T29" s="32" t="n">
        <x:f>IF(O29="","",(1/'Metadata'!$B$5)^(O29-1))</x:f>
        <x:v>16.982436524617444</x:v>
      </x:c>
      <x:c r="U29" s="31" t="n">
        <x:f>IF(T29="","",I29*T29)</x:f>
        <x:v>22980.319837651055</x:v>
      </x:c>
    </x:row>
    <x:row r="30" ht="18" customHeight="1">
      <x:c r="A30" s="24" t="str">
        <x:v>LME_015</x:v>
      </x:c>
      <x:c r="B30" s="24" t="str">
        <x:v>South Brazil Shelf</x:v>
      </x:c>
      <x:c r="C30" s="24" t="str">
        <x:v>LME</x:v>
      </x:c>
      <x:c r="D30" s="30" t="n">
        <x:v>2019</x:v>
      </x:c>
      <x:c r="E30" s="24" t="str">
        <x:v>Stellifer rastrifer</x:v>
      </x:c>
      <x:c r="F30" s="24" t="str">
        <x:v>Rake stardrum</x:v>
      </x:c>
      <x:c r="G30" s="24" t="str">
        <x:v>Small demersals (&lt;30 cm)</x:v>
      </x:c>
      <x:c r="H30" s="24" t="str">
        <x:v>Perch-likes</x:v>
      </x:c>
      <x:c r="I30" s="31" t="n">
        <x:v>1341.4513464087001</x:v>
      </x:c>
      <x:c r="J30" s="31" t="n">
        <x:v>0.0109573053</x:v>
      </x:c>
      <x:c r="K30" s="31" t="n">
        <x:v>1341.4403891034</x:v>
      </x:c>
      <x:c r="L30" s="31" t="n">
        <x:v>0.0105609992</x:v>
      </x:c>
      <x:c r="M30" s="31" t="n">
        <x:v>1341.4407854095</x:v>
      </x:c>
      <x:c r="N30" s="24" t="str">
        <x:v>stellifer rastrifer</x:v>
      </x:c>
      <x:c r="O30" s="32" t="n">
        <x:v>3.39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Stellifer rastrifer</x:v>
      </x:c>
      <x:c r="T30" s="32" t="n">
        <x:f>IF(O30="","",(1/'Metadata'!$B$5)^(O30-1))</x:f>
        <x:v>245.4708915685031</x:v>
      </x:c>
      <x:c r="U30" s="31" t="n">
        <x:f>IF(T30="","",I30*T30)</x:f>
        <x:v>329287.25799871254</x:v>
      </x:c>
    </x:row>
    <x:row r="31" ht="18" customHeight="1">
      <x:c r="A31" s="24" t="str">
        <x:v>LME_015</x:v>
      </x:c>
      <x:c r="B31" s="24" t="str">
        <x:v>South Brazil Shelf</x:v>
      </x:c>
      <x:c r="C31" s="24" t="str">
        <x:v>LME</x:v>
      </x:c>
      <x:c r="D31" s="30" t="n">
        <x:v>2019</x:v>
      </x:c>
      <x:c r="E31" s="24" t="str">
        <x:v>Xiphopenaeus kroyeri</x:v>
      </x:c>
      <x:c r="F31" s="24" t="str">
        <x:v>Atlantic seabob</x:v>
      </x:c>
      <x:c r="G31" s="24" t="str">
        <x:v>Shrimps</x:v>
      </x:c>
      <x:c r="H31" s="24" t="str">
        <x:v>Crustaceans</x:v>
      </x:c>
      <x:c r="I31" s="31" t="n">
        <x:v>1305.3188804587999</x:v>
      </x:c>
      <x:c r="J31" s="31" t="n">
        <x:v>1305.3188804587999</x:v>
      </x:c>
      <x:c r="K31" s="31" t="n">
        <x:v>0</x:v>
      </x:c>
      <x:c r="L31" s="31" t="n">
        <x:v>1283.1056619472</x:v>
      </x:c>
      <x:c r="M31" s="31" t="n">
        <x:v>22.213218511599997</x:v>
      </x:c>
      <x:c r="N31" s="24" t="str">
        <x:v>xiphopenaeus kroyeri</x:v>
      </x:c>
      <x:c r="O31" s="32" t="n">
        <x:v>2.7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Xiphopenaeus kroyeri</x:v>
      </x:c>
      <x:c r="T31" s="32" t="n">
        <x:f>IF(O31="","",(1/'Metadata'!$B$5)^(O31-1))</x:f>
        <x:v>50.11872336272725</x:v>
      </x:c>
      <x:c r="U31" s="31" t="n">
        <x:f>IF(T31="","",I31*T31)</x:f>
        <x:v>65420.91586985943</x:v>
      </x:c>
    </x:row>
    <x:row r="32" ht="18" customHeight="1">
      <x:c r="A32" s="24" t="str">
        <x:v>LME_015</x:v>
      </x:c>
      <x:c r="B32" s="24" t="str">
        <x:v>South Brazil Shelf</x:v>
      </x:c>
      <x:c r="C32" s="24" t="str">
        <x:v>LME</x:v>
      </x:c>
      <x:c r="D32" s="30" t="n">
        <x:v>2019</x:v>
      </x:c>
      <x:c r="E32" s="24" t="str">
        <x:v>Penaeus paulensis</x:v>
      </x:c>
      <x:c r="F32" s="24" t="str">
        <x:v>Sao Paulo shrimp</x:v>
      </x:c>
      <x:c r="G32" s="24" t="str">
        <x:v>Shrimps</x:v>
      </x:c>
      <x:c r="H32" s="24" t="str">
        <x:v>Crustaceans</x:v>
      </x:c>
      <x:c r="I32" s="31" t="n">
        <x:v>1303.1377331484</x:v>
      </x:c>
      <x:c r="J32" s="31" t="n">
        <x:v>1303.1377331484</x:v>
      </x:c>
      <x:c r="K32" s="31" t="n">
        <x:v>0</x:v>
      </x:c>
      <x:c r="L32" s="31" t="n">
        <x:v>906.9363758073999</x:v>
      </x:c>
      <x:c r="M32" s="31" t="n">
        <x:v>396.201357341</x:v>
      </x:c>
      <x:c r="N32" s="24" t="str">
        <x:v>penaeus paulensis</x:v>
      </x:c>
      <x:c r="O32" s="32" t="n">
        <x:v>2.97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Penaeus paulensis</x:v>
      </x:c>
      <x:c r="T32" s="32" t="n">
        <x:f>IF(O32="","",(1/'Metadata'!$B$5)^(O32-1))</x:f>
        <x:v>93.32543007969915</x:v>
      </x:c>
      <x:c r="U32" s="31" t="n">
        <x:f>IF(T32="","",I32*T32)</x:f>
        <x:v>121615.88939915865</x:v>
      </x:c>
    </x:row>
    <x:row r="33" ht="18" customHeight="1">
      <x:c r="A33" s="24" t="str">
        <x:v>LME_015</x:v>
      </x:c>
      <x:c r="B33" s="24" t="str">
        <x:v>South Brazil Shelf</x:v>
      </x:c>
      <x:c r="C33" s="24" t="str">
        <x:v>LME</x:v>
      </x:c>
      <x:c r="D33" s="30" t="n">
        <x:v>2019</x:v>
      </x:c>
      <x:c r="E33" s="24" t="str">
        <x:v>Penaeus schmitti</x:v>
      </x:c>
      <x:c r="F33" s="24" t="str">
        <x:v>Southern white shrimp</x:v>
      </x:c>
      <x:c r="G33" s="24" t="str">
        <x:v>Shrimps</x:v>
      </x:c>
      <x:c r="H33" s="24" t="str">
        <x:v>Crustaceans</x:v>
      </x:c>
      <x:c r="I33" s="31" t="n">
        <x:v>1302.8589806842</x:v>
      </x:c>
      <x:c r="J33" s="31" t="n">
        <x:v>1302.8589806842</x:v>
      </x:c>
      <x:c r="K33" s="31" t="n">
        <x:v>0</x:v>
      </x:c>
      <x:c r="L33" s="31" t="n">
        <x:v>1287.6971273193</x:v>
      </x:c>
      <x:c r="M33" s="31" t="n">
        <x:v>15.1618533649</x:v>
      </x:c>
      <x:c r="N33" s="24" t="str">
        <x:v>penaeus schmitti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Penaeus schmitti</x:v>
      </x:c>
      <x:c r="T33" s="32" t="n">
        <x:f>IF(O33="","",(1/'Metadata'!$B$5)^(O33-1))</x:f>
        <x:v>50.11872336272725</x:v>
      </x:c>
      <x:c r="U33" s="31" t="n">
        <x:f>IF(T33="","",I33*T33)</x:f>
        <x:v>65297.628833556235</x:v>
      </x:c>
    </x:row>
    <x:row r="34" ht="18" customHeight="1">
      <x:c r="A34" s="24" t="str">
        <x:v>LME_015</x:v>
      </x:c>
      <x:c r="B34" s="24" t="str">
        <x:v>South Brazil Shelf</x:v>
      </x:c>
      <x:c r="C34" s="24" t="str">
        <x:v>LME</x:v>
      </x:c>
      <x:c r="D34" s="30" t="n">
        <x:v>2019</x:v>
      </x:c>
      <x:c r="E34" s="24" t="str">
        <x:v>Thunnus obesus</x:v>
      </x:c>
      <x:c r="F34" s="24" t="str">
        <x:v>Bigeye tuna</x:v>
      </x:c>
      <x:c r="G34" s="24" t="str">
        <x:v>Large pelagics (&gt;=90 cm)</x:v>
      </x:c>
      <x:c r="H34" s="24" t="str">
        <x:v>Tuna &amp; billfishes</x:v>
      </x:c>
      <x:c r="I34" s="31" t="n">
        <x:v>1264.7674566639</x:v>
      </x:c>
      <x:c r="J34" s="31" t="n">
        <x:v>1264.7674566639</x:v>
      </x:c>
      <x:c r="K34" s="31" t="n">
        <x:v>0</x:v>
      </x:c>
      <x:c r="L34" s="31" t="n">
        <x:v>1264.7674566639</x:v>
      </x:c>
      <x:c r="M34" s="31" t="n">
        <x:v>0</x:v>
      </x:c>
      <x:c r="N34" s="24" t="str">
        <x:v>thunnus obesus</x:v>
      </x:c>
      <x:c r="O34" s="32" t="n">
        <x:v>4.49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Thunnus obesus</x:v>
      </x:c>
      <x:c r="T34" s="32" t="n">
        <x:f>IF(O34="","",(1/'Metadata'!$B$5)^(O34-1))</x:f>
        <x:v>3090.295432513592</x:v>
      </x:c>
      <x:c r="U34" s="31" t="n">
        <x:f>IF(T34="","",I34*T34)</x:f>
        <x:v>3908505.0945202825</x:v>
      </x:c>
    </x:row>
    <x:row r="35" ht="18" customHeight="1">
      <x:c r="A35" s="24" t="str">
        <x:v>LME_015</x:v>
      </x:c>
      <x:c r="B35" s="24" t="str">
        <x:v>South Brazil Shelf</x:v>
      </x:c>
      <x:c r="C35" s="24" t="str">
        <x:v>LME</x:v>
      </x:c>
      <x:c r="D35" s="30" t="n">
        <x:v>2019</x:v>
      </x:c>
      <x:c r="E35" s="24" t="str">
        <x:v>Prionace glauca</x:v>
      </x:c>
      <x:c r="F35" s="24" t="str">
        <x:v>Blue shark</x:v>
      </x:c>
      <x:c r="G35" s="24" t="str">
        <x:v>Large sharks (&gt;=90 cm)</x:v>
      </x:c>
      <x:c r="H35" s="24" t="str">
        <x:v>Sharks &amp; rays</x:v>
      </x:c>
      <x:c r="I35" s="31" t="n">
        <x:v>1206.5379261655</x:v>
      </x:c>
      <x:c r="J35" s="31" t="n">
        <x:v>1206.5379261655</x:v>
      </x:c>
      <x:c r="K35" s="31" t="n">
        <x:v>0</x:v>
      </x:c>
      <x:c r="L35" s="31" t="n">
        <x:v>1204.5592248659</x:v>
      </x:c>
      <x:c r="M35" s="31" t="n">
        <x:v>1.9787012996</x:v>
      </x:c>
      <x:c r="N35" s="24" t="str">
        <x:v>prionace glauca</x:v>
      </x:c>
      <x:c r="O35" s="32" t="n">
        <x:v>4.35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Prionace glauca</x:v>
      </x:c>
      <x:c r="T35" s="32" t="n">
        <x:f>IF(O35="","",(1/'Metadata'!$B$5)^(O35-1))</x:f>
        <x:v>2238.7211385683377</x:v>
      </x:c>
      <x:c r="U35" s="31" t="n">
        <x:f>IF(T35="","",I35*T35)</x:f>
        <x:v>2701101.959791109</x:v>
      </x:c>
    </x:row>
    <x:row r="36" ht="18" customHeight="1">
      <x:c r="A36" s="24" t="str">
        <x:v>LME_015</x:v>
      </x:c>
      <x:c r="B36" s="24" t="str">
        <x:v>South Brazil Shelf</x:v>
      </x:c>
      <x:c r="C36" s="24" t="str">
        <x:v>LME</x:v>
      </x:c>
      <x:c r="D36" s="30" t="n">
        <x:v>2019</x:v>
      </x:c>
      <x:c r="E36" s="24" t="str">
        <x:v>Rajidae</x:v>
      </x:c>
      <x:c r="F36" s="24" t="str">
        <x:v>Stingrays</x:v>
      </x:c>
      <x:c r="G36" s="24" t="str">
        <x:v>Large rays (&gt;=90 cm)</x:v>
      </x:c>
      <x:c r="H36" s="24" t="str">
        <x:v>Sharks &amp; rays</x:v>
      </x:c>
      <x:c r="I36" s="31" t="n">
        <x:v>1160.8341581688</x:v>
      </x:c>
      <x:c r="J36" s="31" t="n">
        <x:v>1146.0561891057</x:v>
      </x:c>
      <x:c r="K36" s="31" t="n">
        <x:v>14.7779690631</x:v>
      </x:c>
      <x:c r="L36" s="31" t="n">
        <x:v>1114.6684104682001</x:v>
      </x:c>
      <x:c r="M36" s="31" t="n">
        <x:v>46.1657477006</x:v>
      </x:c>
      <x:c r="N36" s="24" t="str">
        <x:v>rajidae</x:v>
      </x:c>
      <x:c r="O36" s="32" t="n">
        <x:v>3.82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Rajidae</x:v>
      </x:c>
      <x:c r="T36" s="32" t="n">
        <x:f>IF(O36="","",(1/'Metadata'!$B$5)^(O36-1))</x:f>
        <x:v>660.6934480075957</x:v>
      </x:c>
      <x:c r="U36" s="31" t="n">
        <x:f>IF(T36="","",I36*T36)</x:f>
        <x:v>766955.5225255393</x:v>
      </x:c>
    </x:row>
    <x:row r="37" ht="18" customHeight="1">
      <x:c r="A37" s="24" t="str">
        <x:v>LME_015</x:v>
      </x:c>
      <x:c r="B37" s="24" t="str">
        <x:v>South Brazil Shelf</x:v>
      </x:c>
      <x:c r="C37" s="24" t="str">
        <x:v>LME</x:v>
      </x:c>
      <x:c r="D37" s="30" t="n">
        <x:v>2019</x:v>
      </x:c>
      <x:c r="E37" s="24" t="str">
        <x:v>Thunnus albacares</x:v>
      </x:c>
      <x:c r="F37" s="24" t="str">
        <x:v>Yellowfin tuna</x:v>
      </x:c>
      <x:c r="G37" s="24" t="str">
        <x:v>Large pelagics (&gt;=90 cm)</x:v>
      </x:c>
      <x:c r="H37" s="24" t="str">
        <x:v>Tuna &amp; billfishes</x:v>
      </x:c>
      <x:c r="I37" s="31" t="n">
        <x:v>1150.2093844149</x:v>
      </x:c>
      <x:c r="J37" s="31" t="n">
        <x:v>1150.2093844149</x:v>
      </x:c>
      <x:c r="K37" s="31" t="n">
        <x:v>0</x:v>
      </x:c>
      <x:c r="L37" s="31" t="n">
        <x:v>1135.0643263637999</x:v>
      </x:c>
      <x:c r="M37" s="31" t="n">
        <x:v>15.1450580511</x:v>
      </x:c>
      <x:c r="N37" s="24" t="str">
        <x:v>thunnus albacares</x:v>
      </x:c>
      <x:c r="O37" s="32" t="n">
        <x:v>4.41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Thunnus albacares</x:v>
      </x:c>
      <x:c r="T37" s="32" t="n">
        <x:f>IF(O37="","",(1/'Metadata'!$B$5)^(O37-1))</x:f>
        <x:v>2570.3957827688646</x:v>
      </x:c>
      <x:c r="U37" s="31" t="n">
        <x:f>IF(T37="","",I37*T37)</x:f>
        <x:v>2956493.3510012305</x:v>
      </x:c>
    </x:row>
    <x:row r="38" ht="18" customHeight="1">
      <x:c r="A38" s="24" t="str">
        <x:v>LME_015</x:v>
      </x:c>
      <x:c r="B38" s="24" t="str">
        <x:v>South Brazil Shelf</x:v>
      </x:c>
      <x:c r="C38" s="24" t="str">
        <x:v>LME</x:v>
      </x:c>
      <x:c r="D38" s="30" t="n">
        <x:v>2019</x:v>
      </x:c>
      <x:c r="E38" s="24" t="str">
        <x:v>Opisthonema oglinum</x:v>
      </x:c>
      <x:c r="F38" s="24" t="str">
        <x:v>Atlantic thread herring</x:v>
      </x:c>
      <x:c r="G38" s="24" t="str">
        <x:v>Small pelagics (&lt;30 cm)</x:v>
      </x:c>
      <x:c r="H38" s="24" t="str">
        <x:v>Herring-likes</x:v>
      </x:c>
      <x:c r="I38" s="31" t="n">
        <x:v>1146.8345040326</x:v>
      </x:c>
      <x:c r="J38" s="31" t="n">
        <x:v>1146.8345040326</x:v>
      </x:c>
      <x:c r="K38" s="31" t="n">
        <x:v>0</x:v>
      </x:c>
      <x:c r="L38" s="31" t="n">
        <x:v>1123.3838256089</x:v>
      </x:c>
      <x:c r="M38" s="31" t="n">
        <x:v>23.4506784237</x:v>
      </x:c>
      <x:c r="N38" s="24" t="str">
        <x:v>opisthonema oglinum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Opisthonema oglinum</x:v>
      </x:c>
      <x:c r="T38" s="32" t="n">
        <x:f>IF(O38="","",(1/'Metadata'!$B$5)^(O38-1))</x:f>
        <x:v>3162.2776601683795</x:v>
      </x:c>
      <x:c r="U38" s="31" t="n">
        <x:f>IF(T38="","",I38*T38)</x:f>
        <x:v>3626609.1320125745</x:v>
      </x:c>
    </x:row>
    <x:row r="39" ht="18" customHeight="1">
      <x:c r="A39" s="24" t="str">
        <x:v>LME_015</x:v>
      </x:c>
      <x:c r="B39" s="24" t="str">
        <x:v>South Brazil Shelf</x:v>
      </x:c>
      <x:c r="C39" s="24" t="str">
        <x:v>LME</x:v>
      </x:c>
      <x:c r="D39" s="30" t="n">
        <x:v>2019</x:v>
      </x:c>
      <x:c r="E39" s="24" t="str">
        <x:v>Tetraodontidae</x:v>
      </x:c>
      <x:c r="F39" s="24" t="str">
        <x:v>Puffers, tobies</x:v>
      </x:c>
      <x:c r="G39" s="24" t="str">
        <x:v>Large reef assoc. fish (&gt;=90 cm)</x:v>
      </x:c>
      <x:c r="H39" s="24" t="str">
        <x:v>Other fishes &amp; inverts</x:v>
      </x:c>
      <x:c r="I39" s="31" t="n">
        <x:v>1065.9366019913</x:v>
      </x:c>
      <x:c r="J39" s="31" t="n">
        <x:v>5.321299434899999</x:v>
      </x:c>
      <x:c r="K39" s="31" t="n">
        <x:v>1060.6153025564</x:v>
      </x:c>
      <x:c r="L39" s="31" t="n">
        <x:v>5.1041639435</x:v>
      </x:c>
      <x:c r="M39" s="31" t="n">
        <x:v>1060.8324380478</x:v>
      </x:c>
      <x:c r="N39" s="24" t="str">
        <x:v>tetraodontidae</x:v>
      </x:c>
      <x:c r="O39" s="32" t="n">
        <x:v>3.5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Tetraodontidae</x:v>
      </x:c>
      <x:c r="T39" s="32" t="n">
        <x:f>IF(O39="","",(1/'Metadata'!$B$5)^(O39-1))</x:f>
        <x:v>316.22776601683796</x:v>
      </x:c>
      <x:c r="U39" s="31" t="n">
        <x:f>IF(T39="","",I39*T39)</x:f>
        <x:v>337078.75036328816</x:v>
      </x:c>
    </x:row>
    <x:row r="40" ht="18" customHeight="1">
      <x:c r="A40" s="24" t="str">
        <x:v>LME_015</x:v>
      </x:c>
      <x:c r="B40" s="24" t="str">
        <x:v>South Brazil Shelf</x:v>
      </x:c>
      <x:c r="C40" s="24" t="str">
        <x:v>LME</x:v>
      </x:c>
      <x:c r="D40" s="30" t="n">
        <x:v>2019</x:v>
      </x:c>
      <x:c r="E40" s="24" t="str">
        <x:v>Rajiformes</x:v>
      </x:c>
      <x:c r="F40" s="24" t="str">
        <x:v>Skates and rays</x:v>
      </x:c>
      <x:c r="G40" s="24" t="str">
        <x:v>Large rays (&gt;=90 cm)</x:v>
      </x:c>
      <x:c r="H40" s="24" t="str">
        <x:v>Sharks &amp; rays</x:v>
      </x:c>
      <x:c r="I40" s="31" t="n">
        <x:v>1039.9383745947</x:v>
      </x:c>
      <x:c r="J40" s="31" t="n">
        <x:v>1039.9383745947</x:v>
      </x:c>
      <x:c r="K40" s="31" t="n">
        <x:v>0</x:v>
      </x:c>
      <x:c r="L40" s="31" t="n">
        <x:v>1018.5108272258001</x:v>
      </x:c>
      <x:c r="M40" s="31" t="n">
        <x:v>21.427547368899997</x:v>
      </x:c>
      <x:c r="N40" s="24" t="str">
        <x:v>rajiformes</x:v>
      </x:c>
      <x:c r="O40" s="32" t="n">
        <x:v>3.61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Rajiformes</x:v>
      </x:c>
      <x:c r="T40" s="32" t="n">
        <x:f>IF(O40="","",(1/'Metadata'!$B$5)^(O40-1))</x:f>
        <x:v>407.3802778041126</x:v>
      </x:c>
      <x:c r="U40" s="31" t="n">
        <x:f>IF(T40="","",I40*T40)</x:f>
        <x:v>423650.3839415462</x:v>
      </x:c>
    </x:row>
    <x:row r="41" ht="18" customHeight="1">
      <x:c r="A41" s="24" t="str">
        <x:v>LME_015</x:v>
      </x:c>
      <x:c r="B41" s="24" t="str">
        <x:v>South Brazil Shelf</x:v>
      </x:c>
      <x:c r="C41" s="24" t="str">
        <x:v>LME</x:v>
      </x:c>
      <x:c r="D41" s="30" t="n">
        <x:v>2019</x:v>
      </x:c>
      <x:c r="E41" s="24" t="str">
        <x:v>Brevoortia pectinata</x:v>
      </x:c>
      <x:c r="F41" s="24" t="str">
        <x:v>Argentine menhaden</x:v>
      </x:c>
      <x:c r="G41" s="24" t="str">
        <x:v>Medium pelagics (30 - 89 cm)</x:v>
      </x:c>
      <x:c r="H41" s="24" t="str">
        <x:v>Herring-likes</x:v>
      </x:c>
      <x:c r="I41" s="31" t="n">
        <x:v>1019.6242210958</x:v>
      </x:c>
      <x:c r="J41" s="31" t="n">
        <x:v>1019.6242210958</x:v>
      </x:c>
      <x:c r="K41" s="31" t="n">
        <x:v>0</x:v>
      </x:c>
      <x:c r="L41" s="31" t="n">
        <x:v>1019.6242210958</x:v>
      </x:c>
      <x:c r="M41" s="31" t="n">
        <x:v>0</x:v>
      </x:c>
      <x:c r="N41" s="24" t="str">
        <x:v>brevoortia pectinata</x:v>
      </x:c>
      <x:c r="O41" s="32" t="n">
        <x:v>3.4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Brevoortia pectinata</x:v>
      </x:c>
      <x:c r="T41" s="32" t="n">
        <x:f>IF(O41="","",(1/'Metadata'!$B$5)^(O41-1))</x:f>
        <x:v>251.18864315095797</x:v>
      </x:c>
      <x:c r="U41" s="31" t="n">
        <x:f>IF(T41="","",I41*T41)</x:f>
        <x:v>256118.02462090636</x:v>
      </x:c>
    </x:row>
    <x:row r="42" ht="18" customHeight="1">
      <x:c r="A42" s="24" t="str">
        <x:v>LME_015</x:v>
      </x:c>
      <x:c r="B42" s="24" t="str">
        <x:v>South Brazil Shelf</x:v>
      </x:c>
      <x:c r="C42" s="24" t="str">
        <x:v>LME</x:v>
      </x:c>
      <x:c r="D42" s="30" t="n">
        <x:v>2019</x:v>
      </x:c>
      <x:c r="E42" s="24" t="str">
        <x:v>Selene setapinnis</x:v>
      </x:c>
      <x:c r="F42" s="24" t="str">
        <x:v>Atlantic moonfish</x:v>
      </x:c>
      <x:c r="G42" s="24" t="str">
        <x:v>Medium demersals (30 - 89 cm)</x:v>
      </x:c>
      <x:c r="H42" s="24" t="str">
        <x:v>Perch-likes</x:v>
      </x:c>
      <x:c r="I42" s="31" t="n">
        <x:v>925.5066036756</x:v>
      </x:c>
      <x:c r="J42" s="31" t="n">
        <x:v>529.1148151968</x:v>
      </x:c>
      <x:c r="K42" s="31" t="n">
        <x:v>396.3917884788</x:v>
      </x:c>
      <x:c r="L42" s="31" t="n">
        <x:v>512.5110952411</x:v>
      </x:c>
      <x:c r="M42" s="31" t="n">
        <x:v>412.9955084345</x:v>
      </x:c>
      <x:c r="N42" s="24" t="str">
        <x:v>selene setapinnis</x:v>
      </x:c>
      <x:c r="O42" s="32" t="n">
        <x:v>3.72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Selene setapinnis</x:v>
      </x:c>
      <x:c r="T42" s="32" t="n">
        <x:f>IF(O42="","",(1/'Metadata'!$B$5)^(O42-1))</x:f>
        <x:v>524.8074602497728</x:v>
      </x:c>
      <x:c r="U42" s="31" t="n">
        <x:f>IF(T42="","",I42*T42)</x:f>
        <x:v>485712.7701193847</x:v>
      </x:c>
    </x:row>
    <x:row r="43" ht="18" customHeight="1">
      <x:c r="A43" s="24" t="str">
        <x:v>LME_015</x:v>
      </x:c>
      <x:c r="B43" s="24" t="str">
        <x:v>South Brazil Shelf</x:v>
      </x:c>
      <x:c r="C43" s="24" t="str">
        <x:v>LME</x:v>
      </x:c>
      <x:c r="D43" s="30" t="n">
        <x:v>2019</x:v>
      </x:c>
      <x:c r="E43" s="24" t="str">
        <x:v>Cynoscion jamaicensis</x:v>
      </x:c>
      <x:c r="F43" s="24" t="str">
        <x:v>Jamaica weakfish</x:v>
      </x:c>
      <x:c r="G43" s="24" t="str">
        <x:v>Medium demersals (30 - 89 cm)</x:v>
      </x:c>
      <x:c r="H43" s="24" t="str">
        <x:v>Perch-likes</x:v>
      </x:c>
      <x:c r="I43" s="31" t="n">
        <x:v>918.7854134741999</x:v>
      </x:c>
      <x:c r="J43" s="31" t="n">
        <x:v>918.7854134741999</x:v>
      </x:c>
      <x:c r="K43" s="31" t="n">
        <x:v>0</x:v>
      </x:c>
      <x:c r="L43" s="31" t="n">
        <x:v>911.8798892159999</x:v>
      </x:c>
      <x:c r="M43" s="31" t="n">
        <x:v>6.9055242582</x:v>
      </x:c>
      <x:c r="N43" s="24" t="str">
        <x:v>cynoscion jamaicensis</x:v>
      </x:c>
      <x:c r="O43" s="32" t="n">
        <x:v>3.84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Cynoscion jamaicensis</x:v>
      </x:c>
      <x:c r="T43" s="32" t="n">
        <x:f>IF(O43="","",(1/'Metadata'!$B$5)^(O43-1))</x:f>
        <x:v>691.8309709189363</x:v>
      </x:c>
      <x:c r="U43" s="31" t="n">
        <x:f>IF(T43="","",I43*T43)</x:f>
        <x:v>635644.204670012</x:v>
      </x:c>
    </x:row>
    <x:row r="44" ht="18" customHeight="1">
      <x:c r="A44" s="24" t="str">
        <x:v>LME_015</x:v>
      </x:c>
      <x:c r="B44" s="24" t="str">
        <x:v>South Brazil Shelf</x:v>
      </x:c>
      <x:c r="C44" s="24" t="str">
        <x:v>LME</x:v>
      </x:c>
      <x:c r="D44" s="30" t="n">
        <x:v>2019</x:v>
      </x:c>
      <x:c r="E44" s="24" t="str">
        <x:v>Scomberomorus brasiliensis</x:v>
      </x:c>
      <x:c r="F44" s="24" t="str">
        <x:v>Serra Spanish mackerel</x:v>
      </x:c>
      <x:c r="G44" s="24" t="str">
        <x:v>Large pelagics (&gt;=90 cm)</x:v>
      </x:c>
      <x:c r="H44" s="24" t="str">
        <x:v>Perch-likes</x:v>
      </x:c>
      <x:c r="I44" s="31" t="n">
        <x:v>880.6855448766</x:v>
      </x:c>
      <x:c r="J44" s="31" t="n">
        <x:v>880.6855448766</x:v>
      </x:c>
      <x:c r="K44" s="31" t="n">
        <x:v>0</x:v>
      </x:c>
      <x:c r="L44" s="31" t="n">
        <x:v>134.2606960494</x:v>
      </x:c>
      <x:c r="M44" s="31" t="n">
        <x:v>746.4248488272</x:v>
      </x:c>
      <x:c r="N44" s="24" t="str">
        <x:v>scomberomorus brasiliensis</x:v>
      </x:c>
      <x:c r="O44" s="32" t="n">
        <x:v>3.31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Scomberomorus brasiliensis</x:v>
      </x:c>
      <x:c r="T44" s="32" t="n">
        <x:f>IF(O44="","",(1/'Metadata'!$B$5)^(O44-1))</x:f>
        <x:v>204.17379446695296</x:v>
      </x:c>
      <x:c r="U44" s="31" t="n">
        <x:f>IF(T44="","",I44*T44)</x:f>
        <x:v>179812.90942965142</x:v>
      </x:c>
    </x:row>
    <x:row r="45" ht="18" customHeight="1">
      <x:c r="A45" s="24" t="str">
        <x:v>LME_015</x:v>
      </x:c>
      <x:c r="B45" s="24" t="str">
        <x:v>South Brazil Shelf</x:v>
      </x:c>
      <x:c r="C45" s="24" t="str">
        <x:v>LME</x:v>
      </x:c>
      <x:c r="D45" s="30" t="n">
        <x:v>2019</x:v>
      </x:c>
      <x:c r="E45" s="24" t="str">
        <x:v>Lophius gastrophysus</x:v>
      </x:c>
      <x:c r="F45" s="24" t="str">
        <x:v>Blackfin goosefish</x:v>
      </x:c>
      <x:c r="G45" s="24" t="str">
        <x:v>Medium bathydemersals (30 - 89 cm)</x:v>
      </x:c>
      <x:c r="H45" s="24" t="str">
        <x:v>Other fishes &amp; inverts</x:v>
      </x:c>
      <x:c r="I45" s="31" t="n">
        <x:v>878.0122261641</x:v>
      </x:c>
      <x:c r="J45" s="31" t="n">
        <x:v>878.0122261641</x:v>
      </x:c>
      <x:c r="K45" s="31" t="n">
        <x:v>0</x:v>
      </x:c>
      <x:c r="L45" s="31" t="n">
        <x:v>860.153331917</x:v>
      </x:c>
      <x:c r="M45" s="31" t="n">
        <x:v>17.8588942471</x:v>
      </x:c>
      <x:c r="N45" s="24" t="str">
        <x:v>lophius gastrophysus</x:v>
      </x:c>
      <x:c r="O45" s="32" t="n">
        <x:v>4.49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Lophius gastrophysus</x:v>
      </x:c>
      <x:c r="T45" s="32" t="n">
        <x:f>IF(O45="","",(1/'Metadata'!$B$5)^(O45-1))</x:f>
        <x:v>3090.295432513592</x:v>
      </x:c>
      <x:c r="U45" s="31" t="n">
        <x:f>IF(T45="","",I45*T45)</x:f>
        <x:v>2713317.172206009</x:v>
      </x:c>
    </x:row>
    <x:row r="46" ht="18" customHeight="1">
      <x:c r="A46" s="24" t="str">
        <x:v>LME_015</x:v>
      </x:c>
      <x:c r="B46" s="24" t="str">
        <x:v>South Brazil Shelf</x:v>
      </x:c>
      <x:c r="C46" s="24" t="str">
        <x:v>LME</x:v>
      </x:c>
      <x:c r="D46" s="30" t="n">
        <x:v>2019</x:v>
      </x:c>
      <x:c r="E46" s="24" t="str">
        <x:v>Isopisthus parvipinnis</x:v>
      </x:c>
      <x:c r="F46" s="24" t="str">
        <x:v>Bigtooth corvina</x:v>
      </x:c>
      <x:c r="G46" s="24" t="str">
        <x:v>Small demersals (&lt;30 cm)</x:v>
      </x:c>
      <x:c r="H46" s="24" t="str">
        <x:v>Perch-likes</x:v>
      </x:c>
      <x:c r="I46" s="31" t="n">
        <x:v>865.9477402057</x:v>
      </x:c>
      <x:c r="J46" s="31" t="n">
        <x:v>72.5043496654</x:v>
      </x:c>
      <x:c r="K46" s="31" t="n">
        <x:v>793.4433905403</x:v>
      </x:c>
      <x:c r="L46" s="31" t="n">
        <x:v>18.7243286887</x:v>
      </x:c>
      <x:c r="M46" s="31" t="n">
        <x:v>847.223411517</x:v>
      </x:c>
      <x:c r="N46" s="24" t="str">
        <x:v>isopisthus parvipinnis</x:v>
      </x:c>
      <x:c r="O46" s="32" t="n">
        <x:v>3.6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Isopisthus parvipinnis</x:v>
      </x:c>
      <x:c r="T46" s="32" t="n">
        <x:f>IF(O46="","",(1/'Metadata'!$B$5)^(O46-1))</x:f>
        <x:v>398.1071705534973</x:v>
      </x:c>
      <x:c r="U46" s="31" t="n">
        <x:f>IF(T46="","",I46*T46)</x:f>
        <x:v>344740.0047004862</x:v>
      </x:c>
    </x:row>
    <x:row r="47" ht="18" customHeight="1">
      <x:c r="A47" s="24" t="str">
        <x:v>LME_015</x:v>
      </x:c>
      <x:c r="B47" s="24" t="str">
        <x:v>South Brazil Shelf</x:v>
      </x:c>
      <x:c r="C47" s="24" t="str">
        <x:v>LME</x:v>
      </x:c>
      <x:c r="D47" s="30" t="n">
        <x:v>2019</x:v>
      </x:c>
      <x:c r="E47" s="24" t="str">
        <x:v>Menticirrhus</x:v>
      </x:c>
      <x:c r="F47" s="24" t="str">
        <x:v>Kingcroakers</x:v>
      </x:c>
      <x:c r="G47" s="24" t="str">
        <x:v>Medium demersals (30 - 89 cm)</x:v>
      </x:c>
      <x:c r="H47" s="24" t="str">
        <x:v>Perch-likes</x:v>
      </x:c>
      <x:c r="I47" s="31" t="n">
        <x:v>852.1685172944001</x:v>
      </x:c>
      <x:c r="J47" s="31" t="n">
        <x:v>432.7889813771</x:v>
      </x:c>
      <x:c r="K47" s="31" t="n">
        <x:v>419.3795359173</x:v>
      </x:c>
      <x:c r="L47" s="31" t="n">
        <x:v>424.1119171325</x:v>
      </x:c>
      <x:c r="M47" s="31" t="n">
        <x:v>428.0566001619</x:v>
      </x:c>
      <x:c r="N47" s="24" t="str">
        <x:v>menticirrhus</x:v>
      </x:c>
      <x:c r="O47" s="32" t="n">
        <x:v>3.67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Menticirrhus</x:v>
      </x:c>
      <x:c r="T47" s="32" t="n">
        <x:f>IF(O47="","",(1/'Metadata'!$B$5)^(O47-1))</x:f>
        <x:v>467.73514128719813</x:v>
      </x:c>
      <x:c r="U47" s="31" t="n">
        <x:f>IF(T47="","",I47*T47)</x:f>
        <x:v>398589.16183719836</x:v>
      </x:c>
    </x:row>
    <x:row r="48" ht="18" customHeight="1">
      <x:c r="A48" s="24" t="str">
        <x:v>LME_015</x:v>
      </x:c>
      <x:c r="B48" s="24" t="str">
        <x:v>South Brazil Shelf</x:v>
      </x:c>
      <x:c r="C48" s="24" t="str">
        <x:v>LME</x:v>
      </x:c>
      <x:c r="D48" s="30" t="n">
        <x:v>2019</x:v>
      </x:c>
      <x:c r="E48" s="24" t="str">
        <x:v>Pomatomus saltatrix</x:v>
      </x:c>
      <x:c r="F48" s="24" t="str">
        <x:v>Bluefish</x:v>
      </x:c>
      <x:c r="G48" s="24" t="str">
        <x:v>Large pelagics (&gt;=90 cm)</x:v>
      </x:c>
      <x:c r="H48" s="24" t="str">
        <x:v>Perch-likes</x:v>
      </x:c>
      <x:c r="I48" s="31" t="n">
        <x:v>821.3425241149</x:v>
      </x:c>
      <x:c r="J48" s="31" t="n">
        <x:v>821.3425241149</x:v>
      </x:c>
      <x:c r="K48" s="31" t="n">
        <x:v>0</x:v>
      </x:c>
      <x:c r="L48" s="31" t="n">
        <x:v>807.4432922363001</x:v>
      </x:c>
      <x:c r="M48" s="31" t="n">
        <x:v>13.8992318786</x:v>
      </x:c>
      <x:c r="N48" s="24" t="str">
        <x:v>pomatomus saltatrix</x:v>
      </x:c>
      <x:c r="O48" s="32" t="n">
        <x:v>4.53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Pomatomus saltatrix</x:v>
      </x:c>
      <x:c r="T48" s="32" t="n">
        <x:f>IF(O48="","",(1/'Metadata'!$B$5)^(O48-1))</x:f>
        <x:v>3388.4415613920273</x:v>
      </x:c>
      <x:c r="U48" s="31" t="n">
        <x:f>IF(T48="","",I48*T48)</x:f>
        <x:v>2783071.1448495607</x:v>
      </x:c>
    </x:row>
    <x:row r="49" ht="18" customHeight="1">
      <x:c r="A49" s="24" t="str">
        <x:v>LME_015</x:v>
      </x:c>
      <x:c r="B49" s="24" t="str">
        <x:v>South Brazil Shelf</x:v>
      </x:c>
      <x:c r="C49" s="24" t="str">
        <x:v>LME</x:v>
      </x:c>
      <x:c r="D49" s="30" t="n">
        <x:v>2019</x:v>
      </x:c>
      <x:c r="E49" s="24" t="str">
        <x:v>Veneridae</x:v>
      </x:c>
      <x:c r="F49" s="24" t="str">
        <x:v>Venus clams</x:v>
      </x:c>
      <x:c r="G49" s="24" t="str">
        <x:v>Other demersal invertebrates</x:v>
      </x:c>
      <x:c r="H49" s="24" t="str">
        <x:v>Molluscs</x:v>
      </x:c>
      <x:c r="I49" s="31" t="n">
        <x:v>814.9179776623</x:v>
      </x:c>
      <x:c r="J49" s="31" t="n">
        <x:v>814.9179776623</x:v>
      </x:c>
      <x:c r="K49" s="31" t="n">
        <x:v>0</x:v>
      </x:c>
      <x:c r="L49" s="31" t="n">
        <x:v>504.25224516680004</x:v>
      </x:c>
      <x:c r="M49" s="31" t="n">
        <x:v>310.66573249550004</x:v>
      </x:c>
      <x:c r="N49" s="24" t="str">
        <x:v>veneridae</x:v>
      </x:c>
      <x:c r="O49" s="32" t="n">
        <x:v>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Veneridae</x:v>
      </x:c>
      <x:c r="T49" s="32" t="n">
        <x:f>IF(O49="","",(1/'Metadata'!$B$5)^(O49-1))</x:f>
        <x:v>10</x:v>
      </x:c>
      <x:c r="U49" s="31" t="n">
        <x:f>IF(T49="","",I49*T49)</x:f>
        <x:v>8149.179776623</x:v>
      </x:c>
    </x:row>
    <x:row r="50" ht="18" customHeight="1">
      <x:c r="A50" s="24" t="str">
        <x:v>LME_015</x:v>
      </x:c>
      <x:c r="B50" s="24" t="str">
        <x:v>South Brazil Shelf</x:v>
      </x:c>
      <x:c r="C50" s="24" t="str">
        <x:v>LME</x:v>
      </x:c>
      <x:c r="D50" s="30" t="n">
        <x:v>2019</x:v>
      </x:c>
      <x:c r="E50" s="24" t="str">
        <x:v>Pleoticus muelleri</x:v>
      </x:c>
      <x:c r="F50" s="24" t="str">
        <x:v>Argentine red shrimp</x:v>
      </x:c>
      <x:c r="G50" s="24" t="str">
        <x:v>Shrimps</x:v>
      </x:c>
      <x:c r="H50" s="24" t="str">
        <x:v>Crustaceans</x:v>
      </x:c>
      <x:c r="I50" s="31" t="n">
        <x:v>810.3514773642</x:v>
      </x:c>
      <x:c r="J50" s="31" t="n">
        <x:v>810.3514773642</x:v>
      </x:c>
      <x:c r="K50" s="31" t="n">
        <x:v>0</x:v>
      </x:c>
      <x:c r="L50" s="31" t="n">
        <x:v>793.065744708</x:v>
      </x:c>
      <x:c r="M50" s="31" t="n">
        <x:v>17.2857326562</x:v>
      </x:c>
      <x:c r="N50" s="24" t="str">
        <x:v>pleoticus muelleri</x:v>
      </x:c>
      <x:c r="O50" s="32" t="n">
        <x:v>2.2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Pleoticus muelleri</x:v>
      </x:c>
      <x:c r="T50" s="32" t="n">
        <x:f>IF(O50="","",(1/'Metadata'!$B$5)^(O50-1))</x:f>
        <x:v>15.848931924611142</x:v>
      </x:c>
      <x:c r="U50" s="31" t="n">
        <x:f>IF(T50="","",I50*T50)</x:f>
        <x:v>12843.205399753273</x:v>
      </x:c>
    </x:row>
    <x:row r="51" ht="18" customHeight="1">
      <x:c r="A51" s="24" t="str">
        <x:v>LME_015</x:v>
      </x:c>
      <x:c r="B51" s="24" t="str">
        <x:v>South Brazil Shelf</x:v>
      </x:c>
      <x:c r="C51" s="24" t="str">
        <x:v>LME</x:v>
      </x:c>
      <x:c r="D51" s="30" t="n">
        <x:v>2019</x:v>
      </x:c>
      <x:c r="E51" s="24" t="str">
        <x:v>Paralonchurus brasiliensis</x:v>
      </x:c>
      <x:c r="F51" s="24" t="str">
        <x:v>Banded croaker</x:v>
      </x:c>
      <x:c r="G51" s="24" t="str">
        <x:v>Small demersals (&lt;30 cm)</x:v>
      </x:c>
      <x:c r="H51" s="24" t="str">
        <x:v>Perch-likes</x:v>
      </x:c>
      <x:c r="I51" s="31" t="n">
        <x:v>787.0556846992</x:v>
      </x:c>
      <x:c r="J51" s="31" t="n">
        <x:v>2.6593780904</x:v>
      </x:c>
      <x:c r="K51" s="31" t="n">
        <x:v>784.3963066088</x:v>
      </x:c>
      <x:c r="L51" s="31" t="n">
        <x:v>1.1854836205</x:v>
      </x:c>
      <x:c r="M51" s="31" t="n">
        <x:v>785.8702010787</x:v>
      </x:c>
      <x:c r="N51" s="24" t="str">
        <x:v>paralonchurus brasiliensis</x:v>
      </x:c>
      <x:c r="O51" s="32" t="n">
        <x:v>3.42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Paralonchurus brasiliensis</x:v>
      </x:c>
      <x:c r="T51" s="32" t="n">
        <x:f>IF(O51="","",(1/'Metadata'!$B$5)^(O51-1))</x:f>
        <x:v>263.02679918953817</x:v>
      </x:c>
      <x:c r="U51" s="31" t="n">
        <x:f>IF(T51="","",I51*T51)</x:f>
        <x:v>207016.73753036096</x:v>
      </x:c>
    </x:row>
    <x:row r="52" ht="18" customHeight="1">
      <x:c r="A52" s="24" t="str">
        <x:v>LME_015</x:v>
      </x:c>
      <x:c r="B52" s="24" t="str">
        <x:v>South Brazil Shelf</x:v>
      </x:c>
      <x:c r="C52" s="24" t="str">
        <x:v>LME</x:v>
      </x:c>
      <x:c r="D52" s="30" t="n">
        <x:v>2019</x:v>
      </x:c>
      <x:c r="E52" s="24" t="str">
        <x:v>Thunnus alalunga</x:v>
      </x:c>
      <x:c r="F52" s="24" t="str">
        <x:v>Albacore</x:v>
      </x:c>
      <x:c r="G52" s="24" t="str">
        <x:v>Large pelagics (&gt;=90 cm)</x:v>
      </x:c>
      <x:c r="H52" s="24" t="str">
        <x:v>Tuna &amp; billfishes</x:v>
      </x:c>
      <x:c r="I52" s="31" t="n">
        <x:v>773.675497125</x:v>
      </x:c>
      <x:c r="J52" s="31" t="n">
        <x:v>773.675497125</x:v>
      </x:c>
      <x:c r="K52" s="31" t="n">
        <x:v>0</x:v>
      </x:c>
      <x:c r="L52" s="31" t="n">
        <x:v>773.0831929083</x:v>
      </x:c>
      <x:c r="M52" s="31" t="n">
        <x:v>0.5923042167</x:v>
      </x:c>
      <x:c r="N52" s="24" t="str">
        <x:v>thunnus alalunga</x:v>
      </x:c>
      <x:c r="O52" s="32" t="n">
        <x:v>4.3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Thunnus alalunga</x:v>
      </x:c>
      <x:c r="T52" s="32" t="n">
        <x:f>IF(O52="","",(1/'Metadata'!$B$5)^(O52-1))</x:f>
        <x:v>1995.2623149688789</x:v>
      </x:c>
      <x:c r="U52" s="31" t="n">
        <x:f>IF(T52="","",I52*T52)</x:f>
        <x:v>1543685.5634283256</x:v>
      </x:c>
    </x:row>
    <x:row r="53" ht="18" customHeight="1">
      <x:c r="A53" s="24" t="str">
        <x:v>LME_015</x:v>
      </x:c>
      <x:c r="B53" s="24" t="str">
        <x:v>South Brazil Shelf</x:v>
      </x:c>
      <x:c r="C53" s="24" t="str">
        <x:v>LME</x:v>
      </x:c>
      <x:c r="D53" s="30" t="n">
        <x:v>2019</x:v>
      </x:c>
      <x:c r="E53" s="24" t="str">
        <x:v>Genyatremus luteus</x:v>
      </x:c>
      <x:c r="F53" s="24" t="str">
        <x:v>Torroto grunt</x:v>
      </x:c>
      <x:c r="G53" s="24" t="str">
        <x:v>Medium demersals (30 - 89 cm)</x:v>
      </x:c>
      <x:c r="H53" s="24" t="str">
        <x:v>Perch-likes</x:v>
      </x:c>
      <x:c r="I53" s="31" t="n">
        <x:v>771.0188956158</x:v>
      </x:c>
      <x:c r="J53" s="31" t="n">
        <x:v>563.5312062439</x:v>
      </x:c>
      <x:c r="K53" s="31" t="n">
        <x:v>207.4876893719</x:v>
      </x:c>
      <x:c r="L53" s="31" t="n">
        <x:v>545.4886912344</x:v>
      </x:c>
      <x:c r="M53" s="31" t="n">
        <x:v>225.5302043814</x:v>
      </x:c>
      <x:c r="N53" s="24" t="str">
        <x:v>genyatremus luteus</x:v>
      </x:c>
      <x:c r="O53" s="32" t="n">
        <x:v>3.5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Genyatremus luteus</x:v>
      </x:c>
      <x:c r="T53" s="32" t="n">
        <x:f>IF(O53="","",(1/'Metadata'!$B$5)^(O53-1))</x:f>
        <x:v>316.22776601683796</x:v>
      </x:c>
      <x:c r="U53" s="31" t="n">
        <x:f>IF(T53="","",I53*T53)</x:f>
        <x:v>243817.582917354</x:v>
      </x:c>
    </x:row>
    <x:row r="54" ht="18" customHeight="1">
      <x:c r="A54" s="24" t="str">
        <x:v>LME_015</x:v>
      </x:c>
      <x:c r="B54" s="24" t="str">
        <x:v>South Brazil Shelf</x:v>
      </x:c>
      <x:c r="C54" s="24" t="str">
        <x:v>LME</x:v>
      </x:c>
      <x:c r="D54" s="30" t="n">
        <x:v>2019</x:v>
      </x:c>
      <x:c r="E54" s="24" t="str">
        <x:v>Illex argentinus</x:v>
      </x:c>
      <x:c r="F54" s="24" t="str">
        <x:v>Argentine shortfin squid</x:v>
      </x:c>
      <x:c r="G54" s="24" t="str">
        <x:v>Cephalopods</x:v>
      </x:c>
      <x:c r="H54" s="24" t="str">
        <x:v>Other fishes &amp; inverts</x:v>
      </x:c>
      <x:c r="I54" s="31" t="n">
        <x:v>720.7013209269</x:v>
      </x:c>
      <x:c r="J54" s="31" t="n">
        <x:v>720.7013209269</x:v>
      </x:c>
      <x:c r="K54" s="31" t="n">
        <x:v>0</x:v>
      </x:c>
      <x:c r="L54" s="31" t="n">
        <x:v>719.0573282493</x:v>
      </x:c>
      <x:c r="M54" s="31" t="n">
        <x:v>1.6439926776</x:v>
      </x:c>
      <x:c r="N54" s="24" t="str">
        <x:v>illex argentinus</x:v>
      </x:c>
      <x:c r="O54" s="32" t="n">
        <x:v>3.82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Illex argentinus</x:v>
      </x:c>
      <x:c r="T54" s="32" t="n">
        <x:f>IF(O54="","",(1/'Metadata'!$B$5)^(O54-1))</x:f>
        <x:v>660.6934480075957</x:v>
      </x:c>
      <x:c r="U54" s="31" t="n">
        <x:f>IF(T54="","",I54*T54)</x:f>
        <x:v>476162.6407068224</x:v>
      </x:c>
    </x:row>
    <x:row r="55" ht="18" customHeight="1">
      <x:c r="A55" s="24" t="str">
        <x:v>LME_015</x:v>
      </x:c>
      <x:c r="B55" s="24" t="str">
        <x:v>South Brazil Shelf</x:v>
      </x:c>
      <x:c r="C55" s="24" t="str">
        <x:v>LME</x:v>
      </x:c>
      <x:c r="D55" s="30" t="n">
        <x:v>2019</x:v>
      </x:c>
      <x:c r="E55" s="24" t="str">
        <x:v>Cynoglossidae</x:v>
      </x:c>
      <x:c r="F55" s="24" t="str">
        <x:v>Tonguefishes</x:v>
      </x:c>
      <x:c r="G55" s="24" t="str">
        <x:v>Small to medium flatfishes (&lt;90 cm)</x:v>
      </x:c>
      <x:c r="H55" s="24" t="str">
        <x:v>Flatfishes</x:v>
      </x:c>
      <x:c r="I55" s="31" t="n">
        <x:v>719.432145121</x:v>
      </x:c>
      <x:c r="J55" s="31" t="n">
        <x:v>0.016359475000000002</x:v>
      </x:c>
      <x:c r="K55" s="31" t="n">
        <x:v>719.415785646</x:v>
      </x:c>
      <x:c r="L55" s="31" t="n">
        <x:v>0.016359475000000002</x:v>
      </x:c>
      <x:c r="M55" s="31" t="n">
        <x:v>719.415785646</x:v>
      </x:c>
      <x:c r="N55" s="24" t="str">
        <x:v>cynoglossidae</x:v>
      </x:c>
      <x:c r="O55" s="32" t="n">
        <x:v>3.29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Cynoglossidae</x:v>
      </x:c>
      <x:c r="T55" s="32" t="n">
        <x:f>IF(O55="","",(1/'Metadata'!$B$5)^(O55-1))</x:f>
        <x:v>194.98445997580455</x:v>
      </x:c>
      <x:c r="U55" s="31" t="n">
        <x:f>IF(T55="","",I55*T55)</x:f>
        <x:v>140278.08830565284</x:v>
      </x:c>
    </x:row>
    <x:row r="56" ht="18" customHeight="1">
      <x:c r="A56" s="24" t="str">
        <x:v>LME_015</x:v>
      </x:c>
      <x:c r="B56" s="24" t="str">
        <x:v>South Brazil Shelf</x:v>
      </x:c>
      <x:c r="C56" s="24" t="str">
        <x:v>LME</x:v>
      </x:c>
      <x:c r="D56" s="30" t="n">
        <x:v>2019</x:v>
      </x:c>
      <x:c r="E56" s="24" t="str">
        <x:v>Coryphaena hippurus</x:v>
      </x:c>
      <x:c r="F56" s="24" t="str">
        <x:v>Common dolphinfish</x:v>
      </x:c>
      <x:c r="G56" s="24" t="str">
        <x:v>Large pelagics (&gt;=90 cm)</x:v>
      </x:c>
      <x:c r="H56" s="24" t="str">
        <x:v>Perch-likes</x:v>
      </x:c>
      <x:c r="I56" s="31" t="n">
        <x:v>695.9314179506999</x:v>
      </x:c>
      <x:c r="J56" s="31" t="n">
        <x:v>695.9314179506999</x:v>
      </x:c>
      <x:c r="K56" s="31" t="n">
        <x:v>0</x:v>
      </x:c>
      <x:c r="L56" s="31" t="n">
        <x:v>554.3741410988</x:v>
      </x:c>
      <x:c r="M56" s="31" t="n">
        <x:v>141.55727685189999</x:v>
      </x:c>
      <x:c r="N56" s="24" t="str">
        <x:v>coryphaena hippurus</x:v>
      </x:c>
      <x:c r="O56" s="32" t="n">
        <x:v>4.37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Coryphaena hippurus</x:v>
      </x:c>
      <x:c r="T56" s="32" t="n">
        <x:f>IF(O56="","",(1/'Metadata'!$B$5)^(O56-1))</x:f>
        <x:v>2344.228815319923</x:v>
      </x:c>
      <x:c r="U56" s="31" t="n">
        <x:f>IF(T56="","",I56*T56)</x:f>
        <x:v>1631422.4834464835</x:v>
      </x:c>
    </x:row>
    <x:row r="57" ht="18" customHeight="1">
      <x:c r="A57" s="24" t="str">
        <x:v>LME_015</x:v>
      </x:c>
      <x:c r="B57" s="24" t="str">
        <x:v>South Brazil Shelf</x:v>
      </x:c>
      <x:c r="C57" s="24" t="str">
        <x:v>LME</x:v>
      </x:c>
      <x:c r="D57" s="30" t="n">
        <x:v>2019</x:v>
      </x:c>
      <x:c r="E57" s="24" t="str">
        <x:v>Porichthys porosissimus</x:v>
      </x:c>
      <x:c r="F57" s="24" t="str">
        <x:v>South American toadfish</x:v>
      </x:c>
      <x:c r="G57" s="24" t="str">
        <x:v>Small demersals (&lt;30 cm)</x:v>
      </x:c>
      <x:c r="H57" s="24" t="str">
        <x:v>Other fishes &amp; inverts</x:v>
      </x:c>
      <x:c r="I57" s="31" t="n">
        <x:v>692.7324790246</x:v>
      </x:c>
      <x:c r="J57" s="31" t="n">
        <x:v>24.940358434</x:v>
      </x:c>
      <x:c r="K57" s="31" t="n">
        <x:v>667.7921205906</x:v>
      </x:c>
      <x:c r="L57" s="31" t="n">
        <x:v>24.4424932448</x:v>
      </x:c>
      <x:c r="M57" s="31" t="n">
        <x:v>668.2899857798</x:v>
      </x:c>
      <x:c r="N57" s="24" t="str">
        <x:v>porichthys porosissimus</x:v>
      </x:c>
      <x:c r="O57" s="32" t="n">
        <x:v>3.73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Porichthys porosissimus</x:v>
      </x:c>
      <x:c r="T57" s="32" t="n">
        <x:f>IF(O57="","",(1/'Metadata'!$B$5)^(O57-1))</x:f>
        <x:v>537.0317963702527</x:v>
      </x:c>
      <x:c r="U57" s="31" t="n">
        <x:f>IF(T57="","",I57*T57)</x:f>
        <x:v>372019.36761459935</x:v>
      </x:c>
    </x:row>
    <x:row r="58" ht="18" customHeight="1">
      <x:c r="A58" s="24" t="str">
        <x:v>LME_015</x:v>
      </x:c>
      <x:c r="B58" s="24" t="str">
        <x:v>South Brazil Shelf</x:v>
      </x:c>
      <x:c r="C58" s="24" t="str">
        <x:v>LME</x:v>
      </x:c>
      <x:c r="D58" s="30" t="n">
        <x:v>2019</x:v>
      </x:c>
      <x:c r="E58" s="24" t="str">
        <x:v>Percophis brasiliensis</x:v>
      </x:c>
      <x:c r="F58" s="24" t="str">
        <x:v>Brazilian flathead</x:v>
      </x:c>
      <x:c r="G58" s="24" t="str">
        <x:v>Medium demersals (30 - 89 cm)</x:v>
      </x:c>
      <x:c r="H58" s="24" t="str">
        <x:v>Perch-likes</x:v>
      </x:c>
      <x:c r="I58" s="31" t="n">
        <x:v>650.4281143063</x:v>
      </x:c>
      <x:c r="J58" s="31" t="n">
        <x:v>650.4281143063</x:v>
      </x:c>
      <x:c r="K58" s="31" t="n">
        <x:v>0</x:v>
      </x:c>
      <x:c r="L58" s="31" t="n">
        <x:v>638.883170286</x:v>
      </x:c>
      <x:c r="M58" s="31" t="n">
        <x:v>11.5449440203</x:v>
      </x:c>
      <x:c r="N58" s="24" t="str">
        <x:v>percophis brasiliensis</x:v>
      </x:c>
      <x:c r="O58" s="32" t="n">
        <x:v>3.48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Percophis brasiliensis</x:v>
      </x:c>
      <x:c r="T58" s="32" t="n">
        <x:f>IF(O58="","",(1/'Metadata'!$B$5)^(O58-1))</x:f>
        <x:v>301.9951720402016</x:v>
      </x:c>
      <x:c r="U58" s="31" t="n">
        <x:f>IF(T58="","",I58*T58)</x:f>
        <x:v>196426.150279715</x:v>
      </x:c>
    </x:row>
    <x:row r="59" ht="18" customHeight="1">
      <x:c r="A59" s="24" t="str">
        <x:v>LME_015</x:v>
      </x:c>
      <x:c r="B59" s="24" t="str">
        <x:v>South Brazil Shelf</x:v>
      </x:c>
      <x:c r="C59" s="24" t="str">
        <x:v>LME</x:v>
      </x:c>
      <x:c r="D59" s="30" t="n">
        <x:v>2019</x:v>
      </x:c>
      <x:c r="E59" s="24" t="str">
        <x:v>Mullus argentinae</x:v>
      </x:c>
      <x:c r="F59" s="24" t="str">
        <x:v>Argentine goatfish</x:v>
      </x:c>
      <x:c r="G59" s="24" t="str">
        <x:v>Small demersals (&lt;30 cm)</x:v>
      </x:c>
      <x:c r="H59" s="24" t="str">
        <x:v>Perch-likes</x:v>
      </x:c>
      <x:c r="I59" s="31" t="n">
        <x:v>605.7695979806</x:v>
      </x:c>
      <x:c r="J59" s="31" t="n">
        <x:v>605.7695979806</x:v>
      </x:c>
      <x:c r="K59" s="31" t="n">
        <x:v>0</x:v>
      </x:c>
      <x:c r="L59" s="31" t="n">
        <x:v>238.5438295408</x:v>
      </x:c>
      <x:c r="M59" s="31" t="n">
        <x:v>367.2257684398</x:v>
      </x:c>
      <x:c r="N59" s="24" t="str">
        <x:v>mullus argentinae</x:v>
      </x:c>
      <x:c r="O59" s="32" t="n">
        <x:v>3.45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Mullus argentinae</x:v>
      </x:c>
      <x:c r="T59" s="32" t="n">
        <x:f>IF(O59="","",(1/'Metadata'!$B$5)^(O59-1))</x:f>
        <x:v>281.8382931264455</x:v>
      </x:c>
      <x:c r="U59" s="31" t="n">
        <x:f>IF(T59="","",I59*T59)</x:f>
        <x:v>170729.06952274538</x:v>
      </x:c>
    </x:row>
    <x:row r="60" ht="18" customHeight="1">
      <x:c r="A60" s="24" t="str">
        <x:v>LME_015</x:v>
      </x:c>
      <x:c r="B60" s="24" t="str">
        <x:v>South Brazil Shelf</x:v>
      </x:c>
      <x:c r="C60" s="24" t="str">
        <x:v>LME</x:v>
      </x:c>
      <x:c r="D60" s="30" t="n">
        <x:v>2019</x:v>
      </x:c>
      <x:c r="E60" s="24" t="str">
        <x:v>Genypterus</x:v>
      </x:c>
      <x:c r="F60" s="24" t="str">
        <x:v>Genypterid cuskeels</x:v>
      </x:c>
      <x:c r="G60" s="24" t="str">
        <x:v>Large bathydemersals (&gt;=90 cm)</x:v>
      </x:c>
      <x:c r="H60" s="24" t="str">
        <x:v>Other fishes &amp; inverts</x:v>
      </x:c>
      <x:c r="I60" s="31" t="n">
        <x:v>596.1823422044</x:v>
      </x:c>
      <x:c r="J60" s="31" t="n">
        <x:v>596.1823422044</x:v>
      </x:c>
      <x:c r="K60" s="31" t="n">
        <x:v>0</x:v>
      </x:c>
      <x:c r="L60" s="31" t="n">
        <x:v>578.1762215951</x:v>
      </x:c>
      <x:c r="M60" s="31" t="n">
        <x:v>18.0061206093</x:v>
      </x:c>
      <x:c r="N60" s="24" t="str">
        <x:v>genypterus</x:v>
      </x:c>
      <x:c r="O60" s="32" t="n">
        <x:v>4.2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Genypterus</x:v>
      </x:c>
      <x:c r="T60" s="32" t="n">
        <x:f>IF(O60="","",(1/'Metadata'!$B$5)^(O60-1))</x:f>
        <x:v>1584.893192461114</x:v>
      </x:c>
      <x:c r="U60" s="31" t="n">
        <x:f>IF(T60="","",I60*T60)</x:f>
        <x:v>944885.3356252759</x:v>
      </x:c>
    </x:row>
    <x:row r="61" ht="18" customHeight="1">
      <x:c r="A61" s="24" t="str">
        <x:v>LME_015</x:v>
      </x:c>
      <x:c r="B61" s="24" t="str">
        <x:v>South Brazil Shelf</x:v>
      </x:c>
      <x:c r="C61" s="24" t="str">
        <x:v>LME</x:v>
      </x:c>
      <x:c r="D61" s="30" t="n">
        <x:v>2019</x:v>
      </x:c>
      <x:c r="E61" s="24" t="str">
        <x:v>Pinguipedidae</x:v>
      </x:c>
      <x:c r="F61" s="24" t="str">
        <x:v>Sandperches</x:v>
      </x:c>
      <x:c r="G61" s="24" t="str">
        <x:v>Medium demersals (30 - 89 cm)</x:v>
      </x:c>
      <x:c r="H61" s="24" t="str">
        <x:v>Perch-likes</x:v>
      </x:c>
      <x:c r="I61" s="31" t="n">
        <x:v>588.7564338299001</x:v>
      </x:c>
      <x:c r="J61" s="31" t="n">
        <x:v>588.7564338299001</x:v>
      </x:c>
      <x:c r="K61" s="31" t="n">
        <x:v>0</x:v>
      </x:c>
      <x:c r="L61" s="31" t="n">
        <x:v>582.8542918121</x:v>
      </x:c>
      <x:c r="M61" s="31" t="n">
        <x:v>5.9021420178</x:v>
      </x:c>
      <x:c r="N61" s="24" t="str">
        <x:v>pinguipedidae</x:v>
      </x:c>
      <x:c r="O61" s="32" t="n">
        <x:v>3.49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Pinguipedidae</x:v>
      </x:c>
      <x:c r="T61" s="32" t="n">
        <x:f>IF(O61="","",(1/'Metadata'!$B$5)^(O61-1))</x:f>
        <x:v>309.0295432513592</x:v>
      </x:c>
      <x:c r="U61" s="31" t="n">
        <x:f>IF(T61="","",I61*T61)</x:f>
        <x:v>181943.1318327531</x:v>
      </x:c>
    </x:row>
    <x:row r="62" ht="18" customHeight="1">
      <x:c r="A62" s="24" t="str">
        <x:v>LME_015</x:v>
      </x:c>
      <x:c r="B62" s="24" t="str">
        <x:v>South Brazil Shelf</x:v>
      </x:c>
      <x:c r="C62" s="24" t="str">
        <x:v>LME</x:v>
      </x:c>
      <x:c r="D62" s="30" t="n">
        <x:v>2019</x:v>
      </x:c>
      <x:c r="E62" s="24" t="str">
        <x:v>Gerreidae</x:v>
      </x:c>
      <x:c r="F62" s="24" t="str">
        <x:v>Mojarras, silverbellies</x:v>
      </x:c>
      <x:c r="G62" s="24" t="str">
        <x:v>Small benthopelagics (&lt;30 cm)</x:v>
      </x:c>
      <x:c r="H62" s="24" t="str">
        <x:v>Perch-likes</x:v>
      </x:c>
      <x:c r="I62" s="31" t="n">
        <x:v>544.7708304829999</x:v>
      </x:c>
      <x:c r="J62" s="31" t="n">
        <x:v>544.7708304829999</x:v>
      </x:c>
      <x:c r="K62" s="31" t="n">
        <x:v>0</x:v>
      </x:c>
      <x:c r="L62" s="31" t="n">
        <x:v>529.330352058</x:v>
      </x:c>
      <x:c r="M62" s="31" t="n">
        <x:v>15.440478425</x:v>
      </x:c>
      <x:c r="N62" s="24" t="str">
        <x:v>gerreidae</x:v>
      </x:c>
      <x:c r="O62" s="32" t="n">
        <x:v>3.03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Gerreidae</x:v>
      </x:c>
      <x:c r="T62" s="32" t="n">
        <x:f>IF(O62="","",(1/'Metadata'!$B$5)^(O62-1))</x:f>
        <x:v>107.1519305237606</x:v>
      </x:c>
      <x:c r="U62" s="31" t="n">
        <x:f>IF(T62="","",I62*T62)</x:f>
        <x:v>58373.24617928577</x:v>
      </x:c>
    </x:row>
    <x:row r="63" ht="18" customHeight="1">
      <x:c r="A63" s="24" t="str">
        <x:v>LME_015</x:v>
      </x:c>
      <x:c r="B63" s="24" t="str">
        <x:v>South Brazil Shelf</x:v>
      </x:c>
      <x:c r="C63" s="24" t="str">
        <x:v>LME</x:v>
      </x:c>
      <x:c r="D63" s="30" t="n">
        <x:v>2019</x:v>
      </x:c>
      <x:c r="E63" s="24" t="str">
        <x:v>Penaeus subtilis</x:v>
      </x:c>
      <x:c r="F63" s="24" t="str">
        <x:v>Southern brown shrimp</x:v>
      </x:c>
      <x:c r="G63" s="24" t="str">
        <x:v>Shrimps</x:v>
      </x:c>
      <x:c r="H63" s="24" t="str">
        <x:v>Crustaceans</x:v>
      </x:c>
      <x:c r="I63" s="31" t="n">
        <x:v>541.3167503711</x:v>
      </x:c>
      <x:c r="J63" s="31" t="n">
        <x:v>541.3167503711</x:v>
      </x:c>
      <x:c r="K63" s="31" t="n">
        <x:v>0</x:v>
      </x:c>
      <x:c r="L63" s="31" t="n">
        <x:v>528.1324578609</x:v>
      </x:c>
      <x:c r="M63" s="31" t="n">
        <x:v>13.184292510199999</x:v>
      </x:c>
      <x:c r="N63" s="24" t="str">
        <x:v>penaeus subtilis</x:v>
      </x:c>
      <x:c r="O63" s="32" t="n">
        <x:v>2.76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Penaeus subtilis</x:v>
      </x:c>
      <x:c r="T63" s="32" t="n">
        <x:f>IF(O63="","",(1/'Metadata'!$B$5)^(O63-1))</x:f>
        <x:v>57.543993733715666</x:v>
      </x:c>
      <x:c r="U63" s="31" t="n">
        <x:f>IF(T63="","",I63*T63)</x:f>
        <x:v>31149.527691309908</x:v>
      </x:c>
    </x:row>
    <x:row r="64" ht="18" customHeight="1">
      <x:c r="A64" s="24" t="str">
        <x:v>LME_015</x:v>
      </x:c>
      <x:c r="B64" s="24" t="str">
        <x:v>South Brazil Shelf</x:v>
      </x:c>
      <x:c r="C64" s="24" t="str">
        <x:v>LME</x:v>
      </x:c>
      <x:c r="D64" s="30" t="n">
        <x:v>2019</x:v>
      </x:c>
      <x:c r="E64" s="24" t="str">
        <x:v>Serranidae</x:v>
      </x:c>
      <x:c r="F64" s="24" t="str">
        <x:v>Basses, groupers, hinds</x:v>
      </x:c>
      <x:c r="G64" s="24" t="str">
        <x:v>Medium reef assoc. fish (30 - 89 cm)</x:v>
      </x:c>
      <x:c r="H64" s="24" t="str">
        <x:v>Perch-likes</x:v>
      </x:c>
      <x:c r="I64" s="31" t="n">
        <x:v>537.0930862225</x:v>
      </x:c>
      <x:c r="J64" s="31" t="n">
        <x:v>537.0930862225</x:v>
      </x:c>
      <x:c r="K64" s="31" t="n">
        <x:v>0</x:v>
      </x:c>
      <x:c r="L64" s="31" t="n">
        <x:v>525.2805527985</x:v>
      </x:c>
      <x:c r="M64" s="31" t="n">
        <x:v>11.812533424</x:v>
      </x:c>
      <x:c r="N64" s="24" t="str">
        <x:v>serranidae</x:v>
      </x:c>
      <x:c r="O64" s="32" t="n">
        <x:v>3.98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Serranidae</x:v>
      </x:c>
      <x:c r="T64" s="32" t="n">
        <x:f>IF(O64="","",(1/'Metadata'!$B$5)^(O64-1))</x:f>
        <x:v>954.992586021436</x:v>
      </x:c>
      <x:c r="U64" s="31" t="n">
        <x:f>IF(T64="","",I64*T64)</x:f>
        <x:v>512919.91534585936</x:v>
      </x:c>
    </x:row>
    <x:row r="65" ht="18" customHeight="1">
      <x:c r="A65" s="24" t="str">
        <x:v>LME_015</x:v>
      </x:c>
      <x:c r="B65" s="24" t="str">
        <x:v>South Brazil Shelf</x:v>
      </x:c>
      <x:c r="C65" s="24" t="str">
        <x:v>LME</x:v>
      </x:c>
      <x:c r="D65" s="30" t="n">
        <x:v>2019</x:v>
      </x:c>
      <x:c r="E65" s="24" t="str">
        <x:v>Carangidae</x:v>
      </x:c>
      <x:c r="F65" s="24" t="str">
        <x:v>Jacks, pompanos</x:v>
      </x:c>
      <x:c r="G65" s="24" t="str">
        <x:v>Medium pelagics (30 - 89 cm)</x:v>
      </x:c>
      <x:c r="H65" s="24" t="str">
        <x:v>Perch-likes</x:v>
      </x:c>
      <x:c r="I65" s="31" t="n">
        <x:v>510.6758581957</x:v>
      </x:c>
      <x:c r="J65" s="31" t="n">
        <x:v>458.37175242489997</x:v>
      </x:c>
      <x:c r="K65" s="31" t="n">
        <x:v>52.3041057708</x:v>
      </x:c>
      <x:c r="L65" s="31" t="n">
        <x:v>368.4792525302</x:v>
      </x:c>
      <x:c r="M65" s="31" t="n">
        <x:v>142.19660566550002</x:v>
      </x:c>
      <x:c r="N65" s="24" t="str">
        <x:v>carangidae</x:v>
      </x:c>
      <x:c r="O65" s="32" t="n">
        <x:v>4.05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Carangidae</x:v>
      </x:c>
      <x:c r="T65" s="32" t="n">
        <x:f>IF(O65="","",(1/'Metadata'!$B$5)^(O65-1))</x:f>
        <x:v>1122.018454301963</x:v>
      </x:c>
      <x:c r="U65" s="31" t="n">
        <x:f>IF(T65="","",I65*T65)</x:f>
        <x:v>572987.7370620677</x:v>
      </x:c>
    </x:row>
    <x:row r="66" ht="18" customHeight="1">
      <x:c r="A66" s="24" t="str">
        <x:v>LME_015</x:v>
      </x:c>
      <x:c r="B66" s="24" t="str">
        <x:v>South Brazil Shelf</x:v>
      </x:c>
      <x:c r="C66" s="24" t="str">
        <x:v>LME</x:v>
      </x:c>
      <x:c r="D66" s="30" t="n">
        <x:v>2019</x:v>
      </x:c>
      <x:c r="E66" s="24" t="str">
        <x:v>Lagocephalus laevigatus</x:v>
      </x:c>
      <x:c r="F66" s="24" t="str">
        <x:v>Smooth puffer</x:v>
      </x:c>
      <x:c r="G66" s="24" t="str">
        <x:v>Medium pelagics (30 - 89 cm)</x:v>
      </x:c>
      <x:c r="H66" s="24" t="str">
        <x:v>Other fishes &amp; inverts</x:v>
      </x:c>
      <x:c r="I66" s="31" t="n">
        <x:v>501.9381812047</x:v>
      </x:c>
      <x:c r="J66" s="31" t="n">
        <x:v>501.9381812047</x:v>
      </x:c>
      <x:c r="K66" s="31" t="n">
        <x:v>0</x:v>
      </x:c>
      <x:c r="L66" s="31" t="n">
        <x:v>481.7973485582</x:v>
      </x:c>
      <x:c r="M66" s="31" t="n">
        <x:v>20.1408326465</x:v>
      </x:c>
      <x:c r="N66" s="24" t="str">
        <x:v>lagocephalus laevigatus</x:v>
      </x:c>
      <x:c r="O66" s="32" t="n">
        <x:v>4.02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Lagocephalus laevigatus</x:v>
      </x:c>
      <x:c r="T66" s="32" t="n">
        <x:f>IF(O66="","",(1/'Metadata'!$B$5)^(O66-1))</x:f>
        <x:v>1047.1285480508984</x:v>
      </x:c>
      <x:c r="U66" s="31" t="n">
        <x:f>IF(T66="","",I66*T66)</x:f>
        <x:v>525593.7988961863</x:v>
      </x:c>
    </x:row>
    <x:row r="67" ht="18" customHeight="1">
      <x:c r="A67" s="24" t="str">
        <x:v>LME_015</x:v>
      </x:c>
      <x:c r="B67" s="24" t="str">
        <x:v>South Brazil Shelf</x:v>
      </x:c>
      <x:c r="C67" s="24" t="str">
        <x:v>LME</x:v>
      </x:c>
      <x:c r="D67" s="30" t="n">
        <x:v>2019</x:v>
      </x:c>
      <x:c r="E67" s="24" t="str">
        <x:v>Penaeidae</x:v>
      </x:c>
      <x:c r="F67" s="24" t="str">
        <x:v>Commercial shrimps and prawns</x:v>
      </x:c>
      <x:c r="G67" s="24" t="str">
        <x:v>Shrimps</x:v>
      </x:c>
      <x:c r="H67" s="24" t="str">
        <x:v>Crustaceans</x:v>
      </x:c>
      <x:c r="I67" s="31" t="n">
        <x:v>481.47983215</x:v>
      </x:c>
      <x:c r="J67" s="31" t="n">
        <x:v>481.47983215</x:v>
      </x:c>
      <x:c r="K67" s="31" t="n">
        <x:v>0</x:v>
      </x:c>
      <x:c r="L67" s="31" t="n">
        <x:v>261.2310549021</x:v>
      </x:c>
      <x:c r="M67" s="31" t="n">
        <x:v>220.24877724789997</x:v>
      </x:c>
      <x:c r="N67" s="24" t="str">
        <x:v>penaeidae</x:v>
      </x:c>
      <x:c r="O67" s="32" t="n">
        <x:v>3.31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Penaeidae</x:v>
      </x:c>
      <x:c r="T67" s="32" t="n">
        <x:f>IF(O67="","",(1/'Metadata'!$B$5)^(O67-1))</x:f>
        <x:v>204.17379446695296</x:v>
      </x:c>
      <x:c r="U67" s="31" t="n">
        <x:f>IF(T67="","",I67*T67)</x:f>
        <x:v>98305.5642893771</x:v>
      </x:c>
    </x:row>
    <x:row r="68" ht="18" customHeight="1">
      <x:c r="A68" s="24" t="str">
        <x:v>LME_015</x:v>
      </x:c>
      <x:c r="B68" s="24" t="str">
        <x:v>South Brazil Shelf</x:v>
      </x:c>
      <x:c r="C68" s="24" t="str">
        <x:v>LME</x:v>
      </x:c>
      <x:c r="D68" s="30" t="n">
        <x:v>2019</x:v>
      </x:c>
      <x:c r="E68" s="24" t="str">
        <x:v>Callinectes</x:v>
      </x:c>
      <x:c r="F68" s="24" t="str">
        <x:v>Beautiful swimming crabs</x:v>
      </x:c>
      <x:c r="G68" s="24" t="str">
        <x:v>Lobsters, crabs</x:v>
      </x:c>
      <x:c r="H68" s="24" t="str">
        <x:v>Crustaceans</x:v>
      </x:c>
      <x:c r="I68" s="31" t="n">
        <x:v>473.02799933570003</x:v>
      </x:c>
      <x:c r="J68" s="31" t="n">
        <x:v>473.02799933570003</x:v>
      </x:c>
      <x:c r="K68" s="31" t="n">
        <x:v>0</x:v>
      </x:c>
      <x:c r="L68" s="31" t="n">
        <x:v>463.7485739073</x:v>
      </x:c>
      <x:c r="M68" s="31" t="n">
        <x:v>9.2794254284</x:v>
      </x:c>
      <x:c r="N68" s="24" t="str">
        <x:v>callinectes</x:v>
      </x:c>
      <x:c r="O68" s="32" t="n">
        <x:v>3.63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Callinectes</x:v>
      </x:c>
      <x:c r="T68" s="32" t="n">
        <x:f>IF(O68="","",(1/'Metadata'!$B$5)^(O68-1))</x:f>
        <x:v>426.57951880159254</x:v>
      </x:c>
      <x:c r="U68" s="31" t="n">
        <x:f>IF(T68="","",I68*T68)</x:f>
        <x:v>201784.05633630295</x:v>
      </x:c>
    </x:row>
    <x:row r="69" ht="18" customHeight="1">
      <x:c r="A69" s="24" t="str">
        <x:v>LME_015</x:v>
      </x:c>
      <x:c r="B69" s="24" t="str">
        <x:v>South Brazil Shelf</x:v>
      </x:c>
      <x:c r="C69" s="24" t="str">
        <x:v>LME</x:v>
      </x:c>
      <x:c r="D69" s="30" t="n">
        <x:v>2019</x:v>
      </x:c>
      <x:c r="E69" s="24" t="str">
        <x:v>Trachurus lathami</x:v>
      </x:c>
      <x:c r="F69" s="24" t="str">
        <x:v>Rough scad</x:v>
      </x:c>
      <x:c r="G69" s="24" t="str">
        <x:v>Medium benthopelagics (30 - 89 cm)</x:v>
      </x:c>
      <x:c r="H69" s="24" t="str">
        <x:v>Perch-likes</x:v>
      </x:c>
      <x:c r="I69" s="31" t="n">
        <x:v>462.0454533524</x:v>
      </x:c>
      <x:c r="J69" s="31" t="n">
        <x:v>462.0454533524</x:v>
      </x:c>
      <x:c r="K69" s="31" t="n">
        <x:v>0</x:v>
      </x:c>
      <x:c r="L69" s="31" t="n">
        <x:v>448.028363056</x:v>
      </x:c>
      <x:c r="M69" s="31" t="n">
        <x:v>14.0170902964</x:v>
      </x:c>
      <x:c r="N69" s="24" t="str">
        <x:v>trachurus lathami</x:v>
      </x:c>
      <x:c r="O69" s="32" t="n">
        <x:v>3.99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Trachurus lathami</x:v>
      </x:c>
      <x:c r="T69" s="32" t="n">
        <x:f>IF(O69="","",(1/'Metadata'!$B$5)^(O69-1))</x:f>
        <x:v>977.2372209558112</x:v>
      </x:c>
      <x:c r="U69" s="31" t="n">
        <x:f>IF(T69="","",I69*T69)</x:f>
        <x:v>451528.01478936727</x:v>
      </x:c>
    </x:row>
    <x:row r="70" ht="18" customHeight="1">
      <x:c r="A70" s="24" t="str">
        <x:v>LME_015</x:v>
      </x:c>
      <x:c r="B70" s="24" t="str">
        <x:v>South Brazil Shelf</x:v>
      </x:c>
      <x:c r="C70" s="24" t="str">
        <x:v>LME</x:v>
      </x:c>
      <x:c r="D70" s="30" t="n">
        <x:v>2019</x:v>
      </x:c>
      <x:c r="E70" s="24" t="str">
        <x:v>Marine finfishes not identified</x:v>
      </x:c>
      <x:c r="F70" s="24" t="str">
        <x:v>Finfishes</x:v>
      </x:c>
      <x:c r="G70" s="24" t="str">
        <x:v>Medium demersals (30 - 89 cm)</x:v>
      </x:c>
      <x:c r="H70" s="24" t="str">
        <x:v>Other fishes &amp; inverts</x:v>
      </x:c>
      <x:c r="I70" s="31" t="n">
        <x:v>437.6953873638</x:v>
      </x:c>
      <x:c r="J70" s="31" t="n">
        <x:v>0</x:v>
      </x:c>
      <x:c r="K70" s="31" t="n">
        <x:v>437.6953873638</x:v>
      </x:c>
      <x:c r="L70" s="31" t="n">
        <x:v>0</x:v>
      </x:c>
      <x:c r="M70" s="31" t="n">
        <x:v>437.6953873638</x:v>
      </x:c>
      <x:c r="N70" s="24" t="str">
        <x:v>marine finfishes not identified</x:v>
      </x:c>
      <x:c r="O70" s="32" t="n">
        <x:v>3.23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Marine finfishes not identified</x:v>
      </x:c>
      <x:c r="T70" s="32" t="n">
        <x:f>IF(O70="","",(1/'Metadata'!$B$5)^(O70-1))</x:f>
        <x:v>169.82436524617444</x:v>
      </x:c>
      <x:c r="U70" s="31" t="n">
        <x:f>IF(T70="","",I70*T70)</x:f>
        <x:v>74331.34133023578</x:v>
      </x:c>
    </x:row>
    <x:row r="71" ht="18" customHeight="1">
      <x:c r="A71" s="24" t="str">
        <x:v>LME_015</x:v>
      </x:c>
      <x:c r="B71" s="24" t="str">
        <x:v>South Brazil Shelf</x:v>
      </x:c>
      <x:c r="C71" s="24" t="str">
        <x:v>LME</x:v>
      </x:c>
      <x:c r="D71" s="30" t="n">
        <x:v>2019</x:v>
      </x:c>
      <x:c r="E71" s="24" t="str">
        <x:v>Engraulidae</x:v>
      </x:c>
      <x:c r="F71" s="24" t="str">
        <x:v>Anchovies, round herrings</x:v>
      </x:c>
      <x:c r="G71" s="24" t="str">
        <x:v>Small pelagics (&lt;30 cm)</x:v>
      </x:c>
      <x:c r="H71" s="24" t="str">
        <x:v>Anchovies</x:v>
      </x:c>
      <x:c r="I71" s="31" t="n">
        <x:v>412.3427655453</x:v>
      </x:c>
      <x:c r="J71" s="31" t="n">
        <x:v>412.3427655453</x:v>
      </x:c>
      <x:c r="K71" s="31" t="n">
        <x:v>0</x:v>
      </x:c>
      <x:c r="L71" s="31" t="n">
        <x:v>277.55108706469997</x:v>
      </x:c>
      <x:c r="M71" s="31" t="n">
        <x:v>134.7916784806</x:v>
      </x:c>
      <x:c r="N71" s="24" t="str">
        <x:v>engraulidae</x:v>
      </x:c>
      <x:c r="O71" s="32" t="n">
        <x:v>3.2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Engraulidae</x:v>
      </x:c>
      <x:c r="T71" s="32" t="n">
        <x:f>IF(O71="","",(1/'Metadata'!$B$5)^(O71-1))</x:f>
        <x:v>158.48931924611142</x:v>
      </x:c>
      <x:c r="U71" s="31" t="n">
        <x:f>IF(T71="","",I71*T71)</x:f>
        <x:v>65351.92420733352</x:v>
      </x:c>
    </x:row>
    <x:row r="72" ht="18" customHeight="1">
      <x:c r="A72" s="24" t="str">
        <x:v>LME_015</x:v>
      </x:c>
      <x:c r="B72" s="24" t="str">
        <x:v>South Brazil Shelf</x:v>
      </x:c>
      <x:c r="C72" s="24" t="str">
        <x:v>LME</x:v>
      </x:c>
      <x:c r="D72" s="30" t="n">
        <x:v>2019</x:v>
      </x:c>
      <x:c r="E72" s="24" t="str">
        <x:v>Balistes capriscus</x:v>
      </x:c>
      <x:c r="F72" s="24" t="str">
        <x:v>Grey triggerfish</x:v>
      </x:c>
      <x:c r="G72" s="24" t="str">
        <x:v>Medium benthopelagics (30 - 89 cm)</x:v>
      </x:c>
      <x:c r="H72" s="24" t="str">
        <x:v>Other fishes &amp; inverts</x:v>
      </x:c>
      <x:c r="I72" s="31" t="n">
        <x:v>399.9632238236</x:v>
      </x:c>
      <x:c r="J72" s="31" t="n">
        <x:v>399.9632238236</x:v>
      </x:c>
      <x:c r="K72" s="31" t="n">
        <x:v>0</x:v>
      </x:c>
      <x:c r="L72" s="31" t="n">
        <x:v>388.36005142790003</x:v>
      </x:c>
      <x:c r="M72" s="31" t="n">
        <x:v>11.6031723957</x:v>
      </x:c>
      <x:c r="N72" s="24" t="str">
        <x:v>balistes capriscus</x:v>
      </x:c>
      <x:c r="O72" s="32" t="n">
        <x:v>4.06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Balistes capriscus</x:v>
      </x:c>
      <x:c r="T72" s="32" t="n">
        <x:f>IF(O72="","",(1/'Metadata'!$B$5)^(O72-1))</x:f>
        <x:v>1148.1536214968817</x:v>
      </x:c>
      <x:c r="U72" s="31" t="n">
        <x:f>IF(T72="","",I72*T72)</x:f>
        <x:v>459219.2238986342</x:v>
      </x:c>
    </x:row>
    <x:row r="73" ht="18" customHeight="1">
      <x:c r="A73" s="24" t="str">
        <x:v>LME_015</x:v>
      </x:c>
      <x:c r="B73" s="24" t="str">
        <x:v>South Brazil Shelf</x:v>
      </x:c>
      <x:c r="C73" s="24" t="str">
        <x:v>LME</x:v>
      </x:c>
      <x:c r="D73" s="30" t="n">
        <x:v>2019</x:v>
      </x:c>
      <x:c r="E73" s="24" t="str">
        <x:v>Isurus oxyrinchus</x:v>
      </x:c>
      <x:c r="F73" s="24" t="str">
        <x:v>Shortfin mako</x:v>
      </x:c>
      <x:c r="G73" s="24" t="str">
        <x:v>Large sharks (&gt;=90 cm)</x:v>
      </x:c>
      <x:c r="H73" s="24" t="str">
        <x:v>Sharks &amp; rays</x:v>
      </x:c>
      <x:c r="I73" s="31" t="n">
        <x:v>398.6778701436</x:v>
      </x:c>
      <x:c r="J73" s="31" t="n">
        <x:v>398.6778701436</x:v>
      </x:c>
      <x:c r="K73" s="31" t="n">
        <x:v>0</x:v>
      </x:c>
      <x:c r="L73" s="31" t="n">
        <x:v>398.5851454739</x:v>
      </x:c>
      <x:c r="M73" s="31" t="n">
        <x:v>0.0927246697</x:v>
      </x:c>
      <x:c r="N73" s="24" t="str">
        <x:v>isurus oxyrinchus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Isurus oxyrinchus</x:v>
      </x:c>
      <x:c r="T73" s="32" t="n">
        <x:f>IF(O73="","",(1/'Metadata'!$B$5)^(O73-1))</x:f>
        <x:v>3162.2776601683795</x:v>
      </x:c>
      <x:c r="U73" s="31" t="n">
        <x:f>IF(T73="","",I73*T73)</x:f>
        <x:v>1260730.1223586164</x:v>
      </x:c>
    </x:row>
    <x:row r="74" ht="18" customHeight="1">
      <x:c r="A74" s="24" t="str">
        <x:v>LME_015</x:v>
      </x:c>
      <x:c r="B74" s="24" t="str">
        <x:v>South Brazil Shelf</x:v>
      </x:c>
      <x:c r="C74" s="24" t="str">
        <x:v>LME</x:v>
      </x:c>
      <x:c r="D74" s="30" t="n">
        <x:v>2019</x:v>
      </x:c>
      <x:c r="E74" s="24" t="str">
        <x:v>Cynoscion leiarchus</x:v>
      </x:c>
      <x:c r="F74" s="24" t="str">
        <x:v>Smooth weakfish</x:v>
      </x:c>
      <x:c r="G74" s="24" t="str">
        <x:v>Medium demersals (30 - 89 cm)</x:v>
      </x:c>
      <x:c r="H74" s="24" t="str">
        <x:v>Perch-likes</x:v>
      </x:c>
      <x:c r="I74" s="31" t="n">
        <x:v>384.19457986659995</x:v>
      </x:c>
      <x:c r="J74" s="31" t="n">
        <x:v>384.19457986659995</x:v>
      </x:c>
      <x:c r="K74" s="31" t="n">
        <x:v>0</x:v>
      </x:c>
      <x:c r="L74" s="31" t="n">
        <x:v>246.5878586053</x:v>
      </x:c>
      <x:c r="M74" s="31" t="n">
        <x:v>137.60672126129998</x:v>
      </x:c>
      <x:c r="N74" s="24" t="str">
        <x:v>cynoscion leiarchus</x:v>
      </x:c>
      <x:c r="O74" s="32" t="n">
        <x:v>3.06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Cynoscion leiarchus</x:v>
      </x:c>
      <x:c r="T74" s="32" t="n">
        <x:f>IF(O74="","",(1/'Metadata'!$B$5)^(O74-1))</x:f>
        <x:v>114.81536214968828</x:v>
      </x:c>
      <x:c r="U74" s="31" t="n">
        <x:f>IF(T74="","",I74*T74)</x:f>
        <x:v>44111.43982333101</x:v>
      </x:c>
    </x:row>
    <x:row r="75" ht="18" customHeight="1">
      <x:c r="A75" s="24" t="str">
        <x:v>LME_015</x:v>
      </x:c>
      <x:c r="B75" s="24" t="str">
        <x:v>South Brazil Shelf</x:v>
      </x:c>
      <x:c r="C75" s="24" t="str">
        <x:v>LME</x:v>
      </x:c>
      <x:c r="D75" s="30" t="n">
        <x:v>2019</x:v>
      </x:c>
      <x:c r="E75" s="24" t="str">
        <x:v>Clupeiformes</x:v>
      </x:c>
      <x:c r="F75" s="24" t="str">
        <x:v>Herrings, shads, anchovies</x:v>
      </x:c>
      <x:c r="G75" s="24" t="str">
        <x:v>Small pelagics (&lt;30 cm)</x:v>
      </x:c>
      <x:c r="H75" s="24" t="str">
        <x:v>Other fishes &amp; inverts</x:v>
      </x:c>
      <x:c r="I75" s="31" t="n">
        <x:v>371.13367142370004</x:v>
      </x:c>
      <x:c r="J75" s="31" t="n">
        <x:v>371.13367142370004</x:v>
      </x:c>
      <x:c r="K75" s="31" t="n">
        <x:v>0</x:v>
      </x:c>
      <x:c r="L75" s="31" t="n">
        <x:v>371.13367142370004</x:v>
      </x:c>
      <x:c r="M75" s="31" t="n">
        <x:v>0</x:v>
      </x:c>
      <x:c r="N75" s="24" t="str">
        <x:v>clupeiformes</x:v>
      </x:c>
      <x:c r="O75" s="32" t="n">
        <x:v>3.24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Clupeiformes</x:v>
      </x:c>
      <x:c r="T75" s="32" t="n">
        <x:f>IF(O75="","",(1/'Metadata'!$B$5)^(O75-1))</x:f>
        <x:v>173.78008287493762</x:v>
      </x:c>
      <x:c r="U75" s="31" t="n">
        <x:f>IF(T75="","",I75*T75)</x:f>
        <x:v>64495.64017769046</x:v>
      </x:c>
    </x:row>
    <x:row r="76" ht="18" customHeight="1">
      <x:c r="A76" s="24" t="str">
        <x:v>LME_015</x:v>
      </x:c>
      <x:c r="B76" s="24" t="str">
        <x:v>South Brazil Shelf</x:v>
      </x:c>
      <x:c r="C76" s="24" t="str">
        <x:v>LME</x:v>
      </x:c>
      <x:c r="D76" s="30" t="n">
        <x:v>2019</x:v>
      </x:c>
      <x:c r="E76" s="24" t="str">
        <x:v>Callinectes danae</x:v>
      </x:c>
      <x:c r="F76" s="24" t="str">
        <x:v>Dana's swimming crab</x:v>
      </x:c>
      <x:c r="G76" s="24" t="str">
        <x:v>Lobsters, crabs</x:v>
      </x:c>
      <x:c r="H76" s="24" t="str">
        <x:v>Crustaceans</x:v>
      </x:c>
      <x:c r="I76" s="31" t="n">
        <x:v>337.1904845986</x:v>
      </x:c>
      <x:c r="J76" s="31" t="n">
        <x:v>337.1904845986</x:v>
      </x:c>
      <x:c r="K76" s="31" t="n">
        <x:v>0</x:v>
      </x:c>
      <x:c r="L76" s="31" t="n">
        <x:v>335.0663194657</x:v>
      </x:c>
      <x:c r="M76" s="31" t="n">
        <x:v>2.1241651329</x:v>
      </x:c>
      <x:c r="N76" s="24" t="str">
        <x:v>callinectes danae</x:v>
      </x:c>
      <x:c r="O76" s="32" t="n">
        <x:v>3.63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Callinectes danae</x:v>
      </x:c>
      <x:c r="T76" s="32" t="n">
        <x:f>IF(O76="","",(1/'Metadata'!$B$5)^(O76-1))</x:f>
        <x:v>426.57951880159254</x:v>
      </x:c>
      <x:c r="U76" s="31" t="n">
        <x:f>IF(T76="","",I76*T76)</x:f>
        <x:v>143838.5546645466</x:v>
      </x:c>
    </x:row>
    <x:row r="77" ht="18" customHeight="1">
      <x:c r="A77" s="24" t="str">
        <x:v>LME_015</x:v>
      </x:c>
      <x:c r="B77" s="24" t="str">
        <x:v>South Brazil Shelf</x:v>
      </x:c>
      <x:c r="C77" s="24" t="str">
        <x:v>LME</x:v>
      </x:c>
      <x:c r="D77" s="30" t="n">
        <x:v>2019</x:v>
      </x:c>
      <x:c r="E77" s="24" t="str">
        <x:v>Octopus</x:v>
      </x:c>
      <x:c r="F77" s="24" t="str">
        <x:v>Octopuses, pikas</x:v>
      </x:c>
      <x:c r="G77" s="24" t="str">
        <x:v>Cephalopods</x:v>
      </x:c>
      <x:c r="H77" s="24" t="str">
        <x:v>Other fishes &amp; inverts</x:v>
      </x:c>
      <x:c r="I77" s="31" t="n">
        <x:v>302.3215071637</x:v>
      </x:c>
      <x:c r="J77" s="31" t="n">
        <x:v>302.3215071637</x:v>
      </x:c>
      <x:c r="K77" s="31" t="n">
        <x:v>0</x:v>
      </x:c>
      <x:c r="L77" s="31" t="n">
        <x:v>302.2254617026</x:v>
      </x:c>
      <x:c r="M77" s="31" t="n">
        <x:v>0.0960454611</x:v>
      </x:c>
      <x:c r="N77" s="24" t="str">
        <x:v>octopus</x:v>
      </x:c>
      <x:c r="O77" s="32" t="n">
        <x:v>3.8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Octopus</x:v>
      </x:c>
      <x:c r="T77" s="32" t="n">
        <x:f>IF(O77="","",(1/'Metadata'!$B$5)^(O77-1))</x:f>
        <x:v>630.957344480193</x:v>
      </x:c>
      <x:c r="U77" s="31" t="n">
        <x:f>IF(T77="","",I77*T77)</x:f>
        <x:v>190751.9753392578</x:v>
      </x:c>
    </x:row>
    <x:row r="78" ht="18" customHeight="1">
      <x:c r="A78" s="24" t="str">
        <x:v>LME_015</x:v>
      </x:c>
      <x:c r="B78" s="24" t="str">
        <x:v>South Brazil Shelf</x:v>
      </x:c>
      <x:c r="C78" s="24" t="str">
        <x:v>LME</x:v>
      </x:c>
      <x:c r="D78" s="30" t="n">
        <x:v>2019</x:v>
      </x:c>
      <x:c r="E78" s="24" t="str">
        <x:v>Pleuronectiformes</x:v>
      </x:c>
      <x:c r="F78" s="24" t="str">
        <x:v>Flatfishes</x:v>
      </x:c>
      <x:c r="G78" s="24" t="str">
        <x:v>Small to medium flatfishes (&lt;90 cm)</x:v>
      </x:c>
      <x:c r="H78" s="24" t="str">
        <x:v>Flatfishes</x:v>
      </x:c>
      <x:c r="I78" s="31" t="n">
        <x:v>280.2549960042</x:v>
      </x:c>
      <x:c r="J78" s="31" t="n">
        <x:v>280.2549960042</x:v>
      </x:c>
      <x:c r="K78" s="31" t="n">
        <x:v>0</x:v>
      </x:c>
      <x:c r="L78" s="31" t="n">
        <x:v>274.01902121349997</x:v>
      </x:c>
      <x:c r="M78" s="31" t="n">
        <x:v>6.235974790699999</x:v>
      </x:c>
      <x:c r="N78" s="24" t="str">
        <x:v>pleuronectiformes</x:v>
      </x:c>
      <x:c r="O78" s="32" t="n">
        <x:v>3.57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Pleuronectiformes</x:v>
      </x:c>
      <x:c r="T78" s="32" t="n">
        <x:f>IF(O78="","",(1/'Metadata'!$B$5)^(O78-1))</x:f>
        <x:v>371.5352290971724</x:v>
      </x:c>
      <x:c r="U78" s="31" t="n">
        <x:f>IF(T78="","",I78*T78)</x:f>
        <x:v>104124.60414604758</x:v>
      </x:c>
    </x:row>
    <x:row r="79" ht="18" customHeight="1">
      <x:c r="A79" s="24" t="str">
        <x:v>LME_015</x:v>
      </x:c>
      <x:c r="B79" s="24" t="str">
        <x:v>South Brazil Shelf</x:v>
      </x:c>
      <x:c r="C79" s="24" t="str">
        <x:v>LME</x:v>
      </x:c>
      <x:c r="D79" s="30" t="n">
        <x:v>2019</x:v>
      </x:c>
      <x:c r="E79" s="24" t="str">
        <x:v>Bagre bagre</x:v>
      </x:c>
      <x:c r="F79" s="24" t="str">
        <x:v>Coco sea catfish</x:v>
      </x:c>
      <x:c r="G79" s="24" t="str">
        <x:v>Medium demersals (30 - 89 cm)</x:v>
      </x:c>
      <x:c r="H79" s="24" t="str">
        <x:v>Other fishes &amp; inverts</x:v>
      </x:c>
      <x:c r="I79" s="31" t="n">
        <x:v>273.4540224736</x:v>
      </x:c>
      <x:c r="J79" s="31" t="n">
        <x:v>273.4540224736</x:v>
      </x:c>
      <x:c r="K79" s="31" t="n">
        <x:v>0</x:v>
      </x:c>
      <x:c r="L79" s="31" t="n">
        <x:v>268.5555354675</x:v>
      </x:c>
      <x:c r="M79" s="31" t="n">
        <x:v>4.8984870061</x:v>
      </x:c>
      <x:c r="N79" s="24" t="str">
        <x:v>bagre bagre</x:v>
      </x:c>
      <x:c r="O79" s="32" t="n">
        <x:v>4.01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Bagre bagre</x:v>
      </x:c>
      <x:c r="T79" s="32" t="n">
        <x:f>IF(O79="","",(1/'Metadata'!$B$5)^(O79-1))</x:f>
        <x:v>1023.2929922807537</x:v>
      </x:c>
      <x:c r="U79" s="31" t="n">
        <x:f>IF(T79="","",I79*T79)</x:f>
        <x:v>279823.5849082186</x:v>
      </x:c>
    </x:row>
    <x:row r="80" ht="18" customHeight="1">
      <x:c r="A80" s="24" t="str">
        <x:v>LME_015</x:v>
      </x:c>
      <x:c r="B80" s="24" t="str">
        <x:v>South Brazil Shelf</x:v>
      </x:c>
      <x:c r="C80" s="24" t="str">
        <x:v>LME</x:v>
      </x:c>
      <x:c r="D80" s="30" t="n">
        <x:v>2019</x:v>
      </x:c>
      <x:c r="E80" s="24" t="str">
        <x:v>Pagrus pagrus</x:v>
      </x:c>
      <x:c r="F80" s="24" t="str">
        <x:v>Red porgy</x:v>
      </x:c>
      <x:c r="G80" s="24" t="str">
        <x:v>Medium benthopelagics (30 - 89 cm)</x:v>
      </x:c>
      <x:c r="H80" s="24" t="str">
        <x:v>Perch-likes</x:v>
      </x:c>
      <x:c r="I80" s="31" t="n">
        <x:v>264.587752275</x:v>
      </x:c>
      <x:c r="J80" s="31" t="n">
        <x:v>264.587752275</x:v>
      </x:c>
      <x:c r="K80" s="31" t="n">
        <x:v>0</x:v>
      </x:c>
      <x:c r="L80" s="31" t="n">
        <x:v>256.9068729975</x:v>
      </x:c>
      <x:c r="M80" s="31" t="n">
        <x:v>7.6808792775</x:v>
      </x:c>
      <x:c r="N80" s="24" t="str">
        <x:v>pagrus pagrus</x:v>
      </x:c>
      <x:c r="O80" s="32" t="n">
        <x:v>3.86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Pagrus pagrus</x:v>
      </x:c>
      <x:c r="T80" s="32" t="n">
        <x:f>IF(O80="","",(1/'Metadata'!$B$5)^(O80-1))</x:f>
        <x:v>724.4359600749899</x:v>
      </x:c>
      <x:c r="U80" s="31" t="n">
        <x:f>IF(T80="","",I80*T80)</x:f>
        <x:v>191676.88234342323</x:v>
      </x:c>
    </x:row>
    <x:row r="81" ht="18" customHeight="1">
      <x:c r="A81" s="24" t="str">
        <x:v>LME_015</x:v>
      </x:c>
      <x:c r="B81" s="24" t="str">
        <x:v>South Brazil Shelf</x:v>
      </x:c>
      <x:c r="C81" s="24" t="str">
        <x:v>LME</x:v>
      </x:c>
      <x:c r="D81" s="30" t="n">
        <x:v>2019</x:v>
      </x:c>
      <x:c r="E81" s="24" t="str">
        <x:v>Lutjanus</x:v>
      </x:c>
      <x:c r="F81" s="24" t="str">
        <x:v>Snappers</x:v>
      </x:c>
      <x:c r="G81" s="24" t="str">
        <x:v>Medium reef assoc. fish (30 - 89 cm)</x:v>
      </x:c>
      <x:c r="H81" s="24" t="str">
        <x:v>Perch-likes</x:v>
      </x:c>
      <x:c r="I81" s="31" t="n">
        <x:v>241.24909383999997</x:v>
      </x:c>
      <x:c r="J81" s="31" t="n">
        <x:v>241.24909383999997</x:v>
      </x:c>
      <x:c r="K81" s="31" t="n">
        <x:v>0</x:v>
      </x:c>
      <x:c r="L81" s="31" t="n">
        <x:v>236.84901466289998</x:v>
      </x:c>
      <x:c r="M81" s="31" t="n">
        <x:v>4.4000791771</x:v>
      </x:c>
      <x:c r="N81" s="24" t="str">
        <x:v>lutjanus</x:v>
      </x:c>
      <x:c r="O81" s="32" t="n">
        <x:v>4.02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Lutjanus</x:v>
      </x:c>
      <x:c r="T81" s="32" t="n">
        <x:f>IF(O81="","",(1/'Metadata'!$B$5)^(O81-1))</x:f>
        <x:v>1047.1285480508984</x:v>
      </x:c>
      <x:c r="U81" s="31" t="n">
        <x:f>IF(T81="","",I81*T81)</x:f>
        <x:v>252618.81335127412</x:v>
      </x:c>
    </x:row>
    <x:row r="82" ht="18" customHeight="1">
      <x:c r="A82" s="24" t="str">
        <x:v>LME_015</x:v>
      </x:c>
      <x:c r="B82" s="24" t="str">
        <x:v>South Brazil Shelf</x:v>
      </x:c>
      <x:c r="C82" s="24" t="str">
        <x:v>LME</x:v>
      </x:c>
      <x:c r="D82" s="30" t="n">
        <x:v>2019</x:v>
      </x:c>
      <x:c r="E82" s="24" t="str">
        <x:v>Pellona harroweri</x:v>
      </x:c>
      <x:c r="F82" s="24" t="str">
        <x:v>American coastal pellona</x:v>
      </x:c>
      <x:c r="G82" s="24" t="str">
        <x:v>Small pelagics (&lt;30 cm)</x:v>
      </x:c>
      <x:c r="H82" s="24" t="str">
        <x:v>Herring-likes</x:v>
      </x:c>
      <x:c r="I82" s="31" t="n">
        <x:v>210.44654059529998</x:v>
      </x:c>
      <x:c r="J82" s="31" t="n">
        <x:v>0.1029923562</x:v>
      </x:c>
      <x:c r="K82" s="31" t="n">
        <x:v>210.3435482391</x:v>
      </x:c>
      <x:c r="L82" s="31" t="n">
        <x:v>0.10016516859999999</x:v>
      </x:c>
      <x:c r="M82" s="31" t="n">
        <x:v>210.34637542669998</x:v>
      </x:c>
      <x:c r="N82" s="24" t="str">
        <x:v>pellona harroweri</x:v>
      </x:c>
      <x:c r="O82" s="32" t="n">
        <x:v>4.2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Pellona harroweri</x:v>
      </x:c>
      <x:c r="T82" s="32" t="n">
        <x:f>IF(O82="","",(1/'Metadata'!$B$5)^(O82-1))</x:f>
        <x:v>1584.893192461114</x:v>
      </x:c>
      <x:c r="U82" s="31" t="n">
        <x:f>IF(T82="","",I82*T82)</x:f>
        <x:v>333535.2895664824</x:v>
      </x:c>
    </x:row>
    <x:row r="83" ht="18" customHeight="1">
      <x:c r="A83" s="24" t="str">
        <x:v>LME_015</x:v>
      </x:c>
      <x:c r="B83" s="24" t="str">
        <x:v>South Brazil Shelf</x:v>
      </x:c>
      <x:c r="C83" s="24" t="str">
        <x:v>LME</x:v>
      </x:c>
      <x:c r="D83" s="30" t="n">
        <x:v>2019</x:v>
      </x:c>
      <x:c r="E83" s="24" t="str">
        <x:v>Hemiramphus</x:v>
      </x:c>
      <x:c r="F83" s="24" t="str">
        <x:v>Halfbeaks</x:v>
      </x:c>
      <x:c r="G83" s="24" t="str">
        <x:v>Medium pelagics (30 - 89 cm)</x:v>
      </x:c>
      <x:c r="H83" s="24" t="str">
        <x:v>Other fishes &amp; inverts</x:v>
      </x:c>
      <x:c r="I83" s="31" t="n">
        <x:v>206.1490307313</x:v>
      </x:c>
      <x:c r="J83" s="31" t="n">
        <x:v>206.1490307313</x:v>
      </x:c>
      <x:c r="K83" s="31" t="n">
        <x:v>0</x:v>
      </x:c>
      <x:c r="L83" s="31" t="n">
        <x:v>200.3105927092</x:v>
      </x:c>
      <x:c r="M83" s="31" t="n">
        <x:v>5.8384380221</x:v>
      </x:c>
      <x:c r="N83" s="24" t="str">
        <x:v>hemiramphus</x:v>
      </x:c>
      <x:c r="O83" s="32" t="n">
        <x:v>3.05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Hemiramphus</x:v>
      </x:c>
      <x:c r="T83" s="32" t="n">
        <x:f>IF(O83="","",(1/'Metadata'!$B$5)^(O83-1))</x:f>
        <x:v>112.2018454301963</x:v>
      </x:c>
      <x:c r="U83" s="31" t="n">
        <x:f>IF(T83="","",I83*T83)</x:f>
        <x:v>23130.30168169811</x:v>
      </x:c>
    </x:row>
    <x:row r="84" ht="18" customHeight="1">
      <x:c r="A84" s="24" t="str">
        <x:v>LME_015</x:v>
      </x:c>
      <x:c r="B84" s="24" t="str">
        <x:v>South Brazil Shelf</x:v>
      </x:c>
      <x:c r="C84" s="24" t="str">
        <x:v>LME</x:v>
      </x:c>
      <x:c r="D84" s="30" t="n">
        <x:v>2019</x:v>
      </x:c>
      <x:c r="E84" s="24" t="str">
        <x:v>Rhomboplites aurorubens</x:v>
      </x:c>
      <x:c r="F84" s="24" t="str">
        <x:v>Vermilion snapper</x:v>
      </x:c>
      <x:c r="G84" s="24" t="str">
        <x:v>Medium demersals (30 - 89 cm)</x:v>
      </x:c>
      <x:c r="H84" s="24" t="str">
        <x:v>Perch-likes</x:v>
      </x:c>
      <x:c r="I84" s="31" t="n">
        <x:v>201.1573855866</x:v>
      </x:c>
      <x:c r="J84" s="31" t="n">
        <x:v>201.1573855866</x:v>
      </x:c>
      <x:c r="K84" s="31" t="n">
        <x:v>0</x:v>
      </x:c>
      <x:c r="L84" s="31" t="n">
        <x:v>194.7651237922</x:v>
      </x:c>
      <x:c r="M84" s="31" t="n">
        <x:v>6.3922617944</x:v>
      </x:c>
      <x:c r="N84" s="24" t="str">
        <x:v>rhomboplites aurorubens</x:v>
      </x:c>
      <x:c r="O84" s="32" t="n">
        <x:v>4.36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Rhomboplites aurorubens</x:v>
      </x:c>
      <x:c r="T84" s="32" t="n">
        <x:f>IF(O84="","",(1/'Metadata'!$B$5)^(O84-1))</x:f>
        <x:v>2290.867652767775</x:v>
      </x:c>
      <x:c r="U84" s="31" t="n">
        <x:f>IF(T84="","",I84*T84)</x:f>
        <x:v>460824.9477556765</x:v>
      </x:c>
    </x:row>
    <x:row r="85" ht="18" customHeight="1">
      <x:c r="A85" s="24" t="str">
        <x:v>LME_015</x:v>
      </x:c>
      <x:c r="B85" s="24" t="str">
        <x:v>South Brazil Shelf</x:v>
      </x:c>
      <x:c r="C85" s="24" t="str">
        <x:v>LME</x:v>
      </x:c>
      <x:c r="D85" s="30" t="n">
        <x:v>2019</x:v>
      </x:c>
      <x:c r="E85" s="24" t="str">
        <x:v>Squatinidae</x:v>
      </x:c>
      <x:c r="F85" s="24" t="str">
        <x:v>Angel sharks</x:v>
      </x:c>
      <x:c r="G85" s="24" t="str">
        <x:v>Large sharks (&gt;=90 cm)</x:v>
      </x:c>
      <x:c r="H85" s="24" t="str">
        <x:v>Sharks &amp; rays</x:v>
      </x:c>
      <x:c r="I85" s="31" t="n">
        <x:v>193.70562564669999</x:v>
      </x:c>
      <x:c r="J85" s="31" t="n">
        <x:v>193.70562564669999</x:v>
      </x:c>
      <x:c r="K85" s="31" t="n">
        <x:v>0</x:v>
      </x:c>
      <x:c r="L85" s="31" t="n">
        <x:v>154.0741492785</x:v>
      </x:c>
      <x:c r="M85" s="31" t="n">
        <x:v>39.6314763682</x:v>
      </x:c>
      <x:c r="N85" s="24" t="str">
        <x:v>squatinidae</x:v>
      </x:c>
      <x:c r="O85" s="32" t="n">
        <x:v>4.13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Squatinidae</x:v>
      </x:c>
      <x:c r="T85" s="32" t="n">
        <x:f>IF(O85="","",(1/'Metadata'!$B$5)^(O85-1))</x:f>
        <x:v>1348.9628825916532</x:v>
      </x:c>
      <x:c r="U85" s="31" t="n">
        <x:f>IF(T85="","",I85*T85)</x:f>
        <x:v>261301.6991465921</x:v>
      </x:c>
    </x:row>
    <x:row r="86" ht="18" customHeight="1">
      <x:c r="A86" s="24" t="str">
        <x:v>LME_015</x:v>
      </x:c>
      <x:c r="B86" s="24" t="str">
        <x:v>South Brazil Shelf</x:v>
      </x:c>
      <x:c r="C86" s="24" t="str">
        <x:v>LME</x:v>
      </x:c>
      <x:c r="D86" s="30" t="n">
        <x:v>2019</x:v>
      </x:c>
      <x:c r="E86" s="24" t="str">
        <x:v>Dasyatidae</x:v>
      </x:c>
      <x:c r="F86" s="24" t="str">
        <x:v>Whiptail stingrays</x:v>
      </x:c>
      <x:c r="G86" s="24" t="str">
        <x:v>Large rays (&gt;=90 cm)</x:v>
      </x:c>
      <x:c r="H86" s="24" t="str">
        <x:v>Sharks &amp; rays</x:v>
      </x:c>
      <x:c r="I86" s="31" t="n">
        <x:v>192.5476955993</x:v>
      </x:c>
      <x:c r="J86" s="31" t="n">
        <x:v>192.5476955993</x:v>
      </x:c>
      <x:c r="K86" s="31" t="n">
        <x:v>0</x:v>
      </x:c>
      <x:c r="L86" s="31" t="n">
        <x:v>192.5023891337</x:v>
      </x:c>
      <x:c r="M86" s="31" t="n">
        <x:v>0.0453064656</x:v>
      </x:c>
      <x:c r="N86" s="24" t="str">
        <x:v>dasyatidae</x:v>
      </x:c>
      <x:c r="O86" s="32" t="n">
        <x:v>3.38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Dasyatidae</x:v>
      </x:c>
      <x:c r="T86" s="32" t="n">
        <x:f>IF(O86="","",(1/'Metadata'!$B$5)^(O86-1))</x:f>
        <x:v>239.88329190194898</x:v>
      </x:c>
      <x:c r="U86" s="31" t="n">
        <x:f>IF(T86="","",I86*T86)</x:f>
        <x:v>46188.975068494496</x:v>
      </x:c>
    </x:row>
    <x:row r="87" ht="18" customHeight="1">
      <x:c r="A87" s="24" t="str">
        <x:v>LME_015</x:v>
      </x:c>
      <x:c r="B87" s="24" t="str">
        <x:v>South Brazil Shelf</x:v>
      </x:c>
      <x:c r="C87" s="24" t="str">
        <x:v>LME</x:v>
      </x:c>
      <x:c r="D87" s="30" t="n">
        <x:v>2019</x:v>
      </x:c>
      <x:c r="E87" s="24" t="str">
        <x:v>Balistidae</x:v>
      </x:c>
      <x:c r="F87" s="24" t="str">
        <x:v>Triggerfishes</x:v>
      </x:c>
      <x:c r="G87" s="24" t="str">
        <x:v>Medium reef assoc. fish (30 - 89 cm)</x:v>
      </x:c>
      <x:c r="H87" s="24" t="str">
        <x:v>Other fishes &amp; inverts</x:v>
      </x:c>
      <x:c r="I87" s="31" t="n">
        <x:v>188.7974760962</x:v>
      </x:c>
      <x:c r="J87" s="31" t="n">
        <x:v>188.7974760962</x:v>
      </x:c>
      <x:c r="K87" s="31" t="n">
        <x:v>0</x:v>
      </x:c>
      <x:c r="L87" s="31" t="n">
        <x:v>184.67283869969998</x:v>
      </x:c>
      <x:c r="M87" s="31" t="n">
        <x:v>4.124637396500001</x:v>
      </x:c>
      <x:c r="N87" s="24" t="str">
        <x:v>balistidae</x:v>
      </x:c>
      <x:c r="O87" s="32" t="n">
        <x:v>3.25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Balistidae</x:v>
      </x:c>
      <x:c r="T87" s="32" t="n">
        <x:f>IF(O87="","",(1/'Metadata'!$B$5)^(O87-1))</x:f>
        <x:v>177.82794100389228</x:v>
      </x:c>
      <x:c r="U87" s="31" t="n">
        <x:f>IF(T87="","",I87*T87)</x:f>
        <x:v>33573.46644091882</x:v>
      </x:c>
    </x:row>
    <x:row r="88" ht="18" customHeight="1">
      <x:c r="A88" s="24" t="str">
        <x:v>LME_015</x:v>
      </x:c>
      <x:c r="B88" s="24" t="str">
        <x:v>South Brazil Shelf</x:v>
      </x:c>
      <x:c r="C88" s="24" t="str">
        <x:v>LME</x:v>
      </x:c>
      <x:c r="D88" s="30" t="n">
        <x:v>2019</x:v>
      </x:c>
      <x:c r="E88" s="24" t="str">
        <x:v>Ruvettus pretiosus</x:v>
      </x:c>
      <x:c r="F88" s="24" t="str">
        <x:v>Oilfish</x:v>
      </x:c>
      <x:c r="G88" s="24" t="str">
        <x:v>Large benthopelagics (&gt;=90 cm)</x:v>
      </x:c>
      <x:c r="H88" s="24" t="str">
        <x:v>Perch-likes</x:v>
      </x:c>
      <x:c r="I88" s="31" t="n">
        <x:v>174.97273166309998</x:v>
      </x:c>
      <x:c r="J88" s="31" t="n">
        <x:v>174.97273166309998</x:v>
      </x:c>
      <x:c r="K88" s="31" t="n">
        <x:v>0</x:v>
      </x:c>
      <x:c r="L88" s="31" t="n">
        <x:v>174.97273166309998</x:v>
      </x:c>
      <x:c r="M88" s="31" t="n">
        <x:v>0</x:v>
      </x:c>
      <x:c r="N88" s="24" t="str">
        <x:v>ruvettus pretiosus</x:v>
      </x:c>
      <x:c r="O88" s="32" t="n">
        <x:v>4.18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Ruvettus pretiosus</x:v>
      </x:c>
      <x:c r="T88" s="32" t="n">
        <x:f>IF(O88="","",(1/'Metadata'!$B$5)^(O88-1))</x:f>
        <x:v>1513.5612484362073</x:v>
      </x:c>
      <x:c r="U88" s="31" t="n">
        <x:f>IF(T88="","",I88*T88)</x:f>
        <x:v>264831.9461782951</x:v>
      </x:c>
    </x:row>
    <x:row r="89" ht="18" customHeight="1">
      <x:c r="A89" s="24" t="str">
        <x:v>LME_015</x:v>
      </x:c>
      <x:c r="B89" s="24" t="str">
        <x:v>South Brazil Shelf</x:v>
      </x:c>
      <x:c r="C89" s="24" t="str">
        <x:v>LME</x:v>
      </x:c>
      <x:c r="D89" s="30" t="n">
        <x:v>2019</x:v>
      </x:c>
      <x:c r="E89" s="24" t="str">
        <x:v>Calamus</x:v>
      </x:c>
      <x:c r="F89" s="24" t="str">
        <x:v>Porgies</x:v>
      </x:c>
      <x:c r="G89" s="24" t="str">
        <x:v>Medium reef assoc. fish (30 - 89 cm)</x:v>
      </x:c>
      <x:c r="H89" s="24" t="str">
        <x:v>Perch-likes</x:v>
      </x:c>
      <x:c r="I89" s="31" t="n">
        <x:v>171.7607179103</x:v>
      </x:c>
      <x:c r="J89" s="31" t="n">
        <x:v>171.7607179103</x:v>
      </x:c>
      <x:c r="K89" s="31" t="n">
        <x:v>0</x:v>
      </x:c>
      <x:c r="L89" s="31" t="n">
        <x:v>167.5099302098</x:v>
      </x:c>
      <x:c r="M89" s="31" t="n">
        <x:v>4.2507877005</x:v>
      </x:c>
      <x:c r="N89" s="24" t="str">
        <x:v>calamus</x:v>
      </x:c>
      <x:c r="O89" s="32" t="n">
        <x:v>3.51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Calamus</x:v>
      </x:c>
      <x:c r="T89" s="32" t="n">
        <x:f>IF(O89="","",(1/'Metadata'!$B$5)^(O89-1))</x:f>
        <x:v>323.5936569296281</x:v>
      </x:c>
      <x:c r="U89" s="31" t="n">
        <x:f>IF(T89="","",I89*T89)</x:f>
        <x:v>55580.67882545225</x:v>
      </x:c>
    </x:row>
    <x:row r="90" ht="18" customHeight="1">
      <x:c r="A90" s="24" t="str">
        <x:v>LME_015</x:v>
      </x:c>
      <x:c r="B90" s="24" t="str">
        <x:v>South Brazil Shelf</x:v>
      </x:c>
      <x:c r="C90" s="24" t="str">
        <x:v>LME</x:v>
      </x:c>
      <x:c r="D90" s="30" t="n">
        <x:v>2019</x:v>
      </x:c>
      <x:c r="E90" s="24" t="str">
        <x:v>Gadiformes</x:v>
      </x:c>
      <x:c r="F90" s="24" t="str">
        <x:v>Cods</x:v>
      </x:c>
      <x:c r="G90" s="24" t="str">
        <x:v>Medium benthopelagics (30 - 89 cm)</x:v>
      </x:c>
      <x:c r="H90" s="24" t="str">
        <x:v>Cod-likes</x:v>
      </x:c>
      <x:c r="I90" s="31" t="n">
        <x:v>166.95574981989998</x:v>
      </x:c>
      <x:c r="J90" s="31" t="n">
        <x:v>166.95574981989998</x:v>
      </x:c>
      <x:c r="K90" s="31" t="n">
        <x:v>0</x:v>
      </x:c>
      <x:c r="L90" s="31" t="n">
        <x:v>163.19030470849998</x:v>
      </x:c>
      <x:c r="M90" s="31" t="n">
        <x:v>3.7654451114</x:v>
      </x:c>
      <x:c r="N90" s="24" t="str">
        <x:v>gadiformes</x:v>
      </x:c>
      <x:c r="O90" s="32" t="n">
        <x:v>3.91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Gadiformes</x:v>
      </x:c>
      <x:c r="T90" s="32" t="n">
        <x:f>IF(O90="","",(1/'Metadata'!$B$5)^(O90-1))</x:f>
        <x:v>812.8305161640995</x:v>
      </x:c>
      <x:c r="U90" s="31" t="n">
        <x:f>IF(T90="","",I90*T90)</x:f>
        <x:v>135706.72830267358</x:v>
      </x:c>
    </x:row>
    <x:row r="91" ht="18" customHeight="1">
      <x:c r="A91" s="24" t="str">
        <x:v>LME_015</x:v>
      </x:c>
      <x:c r="B91" s="24" t="str">
        <x:v>South Brazil Shelf</x:v>
      </x:c>
      <x:c r="C91" s="24" t="str">
        <x:v>LME</x:v>
      </x:c>
      <x:c r="D91" s="30" t="n">
        <x:v>2019</x:v>
      </x:c>
      <x:c r="E91" s="24" t="str">
        <x:v>Megalops atlanticus</x:v>
      </x:c>
      <x:c r="F91" s="24" t="str">
        <x:v>Tarpon</x:v>
      </x:c>
      <x:c r="G91" s="24" t="str">
        <x:v>Large pelagics (&gt;=90 cm)</x:v>
      </x:c>
      <x:c r="H91" s="24" t="str">
        <x:v>Other fishes &amp; inverts</x:v>
      </x:c>
      <x:c r="I91" s="31" t="n">
        <x:v>165.9476225269</x:v>
      </x:c>
      <x:c r="J91" s="31" t="n">
        <x:v>165.9476225269</x:v>
      </x:c>
      <x:c r="K91" s="31" t="n">
        <x:v>0</x:v>
      </x:c>
      <x:c r="L91" s="31" t="n">
        <x:v>163.87373462750003</x:v>
      </x:c>
      <x:c r="M91" s="31" t="n">
        <x:v>2.0738878994</x:v>
      </x:c>
      <x:c r="N91" s="24" t="str">
        <x:v>megalops atlanticus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Megalops atlanticus</x:v>
      </x:c>
      <x:c r="T91" s="32" t="n">
        <x:f>IF(O91="","",(1/'Metadata'!$B$5)^(O91-1))</x:f>
        <x:v>3162.2776601683795</x:v>
      </x:c>
      <x:c r="U91" s="31" t="n">
        <x:f>IF(T91="","",I91*T91)</x:f>
        <x:v>524772.4594748708</x:v>
      </x:c>
    </x:row>
    <x:row r="92" ht="18" customHeight="1">
      <x:c r="A92" s="24" t="str">
        <x:v>LME_015</x:v>
      </x:c>
      <x:c r="B92" s="24" t="str">
        <x:v>South Brazil Shelf</x:v>
      </x:c>
      <x:c r="C92" s="24" t="str">
        <x:v>LME</x:v>
      </x:c>
      <x:c r="D92" s="30" t="n">
        <x:v>2019</x:v>
      </x:c>
      <x:c r="E92" s="24" t="str">
        <x:v>Rachycentron canadum</x:v>
      </x:c>
      <x:c r="F92" s="24" t="str">
        <x:v>Cobia</x:v>
      </x:c>
      <x:c r="G92" s="24" t="str">
        <x:v>Large pelagics (&gt;=90 cm)</x:v>
      </x:c>
      <x:c r="H92" s="24" t="str">
        <x:v>Perch-likes</x:v>
      </x:c>
      <x:c r="I92" s="31" t="n">
        <x:v>161.3583664788</x:v>
      </x:c>
      <x:c r="J92" s="31" t="n">
        <x:v>161.3583664788</x:v>
      </x:c>
      <x:c r="K92" s="31" t="n">
        <x:v>0</x:v>
      </x:c>
      <x:c r="L92" s="31" t="n">
        <x:v>158.46024324989997</x:v>
      </x:c>
      <x:c r="M92" s="31" t="n">
        <x:v>2.8981232289</x:v>
      </x:c>
      <x:c r="N92" s="24" t="str">
        <x:v>rachycentron canadum</x:v>
      </x:c>
      <x:c r="O92" s="32" t="n">
        <x:v>3.96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Rachycentron canadum</x:v>
      </x:c>
      <x:c r="T92" s="32" t="n">
        <x:f>IF(O92="","",(1/'Metadata'!$B$5)^(O92-1))</x:f>
        <x:v>912.0108393559096</x:v>
      </x:c>
      <x:c r="U92" s="31" t="n">
        <x:f>IF(T92="","",I92*T92)</x:f>
        <x:v>147160.57924942888</x:v>
      </x:c>
    </x:row>
    <x:row r="93" ht="18" customHeight="1">
      <x:c r="A93" s="24" t="str">
        <x:v>LME_015</x:v>
      </x:c>
      <x:c r="B93" s="24" t="str">
        <x:v>South Brazil Shelf</x:v>
      </x:c>
      <x:c r="C93" s="24" t="str">
        <x:v>LME</x:v>
      </x:c>
      <x:c r="D93" s="30" t="n">
        <x:v>2019</x:v>
      </x:c>
      <x:c r="E93" s="24" t="str">
        <x:v>Perna perna</x:v>
      </x:c>
      <x:c r="F93" s="24" t="str">
        <x:v>South American rock mussel</x:v>
      </x:c>
      <x:c r="G93" s="24" t="str">
        <x:v>Other demersal invertebrates</x:v>
      </x:c>
      <x:c r="H93" s="24" t="str">
        <x:v>Molluscs</x:v>
      </x:c>
      <x:c r="I93" s="31" t="n">
        <x:v>138.9632721469</x:v>
      </x:c>
      <x:c r="J93" s="31" t="n">
        <x:v>138.9632721469</x:v>
      </x:c>
      <x:c r="K93" s="31" t="n">
        <x:v>0</x:v>
      </x:c>
      <x:c r="L93" s="31" t="n">
        <x:v>138.7482237471</x:v>
      </x:c>
      <x:c r="M93" s="31" t="n">
        <x:v>0.2150483998</x:v>
      </x:c>
      <x:c r="N93" s="24" t="str">
        <x:v>perna perna</x:v>
      </x:c>
      <x:c r="O93" s="32" t="n">
        <x:v>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Perna perna</x:v>
      </x:c>
      <x:c r="T93" s="32" t="n">
        <x:f>IF(O93="","",(1/'Metadata'!$B$5)^(O93-1))</x:f>
        <x:v>10</x:v>
      </x:c>
      <x:c r="U93" s="31" t="n">
        <x:f>IF(T93="","",I93*T93)</x:f>
        <x:v>1389.632721469</x:v>
      </x:c>
    </x:row>
    <x:row r="94" ht="18" customHeight="1">
      <x:c r="A94" s="24" t="str">
        <x:v>LME_015</x:v>
      </x:c>
      <x:c r="B94" s="24" t="str">
        <x:v>South Brazil Shelf</x:v>
      </x:c>
      <x:c r="C94" s="24" t="str">
        <x:v>LME</x:v>
      </x:c>
      <x:c r="D94" s="30" t="n">
        <x:v>2019</x:v>
      </x:c>
      <x:c r="E94" s="24" t="str">
        <x:v>Thunnus atlanticus</x:v>
      </x:c>
      <x:c r="F94" s="24" t="str">
        <x:v>Blackfin tuna</x:v>
      </x:c>
      <x:c r="G94" s="24" t="str">
        <x:v>Large pelagics (&gt;=90 cm)</x:v>
      </x:c>
      <x:c r="H94" s="24" t="str">
        <x:v>Tuna &amp; billfishes</x:v>
      </x:c>
      <x:c r="I94" s="31" t="n">
        <x:v>136.1638177832</x:v>
      </x:c>
      <x:c r="J94" s="31" t="n">
        <x:v>136.1638177832</x:v>
      </x:c>
      <x:c r="K94" s="31" t="n">
        <x:v>0</x:v>
      </x:c>
      <x:c r="L94" s="31" t="n">
        <x:v>136.138398465</x:v>
      </x:c>
      <x:c r="M94" s="31" t="n">
        <x:v>0.0254193182</x:v>
      </x:c>
      <x:c r="N94" s="24" t="str">
        <x:v>thunnus atlanticus</x:v>
      </x:c>
      <x:c r="O94" s="32" t="n">
        <x:v>4.35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Thunnus atlanticus</x:v>
      </x:c>
      <x:c r="T94" s="32" t="n">
        <x:f>IF(O94="","",(1/'Metadata'!$B$5)^(O94-1))</x:f>
        <x:v>2238.7211385683377</x:v>
      </x:c>
      <x:c r="U94" s="31" t="n">
        <x:f>IF(T94="","",I94*T94)</x:f>
        <x:v>304832.8171794171</x:v>
      </x:c>
    </x:row>
    <x:row r="95" ht="18" customHeight="1">
      <x:c r="A95" s="24" t="str">
        <x:v>LME_015</x:v>
      </x:c>
      <x:c r="B95" s="24" t="str">
        <x:v>South Brazil Shelf</x:v>
      </x:c>
      <x:c r="C95" s="24" t="str">
        <x:v>LME</x:v>
      </x:c>
      <x:c r="D95" s="30" t="n">
        <x:v>2019</x:v>
      </x:c>
      <x:c r="E95" s="24" t="str">
        <x:v>Lutjanus synagris</x:v>
      </x:c>
      <x:c r="F95" s="24" t="str">
        <x:v>Lane snapper</x:v>
      </x:c>
      <x:c r="G95" s="24" t="str">
        <x:v>Medium reef assoc. fish (30 - 89 cm)</x:v>
      </x:c>
      <x:c r="H95" s="24" t="str">
        <x:v>Perch-likes</x:v>
      </x:c>
      <x:c r="I95" s="31" t="n">
        <x:v>134.54955707530002</x:v>
      </x:c>
      <x:c r="J95" s="31" t="n">
        <x:v>134.54955707530002</x:v>
      </x:c>
      <x:c r="K95" s="31" t="n">
        <x:v>0</x:v>
      </x:c>
      <x:c r="L95" s="31" t="n">
        <x:v>126.5813805799</x:v>
      </x:c>
      <x:c r="M95" s="31" t="n">
        <x:v>7.9681764954</x:v>
      </x:c>
      <x:c r="N95" s="24" t="str">
        <x:v>lutjanus synagris</x:v>
      </x:c>
      <x:c r="O95" s="32" t="n">
        <x:v>3.82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Lutjanus synagris</x:v>
      </x:c>
      <x:c r="T95" s="32" t="n">
        <x:f>IF(O95="","",(1/'Metadata'!$B$5)^(O95-1))</x:f>
        <x:v>660.6934480075957</x:v>
      </x:c>
      <x:c r="U95" s="31" t="n">
        <x:f>IF(T95="","",I95*T95)</x:f>
        <x:v>88896.01079197477</x:v>
      </x:c>
    </x:row>
    <x:row r="96" ht="18" customHeight="1">
      <x:c r="A96" s="24" t="str">
        <x:v>LME_015</x:v>
      </x:c>
      <x:c r="B96" s="24" t="str">
        <x:v>South Brazil Shelf</x:v>
      </x:c>
      <x:c r="C96" s="24" t="str">
        <x:v>LME</x:v>
      </x:c>
      <x:c r="D96" s="30" t="n">
        <x:v>2019</x:v>
      </x:c>
      <x:c r="E96" s="24" t="str">
        <x:v>Nemadactylus bergi</x:v>
      </x:c>
      <x:c r="F96" s="24" t="str">
        <x:v>Castaneta</x:v>
      </x:c>
      <x:c r="G96" s="24" t="str">
        <x:v>Medium demersals (30 - 89 cm)</x:v>
      </x:c>
      <x:c r="H96" s="24" t="str">
        <x:v>Perch-likes</x:v>
      </x:c>
      <x:c r="I96" s="31" t="n">
        <x:v>133.9374225514</x:v>
      </x:c>
      <x:c r="J96" s="31" t="n">
        <x:v>131.8569560476</x:v>
      </x:c>
      <x:c r="K96" s="31" t="n">
        <x:v>2.0804665038</x:v>
      </x:c>
      <x:c r="L96" s="31" t="n">
        <x:v>129.3568549324</x:v>
      </x:c>
      <x:c r="M96" s="31" t="n">
        <x:v>4.580567619</x:v>
      </x:c>
      <x:c r="N96" s="24" t="str">
        <x:v>nemadactylus bergi</x:v>
      </x:c>
      <x:c r="O96" s="32" t="n">
        <x:v>3.24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Nemadactylus bergi</x:v>
      </x:c>
      <x:c r="T96" s="32" t="n">
        <x:f>IF(O96="","",(1/'Metadata'!$B$5)^(O96-1))</x:f>
        <x:v>173.78008287493762</x:v>
      </x:c>
      <x:c r="U96" s="31" t="n">
        <x:f>IF(T96="","",I96*T96)</x:f>
        <x:v>23275.65639103783</x:v>
      </x:c>
    </x:row>
    <x:row r="97" ht="18" customHeight="1">
      <x:c r="A97" s="24" t="str">
        <x:v>LME_015</x:v>
      </x:c>
      <x:c r="B97" s="24" t="str">
        <x:v>South Brazil Shelf</x:v>
      </x:c>
      <x:c r="C97" s="24" t="str">
        <x:v>LME</x:v>
      </x:c>
      <x:c r="D97" s="30" t="n">
        <x:v>2019</x:v>
      </x:c>
      <x:c r="E97" s="24" t="str">
        <x:v>Cetengraulis edentulus</x:v>
      </x:c>
      <x:c r="F97" s="24" t="str">
        <x:v>Atlantic anchoveta</x:v>
      </x:c>
      <x:c r="G97" s="24" t="str">
        <x:v>Small pelagics (&lt;30 cm)</x:v>
      </x:c>
      <x:c r="H97" s="24" t="str">
        <x:v>Anchovies</x:v>
      </x:c>
      <x:c r="I97" s="31" t="n">
        <x:v>126.98691534219999</x:v>
      </x:c>
      <x:c r="J97" s="31" t="n">
        <x:v>126.98691534219999</x:v>
      </x:c>
      <x:c r="K97" s="31" t="n">
        <x:v>0</x:v>
      </x:c>
      <x:c r="L97" s="31" t="n">
        <x:v>125.9850059103</x:v>
      </x:c>
      <x:c r="M97" s="31" t="n">
        <x:v>1.0019094319</x:v>
      </x:c>
      <x:c r="N97" s="24" t="str">
        <x:v>cetengraulis edentulus</x:v>
      </x:c>
      <x:c r="O97" s="32" t="n">
        <x:v>2.11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Cetengraulis edentulus</x:v>
      </x:c>
      <x:c r="T97" s="32" t="n">
        <x:f>IF(O97="","",(1/'Metadata'!$B$5)^(O97-1))</x:f>
        <x:v>12.882495516931336</x:v>
      </x:c>
      <x:c r="U97" s="31" t="n">
        <x:f>IF(T97="","",I97*T97)</x:f>
        <x:v>1635.9083676048303</x:v>
      </x:c>
    </x:row>
    <x:row r="98" ht="18" customHeight="1">
      <x:c r="A98" s="24" t="str">
        <x:v>LME_015</x:v>
      </x:c>
      <x:c r="B98" s="24" t="str">
        <x:v>South Brazil Shelf</x:v>
      </x:c>
      <x:c r="C98" s="24" t="str">
        <x:v>LME</x:v>
      </x:c>
      <x:c r="D98" s="30" t="n">
        <x:v>2019</x:v>
      </x:c>
      <x:c r="E98" s="24" t="str">
        <x:v>Euthynnus alletteratus</x:v>
      </x:c>
      <x:c r="F98" s="24" t="str">
        <x:v>Little tunny </x:v>
      </x:c>
      <x:c r="G98" s="24" t="str">
        <x:v>Large pelagics (&gt;=90 cm)</x:v>
      </x:c>
      <x:c r="H98" s="24" t="str">
        <x:v>Tuna &amp; billfishes</x:v>
      </x:c>
      <x:c r="I98" s="31" t="n">
        <x:v>126.35076847539999</x:v>
      </x:c>
      <x:c r="J98" s="31" t="n">
        <x:v>126.35076847539999</x:v>
      </x:c>
      <x:c r="K98" s="31" t="n">
        <x:v>0</x:v>
      </x:c>
      <x:c r="L98" s="31" t="n">
        <x:v>0.0050119555</x:v>
      </x:c>
      <x:c r="M98" s="31" t="n">
        <x:v>126.3457565199</x:v>
      </x:c>
      <x:c r="N98" s="24" t="str">
        <x:v>euthynnus alletteratus</x:v>
      </x:c>
      <x:c r="O98" s="32" t="n">
        <x:v>4.49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Euthynnus alletteratus</x:v>
      </x:c>
      <x:c r="T98" s="32" t="n">
        <x:f>IF(O98="","",(1/'Metadata'!$B$5)^(O98-1))</x:f>
        <x:v>3090.295432513592</x:v>
      </x:c>
      <x:c r="U98" s="31" t="n">
        <x:f>IF(T98="","",I98*T98)</x:f>
        <x:v>390461.20271411096</x:v>
      </x:c>
    </x:row>
    <x:row r="99" ht="18" customHeight="1">
      <x:c r="A99" s="24" t="str">
        <x:v>LME_015</x:v>
      </x:c>
      <x:c r="B99" s="24" t="str">
        <x:v>South Brazil Shelf</x:v>
      </x:c>
      <x:c r="C99" s="24" t="str">
        <x:v>LME</x:v>
      </x:c>
      <x:c r="D99" s="30" t="n">
        <x:v>2019</x:v>
      </x:c>
      <x:c r="E99" s="24" t="str">
        <x:v>Conger orbignianus</x:v>
      </x:c>
      <x:c r="F99" s="24" t="str">
        <x:v>Argentine conger</x:v>
      </x:c>
      <x:c r="G99" s="24" t="str">
        <x:v>Large demersals (&gt;=90 cm)</x:v>
      </x:c>
      <x:c r="H99" s="24" t="str">
        <x:v>Other fishes &amp; inverts</x:v>
      </x:c>
      <x:c r="I99" s="31" t="n">
        <x:v>117.8518249383</x:v>
      </x:c>
      <x:c r="J99" s="31" t="n">
        <x:v>117.8518249383</x:v>
      </x:c>
      <x:c r="K99" s="31" t="n">
        <x:v>0</x:v>
      </x:c>
      <x:c r="L99" s="31" t="n">
        <x:v>115.4282244088</x:v>
      </x:c>
      <x:c r="M99" s="31" t="n">
        <x:v>2.4236005295</x:v>
      </x:c>
      <x:c r="N99" s="24" t="str">
        <x:v>conger orbignianus</x:v>
      </x:c>
      <x:c r="O99" s="32" t="n">
        <x:v>3.72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Conger orbignianus</x:v>
      </x:c>
      <x:c r="T99" s="32" t="n">
        <x:f>IF(O99="","",(1/'Metadata'!$B$5)^(O99-1))</x:f>
        <x:v>524.8074602497728</x:v>
      </x:c>
      <x:c r="U99" s="31" t="n">
        <x:f>IF(T99="","",I99*T99)</x:f>
        <x:v>61849.51693167006</x:v>
      </x:c>
    </x:row>
    <x:row r="100" ht="18" customHeight="1">
      <x:c r="A100" s="24" t="str">
        <x:v>LME_015</x:v>
      </x:c>
      <x:c r="B100" s="24" t="str">
        <x:v>South Brazil Shelf</x:v>
      </x:c>
      <x:c r="C100" s="24" t="str">
        <x:v>LME</x:v>
      </x:c>
      <x:c r="D100" s="30" t="n">
        <x:v>2019</x:v>
      </x:c>
      <x:c r="E100" s="24" t="str">
        <x:v>Conodon nobilis</x:v>
      </x:c>
      <x:c r="F100" s="24" t="str">
        <x:v>Barred grunt</x:v>
      </x:c>
      <x:c r="G100" s="24" t="str">
        <x:v>Small demersals (&lt;30 cm)</x:v>
      </x:c>
      <x:c r="H100" s="24" t="str">
        <x:v>Perch-likes</x:v>
      </x:c>
      <x:c r="I100" s="31" t="n">
        <x:v>117.6947762114</x:v>
      </x:c>
      <x:c r="J100" s="31" t="n">
        <x:v>117.6947762114</x:v>
      </x:c>
      <x:c r="K100" s="31" t="n">
        <x:v>0</x:v>
      </x:c>
      <x:c r="L100" s="31" t="n">
        <x:v>15.541778164</x:v>
      </x:c>
      <x:c r="M100" s="31" t="n">
        <x:v>102.15299804739999</x:v>
      </x:c>
      <x:c r="N100" s="24" t="str">
        <x:v>conodon nobilis</x:v>
      </x:c>
      <x:c r="O100" s="32" t="n">
        <x:v>3.61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Conodon nobilis</x:v>
      </x:c>
      <x:c r="T100" s="32" t="n">
        <x:f>IF(O100="","",(1/'Metadata'!$B$5)^(O100-1))</x:f>
        <x:v>407.3802778041126</x:v>
      </x:c>
      <x:c r="U100" s="31" t="n">
        <x:f>IF(T100="","",I100*T100)</x:f>
        <x:v>47946.530629092995</x:v>
      </x:c>
    </x:row>
    <x:row r="101" ht="18" customHeight="1">
      <x:c r="A101" s="24" t="str">
        <x:v>LME_015</x:v>
      </x:c>
      <x:c r="B101" s="24" t="str">
        <x:v>South Brazil Shelf</x:v>
      </x:c>
      <x:c r="C101" s="24" t="str">
        <x:v>LME</x:v>
      </x:c>
      <x:c r="D101" s="30" t="n">
        <x:v>2019</x:v>
      </x:c>
      <x:c r="E101" s="24" t="str">
        <x:v>Nebris microps</x:v>
      </x:c>
      <x:c r="F101" s="24" t="str">
        <x:v>Smalleye croaker</x:v>
      </x:c>
      <x:c r="G101" s="24" t="str">
        <x:v>Medium demersals (30 - 89 cm)</x:v>
      </x:c>
      <x:c r="H101" s="24" t="str">
        <x:v>Perch-likes</x:v>
      </x:c>
      <x:c r="I101" s="31" t="n">
        <x:v>111.1021248462</x:v>
      </x:c>
      <x:c r="J101" s="31" t="n">
        <x:v>8.9237100128</x:v>
      </x:c>
      <x:c r="K101" s="31" t="n">
        <x:v>102.17841483340001</x:v>
      </x:c>
      <x:c r="L101" s="31" t="n">
        <x:v>1.5213462344</x:v>
      </x:c>
      <x:c r="M101" s="31" t="n">
        <x:v>109.5807786118</x:v>
      </x:c>
      <x:c r="N101" s="24" t="str">
        <x:v>nebris microps</x:v>
      </x:c>
      <x:c r="O101" s="32" t="n">
        <x:v>3.6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Nebris microps</x:v>
      </x:c>
      <x:c r="T101" s="32" t="n">
        <x:f>IF(O101="","",(1/'Metadata'!$B$5)^(O101-1))</x:f>
        <x:v>398.1071705534973</x:v>
      </x:c>
      <x:c r="U101" s="31" t="n">
        <x:f>IF(T101="","",I101*T101)</x:f>
        <x:v>44230.55256500209</x:v>
      </x:c>
    </x:row>
    <x:row r="102" ht="18" customHeight="1">
      <x:c r="A102" s="24" t="str">
        <x:v>LME_015</x:v>
      </x:c>
      <x:c r="B102" s="24" t="str">
        <x:v>South Brazil Shelf</x:v>
      </x:c>
      <x:c r="C102" s="24" t="str">
        <x:v>LME</x:v>
      </x:c>
      <x:c r="D102" s="30" t="n">
        <x:v>2019</x:v>
      </x:c>
      <x:c r="E102" s="24" t="str">
        <x:v>Auxis thazard</x:v>
      </x:c>
      <x:c r="F102" s="24" t="str">
        <x:v>Frigate tuna</x:v>
      </x:c>
      <x:c r="G102" s="24" t="str">
        <x:v>Medium pelagics (30 - 89 cm)</x:v>
      </x:c>
      <x:c r="H102" s="24" t="str">
        <x:v>Tuna &amp; billfishes</x:v>
      </x:c>
      <x:c r="I102" s="31" t="n">
        <x:v>100.1847871802</x:v>
      </x:c>
      <x:c r="J102" s="31" t="n">
        <x:v>100.1847871802</x:v>
      </x:c>
      <x:c r="K102" s="31" t="n">
        <x:v>0</x:v>
      </x:c>
      <x:c r="L102" s="31" t="n">
        <x:v>99.45297118650001</x:v>
      </x:c>
      <x:c r="M102" s="31" t="n">
        <x:v>0.7318159937000001</x:v>
      </x:c>
      <x:c r="N102" s="24" t="str">
        <x:v>auxis thazard</x:v>
      </x:c>
      <x:c r="O102" s="32" t="n">
        <x:v>4.37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Auxis thazard</x:v>
      </x:c>
      <x:c r="T102" s="32" t="n">
        <x:f>IF(O102="","",(1/'Metadata'!$B$5)^(O102-1))</x:f>
        <x:v>2344.228815319923</x:v>
      </x:c>
      <x:c r="U102" s="31" t="n">
        <x:f>IF(T102="","",I102*T102)</x:f>
        <x:v>234856.06496451885</x:v>
      </x:c>
    </x:row>
    <x:row r="103" ht="18" customHeight="1">
      <x:c r="A103" s="24" t="str">
        <x:v>LME_015</x:v>
      </x:c>
      <x:c r="B103" s="24" t="str">
        <x:v>South Brazil Shelf</x:v>
      </x:c>
      <x:c r="C103" s="24" t="str">
        <x:v>LME</x:v>
      </x:c>
      <x:c r="D103" s="30" t="n">
        <x:v>2019</x:v>
      </x:c>
      <x:c r="E103" s="24" t="str">
        <x:v>Elasmobranchii</x:v>
      </x:c>
      <x:c r="F103" s="24" t="str">
        <x:v>Sharks, rays, skates</x:v>
      </x:c>
      <x:c r="G103" s="24" t="str">
        <x:v>Large sharks (&gt;=90 cm)</x:v>
      </x:c>
      <x:c r="H103" s="24" t="str">
        <x:v>Sharks &amp; rays</x:v>
      </x:c>
      <x:c r="I103" s="31" t="n">
        <x:v>93.029171023</x:v>
      </x:c>
      <x:c r="J103" s="31" t="n">
        <x:v>58.771384091600005</x:v>
      </x:c>
      <x:c r="K103" s="31" t="n">
        <x:v>34.2577869314</x:v>
      </x:c>
      <x:c r="L103" s="31" t="n">
        <x:v>57.7726986211</x:v>
      </x:c>
      <x:c r="M103" s="31" t="n">
        <x:v>35.2564724019</x:v>
      </x:c>
      <x:c r="N103" s="24" t="str">
        <x:v>elasmobranchii</x:v>
      </x:c>
      <x:c r="O103" s="32" t="n">
        <x:v>4.05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Elasmobranchii</x:v>
      </x:c>
      <x:c r="T103" s="32" t="n">
        <x:f>IF(O103="","",(1/'Metadata'!$B$5)^(O103-1))</x:f>
        <x:v>1122.018454301963</x:v>
      </x:c>
      <x:c r="U103" s="31" t="n">
        <x:f>IF(T103="","",I103*T103)</x:f>
        <x:v>104380.44667621942</x:v>
      </x:c>
    </x:row>
    <x:row r="104" ht="18" customHeight="1">
      <x:c r="A104" s="24" t="str">
        <x:v>LME_015</x:v>
      </x:c>
      <x:c r="B104" s="24" t="str">
        <x:v>South Brazil Shelf</x:v>
      </x:c>
      <x:c r="C104" s="24" t="str">
        <x:v>LME</x:v>
      </x:c>
      <x:c r="D104" s="30" t="n">
        <x:v>2019</x:v>
      </x:c>
      <x:c r="E104" s="24" t="str">
        <x:v>Malacanthidae</x:v>
      </x:c>
      <x:c r="F104" s="24" t="str">
        <x:v>Tilefishes</x:v>
      </x:c>
      <x:c r="G104" s="24" t="str">
        <x:v>Medium demersals (30 - 89 cm)</x:v>
      </x:c>
      <x:c r="H104" s="24" t="str">
        <x:v>Perch-likes</x:v>
      </x:c>
      <x:c r="I104" s="31" t="n">
        <x:v>88.546206595</x:v>
      </x:c>
      <x:c r="J104" s="31" t="n">
        <x:v>88.546206595</x:v>
      </x:c>
      <x:c r="K104" s="31" t="n">
        <x:v>0</x:v>
      </x:c>
      <x:c r="L104" s="31" t="n">
        <x:v>86.8573127439</x:v>
      </x:c>
      <x:c r="M104" s="31" t="n">
        <x:v>1.6888938511000002</x:v>
      </x:c>
      <x:c r="N104" s="24" t="str">
        <x:v>malacanthidae</x:v>
      </x:c>
      <x:c r="O104" s="32" t="n">
        <x:v>3.62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Malacanthidae</x:v>
      </x:c>
      <x:c r="T104" s="32" t="n">
        <x:f>IF(O104="","",(1/'Metadata'!$B$5)^(O104-1))</x:f>
        <x:v>416.8693834703355</x:v>
      </x:c>
      <x:c r="U104" s="31" t="n">
        <x:f>IF(T104="","",I104*T104)</x:f>
        <x:v>36912.2025518946</x:v>
      </x:c>
    </x:row>
    <x:row r="105" ht="18" customHeight="1">
      <x:c r="A105" s="24" t="str">
        <x:v>LME_015</x:v>
      </x:c>
      <x:c r="B105" s="24" t="str">
        <x:v>South Brazil Shelf</x:v>
      </x:c>
      <x:c r="C105" s="24" t="str">
        <x:v>LME</x:v>
      </x:c>
      <x:c r="D105" s="30" t="n">
        <x:v>2019</x:v>
      </x:c>
      <x:c r="E105" s="24" t="str">
        <x:v>Brevoortia aurea</x:v>
      </x:c>
      <x:c r="F105" s="24" t="str">
        <x:v>Brazilian menhaden</x:v>
      </x:c>
      <x:c r="G105" s="24" t="str">
        <x:v>Small pelagics (&lt;30 cm)</x:v>
      </x:c>
      <x:c r="H105" s="24" t="str">
        <x:v>Herring-likes</x:v>
      </x:c>
      <x:c r="I105" s="31" t="n">
        <x:v>88.359993334</x:v>
      </x:c>
      <x:c r="J105" s="31" t="n">
        <x:v>88.359993334</x:v>
      </x:c>
      <x:c r="K105" s="31" t="n">
        <x:v>0</x:v>
      </x:c>
      <x:c r="L105" s="31" t="n">
        <x:v>0</x:v>
      </x:c>
      <x:c r="M105" s="31" t="n">
        <x:v>88.359993334</x:v>
      </x:c>
      <x:c r="N105" s="24" t="str">
        <x:v>brevoortia aurea</x:v>
      </x:c>
      <x:c r="O105" s="32" t="n">
        <x:v>2.75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Brevoortia aurea</x:v>
      </x:c>
      <x:c r="T105" s="32" t="n">
        <x:f>IF(O105="","",(1/'Metadata'!$B$5)^(O105-1))</x:f>
        <x:v>56.23413251903491</x:v>
      </x:c>
      <x:c r="U105" s="31" t="n">
        <x:f>IF(T105="","",I105*T105)</x:f>
        <x:v>4968.847574525197</x:v>
      </x:c>
    </x:row>
    <x:row r="106" ht="18" customHeight="1">
      <x:c r="A106" s="24" t="str">
        <x:v>LME_015</x:v>
      </x:c>
      <x:c r="B106" s="24" t="str">
        <x:v>South Brazil Shelf</x:v>
      </x:c>
      <x:c r="C106" s="24" t="str">
        <x:v>LME</x:v>
      </x:c>
      <x:c r="D106" s="30" t="n">
        <x:v>2019</x:v>
      </x:c>
      <x:c r="E106" s="24" t="str">
        <x:v>Seriola</x:v>
      </x:c>
      <x:c r="F106" s="24" t="str">
        <x:v>Amberjacks</x:v>
      </x:c>
      <x:c r="G106" s="24" t="str">
        <x:v>Large benthopelagics (&gt;=90 cm)</x:v>
      </x:c>
      <x:c r="H106" s="24" t="str">
        <x:v>Perch-likes</x:v>
      </x:c>
      <x:c r="I106" s="31" t="n">
        <x:v>83.5745624795</x:v>
      </x:c>
      <x:c r="J106" s="31" t="n">
        <x:v>83.5745624795</x:v>
      </x:c>
      <x:c r="K106" s="31" t="n">
        <x:v>0</x:v>
      </x:c>
      <x:c r="L106" s="31" t="n">
        <x:v>20.2609020727</x:v>
      </x:c>
      <x:c r="M106" s="31" t="n">
        <x:v>63.3136604068</x:v>
      </x:c>
      <x:c r="N106" s="24" t="str">
        <x:v>seriola</x:v>
      </x:c>
      <x:c r="O106" s="32" t="n">
        <x:v>4.39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Seriola</x:v>
      </x:c>
      <x:c r="T106" s="32" t="n">
        <x:f>IF(O106="","",(1/'Metadata'!$B$5)^(O106-1))</x:f>
        <x:v>2454.7089156850284</x:v>
      </x:c>
      <x:c r="U106" s="31" t="n">
        <x:f>IF(T106="","",I106*T106)</x:f>
        <x:v>205151.2236429041</x:v>
      </x:c>
    </x:row>
    <x:row r="107" ht="18" customHeight="1">
      <x:c r="A107" s="24" t="str">
        <x:v>LME_015</x:v>
      </x:c>
      <x:c r="B107" s="24" t="str">
        <x:v>South Brazil Shelf</x:v>
      </x:c>
      <x:c r="C107" s="24" t="str">
        <x:v>LME</x:v>
      </x:c>
      <x:c r="D107" s="30" t="n">
        <x:v>2019</x:v>
      </x:c>
      <x:c r="E107" s="24" t="str">
        <x:v>Parona signata</x:v>
      </x:c>
      <x:c r="F107" s="24" t="str">
        <x:v>Parona leatherjacket</x:v>
      </x:c>
      <x:c r="G107" s="24" t="str">
        <x:v>Medium demersals (30 - 89 cm)</x:v>
      </x:c>
      <x:c r="H107" s="24" t="str">
        <x:v>Perch-likes</x:v>
      </x:c>
      <x:c r="I107" s="31" t="n">
        <x:v>82.4190143596</x:v>
      </x:c>
      <x:c r="J107" s="31" t="n">
        <x:v>82.4190143596</x:v>
      </x:c>
      <x:c r="K107" s="31" t="n">
        <x:v>0</x:v>
      </x:c>
      <x:c r="L107" s="31" t="n">
        <x:v>51.2000664999</x:v>
      </x:c>
      <x:c r="M107" s="31" t="n">
        <x:v>31.218947859700002</x:v>
      </x:c>
      <x:c r="N107" s="24" t="str">
        <x:v>parona signata</x:v>
      </x:c>
      <x:c r="O107" s="32" t="n">
        <x:v>3.4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Parona signata</x:v>
      </x:c>
      <x:c r="T107" s="32" t="n">
        <x:f>IF(O107="","",(1/'Metadata'!$B$5)^(O107-1))</x:f>
        <x:v>251.18864315095797</x:v>
      </x:c>
      <x:c r="U107" s="31" t="n">
        <x:f>IF(T107="","",I107*T107)</x:f>
        <x:v>20702.720386827245</x:v>
      </x:c>
    </x:row>
    <x:row r="108" ht="18" customHeight="1">
      <x:c r="A108" s="24" t="str">
        <x:v>LME_015</x:v>
      </x:c>
      <x:c r="B108" s="24" t="str">
        <x:v>South Brazil Shelf</x:v>
      </x:c>
      <x:c r="C108" s="24" t="str">
        <x:v>LME</x:v>
      </x:c>
      <x:c r="D108" s="30" t="n">
        <x:v>2019</x:v>
      </x:c>
      <x:c r="E108" s="24" t="str">
        <x:v>Larimus breviceps</x:v>
      </x:c>
      <x:c r="F108" s="24" t="str">
        <x:v>Shorthead drum</x:v>
      </x:c>
      <x:c r="G108" s="24" t="str">
        <x:v>Small demersals (&lt;30 cm)</x:v>
      </x:c>
      <x:c r="H108" s="24" t="str">
        <x:v>Perch-likes</x:v>
      </x:c>
      <x:c r="I108" s="31" t="n">
        <x:v>80.13344749379999</x:v>
      </x:c>
      <x:c r="J108" s="31" t="n">
        <x:v>80.13344749379999</x:v>
      </x:c>
      <x:c r="K108" s="31" t="n">
        <x:v>0</x:v>
      </x:c>
      <x:c r="L108" s="31" t="n">
        <x:v>78.31928741120001</x:v>
      </x:c>
      <x:c r="M108" s="31" t="n">
        <x:v>1.8141600826</x:v>
      </x:c>
      <x:c r="N108" s="24" t="str">
        <x:v>larimus breviceps</x:v>
      </x:c>
      <x:c r="O108" s="32" t="n">
        <x:v>3.52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Larimus breviceps</x:v>
      </x:c>
      <x:c r="T108" s="32" t="n">
        <x:f>IF(O108="","",(1/'Metadata'!$B$5)^(O108-1))</x:f>
        <x:v>331.1311214825911</x:v>
      </x:c>
      <x:c r="U108" s="31" t="n">
        <x:f>IF(T108="","",I108*T108)</x:f>
        <x:v>26534.67833688832</x:v>
      </x:c>
    </x:row>
    <x:row r="109" ht="18" customHeight="1">
      <x:c r="A109" s="24" t="str">
        <x:v>LME_015</x:v>
      </x:c>
      <x:c r="B109" s="24" t="str">
        <x:v>South Brazil Shelf</x:v>
      </x:c>
      <x:c r="C109" s="24" t="str">
        <x:v>LME</x:v>
      </x:c>
      <x:c r="D109" s="30" t="n">
        <x:v>2019</x:v>
      </x:c>
      <x:c r="E109" s="24" t="str">
        <x:v>Rhinobatos</x:v>
      </x:c>
      <x:c r="F109" s="24" t="str">
        <x:v>Guitarfishes</x:v>
      </x:c>
      <x:c r="G109" s="24" t="str">
        <x:v>Large rays (&gt;=90 cm)</x:v>
      </x:c>
      <x:c r="H109" s="24" t="str">
        <x:v>Sharks &amp; rays</x:v>
      </x:c>
      <x:c r="I109" s="31" t="n">
        <x:v>76.0000227789</x:v>
      </x:c>
      <x:c r="J109" s="31" t="n">
        <x:v>76.0000227789</x:v>
      </x:c>
      <x:c r="K109" s="31" t="n">
        <x:v>0</x:v>
      </x:c>
      <x:c r="L109" s="31" t="n">
        <x:v>75.0418167898</x:v>
      </x:c>
      <x:c r="M109" s="31" t="n">
        <x:v>0.9582059891</x:v>
      </x:c>
      <x:c r="N109" s="24" t="str">
        <x:v>rhinobatos</x:v>
      </x:c>
      <x:c r="O109" s="32" t="n">
        <x:v>3.73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Rhinobatos</x:v>
      </x:c>
      <x:c r="T109" s="32" t="n">
        <x:f>IF(O109="","",(1/'Metadata'!$B$5)^(O109-1))</x:f>
        <x:v>537.0317963702527</x:v>
      </x:c>
      <x:c r="U109" s="31" t="n">
        <x:f>IF(T109="","",I109*T109)</x:f>
        <x:v>40814.42875713279</x:v>
      </x:c>
    </x:row>
    <x:row r="110" ht="18" customHeight="1">
      <x:c r="A110" s="24" t="str">
        <x:v>LME_015</x:v>
      </x:c>
      <x:c r="B110" s="24" t="str">
        <x:v>South Brazil Shelf</x:v>
      </x:c>
      <x:c r="C110" s="24" t="str">
        <x:v>LME</x:v>
      </x:c>
      <x:c r="D110" s="30" t="n">
        <x:v>2019</x:v>
      </x:c>
      <x:c r="E110" s="24" t="str">
        <x:v>Selene vomer</x:v>
      </x:c>
      <x:c r="F110" s="24" t="str">
        <x:v>Lookdown</x:v>
      </x:c>
      <x:c r="G110" s="24" t="str">
        <x:v>Medium demersals (30 - 89 cm)</x:v>
      </x:c>
      <x:c r="H110" s="24" t="str">
        <x:v>Perch-likes</x:v>
      </x:c>
      <x:c r="I110" s="31" t="n">
        <x:v>72.7900664412</x:v>
      </x:c>
      <x:c r="J110" s="31" t="n">
        <x:v>72.7900664412</x:v>
      </x:c>
      <x:c r="K110" s="31" t="n">
        <x:v>0</x:v>
      </x:c>
      <x:c r="L110" s="31" t="n">
        <x:v>15.1907784049</x:v>
      </x:c>
      <x:c r="M110" s="31" t="n">
        <x:v>57.5992880363</x:v>
      </x:c>
      <x:c r="N110" s="24" t="str">
        <x:v>selene vomer</x:v>
      </x:c>
      <x:c r="O110" s="32" t="n">
        <x:v>4.29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Selene vomer</x:v>
      </x:c>
      <x:c r="T110" s="32" t="n">
        <x:f>IF(O110="","",(1/'Metadata'!$B$5)^(O110-1))</x:f>
        <x:v>1949.8445997580454</x:v>
      </x:c>
      <x:c r="U110" s="31" t="n">
        <x:f>IF(T110="","",I110*T110)</x:f>
        <x:v>141929.31796640315</x:v>
      </x:c>
    </x:row>
    <x:row r="111" ht="18" customHeight="1">
      <x:c r="A111" s="24" t="str">
        <x:v>LME_015</x:v>
      </x:c>
      <x:c r="B111" s="24" t="str">
        <x:v>South Brazil Shelf</x:v>
      </x:c>
      <x:c r="C111" s="24" t="str">
        <x:v>LME</x:v>
      </x:c>
      <x:c r="D111" s="30" t="n">
        <x:v>2019</x:v>
      </x:c>
      <x:c r="E111" s="24" t="str">
        <x:v>Crassostrea</x:v>
      </x:c>
      <x:c r="F111" s="24" t="str">
        <x:v>Cupped oysters</x:v>
      </x:c>
      <x:c r="G111" s="24" t="str">
        <x:v>Other demersal invertebrates</x:v>
      </x:c>
      <x:c r="H111" s="24" t="str">
        <x:v>Molluscs</x:v>
      </x:c>
      <x:c r="I111" s="31" t="n">
        <x:v>72.39416367540001</x:v>
      </x:c>
      <x:c r="J111" s="31" t="n">
        <x:v>72.39416367540001</x:v>
      </x:c>
      <x:c r="K111" s="31" t="n">
        <x:v>0</x:v>
      </x:c>
      <x:c r="L111" s="31" t="n">
        <x:v>66.0983159919</x:v>
      </x:c>
      <x:c r="M111" s="31" t="n">
        <x:v>6.2958476835</x:v>
      </x:c>
      <x:c r="N111" s="24" t="str">
        <x:v>crassostrea</x:v>
      </x:c>
      <x:c r="O111" s="32" t="n">
        <x:v>2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Crassostrea</x:v>
      </x:c>
      <x:c r="T111" s="32" t="n">
        <x:f>IF(O111="","",(1/'Metadata'!$B$5)^(O111-1))</x:f>
        <x:v>10</x:v>
      </x:c>
      <x:c r="U111" s="31" t="n">
        <x:f>IF(T111="","",I111*T111)</x:f>
        <x:v>723.9416367540001</x:v>
      </x:c>
    </x:row>
    <x:row r="112" ht="18" customHeight="1">
      <x:c r="A112" s="24" t="str">
        <x:v>LME_015</x:v>
      </x:c>
      <x:c r="B112" s="24" t="str">
        <x:v>South Brazil Shelf</x:v>
      </x:c>
      <x:c r="C112" s="24" t="str">
        <x:v>LME</x:v>
      </x:c>
      <x:c r="D112" s="30" t="n">
        <x:v>2019</x:v>
      </x:c>
      <x:c r="E112" s="24" t="str">
        <x:v>Chaceon notialis</x:v>
      </x:c>
      <x:c r="F112" s="24" t="str">
        <x:v>Red crab</x:v>
      </x:c>
      <x:c r="G112" s="24" t="str">
        <x:v>Lobsters, crabs</x:v>
      </x:c>
      <x:c r="H112" s="24" t="str">
        <x:v>Crustaceans</x:v>
      </x:c>
      <x:c r="I112" s="31" t="n">
        <x:v>66.6677576467</x:v>
      </x:c>
      <x:c r="J112" s="31" t="n">
        <x:v>66.6677576467</x:v>
      </x:c>
      <x:c r="K112" s="31" t="n">
        <x:v>0</x:v>
      </x:c>
      <x:c r="L112" s="31" t="n">
        <x:v>66.6677576467</x:v>
      </x:c>
      <x:c r="M112" s="31" t="n">
        <x:v>0</x:v>
      </x:c>
      <x:c r="N112" s="24" t="str">
        <x:v>chaceon notialis</x:v>
      </x:c>
      <x:c r="O112" s="32" t="n">
        <x:v>3.57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Chaceon notialis</x:v>
      </x:c>
      <x:c r="T112" s="32" t="n">
        <x:f>IF(O112="","",(1/'Metadata'!$B$5)^(O112-1))</x:f>
        <x:v>371.5352290971724</x:v>
      </x:c>
      <x:c r="U112" s="31" t="n">
        <x:f>IF(T112="","",I112*T112)</x:f>
        <x:v>24769.42061066145</x:v>
      </x:c>
    </x:row>
    <x:row r="113" ht="18" customHeight="1">
      <x:c r="A113" s="24" t="str">
        <x:v>LME_015</x:v>
      </x:c>
      <x:c r="B113" s="24" t="str">
        <x:v>South Brazil Shelf</x:v>
      </x:c>
      <x:c r="C113" s="24" t="str">
        <x:v>LME</x:v>
      </x:c>
      <x:c r="D113" s="30" t="n">
        <x:v>2019</x:v>
      </x:c>
      <x:c r="E113" s="24" t="str">
        <x:v>Pogonias courbina</x:v>
      </x:c>
      <x:c r="F113" s="24" t="str">
        <x:v>Black drum</x:v>
      </x:c>
      <x:c r="G113" s="24" t="str">
        <x:v>Large demersals (&gt;=90 cm)</x:v>
      </x:c>
      <x:c r="H113" s="24" t="str">
        <x:v>Perch-likes</x:v>
      </x:c>
      <x:c r="I113" s="31" t="n">
        <x:v>63.3432051967</x:v>
      </x:c>
      <x:c r="J113" s="31" t="n">
        <x:v>63.3432051967</x:v>
      </x:c>
      <x:c r="K113" s="31" t="n">
        <x:v>0</x:v>
      </x:c>
      <x:c r="L113" s="31" t="n">
        <x:v>14.3040431954</x:v>
      </x:c>
      <x:c r="M113" s="31" t="n">
        <x:v>49.0391620013</x:v>
      </x:c>
      <x:c r="N113" s="24" t="str">
        <x:v>pogonias courbina</x:v>
      </x:c>
      <x:c r="O113" s="32" t="n">
        <x:v>3.89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Pogonias courbina</x:v>
      </x:c>
      <x:c r="T113" s="32" t="n">
        <x:f>IF(O113="","",(1/'Metadata'!$B$5)^(O113-1))</x:f>
        <x:v>776.247116628692</x:v>
      </x:c>
      <x:c r="U113" s="31" t="n">
        <x:f>IF(T113="","",I113*T113)</x:f>
        <x:v>49169.98039195795</x:v>
      </x:c>
    </x:row>
    <x:row r="114" ht="18" customHeight="1">
      <x:c r="A114" s="24" t="str">
        <x:v>LME_015</x:v>
      </x:c>
      <x:c r="B114" s="24" t="str">
        <x:v>South Brazil Shelf</x:v>
      </x:c>
      <x:c r="C114" s="24" t="str">
        <x:v>LME</x:v>
      </x:c>
      <x:c r="D114" s="30" t="n">
        <x:v>2019</x:v>
      </x:c>
      <x:c r="E114" s="24" t="str">
        <x:v>Peprilus paru</x:v>
      </x:c>
      <x:c r="F114" s="24" t="str">
        <x:v>American harvestfish</x:v>
      </x:c>
      <x:c r="G114" s="24" t="str">
        <x:v>Small benthopelagics (&lt;30 cm)</x:v>
      </x:c>
      <x:c r="H114" s="24" t="str">
        <x:v>Perch-likes</x:v>
      </x:c>
      <x:c r="I114" s="31" t="n">
        <x:v>60.9873701975</x:v>
      </x:c>
      <x:c r="J114" s="31" t="n">
        <x:v>60.9873701975</x:v>
      </x:c>
      <x:c r="K114" s="31" t="n">
        <x:v>0</x:v>
      </x:c>
      <x:c r="L114" s="31" t="n">
        <x:v>59.7571831154</x:v>
      </x:c>
      <x:c r="M114" s="31" t="n">
        <x:v>1.2301870821</x:v>
      </x:c>
      <x:c r="N114" s="24" t="str">
        <x:v>peprilus paru</x:v>
      </x:c>
      <x:c r="O114" s="32" t="n">
        <x:v>4.5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Peprilus paru</x:v>
      </x:c>
      <x:c r="T114" s="32" t="n">
        <x:f>IF(O114="","",(1/'Metadata'!$B$5)^(O114-1))</x:f>
        <x:v>3162.2776601683795</x:v>
      </x:c>
      <x:c r="U114" s="31" t="n">
        <x:f>IF(T114="","",I114*T114)</x:f>
        <x:v>192858.99832797307</x:v>
      </x:c>
    </x:row>
    <x:row r="115" ht="18" customHeight="1">
      <x:c r="A115" s="24" t="str">
        <x:v>LME_015</x:v>
      </x:c>
      <x:c r="B115" s="24" t="str">
        <x:v>South Brazil Shelf</x:v>
      </x:c>
      <x:c r="C115" s="24" t="str">
        <x:v>LME</x:v>
      </x:c>
      <x:c r="D115" s="30" t="n">
        <x:v>2019</x:v>
      </x:c>
      <x:c r="E115" s="24" t="str">
        <x:v>Marine pelagic fishes not identified</x:v>
      </x:c>
      <x:c r="F115" s="24" t="str">
        <x:v>Pelagic fishes</x:v>
      </x:c>
      <x:c r="G115" s="24" t="str">
        <x:v>Medium pelagics (30 - 89 cm)</x:v>
      </x:c>
      <x:c r="H115" s="24" t="str">
        <x:v>Other fishes &amp; inverts</x:v>
      </x:c>
      <x:c r="I115" s="31" t="n">
        <x:v>60.8768447776</x:v>
      </x:c>
      <x:c r="J115" s="31" t="n">
        <x:v>60.8768447776</x:v>
      </x:c>
      <x:c r="K115" s="31" t="n">
        <x:v>0</x:v>
      </x:c>
      <x:c r="L115" s="31" t="n">
        <x:v>60.8768447776</x:v>
      </x:c>
      <x:c r="M115" s="31" t="n">
        <x:v>0</x:v>
      </x:c>
      <x:c r="N115" s="24" t="str">
        <x:v>marine pelagic fishes not identified</x:v>
      </x:c>
      <x:c r="O115" s="32" t="n">
        <x:v>3.35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Marine pelagic fishes not identified</x:v>
      </x:c>
      <x:c r="T115" s="32" t="n">
        <x:f>IF(O115="","",(1/'Metadata'!$B$5)^(O115-1))</x:f>
        <x:v>223.872113856834</x:v>
      </x:c>
      <x:c r="U115" s="31" t="n">
        <x:f>IF(T115="","",I115*T115)</x:f>
        <x:v>13628.627925295677</x:v>
      </x:c>
    </x:row>
    <x:row r="116" ht="18" customHeight="1">
      <x:c r="A116" s="24" t="str">
        <x:v>LME_015</x:v>
      </x:c>
      <x:c r="B116" s="24" t="str">
        <x:v>South Brazil Shelf</x:v>
      </x:c>
      <x:c r="C116" s="24" t="str">
        <x:v>LME</x:v>
      </x:c>
      <x:c r="D116" s="30" t="n">
        <x:v>2019</x:v>
      </x:c>
      <x:c r="E116" s="24" t="str">
        <x:v>Atlantoraja cyclophora</x:v>
      </x:c>
      <x:c r="F116" s="24" t="str">
        <x:v>Eyespot skate</x:v>
      </x:c>
      <x:c r="G116" s="24" t="str">
        <x:v>Small to medium rays (&lt;90 cm)</x:v>
      </x:c>
      <x:c r="H116" s="24" t="str">
        <x:v>Sharks &amp; rays</x:v>
      </x:c>
      <x:c r="I116" s="31" t="n">
        <x:v>59.5829080214</x:v>
      </x:c>
      <x:c r="J116" s="31" t="n">
        <x:v>59.5829080214</x:v>
      </x:c>
      <x:c r="K116" s="31" t="n">
        <x:v>0</x:v>
      </x:c>
      <x:c r="L116" s="31" t="n">
        <x:v>0.0598675756</x:v>
      </x:c>
      <x:c r="M116" s="31" t="n">
        <x:v>59.52304044580001</x:v>
      </x:c>
      <x:c r="N116" s="24" t="str">
        <x:v>atlantoraja cyclophora</x:v>
      </x:c>
      <x:c r="O116" s="32" t="n">
        <x:v>3.5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Atlantoraja cyclophora</x:v>
      </x:c>
      <x:c r="T116" s="32" t="n">
        <x:f>IF(O116="","",(1/'Metadata'!$B$5)^(O116-1))</x:f>
        <x:v>316.22776601683796</x:v>
      </x:c>
      <x:c r="U116" s="31" t="n">
        <x:f>IF(T116="","",I116*T116)</x:f>
        <x:v>18841.769896394057</x:v>
      </x:c>
    </x:row>
    <x:row r="117" ht="18" customHeight="1">
      <x:c r="A117" s="24" t="str">
        <x:v>LME_015</x:v>
      </x:c>
      <x:c r="B117" s="24" t="str">
        <x:v>South Brazil Shelf</x:v>
      </x:c>
      <x:c r="C117" s="24" t="str">
        <x:v>LME</x:v>
      </x:c>
      <x:c r="D117" s="30" t="n">
        <x:v>2019</x:v>
      </x:c>
      <x:c r="E117" s="24" t="str">
        <x:v>Panulirus</x:v>
      </x:c>
      <x:c r="F117" s="24" t="str">
        <x:v>Spiny lobsters</x:v>
      </x:c>
      <x:c r="G117" s="24" t="str">
        <x:v>Lobsters, crabs</x:v>
      </x:c>
      <x:c r="H117" s="24" t="str">
        <x:v>Crustaceans</x:v>
      </x:c>
      <x:c r="I117" s="31" t="n">
        <x:v>53.3896356114</x:v>
      </x:c>
      <x:c r="J117" s="31" t="n">
        <x:v>53.3896356114</x:v>
      </x:c>
      <x:c r="K117" s="31" t="n">
        <x:v>0</x:v>
      </x:c>
      <x:c r="L117" s="31" t="n">
        <x:v>52.3099591095</x:v>
      </x:c>
      <x:c r="M117" s="31" t="n">
        <x:v>1.0796765019</x:v>
      </x:c>
      <x:c r="N117" s="24" t="str">
        <x:v>panulirus</x:v>
      </x:c>
      <x:c r="O117" s="32" t="n">
        <x:v>2.6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Panulirus</x:v>
      </x:c>
      <x:c r="T117" s="32" t="n">
        <x:f>IF(O117="","",(1/'Metadata'!$B$5)^(O117-1))</x:f>
        <x:v>39.810717055349734</x:v>
      </x:c>
      <x:c r="U117" s="31" t="n">
        <x:f>IF(T117="","",I117*T117)</x:f>
        <x:v>2125.4796770136695</x:v>
      </x:c>
    </x:row>
    <x:row r="118" ht="18" customHeight="1">
      <x:c r="A118" s="24" t="str">
        <x:v>LME_015</x:v>
      </x:c>
      <x:c r="B118" s="24" t="str">
        <x:v>South Brazil Shelf</x:v>
      </x:c>
      <x:c r="C118" s="24" t="str">
        <x:v>LME</x:v>
      </x:c>
      <x:c r="D118" s="30" t="n">
        <x:v>2019</x:v>
      </x:c>
      <x:c r="E118" s="24" t="str">
        <x:v>Octopus vulgaris</x:v>
      </x:c>
      <x:c r="F118" s="24" t="str">
        <x:v>Common octopus</x:v>
      </x:c>
      <x:c r="G118" s="24" t="str">
        <x:v>Cephalopods</x:v>
      </x:c>
      <x:c r="H118" s="24" t="str">
        <x:v>Other fishes &amp; inverts</x:v>
      </x:c>
      <x:c r="I118" s="31" t="n">
        <x:v>52.7504782616</x:v>
      </x:c>
      <x:c r="J118" s="31" t="n">
        <x:v>52.7504782616</x:v>
      </x:c>
      <x:c r="K118" s="31" t="n">
        <x:v>0</x:v>
      </x:c>
      <x:c r="L118" s="31" t="n">
        <x:v>43.5395547331</x:v>
      </x:c>
      <x:c r="M118" s="31" t="n">
        <x:v>9.2109235285</x:v>
      </x:c>
      <x:c r="N118" s="24" t="str">
        <x:v>octopus vulgaris</x:v>
      </x:c>
      <x:c r="O118" s="32" t="n">
        <x:v>3.6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Octopus vulgaris</x:v>
      </x:c>
      <x:c r="T118" s="32" t="n">
        <x:f>IF(O118="","",(1/'Metadata'!$B$5)^(O118-1))</x:f>
        <x:v>398.1071705534973</x:v>
      </x:c>
      <x:c r="U118" s="31" t="n">
        <x:f>IF(T118="","",I118*T118)</x:f>
        <x:v>21000.343646069345</x:v>
      </x:c>
    </x:row>
    <x:row r="119" ht="18" customHeight="1">
      <x:c r="A119" s="24" t="str">
        <x:v>LME_015</x:v>
      </x:c>
      <x:c r="B119" s="24" t="str">
        <x:v>South Brazil Shelf</x:v>
      </x:c>
      <x:c r="C119" s="24" t="str">
        <x:v>LME</x:v>
      </x:c>
      <x:c r="D119" s="30" t="n">
        <x:v>2019</x:v>
      </x:c>
      <x:c r="E119" s="24" t="str">
        <x:v>Octopodidae</x:v>
      </x:c>
      <x:c r="F119" s="24" t="str">
        <x:v>Octopuses</x:v>
      </x:c>
      <x:c r="G119" s="24" t="str">
        <x:v>Cephalopods</x:v>
      </x:c>
      <x:c r="H119" s="24" t="str">
        <x:v>Other fishes &amp; inverts</x:v>
      </x:c>
      <x:c r="I119" s="31" t="n">
        <x:v>52.4193910378</x:v>
      </x:c>
      <x:c r="J119" s="31" t="n">
        <x:v>52.4193910378</x:v>
      </x:c>
      <x:c r="K119" s="31" t="n">
        <x:v>0</x:v>
      </x:c>
      <x:c r="L119" s="31" t="n">
        <x:v>50.899959530800004</x:v>
      </x:c>
      <x:c r="M119" s="31" t="n">
        <x:v>1.519431507</x:v>
      </x:c>
      <x:c r="N119" s="24" t="str">
        <x:v>octopodidae</x:v>
      </x:c>
      <x:c r="O119" s="32" t="n">
        <x:v>3.59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Octopodidae</x:v>
      </x:c>
      <x:c r="T119" s="32" t="n">
        <x:f>IF(O119="","",(1/'Metadata'!$B$5)^(O119-1))</x:f>
        <x:v>389.04514499428046</x:v>
      </x:c>
      <x:c r="U119" s="31" t="n">
        <x:f>IF(T119="","",I119*T119)</x:f>
        <x:v>20393.509586812786</x:v>
      </x:c>
    </x:row>
    <x:row r="120" ht="18" customHeight="1">
      <x:c r="A120" s="24" t="str">
        <x:v>LME_015</x:v>
      </x:c>
      <x:c r="B120" s="24" t="str">
        <x:v>South Brazil Shelf</x:v>
      </x:c>
      <x:c r="C120" s="24" t="str">
        <x:v>LME</x:v>
      </x:c>
      <x:c r="D120" s="30" t="n">
        <x:v>2019</x:v>
      </x:c>
      <x:c r="E120" s="24" t="str">
        <x:v>Sardinella aurita</x:v>
      </x:c>
      <x:c r="F120" s="24" t="str">
        <x:v>Round sardinella</x:v>
      </x:c>
      <x:c r="G120" s="24" t="str">
        <x:v>Small pelagics (&lt;30 cm)</x:v>
      </x:c>
      <x:c r="H120" s="24" t="str">
        <x:v>Herring-likes</x:v>
      </x:c>
      <x:c r="I120" s="31" t="n">
        <x:v>48.3909192455</x:v>
      </x:c>
      <x:c r="J120" s="31" t="n">
        <x:v>48.3909192455</x:v>
      </x:c>
      <x:c r="K120" s="31" t="n">
        <x:v>0</x:v>
      </x:c>
      <x:c r="L120" s="31" t="n">
        <x:v>48.3909192455</x:v>
      </x:c>
      <x:c r="M120" s="31" t="n">
        <x:v>0</x:v>
      </x:c>
      <x:c r="N120" s="24" t="str">
        <x:v>sardinella aurita</x:v>
      </x:c>
      <x:c r="O120" s="32" t="n">
        <x:v>3.4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Sardinella aurita</x:v>
      </x:c>
      <x:c r="T120" s="32" t="n">
        <x:f>IF(O120="","",(1/'Metadata'!$B$5)^(O120-1))</x:f>
        <x:v>251.18864315095797</x:v>
      </x:c>
      <x:c r="U120" s="31" t="n">
        <x:f>IF(T120="","",I120*T120)</x:f>
        <x:v>12155.249346104723</x:v>
      </x:c>
    </x:row>
    <x:row r="121" ht="18" customHeight="1">
      <x:c r="A121" s="24" t="str">
        <x:v>LME_015</x:v>
      </x:c>
      <x:c r="B121" s="24" t="str">
        <x:v>South Brazil Shelf</x:v>
      </x:c>
      <x:c r="C121" s="24" t="str">
        <x:v>LME</x:v>
      </x:c>
      <x:c r="D121" s="30" t="n">
        <x:v>2019</x:v>
      </x:c>
      <x:c r="E121" s="24" t="str">
        <x:v>Kajikia albida</x:v>
      </x:c>
      <x:c r="F121" s="24" t="str">
        <x:v>Atlantic white marlin</x:v>
      </x:c>
      <x:c r="G121" s="24" t="str">
        <x:v>Large pelagics (&gt;=90 cm)</x:v>
      </x:c>
      <x:c r="H121" s="24" t="str">
        <x:v>Tuna &amp; billfishes</x:v>
      </x:c>
      <x:c r="I121" s="31" t="n">
        <x:v>45.4179303148</x:v>
      </x:c>
      <x:c r="J121" s="31" t="n">
        <x:v>45.4179303148</x:v>
      </x:c>
      <x:c r="K121" s="31" t="n">
        <x:v>0</x:v>
      </x:c>
      <x:c r="L121" s="31" t="n">
        <x:v>45.40758813830001</x:v>
      </x:c>
      <x:c r="M121" s="31" t="n">
        <x:v>0.0103421765</x:v>
      </x:c>
      <x:c r="N121" s="24" t="str">
        <x:v>kajikia albida</x:v>
      </x:c>
      <x:c r="O121" s="32" t="n">
        <x:v>4.49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Kajikia albida</x:v>
      </x:c>
      <x:c r="T121" s="32" t="n">
        <x:f>IF(O121="","",(1/'Metadata'!$B$5)^(O121-1))</x:f>
        <x:v>3090.295432513592</x:v>
      </x:c>
      <x:c r="U121" s="31" t="n">
        <x:f>IF(T121="","",I121*T121)</x:f>
        <x:v>140354.82260604706</x:v>
      </x:c>
    </x:row>
    <x:row r="122" ht="18" customHeight="1">
      <x:c r="A122" s="24" t="str">
        <x:v>LME_015</x:v>
      </x:c>
      <x:c r="B122" s="24" t="str">
        <x:v>South Brazil Shelf</x:v>
      </x:c>
      <x:c r="C122" s="24" t="str">
        <x:v>LME</x:v>
      </x:c>
      <x:c r="D122" s="30" t="n">
        <x:v>2019</x:v>
      </x:c>
      <x:c r="E122" s="24" t="str">
        <x:v>Mycteroperca</x:v>
      </x:c>
      <x:c r="F122" s="24" t="str">
        <x:v>Scamps, gags</x:v>
      </x:c>
      <x:c r="G122" s="24" t="str">
        <x:v>Medium reef assoc. fish (30 - 89 cm)</x:v>
      </x:c>
      <x:c r="H122" s="24" t="str">
        <x:v>Perch-likes</x:v>
      </x:c>
      <x:c r="I122" s="31" t="n">
        <x:v>45.0944474064</x:v>
      </x:c>
      <x:c r="J122" s="31" t="n">
        <x:v>45.0944474064</x:v>
      </x:c>
      <x:c r="K122" s="31" t="n">
        <x:v>0</x:v>
      </x:c>
      <x:c r="L122" s="31" t="n">
        <x:v>29.0331975917</x:v>
      </x:c>
      <x:c r="M122" s="31" t="n">
        <x:v>16.061249814700002</x:v>
      </x:c>
      <x:c r="N122" s="24" t="str">
        <x:v>mycteroperca</x:v>
      </x:c>
      <x:c r="O122" s="32" t="n">
        <x:v>4.35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Mycteroperca</x:v>
      </x:c>
      <x:c r="T122" s="32" t="n">
        <x:f>IF(O122="","",(1/'Metadata'!$B$5)^(O122-1))</x:f>
        <x:v>2238.7211385683377</x:v>
      </x:c>
      <x:c r="U122" s="31" t="n">
        <x:f>IF(T122="","",I122*T122)</x:f>
        <x:v>100953.89264076583</x:v>
      </x:c>
    </x:row>
    <x:row r="123" ht="18" customHeight="1">
      <x:c r="A123" s="24" t="str">
        <x:v>LME_015</x:v>
      </x:c>
      <x:c r="B123" s="24" t="str">
        <x:v>South Brazil Shelf</x:v>
      </x:c>
      <x:c r="C123" s="24" t="str">
        <x:v>LME</x:v>
      </x:c>
      <x:c r="D123" s="30" t="n">
        <x:v>2019</x:v>
      </x:c>
      <x:c r="E123" s="24" t="str">
        <x:v>Mugilidae</x:v>
      </x:c>
      <x:c r="F123" s="24" t="str">
        <x:v>Mullets, grey mullets</x:v>
      </x:c>
      <x:c r="G123" s="24" t="str">
        <x:v>Medium reef assoc. fish (30 - 89 cm)</x:v>
      </x:c>
      <x:c r="H123" s="24" t="str">
        <x:v>Perch-likes</x:v>
      </x:c>
      <x:c r="I123" s="31" t="n">
        <x:v>44.7663230295</x:v>
      </x:c>
      <x:c r="J123" s="31" t="n">
        <x:v>44.7663230295</x:v>
      </x:c>
      <x:c r="K123" s="31" t="n">
        <x:v>0</x:v>
      </x:c>
      <x:c r="L123" s="31" t="n">
        <x:v>7.8188097386</x:v>
      </x:c>
      <x:c r="M123" s="31" t="n">
        <x:v>36.9475132909</x:v>
      </x:c>
      <x:c r="N123" s="24" t="str">
        <x:v>mugilidae</x:v>
      </x:c>
      <x:c r="O123" s="32" t="n">
        <x:v>2.53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Mugilidae</x:v>
      </x:c>
      <x:c r="T123" s="32" t="n">
        <x:f>IF(O123="","",(1/'Metadata'!$B$5)^(O123-1))</x:f>
        <x:v>33.88441561392024</x:v>
      </x:c>
      <x:c r="U123" s="31" t="n">
        <x:f>IF(T123="","",I123*T123)</x:f>
        <x:v>1516.880695038587</x:v>
      </x:c>
    </x:row>
    <x:row r="124" ht="18" customHeight="1">
      <x:c r="A124" s="24" t="str">
        <x:v>LME_015</x:v>
      </x:c>
      <x:c r="B124" s="24" t="str">
        <x:v>South Brazil Shelf</x:v>
      </x:c>
      <x:c r="C124" s="24" t="str">
        <x:v>LME</x:v>
      </x:c>
      <x:c r="D124" s="30" t="n">
        <x:v>2019</x:v>
      </x:c>
      <x:c r="E124" s="24" t="str">
        <x:v>Cynoscion virescens</x:v>
      </x:c>
      <x:c r="F124" s="24" t="str">
        <x:v>Green weakfish</x:v>
      </x:c>
      <x:c r="G124" s="24" t="str">
        <x:v>Large demersals (&gt;=90 cm)</x:v>
      </x:c>
      <x:c r="H124" s="24" t="str">
        <x:v>Perch-likes</x:v>
      </x:c>
      <x:c r="I124" s="31" t="n">
        <x:v>44.538109105100006</x:v>
      </x:c>
      <x:c r="J124" s="31" t="n">
        <x:v>16.1153180931</x:v>
      </x:c>
      <x:c r="K124" s="31" t="n">
        <x:v>28.422791012</x:v>
      </x:c>
      <x:c r="L124" s="31" t="n">
        <x:v>6.6795529723</x:v>
      </x:c>
      <x:c r="M124" s="31" t="n">
        <x:v>37.858556132800004</x:v>
      </x:c>
      <x:c r="N124" s="24" t="str">
        <x:v>cynoscion virescens</x:v>
      </x:c>
      <x:c r="O124" s="32" t="n">
        <x:v>4.03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Cynoscion virescens</x:v>
      </x:c>
      <x:c r="T124" s="32" t="n">
        <x:f>IF(O124="","",(1/'Metadata'!$B$5)^(O124-1))</x:f>
        <x:v>1071.519305237607</x:v>
      </x:c>
      <x:c r="U124" s="31" t="n">
        <x:f>IF(T124="","",I124*T124)</x:f>
        <x:v>47723.4437248935</x:v>
      </x:c>
    </x:row>
    <x:row r="125" ht="18" customHeight="1">
      <x:c r="A125" s="24" t="str">
        <x:v>LME_015</x:v>
      </x:c>
      <x:c r="B125" s="24" t="str">
        <x:v>South Brazil Shelf</x:v>
      </x:c>
      <x:c r="C125" s="24" t="str">
        <x:v>LME</x:v>
      </x:c>
      <x:c r="D125" s="30" t="n">
        <x:v>2019</x:v>
      </x:c>
      <x:c r="E125" s="24" t="str">
        <x:v>Caranx crysos</x:v>
      </x:c>
      <x:c r="F125" s="24" t="str">
        <x:v>Blue runner</x:v>
      </x:c>
      <x:c r="G125" s="24" t="str">
        <x:v>Medium reef assoc. fish (30 - 89 cm)</x:v>
      </x:c>
      <x:c r="H125" s="24" t="str">
        <x:v>Perch-likes</x:v>
      </x:c>
      <x:c r="I125" s="31" t="n">
        <x:v>44.452569944000004</x:v>
      </x:c>
      <x:c r="J125" s="31" t="n">
        <x:v>44.452569944000004</x:v>
      </x:c>
      <x:c r="K125" s="31" t="n">
        <x:v>0</x:v>
      </x:c>
      <x:c r="L125" s="31" t="n">
        <x:v>43.500846045</x:v>
      </x:c>
      <x:c r="M125" s="31" t="n">
        <x:v>0.951723899</x:v>
      </x:c>
      <x:c r="N125" s="24" t="str">
        <x:v>caranx crysos</x:v>
      </x:c>
      <x:c r="O125" s="32" t="n">
        <x:v>4.13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Caranx crysos</x:v>
      </x:c>
      <x:c r="T125" s="32" t="n">
        <x:f>IF(O125="","",(1/'Metadata'!$B$5)^(O125-1))</x:f>
        <x:v>1348.9628825916532</x:v>
      </x:c>
      <x:c r="U125" s="31" t="n">
        <x:f>IF(T125="","",I125*T125)</x:f>
        <x:v>59964.86689026533</x:v>
      </x:c>
    </x:row>
    <x:row r="126" ht="18" customHeight="1">
      <x:c r="A126" s="24" t="str">
        <x:v>LME_015</x:v>
      </x:c>
      <x:c r="B126" s="24" t="str">
        <x:v>South Brazil Shelf</x:v>
      </x:c>
      <x:c r="C126" s="24" t="str">
        <x:v>LME</x:v>
      </x:c>
      <x:c r="D126" s="30" t="n">
        <x:v>2019</x:v>
      </x:c>
      <x:c r="E126" s="24" t="str">
        <x:v>Seriola lalandi</x:v>
      </x:c>
      <x:c r="F126" s="24" t="str">
        <x:v>Yellowtail amberjack</x:v>
      </x:c>
      <x:c r="G126" s="24" t="str">
        <x:v>Large benthopelagics (&gt;=90 cm)</x:v>
      </x:c>
      <x:c r="H126" s="24" t="str">
        <x:v>Perch-likes</x:v>
      </x:c>
      <x:c r="I126" s="31" t="n">
        <x:v>43.5099402514</x:v>
      </x:c>
      <x:c r="J126" s="31" t="n">
        <x:v>43.5099402514</x:v>
      </x:c>
      <x:c r="K126" s="31" t="n">
        <x:v>0</x:v>
      </x:c>
      <x:c r="L126" s="31" t="n">
        <x:v>41.8268636786</x:v>
      </x:c>
      <x:c r="M126" s="31" t="n">
        <x:v>1.6830765728</x:v>
      </x:c>
      <x:c r="N126" s="24" t="str">
        <x:v>seriola lalandi</x:v>
      </x:c>
      <x:c r="O126" s="32" t="n">
        <x:v>4.16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Seriola lalandi</x:v>
      </x:c>
      <x:c r="T126" s="32" t="n">
        <x:f>IF(O126="","",(1/'Metadata'!$B$5)^(O126-1))</x:f>
        <x:v>1445.439770745928</x:v>
      </x:c>
      <x:c r="U126" s="31" t="n">
        <x:f>IF(T126="","",I126*T126)</x:f>
        <x:v>62890.99806215264</x:v>
      </x:c>
    </x:row>
    <x:row r="127" ht="18" customHeight="1">
      <x:c r="A127" s="24" t="str">
        <x:v>LME_015</x:v>
      </x:c>
      <x:c r="B127" s="24" t="str">
        <x:v>South Brazil Shelf</x:v>
      </x:c>
      <x:c r="C127" s="24" t="str">
        <x:v>LME</x:v>
      </x:c>
      <x:c r="D127" s="30" t="n">
        <x:v>2019</x:v>
      </x:c>
      <x:c r="E127" s="24" t="str">
        <x:v>Lepidocybium flavobrunneum</x:v>
      </x:c>
      <x:c r="F127" s="24" t="str">
        <x:v>Escolar</x:v>
      </x:c>
      <x:c r="G127" s="24" t="str">
        <x:v>Large bathypelagics (&gt;=90 cm)</x:v>
      </x:c>
      <x:c r="H127" s="24" t="str">
        <x:v>Perch-likes</x:v>
      </x:c>
      <x:c r="I127" s="31" t="n">
        <x:v>42.134236919500005</x:v>
      </x:c>
      <x:c r="J127" s="31" t="n">
        <x:v>42.134236919500005</x:v>
      </x:c>
      <x:c r="K127" s="31" t="n">
        <x:v>0</x:v>
      </x:c>
      <x:c r="L127" s="31" t="n">
        <x:v>41.914471494400004</x:v>
      </x:c>
      <x:c r="M127" s="31" t="n">
        <x:v>0.21976542510000002</x:v>
      </x:c>
      <x:c r="N127" s="24" t="str">
        <x:v>lepidocybium flavobrunneum</x:v>
      </x:c>
      <x:c r="O127" s="32" t="n">
        <x:v>4.34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Lepidocybium flavobrunneum</x:v>
      </x:c>
      <x:c r="T127" s="32" t="n">
        <x:f>IF(O127="","",(1/'Metadata'!$B$5)^(O127-1))</x:f>
        <x:v>2187.761623949552</x:v>
      </x:c>
      <x:c r="U127" s="31" t="n">
        <x:f>IF(T127="","",I127*T127)</x:f>
        <x:v>92179.6665868805</x:v>
      </x:c>
    </x:row>
    <x:row r="128" ht="18" customHeight="1">
      <x:c r="A128" s="24" t="str">
        <x:v>LME_015</x:v>
      </x:c>
      <x:c r="B128" s="24" t="str">
        <x:v>South Brazil Shelf</x:v>
      </x:c>
      <x:c r="C128" s="24" t="str">
        <x:v>LME</x:v>
      </x:c>
      <x:c r="D128" s="30" t="n">
        <x:v>2019</x:v>
      </x:c>
      <x:c r="E128" s="24" t="str">
        <x:v>Portunidae</x:v>
      </x:c>
      <x:c r="F128" s="24" t="str">
        <x:v>Swimming crabs</x:v>
      </x:c>
      <x:c r="G128" s="24" t="str">
        <x:v>Lobsters, crabs</x:v>
      </x:c>
      <x:c r="H128" s="24" t="str">
        <x:v>Crustaceans</x:v>
      </x:c>
      <x:c r="I128" s="31" t="n">
        <x:v>41.3665151841</x:v>
      </x:c>
      <x:c r="J128" s="31" t="n">
        <x:v>41.3665151841</x:v>
      </x:c>
      <x:c r="K128" s="31" t="n">
        <x:v>0</x:v>
      </x:c>
      <x:c r="L128" s="31" t="n">
        <x:v>41.3665151841</x:v>
      </x:c>
      <x:c r="M128" s="31" t="n">
        <x:v>0</x:v>
      </x:c>
      <x:c r="N128" s="24" t="str">
        <x:v>portunidae</x:v>
      </x:c>
      <x:c r="O128" s="32" t="n">
        <x:v>3.56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Portunidae</x:v>
      </x:c>
      <x:c r="T128" s="32" t="n">
        <x:f>IF(O128="","",(1/'Metadata'!$B$5)^(O128-1))</x:f>
        <x:v>363.0780547701014</x:v>
      </x:c>
      <x:c r="U128" s="31" t="n">
        <x:f>IF(T128="","",I128*T128)</x:f>
        <x:v>15019.273865660893</x:v>
      </x:c>
    </x:row>
    <x:row r="129" ht="18" customHeight="1">
      <x:c r="A129" s="24" t="str">
        <x:v>LME_015</x:v>
      </x:c>
      <x:c r="B129" s="24" t="str">
        <x:v>South Brazil Shelf</x:v>
      </x:c>
      <x:c r="C129" s="24" t="str">
        <x:v>LME</x:v>
      </x:c>
      <x:c r="D129" s="30" t="n">
        <x:v>2019</x:v>
      </x:c>
      <x:c r="E129" s="24" t="str">
        <x:v>Harengula jaguana</x:v>
      </x:c>
      <x:c r="F129" s="24" t="str">
        <x:v>Scaled herring</x:v>
      </x:c>
      <x:c r="G129" s="24" t="str">
        <x:v>Small pelagics (&lt;30 cm)</x:v>
      </x:c>
      <x:c r="H129" s="24" t="str">
        <x:v>Herring-likes</x:v>
      </x:c>
      <x:c r="I129" s="31" t="n">
        <x:v>41.2693678415</x:v>
      </x:c>
      <x:c r="J129" s="31" t="n">
        <x:v>41.2693678415</x:v>
      </x:c>
      <x:c r="K129" s="31" t="n">
        <x:v>0</x:v>
      </x:c>
      <x:c r="L129" s="31" t="n">
        <x:v>41.2693678415</x:v>
      </x:c>
      <x:c r="M129" s="31" t="n">
        <x:v>0</x:v>
      </x:c>
      <x:c r="N129" s="24" t="str">
        <x:v>harengula jaguana</x:v>
      </x:c>
      <x:c r="O129" s="32" t="n">
        <x:v>3.42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Harengula jaguana</x:v>
      </x:c>
      <x:c r="T129" s="32" t="n">
        <x:f>IF(O129="","",(1/'Metadata'!$B$5)^(O129-1))</x:f>
        <x:v>263.02679918953817</x:v>
      </x:c>
      <x:c r="U129" s="31" t="n">
        <x:f>IF(T129="","",I129*T129)</x:f>
        <x:v>10854.949727925405</x:v>
      </x:c>
    </x:row>
    <x:row r="130" ht="18" customHeight="1">
      <x:c r="A130" s="24" t="str">
        <x:v>LME_015</x:v>
      </x:c>
      <x:c r="B130" s="24" t="str">
        <x:v>South Brazil Shelf</x:v>
      </x:c>
      <x:c r="C130" s="24" t="str">
        <x:v>LME</x:v>
      </x:c>
      <x:c r="D130" s="30" t="n">
        <x:v>2019</x:v>
      </x:c>
      <x:c r="E130" s="24" t="str">
        <x:v>Priacanthus arenatus</x:v>
      </x:c>
      <x:c r="F130" s="24" t="str">
        <x:v>Atlantic bigeye</x:v>
      </x:c>
      <x:c r="G130" s="24" t="str">
        <x:v>Medium reef assoc. fish (30 - 89 cm)</x:v>
      </x:c>
      <x:c r="H130" s="24" t="str">
        <x:v>Perch-likes</x:v>
      </x:c>
      <x:c r="I130" s="31" t="n">
        <x:v>40.8109038418</x:v>
      </x:c>
      <x:c r="J130" s="31" t="n">
        <x:v>40.8109038418</x:v>
      </x:c>
      <x:c r="K130" s="31" t="n">
        <x:v>0</x:v>
      </x:c>
      <x:c r="L130" s="31" t="n">
        <x:v>39.9156983603</x:v>
      </x:c>
      <x:c r="M130" s="31" t="n">
        <x:v>0.8952054815000001</x:v>
      </x:c>
      <x:c r="N130" s="24" t="str">
        <x:v>priacanthus arenatus</x:v>
      </x:c>
      <x:c r="O130" s="32" t="n">
        <x:v>4.04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Priacanthus arenatus</x:v>
      </x:c>
      <x:c r="T130" s="32" t="n">
        <x:f>IF(O130="","",(1/'Metadata'!$B$5)^(O130-1))</x:f>
        <x:v>1096.4781961431852</x:v>
      </x:c>
      <x:c r="U130" s="31" t="n">
        <x:f>IF(T130="","",I130*T130)</x:f>
        <x:v>44748.26622742985</x:v>
      </x:c>
    </x:row>
    <x:row r="131" ht="18" customHeight="1">
      <x:c r="A131" s="24" t="str">
        <x:v>LME_015</x:v>
      </x:c>
      <x:c r="B131" s="24" t="str">
        <x:v>South Brazil Shelf</x:v>
      </x:c>
      <x:c r="C131" s="24" t="str">
        <x:v>LME</x:v>
      </x:c>
      <x:c r="D131" s="30" t="n">
        <x:v>2019</x:v>
      </x:c>
      <x:c r="E131" s="24" t="str">
        <x:v>Epinephelus marginatus</x:v>
      </x:c>
      <x:c r="F131" s="24" t="str">
        <x:v>Dusky grouper</x:v>
      </x:c>
      <x:c r="G131" s="24" t="str">
        <x:v>Large reef assoc. fish (&gt;=90 cm)</x:v>
      </x:c>
      <x:c r="H131" s="24" t="str">
        <x:v>Perch-likes</x:v>
      </x:c>
      <x:c r="I131" s="31" t="n">
        <x:v>39.4049632132</x:v>
      </x:c>
      <x:c r="J131" s="31" t="n">
        <x:v>39.4049632132</x:v>
      </x:c>
      <x:c r="K131" s="31" t="n">
        <x:v>0</x:v>
      </x:c>
      <x:c r="L131" s="31" t="n">
        <x:v>32.150187537899996</x:v>
      </x:c>
      <x:c r="M131" s="31" t="n">
        <x:v>7.2547756752999994</x:v>
      </x:c>
      <x:c r="N131" s="24" t="str">
        <x:v>epinephelus marginatus</x:v>
      </x:c>
      <x:c r="O131" s="32" t="n">
        <x:v>4.43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Epinephelus marginatus</x:v>
      </x:c>
      <x:c r="T131" s="32" t="n">
        <x:f>IF(O131="","",(1/'Metadata'!$B$5)^(O131-1))</x:f>
        <x:v>2691.534803926914</x:v>
      </x:c>
      <x:c r="U131" s="31" t="n">
        <x:f>IF(T131="","",I131*T131)</x:f>
        <x:v>106059.82993578751</x:v>
      </x:c>
    </x:row>
    <x:row r="132" ht="18" customHeight="1">
      <x:c r="A132" s="24" t="str">
        <x:v>LME_015</x:v>
      </x:c>
      <x:c r="B132" s="24" t="str">
        <x:v>South Brazil Shelf</x:v>
      </x:c>
      <x:c r="C132" s="24" t="str">
        <x:v>LME</x:v>
      </x:c>
      <x:c r="D132" s="30" t="n">
        <x:v>2019</x:v>
      </x:c>
      <x:c r="E132" s="24" t="str">
        <x:v>Menticirrhus americanus</x:v>
      </x:c>
      <x:c r="F132" s="24" t="str">
        <x:v>Southern kingcroaker</x:v>
      </x:c>
      <x:c r="G132" s="24" t="str">
        <x:v>Medium demersals (30 - 89 cm)</x:v>
      </x:c>
      <x:c r="H132" s="24" t="str">
        <x:v>Perch-likes</x:v>
      </x:c>
      <x:c r="I132" s="31" t="n">
        <x:v>37.6827646804</x:v>
      </x:c>
      <x:c r="J132" s="31" t="n">
        <x:v>37.6827646804</x:v>
      </x:c>
      <x:c r="K132" s="31" t="n">
        <x:v>0</x:v>
      </x:c>
      <x:c r="L132" s="31" t="n">
        <x:v>36.3967467938</x:v>
      </x:c>
      <x:c r="M132" s="31" t="n">
        <x:v>1.2860178866</x:v>
      </x:c>
      <x:c r="N132" s="24" t="str">
        <x:v>menticirrhus americanus</x:v>
      </x:c>
      <x:c r="O132" s="32" t="n">
        <x:v>3.5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Menticirrhus americanus</x:v>
      </x:c>
      <x:c r="T132" s="32" t="n">
        <x:f>IF(O132="","",(1/'Metadata'!$B$5)^(O132-1))</x:f>
        <x:v>316.22776601683796</x:v>
      </x:c>
      <x:c r="U132" s="31" t="n">
        <x:f>IF(T132="","",I132*T132)</x:f>
        <x:v>11916.336492221097</x:v>
      </x:c>
    </x:row>
    <x:row r="133" ht="18" customHeight="1">
      <x:c r="A133" s="24" t="str">
        <x:v>LME_015</x:v>
      </x:c>
      <x:c r="B133" s="24" t="str">
        <x:v>South Brazil Shelf</x:v>
      </x:c>
      <x:c r="C133" s="24" t="str">
        <x:v>LME</x:v>
      </x:c>
      <x:c r="D133" s="30" t="n">
        <x:v>2019</x:v>
      </x:c>
      <x:c r="E133" s="24" t="str">
        <x:v>Galeorhinus galeus</x:v>
      </x:c>
      <x:c r="F133" s="24" t="str">
        <x:v>Tope shark</x:v>
      </x:c>
      <x:c r="G133" s="24" t="str">
        <x:v>Large sharks (&gt;=90 cm)</x:v>
      </x:c>
      <x:c r="H133" s="24" t="str">
        <x:v>Sharks &amp; rays</x:v>
      </x:c>
      <x:c r="I133" s="31" t="n">
        <x:v>37.4562939</x:v>
      </x:c>
      <x:c r="J133" s="31" t="n">
        <x:v>37.4562939</x:v>
      </x:c>
      <x:c r="K133" s="31" t="n">
        <x:v>0</x:v>
      </x:c>
      <x:c r="L133" s="31" t="n">
        <x:v>37.3510937294</x:v>
      </x:c>
      <x:c r="M133" s="31" t="n">
        <x:v>0.1052001706</x:v>
      </x:c>
      <x:c r="N133" s="24" t="str">
        <x:v>galeorhinus galeus</x:v>
      </x:c>
      <x:c r="O133" s="32" t="n">
        <x:v>4.34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Galeorhinus galeus</x:v>
      </x:c>
      <x:c r="T133" s="32" t="n">
        <x:f>IF(O133="","",(1/'Metadata'!$B$5)^(O133-1))</x:f>
        <x:v>2187.761623949552</x:v>
      </x:c>
      <x:c r="U133" s="31" t="n">
        <x:f>IF(T133="","",I133*T133)</x:f>
        <x:v>81945.4423697957</x:v>
      </x:c>
    </x:row>
    <x:row r="134" ht="18" customHeight="1">
      <x:c r="A134" s="24" t="str">
        <x:v>LME_015</x:v>
      </x:c>
      <x:c r="B134" s="24" t="str">
        <x:v>South Brazil Shelf</x:v>
      </x:c>
      <x:c r="C134" s="24" t="str">
        <x:v>LME</x:v>
      </x:c>
      <x:c r="D134" s="30" t="n">
        <x:v>2019</x:v>
      </x:c>
      <x:c r="E134" s="24" t="str">
        <x:v>Sparidae</x:v>
      </x:c>
      <x:c r="F134" s="24" t="str">
        <x:v>Porgies, seabreams</x:v>
      </x:c>
      <x:c r="G134" s="24" t="str">
        <x:v>Medium benthopelagics (30 - 89 cm)</x:v>
      </x:c>
      <x:c r="H134" s="24" t="str">
        <x:v>Perch-likes</x:v>
      </x:c>
      <x:c r="I134" s="31" t="n">
        <x:v>34.5005352859</x:v>
      </x:c>
      <x:c r="J134" s="31" t="n">
        <x:v>34.5005352859</x:v>
      </x:c>
      <x:c r="K134" s="31" t="n">
        <x:v>0</x:v>
      </x:c>
      <x:c r="L134" s="31" t="n">
        <x:v>34.4556433803</x:v>
      </x:c>
      <x:c r="M134" s="31" t="n">
        <x:v>0.0448919056</x:v>
      </x:c>
      <x:c r="N134" s="24" t="str">
        <x:v>sparidae</x:v>
      </x:c>
      <x:c r="O134" s="32" t="n">
        <x:v>3.31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Sparidae</x:v>
      </x:c>
      <x:c r="T134" s="32" t="n">
        <x:f>IF(O134="","",(1/'Metadata'!$B$5)^(O134-1))</x:f>
        <x:v>204.17379446695296</x:v>
      </x:c>
      <x:c r="U134" s="31" t="n">
        <x:f>IF(T134="","",I134*T134)</x:f>
        <x:v>7044.105200463205</x:v>
      </x:c>
    </x:row>
    <x:row r="135" ht="18" customHeight="1">
      <x:c r="A135" s="24" t="str">
        <x:v>LME_015</x:v>
      </x:c>
      <x:c r="B135" s="24" t="str">
        <x:v>South Brazil Shelf</x:v>
      </x:c>
      <x:c r="C135" s="24" t="str">
        <x:v>LME</x:v>
      </x:c>
      <x:c r="D135" s="30" t="n">
        <x:v>2019</x:v>
      </x:c>
      <x:c r="E135" s="24" t="str">
        <x:v>Pristidae</x:v>
      </x:c>
      <x:c r="F135" s="24" t="str">
        <x:v>Sawfishes</x:v>
      </x:c>
      <x:c r="G135" s="24" t="str">
        <x:v>Large rays (&gt;=90 cm)</x:v>
      </x:c>
      <x:c r="H135" s="24" t="str">
        <x:v>Sharks &amp; rays</x:v>
      </x:c>
      <x:c r="I135" s="31" t="n">
        <x:v>34.076981106699996</x:v>
      </x:c>
      <x:c r="J135" s="31" t="n">
        <x:v>34.076981106699996</x:v>
      </x:c>
      <x:c r="K135" s="31" t="n">
        <x:v>0</x:v>
      </x:c>
      <x:c r="L135" s="31" t="n">
        <x:v>33.0583389443</x:v>
      </x:c>
      <x:c r="M135" s="31" t="n">
        <x:v>1.0186421624</x:v>
      </x:c>
      <x:c r="N135" s="24" t="str">
        <x:v>pristidae</x:v>
      </x:c>
      <x:c r="O135" s="32" t="n">
        <x:v>4.24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Pristidae</x:v>
      </x:c>
      <x:c r="T135" s="32" t="n">
        <x:f>IF(O135="","",(1/'Metadata'!$B$5)^(O135-1))</x:f>
        <x:v>1737.8008287493763</x:v>
      </x:c>
      <x:c r="U135" s="31" t="n">
        <x:f>IF(T135="","",I135*T135)</x:f>
        <x:v>59219.00600850009</x:v>
      </x:c>
    </x:row>
    <x:row r="136" ht="18" customHeight="1">
      <x:c r="A136" s="24" t="str">
        <x:v>LME_015</x:v>
      </x:c>
      <x:c r="B136" s="24" t="str">
        <x:v>South Brazil Shelf</x:v>
      </x:c>
      <x:c r="C136" s="24" t="str">
        <x:v>LME</x:v>
      </x:c>
      <x:c r="D136" s="30" t="n">
        <x:v>2019</x:v>
      </x:c>
      <x:c r="E136" s="24" t="str">
        <x:v>Anchoviella</x:v>
      </x:c>
      <x:c r="F136" s="24" t="str">
        <x:v>Anchovies</x:v>
      </x:c>
      <x:c r="G136" s="24" t="str">
        <x:v>Small pelagics (&lt;30 cm)</x:v>
      </x:c>
      <x:c r="H136" s="24" t="str">
        <x:v>Anchovies</x:v>
      </x:c>
      <x:c r="I136" s="31" t="n">
        <x:v>33.9114969498</x:v>
      </x:c>
      <x:c r="J136" s="31" t="n">
        <x:v>33.9114969498</x:v>
      </x:c>
      <x:c r="K136" s="31" t="n">
        <x:v>0</x:v>
      </x:c>
      <x:c r="L136" s="31" t="n">
        <x:v>30.8072468521</x:v>
      </x:c>
      <x:c r="M136" s="31" t="n">
        <x:v>3.1042500977</x:v>
      </x:c>
      <x:c r="N136" s="24" t="str">
        <x:v>anchoviella</x:v>
      </x:c>
      <x:c r="O136" s="32" t="n">
        <x:v>3.18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Anchoviella</x:v>
      </x:c>
      <x:c r="T136" s="32" t="n">
        <x:f>IF(O136="","",(1/'Metadata'!$B$5)^(O136-1))</x:f>
        <x:v>151.35612484362088</x:v>
      </x:c>
      <x:c r="U136" s="31" t="n">
        <x:f>IF(T136="","",I136*T136)</x:f>
        <x:v>5132.712765967996</x:v>
      </x:c>
    </x:row>
    <x:row r="137" ht="18" customHeight="1">
      <x:c r="A137" s="24" t="str">
        <x:v>LME_015</x:v>
      </x:c>
      <x:c r="B137" s="24" t="str">
        <x:v>South Brazil Shelf</x:v>
      </x:c>
      <x:c r="C137" s="24" t="str">
        <x:v>LME</x:v>
      </x:c>
      <x:c r="D137" s="30" t="n">
        <x:v>2019</x:v>
      </x:c>
      <x:c r="E137" s="24" t="str">
        <x:v>Anguilliformes</x:v>
      </x:c>
      <x:c r="F137" s="24" t="str">
        <x:v>Eels, morays</x:v>
      </x:c>
      <x:c r="G137" s="24" t="str">
        <x:v>Large demersals (&gt;=90 cm)</x:v>
      </x:c>
      <x:c r="H137" s="24" t="str">
        <x:v>Other fishes &amp; inverts</x:v>
      </x:c>
      <x:c r="I137" s="31" t="n">
        <x:v>33.0555953227</x:v>
      </x:c>
      <x:c r="J137" s="31" t="n">
        <x:v>33.0555953227</x:v>
      </x:c>
      <x:c r="K137" s="31" t="n">
        <x:v>0</x:v>
      </x:c>
      <x:c r="L137" s="31" t="n">
        <x:v>2.1311876656</x:v>
      </x:c>
      <x:c r="M137" s="31" t="n">
        <x:v>30.924407657099998</x:v>
      </x:c>
      <x:c r="N137" s="24" t="str">
        <x:v>anguilliformes</x:v>
      </x:c>
      <x:c r="O137" s="32" t="n">
        <x:v>3.89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Anguilliformes</x:v>
      </x:c>
      <x:c r="T137" s="32" t="n">
        <x:f>IF(O137="","",(1/'Metadata'!$B$5)^(O137-1))</x:f>
        <x:v>776.247116628692</x:v>
      </x:c>
      <x:c r="U137" s="31" t="n">
        <x:f>IF(T137="","",I137*T137)</x:f>
        <x:v>25659.31055769075</x:v>
      </x:c>
    </x:row>
    <x:row r="138" ht="18" customHeight="1">
      <x:c r="A138" s="24" t="str">
        <x:v>LME_015</x:v>
      </x:c>
      <x:c r="B138" s="24" t="str">
        <x:v>South Brazil Shelf</x:v>
      </x:c>
      <x:c r="C138" s="24" t="str">
        <x:v>LME</x:v>
      </x:c>
      <x:c r="D138" s="30" t="n">
        <x:v>2019</x:v>
      </x:c>
      <x:c r="E138" s="24" t="str">
        <x:v>Sphyrna</x:v>
      </x:c>
      <x:c r="F138" s="24" t="str">
        <x:v>Hammerhead sharks</x:v>
      </x:c>
      <x:c r="G138" s="24" t="str">
        <x:v>Large sharks (&gt;=90 cm)</x:v>
      </x:c>
      <x:c r="H138" s="24" t="str">
        <x:v>Sharks &amp; rays</x:v>
      </x:c>
      <x:c r="I138" s="31" t="n">
        <x:v>31.8963845267</x:v>
      </x:c>
      <x:c r="J138" s="31" t="n">
        <x:v>31.8963845267</x:v>
      </x:c>
      <x:c r="K138" s="31" t="n">
        <x:v>0</x:v>
      </x:c>
      <x:c r="L138" s="31" t="n">
        <x:v>31.4767063721</x:v>
      </x:c>
      <x:c r="M138" s="31" t="n">
        <x:v>0.4196781546</x:v>
      </x:c>
      <x:c r="N138" s="24" t="str">
        <x:v>sphyrna</x:v>
      </x:c>
      <x:c r="O138" s="32" t="n">
        <x:v>4.2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Sphyrna</x:v>
      </x:c>
      <x:c r="T138" s="32" t="n">
        <x:f>IF(O138="","",(1/'Metadata'!$B$5)^(O138-1))</x:f>
        <x:v>1584.893192461114</x:v>
      </x:c>
      <x:c r="U138" s="31" t="n">
        <x:f>IF(T138="","",I138*T138)</x:f>
        <x:v>50552.36270048884</x:v>
      </x:c>
    </x:row>
    <x:row r="139" ht="18" customHeight="1">
      <x:c r="A139" s="24" t="str">
        <x:v>LME_015</x:v>
      </x:c>
      <x:c r="B139" s="24" t="str">
        <x:v>South Brazil Shelf</x:v>
      </x:c>
      <x:c r="C139" s="24" t="str">
        <x:v>LME</x:v>
      </x:c>
      <x:c r="D139" s="30" t="n">
        <x:v>2019</x:v>
      </x:c>
      <x:c r="E139" s="24" t="str">
        <x:v>Cookeolus japonicus</x:v>
      </x:c>
      <x:c r="F139" s="24" t="str">
        <x:v>Longfinned bullseye</x:v>
      </x:c>
      <x:c r="G139" s="24" t="str">
        <x:v>Medium benthopelagics (30 - 89 cm)</x:v>
      </x:c>
      <x:c r="H139" s="24" t="str">
        <x:v>Perch-likes</x:v>
      </x:c>
      <x:c r="I139" s="31" t="n">
        <x:v>26.6948390325</x:v>
      </x:c>
      <x:c r="J139" s="31" t="n">
        <x:v>26.6948390325</x:v>
      </x:c>
      <x:c r="K139" s="31" t="n">
        <x:v>0</x:v>
      </x:c>
      <x:c r="L139" s="31" t="n">
        <x:v>13.855963767499999</x:v>
      </x:c>
      <x:c r="M139" s="31" t="n">
        <x:v>12.838875265</x:v>
      </x:c>
      <x:c r="N139" s="24" t="str">
        <x:v>cookeolus japonicus</x:v>
      </x:c>
      <x:c r="O139" s="32" t="n">
        <x:v>3.5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Cookeolus japonicus</x:v>
      </x:c>
      <x:c r="T139" s="32" t="n">
        <x:f>IF(O139="","",(1/'Metadata'!$B$5)^(O139-1))</x:f>
        <x:v>316.22776601683796</x:v>
      </x:c>
      <x:c r="U139" s="31" t="n">
        <x:f>IF(T139="","",I139*T139)</x:f>
        <x:v>8441.649311426563</x:v>
      </x:c>
    </x:row>
    <x:row r="140" ht="18" customHeight="1">
      <x:c r="A140" s="24" t="str">
        <x:v>LME_015</x:v>
      </x:c>
      <x:c r="B140" s="24" t="str">
        <x:v>South Brazil Shelf</x:v>
      </x:c>
      <x:c r="C140" s="24" t="str">
        <x:v>LME</x:v>
      </x:c>
      <x:c r="D140" s="30" t="n">
        <x:v>2019</x:v>
      </x:c>
      <x:c r="E140" s="24" t="str">
        <x:v>Decapoda</x:v>
      </x:c>
      <x:c r="F140" s="24" t="str">
        <x:v>Crabs, lobsters, shrimps</x:v>
      </x:c>
      <x:c r="G140" s="24" t="str">
        <x:v>Lobsters, crabs</x:v>
      </x:c>
      <x:c r="H140" s="24" t="str">
        <x:v>Crustaceans</x:v>
      </x:c>
      <x:c r="I140" s="31" t="n">
        <x:v>26.0784561731</x:v>
      </x:c>
      <x:c r="J140" s="31" t="n">
        <x:v>26.0784561731</x:v>
      </x:c>
      <x:c r="K140" s="31" t="n">
        <x:v>0</x:v>
      </x:c>
      <x:c r="L140" s="31" t="n">
        <x:v>0</x:v>
      </x:c>
      <x:c r="M140" s="31" t="n">
        <x:v>26.0784561731</x:v>
      </x:c>
      <x:c r="N140" s="24" t="str">
        <x:v>decapoda</x:v>
      </x:c>
      <x:c r="O140" s="32" t="n">
        <x:v>3.43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Decapoda</x:v>
      </x:c>
      <x:c r="T140" s="32" t="n">
        <x:f>IF(O140="","",(1/'Metadata'!$B$5)^(O140-1))</x:f>
        <x:v>269.1534803926917</x:v>
      </x:c>
      <x:c r="U140" s="31" t="n">
        <x:f>IF(T140="","",I140*T140)</x:f>
        <x:v>7019.10724225814</x:v>
      </x:c>
    </x:row>
    <x:row r="141" ht="18" customHeight="1">
      <x:c r="A141" s="24" t="str">
        <x:v>LME_015</x:v>
      </x:c>
      <x:c r="B141" s="24" t="str">
        <x:v>South Brazil Shelf</x:v>
      </x:c>
      <x:c r="C141" s="24" t="str">
        <x:v>LME</x:v>
      </x:c>
      <x:c r="D141" s="30" t="n">
        <x:v>2019</x:v>
      </x:c>
      <x:c r="E141" s="24" t="str">
        <x:v>Decapterus</x:v>
      </x:c>
      <x:c r="F141" s="24" t="str">
        <x:v>Scads</x:v>
      </x:c>
      <x:c r="G141" s="24" t="str">
        <x:v>Medium pelagics (30 - 89 cm)</x:v>
      </x:c>
      <x:c r="H141" s="24" t="str">
        <x:v>Perch-likes</x:v>
      </x:c>
      <x:c r="I141" s="31" t="n">
        <x:v>25.9677772287</x:v>
      </x:c>
      <x:c r="J141" s="31" t="n">
        <x:v>25.9677772287</x:v>
      </x:c>
      <x:c r="K141" s="31" t="n">
        <x:v>0</x:v>
      </x:c>
      <x:c r="L141" s="31" t="n">
        <x:v>25.139023328100002</x:v>
      </x:c>
      <x:c r="M141" s="31" t="n">
        <x:v>0.8287539006</x:v>
      </x:c>
      <x:c r="N141" s="24" t="str">
        <x:v>decapterus</x:v>
      </x:c>
      <x:c r="O141" s="32" t="n">
        <x:v>3.63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Decapterus</x:v>
      </x:c>
      <x:c r="T141" s="32" t="n">
        <x:f>IF(O141="","",(1/'Metadata'!$B$5)^(O141-1))</x:f>
        <x:v>426.57951880159254</x:v>
      </x:c>
      <x:c r="U141" s="31" t="n">
        <x:f>IF(T141="","",I141*T141)</x:f>
        <x:v>11077.321914565799</x:v>
      </x:c>
    </x:row>
    <x:row r="142" ht="18" customHeight="1">
      <x:c r="A142" s="24" t="str">
        <x:v>LME_015</x:v>
      </x:c>
      <x:c r="B142" s="24" t="str">
        <x:v>South Brazil Shelf</x:v>
      </x:c>
      <x:c r="C142" s="24" t="str">
        <x:v>LME</x:v>
      </x:c>
      <x:c r="D142" s="30" t="n">
        <x:v>2019</x:v>
      </x:c>
      <x:c r="E142" s="24" t="str">
        <x:v>Haemulon</x:v>
      </x:c>
      <x:c r="F142" s="24" t="str">
        <x:v>Grunts</x:v>
      </x:c>
      <x:c r="G142" s="24" t="str">
        <x:v>Small reef assoc. fish (&lt;30 cm)</x:v>
      </x:c>
      <x:c r="H142" s="24" t="str">
        <x:v>Perch-likes</x:v>
      </x:c>
      <x:c r="I142" s="31" t="n">
        <x:v>22.6755841176</x:v>
      </x:c>
      <x:c r="J142" s="31" t="n">
        <x:v>22.6755841176</x:v>
      </x:c>
      <x:c r="K142" s="31" t="n">
        <x:v>0</x:v>
      </x:c>
      <x:c r="L142" s="31" t="n">
        <x:v>22.226453616</x:v>
      </x:c>
      <x:c r="M142" s="31" t="n">
        <x:v>0.4491305016</x:v>
      </x:c>
      <x:c r="N142" s="24" t="str">
        <x:v>haemulon</x:v>
      </x:c>
      <x:c r="O142" s="32" t="n">
        <x:v>3.25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Haemulon</x:v>
      </x:c>
      <x:c r="T142" s="32" t="n">
        <x:f>IF(O142="","",(1/'Metadata'!$B$5)^(O142-1))</x:f>
        <x:v>177.82794100389228</x:v>
      </x:c>
      <x:c r="U142" s="31" t="n">
        <x:f>IF(T142="","",I142*T142)</x:f>
        <x:v>4032.3524346933696</x:v>
      </x:c>
    </x:row>
    <x:row r="143" ht="18" customHeight="1">
      <x:c r="A143" s="24" t="str">
        <x:v>LME_015</x:v>
      </x:c>
      <x:c r="B143" s="24" t="str">
        <x:v>South Brazil Shelf</x:v>
      </x:c>
      <x:c r="C143" s="24" t="str">
        <x:v>LME</x:v>
      </x:c>
      <x:c r="D143" s="30" t="n">
        <x:v>2019</x:v>
      </x:c>
      <x:c r="E143" s="24" t="str">
        <x:v>Cephalopholis fulva</x:v>
      </x:c>
      <x:c r="F143" s="24" t="str">
        <x:v>Coney</x:v>
      </x:c>
      <x:c r="G143" s="24" t="str">
        <x:v>Medium reef assoc. fish (30 - 89 cm)</x:v>
      </x:c>
      <x:c r="H143" s="24" t="str">
        <x:v>Perch-likes</x:v>
      </x:c>
      <x:c r="I143" s="31" t="n">
        <x:v>22.0962237347</x:v>
      </x:c>
      <x:c r="J143" s="31" t="n">
        <x:v>22.0962237347</x:v>
      </x:c>
      <x:c r="K143" s="31" t="n">
        <x:v>0</x:v>
      </x:c>
      <x:c r="L143" s="31" t="n">
        <x:v>21.5276538541</x:v>
      </x:c>
      <x:c r="M143" s="31" t="n">
        <x:v>0.5685698806</x:v>
      </x:c>
      <x:c r="N143" s="24" t="str">
        <x:v>cephalopholis fulva</x:v>
      </x:c>
      <x:c r="O143" s="32" t="n">
        <x:v>4.05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Cephalopholis fulva</x:v>
      </x:c>
      <x:c r="T143" s="32" t="n">
        <x:f>IF(O143="","",(1/'Metadata'!$B$5)^(O143-1))</x:f>
        <x:v>1122.018454301963</x:v>
      </x:c>
      <x:c r="U143" s="31" t="n">
        <x:f>IF(T143="","",I143*T143)</x:f>
        <x:v>24792.370800718443</x:v>
      </x:c>
    </x:row>
    <x:row r="144" ht="18" customHeight="1">
      <x:c r="A144" s="24" t="str">
        <x:v>LME_015</x:v>
      </x:c>
      <x:c r="B144" s="24" t="str">
        <x:v>South Brazil Shelf</x:v>
      </x:c>
      <x:c r="C144" s="24" t="str">
        <x:v>LME</x:v>
      </x:c>
      <x:c r="D144" s="30" t="n">
        <x:v>2019</x:v>
      </x:c>
      <x:c r="E144" s="24" t="str">
        <x:v>Monacanthidae</x:v>
      </x:c>
      <x:c r="F144" s="24" t="str">
        <x:v>Filefishes</x:v>
      </x:c>
      <x:c r="G144" s="24" t="str">
        <x:v>Medium reef assoc. fish (30 - 89 cm)</x:v>
      </x:c>
      <x:c r="H144" s="24" t="str">
        <x:v>Other fishes &amp; inverts</x:v>
      </x:c>
      <x:c r="I144" s="31" t="n">
        <x:v>21.8264689537</x:v>
      </x:c>
      <x:c r="J144" s="31" t="n">
        <x:v>21.8264689537</x:v>
      </x:c>
      <x:c r="K144" s="31" t="n">
        <x:v>0</x:v>
      </x:c>
      <x:c r="L144" s="31" t="n">
        <x:v>21.8264689537</x:v>
      </x:c>
      <x:c r="M144" s="31" t="n">
        <x:v>0</x:v>
      </x:c>
      <x:c r="N144" s="24" t="str">
        <x:v>monacanthidae</x:v>
      </x:c>
      <x:c r="O144" s="32" t="n">
        <x:v>3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Monacanthidae</x:v>
      </x:c>
      <x:c r="T144" s="32" t="n">
        <x:f>IF(O144="","",(1/'Metadata'!$B$5)^(O144-1))</x:f>
        <x:v>100</x:v>
      </x:c>
      <x:c r="U144" s="31" t="n">
        <x:f>IF(T144="","",I144*T144)</x:f>
        <x:v>2182.64689537</x:v>
      </x:c>
    </x:row>
    <x:row r="145" ht="18" customHeight="1">
      <x:c r="A145" s="24" t="str">
        <x:v>LME_015</x:v>
      </x:c>
      <x:c r="B145" s="24" t="str">
        <x:v>South Brazil Shelf</x:v>
      </x:c>
      <x:c r="C145" s="24" t="str">
        <x:v>LME</x:v>
      </x:c>
      <x:c r="D145" s="30" t="n">
        <x:v>2019</x:v>
      </x:c>
      <x:c r="E145" s="24" t="str">
        <x:v>Haemulon aurolineatum</x:v>
      </x:c>
      <x:c r="F145" s="24" t="str">
        <x:v>Tomtate grunt</x:v>
      </x:c>
      <x:c r="G145" s="24" t="str">
        <x:v>Small reef assoc. fish (&lt;30 cm)</x:v>
      </x:c>
      <x:c r="H145" s="24" t="str">
        <x:v>Perch-likes</x:v>
      </x:c>
      <x:c r="I145" s="31" t="n">
        <x:v>21.6481020912</x:v>
      </x:c>
      <x:c r="J145" s="31" t="n">
        <x:v>21.6481020912</x:v>
      </x:c>
      <x:c r="K145" s="31" t="n">
        <x:v>0</x:v>
      </x:c>
      <x:c r="L145" s="31" t="n">
        <x:v>21.492925178</x:v>
      </x:c>
      <x:c r="M145" s="31" t="n">
        <x:v>0.1551769132</x:v>
      </x:c>
      <x:c r="N145" s="24" t="str">
        <x:v>haemulon aurolineatum</x:v>
      </x:c>
      <x:c r="O145" s="32" t="n">
        <x:v>4.35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Haemulon aurolineatum</x:v>
      </x:c>
      <x:c r="T145" s="32" t="n">
        <x:f>IF(O145="","",(1/'Metadata'!$B$5)^(O145-1))</x:f>
        <x:v>2238.7211385683377</x:v>
      </x:c>
      <x:c r="U145" s="31" t="n">
        <x:f>IF(T145="","",I145*T145)</x:f>
        <x:v>48464.06376145487</x:v>
      </x:c>
    </x:row>
    <x:row r="146" ht="18" customHeight="1">
      <x:c r="A146" s="24" t="str">
        <x:v>LME_015</x:v>
      </x:c>
      <x:c r="B146" s="24" t="str">
        <x:v>South Brazil Shelf</x:v>
      </x:c>
      <x:c r="C146" s="24" t="str">
        <x:v>LME</x:v>
      </x:c>
      <x:c r="D146" s="30" t="n">
        <x:v>2019</x:v>
      </x:c>
      <x:c r="E146" s="24" t="str">
        <x:v>Congridae</x:v>
      </x:c>
      <x:c r="F146" s="24" t="str">
        <x:v>Conger, garden eels</x:v>
      </x:c>
      <x:c r="G146" s="24" t="str">
        <x:v>Large demersals (&gt;=90 cm)</x:v>
      </x:c>
      <x:c r="H146" s="24" t="str">
        <x:v>Other fishes &amp; inverts</x:v>
      </x:c>
      <x:c r="I146" s="31" t="n">
        <x:v>20.1301628716</x:v>
      </x:c>
      <x:c r="J146" s="31" t="n">
        <x:v>20.1301628716</x:v>
      </x:c>
      <x:c r="K146" s="31" t="n">
        <x:v>0</x:v>
      </x:c>
      <x:c r="L146" s="31" t="n">
        <x:v>0</x:v>
      </x:c>
      <x:c r="M146" s="31" t="n">
        <x:v>20.1301628716</x:v>
      </x:c>
      <x:c r="N146" s="24" t="str">
        <x:v>congridae</x:v>
      </x:c>
      <x:c r="O146" s="32" t="n">
        <x:v>4.18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Congridae</x:v>
      </x:c>
      <x:c r="T146" s="32" t="n">
        <x:f>IF(O146="","",(1/'Metadata'!$B$5)^(O146-1))</x:f>
        <x:v>1513.5612484362073</x:v>
      </x:c>
      <x:c r="U146" s="31" t="n">
        <x:f>IF(T146="","",I146*T146)</x:f>
        <x:v>30468.234447163082</x:v>
      </x:c>
    </x:row>
    <x:row r="147" ht="18" customHeight="1">
      <x:c r="A147" s="24" t="str">
        <x:v>LME_015</x:v>
      </x:c>
      <x:c r="B147" s="24" t="str">
        <x:v>South Brazil Shelf</x:v>
      </x:c>
      <x:c r="C147" s="24" t="str">
        <x:v>LME</x:v>
      </x:c>
      <x:c r="D147" s="30" t="n">
        <x:v>2019</x:v>
      </x:c>
      <x:c r="E147" s="24" t="str">
        <x:v>Mullidae</x:v>
      </x:c>
      <x:c r="F147" s="24" t="str">
        <x:v>Goatfishes</x:v>
      </x:c>
      <x:c r="G147" s="24" t="str">
        <x:v>Medium reef assoc. fish (30 - 89 cm)</x:v>
      </x:c>
      <x:c r="H147" s="24" t="str">
        <x:v>Perch-likes</x:v>
      </x:c>
      <x:c r="I147" s="31" t="n">
        <x:v>18.8006066827</x:v>
      </x:c>
      <x:c r="J147" s="31" t="n">
        <x:v>18.8006066827</x:v>
      </x:c>
      <x:c r="K147" s="31" t="n">
        <x:v>0</x:v>
      </x:c>
      <x:c r="L147" s="31" t="n">
        <x:v>12.363898242800001</x:v>
      </x:c>
      <x:c r="M147" s="31" t="n">
        <x:v>6.4367084399</x:v>
      </x:c>
      <x:c r="N147" s="24" t="str">
        <x:v>mullidae</x:v>
      </x:c>
      <x:c r="O147" s="32" t="n">
        <x:v>3.46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Mullidae</x:v>
      </x:c>
      <x:c r="T147" s="32" t="n">
        <x:f>IF(O147="","",(1/'Metadata'!$B$5)^(O147-1))</x:f>
        <x:v>288.40315031266056</x:v>
      </x:c>
      <x:c r="U147" s="31" t="n">
        <x:f>IF(T147="","",I147*T147)</x:f>
        <x:v>5422.154195079938</x:v>
      </x:c>
    </x:row>
    <x:row r="148" ht="18" customHeight="1">
      <x:c r="A148" s="24" t="str">
        <x:v>LME_015</x:v>
      </x:c>
      <x:c r="B148" s="24" t="str">
        <x:v>South Brazil Shelf</x:v>
      </x:c>
      <x:c r="C148" s="24" t="str">
        <x:v>LME</x:v>
      </x:c>
      <x:c r="D148" s="30" t="n">
        <x:v>2019</x:v>
      </x:c>
      <x:c r="E148" s="24" t="str">
        <x:v>Diapterus rhombeus</x:v>
      </x:c>
      <x:c r="F148" s="24" t="str">
        <x:v>Caitipa mojarra</x:v>
      </x:c>
      <x:c r="G148" s="24" t="str">
        <x:v>Medium demersals (30 - 89 cm)</x:v>
      </x:c>
      <x:c r="H148" s="24" t="str">
        <x:v>Perch-likes</x:v>
      </x:c>
      <x:c r="I148" s="31" t="n">
        <x:v>18.5097314155</x:v>
      </x:c>
      <x:c r="J148" s="31" t="n">
        <x:v>18.5097314155</x:v>
      </x:c>
      <x:c r="K148" s="31" t="n">
        <x:v>0</x:v>
      </x:c>
      <x:c r="L148" s="31" t="n">
        <x:v>18.383418887</x:v>
      </x:c>
      <x:c r="M148" s="31" t="n">
        <x:v>0.1263125285</x:v>
      </x:c>
      <x:c r="N148" s="24" t="str">
        <x:v>diapterus rhombeus</x:v>
      </x:c>
      <x:c r="O148" s="32" t="n">
        <x:v>3.01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Diapterus rhombeus</x:v>
      </x:c>
      <x:c r="T148" s="32" t="n">
        <x:f>IF(O148="","",(1/'Metadata'!$B$5)^(O148-1))</x:f>
        <x:v>102.32929922807536</x:v>
      </x:c>
      <x:c r="U148" s="31" t="n">
        <x:f>IF(T148="","",I148*T148)</x:f>
        <x:v>1894.0878446480062</x:v>
      </x:c>
    </x:row>
    <x:row r="149" ht="18" customHeight="1">
      <x:c r="A149" s="24" t="str">
        <x:v>LME_015</x:v>
      </x:c>
      <x:c r="B149" s="24" t="str">
        <x:v>South Brazil Shelf</x:v>
      </x:c>
      <x:c r="C149" s="24" t="str">
        <x:v>LME</x:v>
      </x:c>
      <x:c r="D149" s="30" t="n">
        <x:v>2019</x:v>
      </x:c>
      <x:c r="E149" s="24" t="str">
        <x:v>Caranx hippos</x:v>
      </x:c>
      <x:c r="F149" s="24" t="str">
        <x:v>Crevalle jack</x:v>
      </x:c>
      <x:c r="G149" s="24" t="str">
        <x:v>Large reef assoc. fish (&gt;=90 cm)</x:v>
      </x:c>
      <x:c r="H149" s="24" t="str">
        <x:v>Perch-likes</x:v>
      </x:c>
      <x:c r="I149" s="31" t="n">
        <x:v>18.1511861378</x:v>
      </x:c>
      <x:c r="J149" s="31" t="n">
        <x:v>18.1511861378</x:v>
      </x:c>
      <x:c r="K149" s="31" t="n">
        <x:v>0</x:v>
      </x:c>
      <x:c r="L149" s="31" t="n">
        <x:v>17.7187490038</x:v>
      </x:c>
      <x:c r="M149" s="31" t="n">
        <x:v>0.432437134</x:v>
      </x:c>
      <x:c r="N149" s="24" t="str">
        <x:v>caranx hippos</x:v>
      </x:c>
      <x:c r="O149" s="32" t="n">
        <x:v>3.56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Caranx hippos</x:v>
      </x:c>
      <x:c r="T149" s="32" t="n">
        <x:f>IF(O149="","",(1/'Metadata'!$B$5)^(O149-1))</x:f>
        <x:v>363.0780547701014</x:v>
      </x:c>
      <x:c r="U149" s="31" t="n">
        <x:f>IF(T149="","",I149*T149)</x:f>
        <x:v>6590.297354682453</x:v>
      </x:c>
    </x:row>
    <x:row r="150" ht="18" customHeight="1">
      <x:c r="A150" s="24" t="str">
        <x:v>LME_015</x:v>
      </x:c>
      <x:c r="B150" s="24" t="str">
        <x:v>South Brazil Shelf</x:v>
      </x:c>
      <x:c r="C150" s="24" t="str">
        <x:v>LME</x:v>
      </x:c>
      <x:c r="D150" s="30" t="n">
        <x:v>2019</x:v>
      </x:c>
      <x:c r="E150" s="24" t="str">
        <x:v>Coryphaena</x:v>
      </x:c>
      <x:c r="F150" s="24" t="str">
        <x:v>Dolphinfishes</x:v>
      </x:c>
      <x:c r="G150" s="24" t="str">
        <x:v>Large pelagics (&gt;=90 cm)</x:v>
      </x:c>
      <x:c r="H150" s="24" t="str">
        <x:v>Perch-likes</x:v>
      </x:c>
      <x:c r="I150" s="31" t="n">
        <x:v>17.9848918723</x:v>
      </x:c>
      <x:c r="J150" s="31" t="n">
        <x:v>17.9848918723</x:v>
      </x:c>
      <x:c r="K150" s="31" t="n">
        <x:v>0</x:v>
      </x:c>
      <x:c r="L150" s="31" t="n">
        <x:v>1.0927638044999999</x:v>
      </x:c>
      <x:c r="M150" s="31" t="n">
        <x:v>16.8921280678</x:v>
      </x:c>
      <x:c r="N150" s="24" t="str">
        <x:v>coryphaena</x:v>
      </x:c>
      <x:c r="O150" s="32" t="n">
        <x:v>4.49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Coryphaena</x:v>
      </x:c>
      <x:c r="T150" s="32" t="n">
        <x:f>IF(O150="","",(1/'Metadata'!$B$5)^(O150-1))</x:f>
        <x:v>3090.295432513592</x:v>
      </x:c>
      <x:c r="U150" s="31" t="n">
        <x:f>IF(T150="","",I150*T150)</x:f>
        <x:v>55578.629207219514</x:v>
      </x:c>
    </x:row>
    <x:row r="151" ht="18" customHeight="1">
      <x:c r="A151" s="24" t="str">
        <x:v>LME_015</x:v>
      </x:c>
      <x:c r="B151" s="24" t="str">
        <x:v>South Brazil Shelf</x:v>
      </x:c>
      <x:c r="C151" s="24" t="str">
        <x:v>LME</x:v>
      </x:c>
      <x:c r="D151" s="30" t="n">
        <x:v>2019</x:v>
      </x:c>
      <x:c r="E151" s="24" t="str">
        <x:v>Sarda sarda</x:v>
      </x:c>
      <x:c r="F151" s="24" t="str">
        <x:v>Atlantic bonito</x:v>
      </x:c>
      <x:c r="G151" s="24" t="str">
        <x:v>Medium pelagics (30 - 89 cm)</x:v>
      </x:c>
      <x:c r="H151" s="24" t="str">
        <x:v>Tuna &amp; billfishes</x:v>
      </x:c>
      <x:c r="I151" s="31" t="n">
        <x:v>17.9519120438</x:v>
      </x:c>
      <x:c r="J151" s="31" t="n">
        <x:v>17.9519120438</x:v>
      </x:c>
      <x:c r="K151" s="31" t="n">
        <x:v>0</x:v>
      </x:c>
      <x:c r="L151" s="31" t="n">
        <x:v>16.248250174</x:v>
      </x:c>
      <x:c r="M151" s="31" t="n">
        <x:v>1.7036618698000001</x:v>
      </x:c>
      <x:c r="N151" s="24" t="str">
        <x:v>sarda sarda</x:v>
      </x:c>
      <x:c r="O151" s="32" t="n">
        <x:v>4.5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Sarda sarda</x:v>
      </x:c>
      <x:c r="T151" s="32" t="n">
        <x:f>IF(O151="","",(1/'Metadata'!$B$5)^(O151-1))</x:f>
        <x:v>3162.2776601683795</x:v>
      </x:c>
      <x:c r="U151" s="31" t="n">
        <x:f>IF(T151="","",I151*T151)</x:f>
        <x:v>56768.93041341642</x:v>
      </x:c>
    </x:row>
    <x:row r="152" ht="18" customHeight="1">
      <x:c r="A152" s="24" t="str">
        <x:v>LME_015</x:v>
      </x:c>
      <x:c r="B152" s="24" t="str">
        <x:v>South Brazil Shelf</x:v>
      </x:c>
      <x:c r="C152" s="24" t="str">
        <x:v>LME</x:v>
      </x:c>
      <x:c r="D152" s="30" t="n">
        <x:v>2019</x:v>
      </x:c>
      <x:c r="E152" s="24" t="str">
        <x:v>Mycteroperca bonaci</x:v>
      </x:c>
      <x:c r="F152" s="24" t="str">
        <x:v>Black grouper</x:v>
      </x:c>
      <x:c r="G152" s="24" t="str">
        <x:v>Large reef assoc. fish (&gt;=90 cm)</x:v>
      </x:c>
      <x:c r="H152" s="24" t="str">
        <x:v>Perch-likes</x:v>
      </x:c>
      <x:c r="I152" s="31" t="n">
        <x:v>17.5276655</x:v>
      </x:c>
      <x:c r="J152" s="31" t="n">
        <x:v>17.5276655</x:v>
      </x:c>
      <x:c r="K152" s="31" t="n">
        <x:v>0</x:v>
      </x:c>
      <x:c r="L152" s="31" t="n">
        <x:v>15.393453349100001</x:v>
      </x:c>
      <x:c r="M152" s="31" t="n">
        <x:v>2.1342121509000003</x:v>
      </x:c>
      <x:c r="N152" s="24" t="str">
        <x:v>mycteroperca bonaci</x:v>
      </x:c>
      <x:c r="O152" s="32" t="n">
        <x:v>4.3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Mycteroperca bonaci</x:v>
      </x:c>
      <x:c r="T152" s="32" t="n">
        <x:f>IF(O152="","",(1/'Metadata'!$B$5)^(O152-1))</x:f>
        <x:v>1995.2623149688789</x:v>
      </x:c>
      <x:c r="U152" s="31" t="n">
        <x:f>IF(T152="","",I152*T152)</x:f>
        <x:v>34972.29044153015</x:v>
      </x:c>
    </x:row>
    <x:row r="153" ht="18" customHeight="1">
      <x:c r="A153" s="24" t="str">
        <x:v>LME_015</x:v>
      </x:c>
      <x:c r="B153" s="24" t="str">
        <x:v>South Brazil Shelf</x:v>
      </x:c>
      <x:c r="C153" s="24" t="str">
        <x:v>LME</x:v>
      </x:c>
      <x:c r="D153" s="30" t="n">
        <x:v>2019</x:v>
      </x:c>
      <x:c r="E153" s="24" t="str">
        <x:v>Panulirus argus</x:v>
      </x:c>
      <x:c r="F153" s="24" t="str">
        <x:v>Caribbean spiny lobster</x:v>
      </x:c>
      <x:c r="G153" s="24" t="str">
        <x:v>Lobsters, crabs</x:v>
      </x:c>
      <x:c r="H153" s="24" t="str">
        <x:v>Crustaceans</x:v>
      </x:c>
      <x:c r="I153" s="31" t="n">
        <x:v>17.512103469800003</x:v>
      </x:c>
      <x:c r="J153" s="31" t="n">
        <x:v>17.512103469800003</x:v>
      </x:c>
      <x:c r="K153" s="31" t="n">
        <x:v>0</x:v>
      </x:c>
      <x:c r="L153" s="31" t="n">
        <x:v>17.313765585200002</x:v>
      </x:c>
      <x:c r="M153" s="31" t="n">
        <x:v>0.1983378846</x:v>
      </x:c>
      <x:c r="N153" s="24" t="str">
        <x:v>panulirus argus</x:v>
      </x:c>
      <x:c r="O153" s="32" t="n">
        <x:v>3.2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Panulirus argus</x:v>
      </x:c>
      <x:c r="T153" s="32" t="n">
        <x:f>IF(O153="","",(1/'Metadata'!$B$5)^(O153-1))</x:f>
        <x:v>158.48931924611142</x:v>
      </x:c>
      <x:c r="U153" s="31" t="n">
        <x:f>IF(T153="","",I153*T153)</x:f>
        <x:v>2775.481357496068</x:v>
      </x:c>
    </x:row>
    <x:row r="154" ht="18" customHeight="1">
      <x:c r="A154" s="24" t="str">
        <x:v>LME_015</x:v>
      </x:c>
      <x:c r="B154" s="24" t="str">
        <x:v>South Brazil Shelf</x:v>
      </x:c>
      <x:c r="C154" s="24" t="str">
        <x:v>LME</x:v>
      </x:c>
      <x:c r="D154" s="30" t="n">
        <x:v>2019</x:v>
      </x:c>
      <x:c r="E154" s="24" t="str">
        <x:v>Acanthocybium solandri</x:v>
      </x:c>
      <x:c r="F154" s="24" t="str">
        <x:v>Wahoo</x:v>
      </x:c>
      <x:c r="G154" s="24" t="str">
        <x:v>Large pelagics (&gt;=90 cm)</x:v>
      </x:c>
      <x:c r="H154" s="24" t="str">
        <x:v>Perch-likes</x:v>
      </x:c>
      <x:c r="I154" s="31" t="n">
        <x:v>17.0262591108</x:v>
      </x:c>
      <x:c r="J154" s="31" t="n">
        <x:v>17.0262591108</x:v>
      </x:c>
      <x:c r="K154" s="31" t="n">
        <x:v>0</x:v>
      </x:c>
      <x:c r="L154" s="31" t="n">
        <x:v>10.5958102392</x:v>
      </x:c>
      <x:c r="M154" s="31" t="n">
        <x:v>6.4304488716</x:v>
      </x:c>
      <x:c r="N154" s="24" t="str">
        <x:v>acanthocybium solandri</x:v>
      </x:c>
      <x:c r="O154" s="32" t="n">
        <x:v>4.26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Acanthocybium solandri</x:v>
      </x:c>
      <x:c r="T154" s="32" t="n">
        <x:f>IF(O154="","",(1/'Metadata'!$B$5)^(O154-1))</x:f>
        <x:v>1819.7008586099826</x:v>
      </x:c>
      <x:c r="U154" s="31" t="n">
        <x:f>IF(T154="","",I154*T154)</x:f>
        <x:v>30982.6983228388</x:v>
      </x:c>
    </x:row>
    <x:row r="155" ht="18" customHeight="1">
      <x:c r="A155" s="24" t="str">
        <x:v>LME_015</x:v>
      </x:c>
      <x:c r="B155" s="24" t="str">
        <x:v>South Brazil Shelf</x:v>
      </x:c>
      <x:c r="C155" s="24" t="str">
        <x:v>LME</x:v>
      </x:c>
      <x:c r="D155" s="30" t="n">
        <x:v>2019</x:v>
      </x:c>
      <x:c r="E155" s="24" t="str">
        <x:v>Epinephelus itajara</x:v>
      </x:c>
      <x:c r="F155" s="24" t="str">
        <x:v>Atlantic goliath grouper</x:v>
      </x:c>
      <x:c r="G155" s="24" t="str">
        <x:v>Large reef assoc. fish (&gt;=90 cm)</x:v>
      </x:c>
      <x:c r="H155" s="24" t="str">
        <x:v>Perch-likes</x:v>
      </x:c>
      <x:c r="I155" s="31" t="n">
        <x:v>14.7008677878</x:v>
      </x:c>
      <x:c r="J155" s="31" t="n">
        <x:v>14.7008677878</x:v>
      </x:c>
      <x:c r="K155" s="31" t="n">
        <x:v>0</x:v>
      </x:c>
      <x:c r="L155" s="31" t="n">
        <x:v>14.2717945238</x:v>
      </x:c>
      <x:c r="M155" s="31" t="n">
        <x:v>0.429073264</x:v>
      </x:c>
      <x:c r="N155" s="24" t="str">
        <x:v>epinephelus itajara</x:v>
      </x:c>
      <x:c r="O155" s="32" t="n">
        <x:v>4.09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Epinephelus itajara</x:v>
      </x:c>
      <x:c r="T155" s="32" t="n">
        <x:f>IF(O155="","",(1/'Metadata'!$B$5)^(O155-1))</x:f>
        <x:v>1230.268770812381</x:v>
      </x:c>
      <x:c r="U155" s="31" t="n">
        <x:f>IF(T155="","",I155*T155)</x:f>
        <x:v>18086.018543172035</x:v>
      </x:c>
    </x:row>
    <x:row r="156" ht="18" customHeight="1">
      <x:c r="A156" s="24" t="str">
        <x:v>LME_015</x:v>
      </x:c>
      <x:c r="B156" s="24" t="str">
        <x:v>South Brazil Shelf</x:v>
      </x:c>
      <x:c r="C156" s="24" t="str">
        <x:v>LME</x:v>
      </x:c>
      <x:c r="D156" s="30" t="n">
        <x:v>2019</x:v>
      </x:c>
      <x:c r="E156" s="24" t="str">
        <x:v>Engraulis anchoita</x:v>
      </x:c>
      <x:c r="F156" s="24" t="str">
        <x:v>Argentine anchovy</x:v>
      </x:c>
      <x:c r="G156" s="24" t="str">
        <x:v>Small pelagics (&lt;30 cm)</x:v>
      </x:c>
      <x:c r="H156" s="24" t="str">
        <x:v>Anchovies</x:v>
      </x:c>
      <x:c r="I156" s="31" t="n">
        <x:v>13.8669680187</x:v>
      </x:c>
      <x:c r="J156" s="31" t="n">
        <x:v>13.8669680187</x:v>
      </x:c>
      <x:c r="K156" s="31" t="n">
        <x:v>0</x:v>
      </x:c>
      <x:c r="L156" s="31" t="n">
        <x:v>8.3685457103</x:v>
      </x:c>
      <x:c r="M156" s="31" t="n">
        <x:v>5.4984223083999995</x:v>
      </x:c>
      <x:c r="N156" s="24" t="str">
        <x:v>engraulis anchoita</x:v>
      </x:c>
      <x:c r="O156" s="32" t="n">
        <x:v>2.51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Engraulis anchoita</x:v>
      </x:c>
      <x:c r="T156" s="32" t="n">
        <x:f>IF(O156="","",(1/'Metadata'!$B$5)^(O156-1))</x:f>
        <x:v>32.35936569296281</x:v>
      </x:c>
      <x:c r="U156" s="31" t="n">
        <x:f>IF(T156="","",I156*T156)</x:f>
        <x:v>448.72628916973326</x:v>
      </x:c>
    </x:row>
    <x:row r="157" ht="18" customHeight="1">
      <x:c r="A157" s="24" t="str">
        <x:v>LME_015</x:v>
      </x:c>
      <x:c r="B157" s="24" t="str">
        <x:v>South Brazil Shelf</x:v>
      </x:c>
      <x:c r="C157" s="24" t="str">
        <x:v>LME</x:v>
      </x:c>
      <x:c r="D157" s="30" t="n">
        <x:v>2019</x:v>
      </x:c>
      <x:c r="E157" s="24" t="str">
        <x:v>Gempylidae</x:v>
      </x:c>
      <x:c r="F157" s="24" t="str">
        <x:v>Snake mackerels</x:v>
      </x:c>
      <x:c r="G157" s="24" t="str">
        <x:v>Large benthopelagics (&gt;=90 cm)</x:v>
      </x:c>
      <x:c r="H157" s="24" t="str">
        <x:v>Perch-likes</x:v>
      </x:c>
      <x:c r="I157" s="31" t="n">
        <x:v>13.022335867199999</x:v>
      </x:c>
      <x:c r="J157" s="31" t="n">
        <x:v>13.022335867199999</x:v>
      </x:c>
      <x:c r="K157" s="31" t="n">
        <x:v>0</x:v>
      </x:c>
      <x:c r="L157" s="31" t="n">
        <x:v>1.5787542239</x:v>
      </x:c>
      <x:c r="M157" s="31" t="n">
        <x:v>11.4435816433</x:v>
      </x:c>
      <x:c r="N157" s="24" t="str">
        <x:v>gempylidae</x:v>
      </x:c>
      <x:c r="O157" s="32" t="n">
        <x:v>4.21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Gempylidae</x:v>
      </x:c>
      <x:c r="T157" s="32" t="n">
        <x:f>IF(O157="","",(1/'Metadata'!$B$5)^(O157-1))</x:f>
        <x:v>1621.8100973589299</x:v>
      </x:c>
      <x:c r="U157" s="31" t="n">
        <x:f>IF(T157="","",I157*T157)</x:f>
        <x:v>21119.755800624316</x:v>
      </x:c>
    </x:row>
    <x:row r="158" ht="18" customHeight="1">
      <x:c r="A158" s="24" t="str">
        <x:v>LME_015</x:v>
      </x:c>
      <x:c r="B158" s="24" t="str">
        <x:v>South Brazil Shelf</x:v>
      </x:c>
      <x:c r="C158" s="24" t="str">
        <x:v>LME</x:v>
      </x:c>
      <x:c r="D158" s="30" t="n">
        <x:v>2019</x:v>
      </x:c>
      <x:c r="E158" s="24" t="str">
        <x:v>Istiophorus albicans</x:v>
      </x:c>
      <x:c r="F158" s="24" t="str">
        <x:v>Atlantic sailfish</x:v>
      </x:c>
      <x:c r="G158" s="24" t="str">
        <x:v>Large pelagics (&gt;=90 cm)</x:v>
      </x:c>
      <x:c r="H158" s="24" t="str">
        <x:v>Tuna &amp; billfishes</x:v>
      </x:c>
      <x:c r="I158" s="31" t="n">
        <x:v>12.8066069349</x:v>
      </x:c>
      <x:c r="J158" s="31" t="n">
        <x:v>12.8066069349</x:v>
      </x:c>
      <x:c r="K158" s="31" t="n">
        <x:v>0</x:v>
      </x:c>
      <x:c r="L158" s="31" t="n">
        <x:v>12.8066069349</x:v>
      </x:c>
      <x:c r="M158" s="31" t="n">
        <x:v>0</x:v>
      </x:c>
      <x:c r="N158" s="24" t="str">
        <x:v>istiophorus albicans</x:v>
      </x:c>
      <x:c r="O158" s="32" t="n">
        <x:v>4.5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Istiophorus albicans</x:v>
      </x:c>
      <x:c r="T158" s="32" t="n">
        <x:f>IF(O158="","",(1/'Metadata'!$B$5)^(O158-1))</x:f>
        <x:v>3162.2776601683795</x:v>
      </x:c>
      <x:c r="U158" s="31" t="n">
        <x:f>IF(T158="","",I158*T158)</x:f>
        <x:v>40498.047012791714</x:v>
      </x:c>
    </x:row>
    <x:row r="159" ht="18" customHeight="1">
      <x:c r="A159" s="24" t="str">
        <x:v>LME_015</x:v>
      </x:c>
      <x:c r="B159" s="24" t="str">
        <x:v>South Brazil Shelf</x:v>
      </x:c>
      <x:c r="C159" s="24" t="str">
        <x:v>LME</x:v>
      </x:c>
      <x:c r="D159" s="30" t="n">
        <x:v>2019</x:v>
      </x:c>
      <x:c r="E159" s="24" t="str">
        <x:v>Macrourus</x:v>
      </x:c>
      <x:c r="F159" s="24" t="str">
        <x:v>Rattails</x:v>
      </x:c>
      <x:c r="G159" s="24" t="str">
        <x:v>Medium benthopelagics (30 - 89 cm)</x:v>
      </x:c>
      <x:c r="H159" s="24" t="str">
        <x:v>Cod-likes</x:v>
      </x:c>
      <x:c r="I159" s="31" t="n">
        <x:v>12.518480630100001</x:v>
      </x:c>
      <x:c r="J159" s="31" t="n">
        <x:v>12.518480630100001</x:v>
      </x:c>
      <x:c r="K159" s="31" t="n">
        <x:v>0</x:v>
      </x:c>
      <x:c r="L159" s="31" t="n">
        <x:v>12.518480630100001</x:v>
      </x:c>
      <x:c r="M159" s="31" t="n">
        <x:v>0</x:v>
      </x:c>
      <x:c r="N159" s="24" t="str">
        <x:v>macrourus</x:v>
      </x:c>
      <x:c r="O159" s="32" t="n">
        <x:v>3.58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Macrourus</x:v>
      </x:c>
      <x:c r="T159" s="32" t="n">
        <x:f>IF(O159="","",(1/'Metadata'!$B$5)^(O159-1))</x:f>
        <x:v>380.1893963205613</x:v>
      </x:c>
      <x:c r="U159" s="31" t="n">
        <x:f>IF(T159="","",I159*T159)</x:f>
        <x:v>4759.393593608359</x:v>
      </x:c>
    </x:row>
    <x:row r="160" ht="18" customHeight="1">
      <x:c r="A160" s="24" t="str">
        <x:v>LME_015</x:v>
      </x:c>
      <x:c r="B160" s="24" t="str">
        <x:v>South Brazil Shelf</x:v>
      </x:c>
      <x:c r="C160" s="24" t="str">
        <x:v>LME</x:v>
      </x:c>
      <x:c r="D160" s="30" t="n">
        <x:v>2019</x:v>
      </x:c>
      <x:c r="E160" s="24" t="str">
        <x:v>Hexanchus griseus</x:v>
      </x:c>
      <x:c r="F160" s="24" t="str">
        <x:v>Bluntnose sixgill shark</x:v>
      </x:c>
      <x:c r="G160" s="24" t="str">
        <x:v>Large sharks (&gt;=90 cm)</x:v>
      </x:c>
      <x:c r="H160" s="24" t="str">
        <x:v>Sharks &amp; rays</x:v>
      </x:c>
      <x:c r="I160" s="31" t="n">
        <x:v>12.419115636299999</x:v>
      </x:c>
      <x:c r="J160" s="31" t="n">
        <x:v>12.419115636299999</x:v>
      </x:c>
      <x:c r="K160" s="31" t="n">
        <x:v>0</x:v>
      </x:c>
      <x:c r="L160" s="31" t="n">
        <x:v>12.419115636299999</x:v>
      </x:c>
      <x:c r="M160" s="31" t="n">
        <x:v>0</x:v>
      </x:c>
      <x:c r="N160" s="24" t="str">
        <x:v>hexanchus griseus</x:v>
      </x:c>
      <x:c r="O160" s="32" t="n">
        <x:v>4.48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Hexanchus griseus</x:v>
      </x:c>
      <x:c r="T160" s="32" t="n">
        <x:f>IF(O160="","",(1/'Metadata'!$B$5)^(O160-1))</x:f>
        <x:v>3019.951720402019</x:v>
      </x:c>
      <x:c r="U160" s="31" t="n">
        <x:f>IF(T160="","",I160*T160)</x:f>
        <x:v>37505.1296317158</x:v>
      </x:c>
    </x:row>
    <x:row r="161" ht="18" customHeight="1">
      <x:c r="A161" s="24" t="str">
        <x:v>LME_015</x:v>
      </x:c>
      <x:c r="B161" s="24" t="str">
        <x:v>South Brazil Shelf</x:v>
      </x:c>
      <x:c r="C161" s="24" t="str">
        <x:v>LME</x:v>
      </x:c>
      <x:c r="D161" s="30" t="n">
        <x:v>2019</x:v>
      </x:c>
      <x:c r="E161" s="24" t="str">
        <x:v>Gymnothorax</x:v>
      </x:c>
      <x:c r="F161" s="24" t="str">
        <x:v>Morays</x:v>
      </x:c>
      <x:c r="G161" s="24" t="str">
        <x:v>Large reef assoc. fish (&gt;=90 cm)</x:v>
      </x:c>
      <x:c r="H161" s="24" t="str">
        <x:v>Other fishes &amp; inverts</x:v>
      </x:c>
      <x:c r="I161" s="31" t="n">
        <x:v>12.164763880199999</x:v>
      </x:c>
      <x:c r="J161" s="31" t="n">
        <x:v>12.164763880199999</x:v>
      </x:c>
      <x:c r="K161" s="31" t="n">
        <x:v>0</x:v>
      </x:c>
      <x:c r="L161" s="31" t="n">
        <x:v>3.3533368340000003</x:v>
      </x:c>
      <x:c r="M161" s="31" t="n">
        <x:v>8.811427046199999</x:v>
      </x:c>
      <x:c r="N161" s="24" t="str">
        <x:v>gymnothorax</x:v>
      </x:c>
      <x:c r="O161" s="32" t="n">
        <x:v>4.22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Gymnothorax</x:v>
      </x:c>
      <x:c r="T161" s="32" t="n">
        <x:f>IF(O161="","",(1/'Metadata'!$B$5)^(O161-1))</x:f>
        <x:v>1659.5869074375596</x:v>
      </x:c>
      <x:c r="U161" s="31" t="n">
        <x:f>IF(T161="","",I161*T161)</x:f>
        <x:v>20188.482867649243</x:v>
      </x:c>
    </x:row>
    <x:row r="162" ht="18" customHeight="1">
      <x:c r="A162" s="24" t="str">
        <x:v>LME_015</x:v>
      </x:c>
      <x:c r="B162" s="24" t="str">
        <x:v>South Brazil Shelf</x:v>
      </x:c>
      <x:c r="C162" s="24" t="str">
        <x:v>LME</x:v>
      </x:c>
      <x:c r="D162" s="30" t="n">
        <x:v>2019</x:v>
      </x:c>
      <x:c r="E162" s="24" t="str">
        <x:v>Diplodus argenteus</x:v>
      </x:c>
      <x:c r="F162" s="24" t="str">
        <x:v>South American silver porgy</x:v>
      </x:c>
      <x:c r="G162" s="24" t="str">
        <x:v>Medium demersals (30 - 89 cm)</x:v>
      </x:c>
      <x:c r="H162" s="24" t="str">
        <x:v>Perch-likes</x:v>
      </x:c>
      <x:c r="I162" s="31" t="n">
        <x:v>11.0737535927</x:v>
      </x:c>
      <x:c r="J162" s="31" t="n">
        <x:v>11.0737535927</x:v>
      </x:c>
      <x:c r="K162" s="31" t="n">
        <x:v>0</x:v>
      </x:c>
      <x:c r="L162" s="31" t="n">
        <x:v>11.036808850699998</x:v>
      </x:c>
      <x:c r="M162" s="31" t="n">
        <x:v>0.036944741999999996</x:v>
      </x:c>
      <x:c r="N162" s="24" t="str">
        <x:v>diplodus argenteus</x:v>
      </x:c>
      <x:c r="O162" s="32" t="n">
        <x:v>3.13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Diplodus argenteus</x:v>
      </x:c>
      <x:c r="T162" s="32" t="n">
        <x:f>IF(O162="","",(1/'Metadata'!$B$5)^(O162-1))</x:f>
        <x:v>134.89628825916532</x:v>
      </x:c>
      <x:c r="U162" s="31" t="n">
        <x:f>IF(T162="","",I162*T162)</x:f>
        <x:v>1493.8082567518265</x:v>
      </x:c>
    </x:row>
    <x:row r="163" ht="18" customHeight="1">
      <x:c r="A163" s="24" t="str">
        <x:v>LME_015</x:v>
      </x:c>
      <x:c r="B163" s="24" t="str">
        <x:v>South Brazil Shelf</x:v>
      </x:c>
      <x:c r="C163" s="24" t="str">
        <x:v>LME</x:v>
      </x:c>
      <x:c r="D163" s="30" t="n">
        <x:v>2019</x:v>
      </x:c>
      <x:c r="E163" s="24" t="str">
        <x:v>Haemulidae</x:v>
      </x:c>
      <x:c r="F163" s="24" t="str">
        <x:v>Grunts, sweetlips, bonnetmouths</x:v>
      </x:c>
      <x:c r="G163" s="24" t="str">
        <x:v>Medium demersals (30 - 89 cm)</x:v>
      </x:c>
      <x:c r="H163" s="24" t="str">
        <x:v>Perch-likes</x:v>
      </x:c>
      <x:c r="I163" s="31" t="n">
        <x:v>10.846886879</x:v>
      </x:c>
      <x:c r="J163" s="31" t="n">
        <x:v>10.846886879</x:v>
      </x:c>
      <x:c r="K163" s="31" t="n">
        <x:v>0</x:v>
      </x:c>
      <x:c r="L163" s="31" t="n">
        <x:v>8.5643965525</x:v>
      </x:c>
      <x:c r="M163" s="31" t="n">
        <x:v>2.2824903265</x:v>
      </x:c>
      <x:c r="N163" s="24" t="str">
        <x:v>haemulidae</x:v>
      </x:c>
      <x:c r="O163" s="32" t="n">
        <x:v>3.36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Haemulidae</x:v>
      </x:c>
      <x:c r="T163" s="32" t="n">
        <x:f>IF(O163="","",(1/'Metadata'!$B$5)^(O163-1))</x:f>
        <x:v>229.08676527677724</x:v>
      </x:c>
      <x:c r="U163" s="31" t="n">
        <x:f>IF(T163="","",I163*T163)</x:f>
        <x:v>2484.878228433228</x:v>
      </x:c>
    </x:row>
    <x:row r="164" ht="18" customHeight="1">
      <x:c r="A164" s="24" t="str">
        <x:v>LME_015</x:v>
      </x:c>
      <x:c r="B164" s="24" t="str">
        <x:v>South Brazil Shelf</x:v>
      </x:c>
      <x:c r="C164" s="24" t="str">
        <x:v>LME</x:v>
      </x:c>
      <x:c r="D164" s="30" t="n">
        <x:v>2019</x:v>
      </x:c>
      <x:c r="E164" s="24" t="str">
        <x:v>Carcharias taurus</x:v>
      </x:c>
      <x:c r="F164" s="24" t="str">
        <x:v>Sand tiger shark</x:v>
      </x:c>
      <x:c r="G164" s="24" t="str">
        <x:v>Large sharks (&gt;=90 cm)</x:v>
      </x:c>
      <x:c r="H164" s="24" t="str">
        <x:v>Sharks &amp; rays</x:v>
      </x:c>
      <x:c r="I164" s="31" t="n">
        <x:v>9.6488494471</x:v>
      </x:c>
      <x:c r="J164" s="31" t="n">
        <x:v>9.6488494471</x:v>
      </x:c>
      <x:c r="K164" s="31" t="n">
        <x:v>0</x:v>
      </x:c>
      <x:c r="L164" s="31" t="n">
        <x:v>9.4343404026</x:v>
      </x:c>
      <x:c r="M164" s="31" t="n">
        <x:v>0.2145090445</x:v>
      </x:c>
      <x:c r="N164" s="24" t="str">
        <x:v>carcharias taurus</x:v>
      </x:c>
      <x:c r="O164" s="32" t="n">
        <x:v>4.5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Carcharias taurus</x:v>
      </x:c>
      <x:c r="T164" s="32" t="n">
        <x:f>IF(O164="","",(1/'Metadata'!$B$5)^(O164-1))</x:f>
        <x:v>3162.2776601683795</x:v>
      </x:c>
      <x:c r="U164" s="31" t="n">
        <x:f>IF(T164="","",I164*T164)</x:f>
        <x:v>30512.34105289235</x:v>
      </x:c>
    </x:row>
    <x:row r="165" ht="18" customHeight="1">
      <x:c r="A165" s="24" t="str">
        <x:v>LME_015</x:v>
      </x:c>
      <x:c r="B165" s="24" t="str">
        <x:v>South Brazil Shelf</x:v>
      </x:c>
      <x:c r="C165" s="24" t="str">
        <x:v>LME</x:v>
      </x:c>
      <x:c r="D165" s="30" t="n">
        <x:v>2019</x:v>
      </x:c>
      <x:c r="E165" s="24" t="str">
        <x:v>Harengula</x:v>
      </x:c>
      <x:c r="F165" s="24" t="str">
        <x:v>False herrings</x:v>
      </x:c>
      <x:c r="G165" s="24" t="str">
        <x:v>Small pelagics (&lt;30 cm)</x:v>
      </x:c>
      <x:c r="H165" s="24" t="str">
        <x:v>Herring-likes</x:v>
      </x:c>
      <x:c r="I165" s="31" t="n">
        <x:v>9.5401181601</x:v>
      </x:c>
      <x:c r="J165" s="31" t="n">
        <x:v>9.5401181601</x:v>
      </x:c>
      <x:c r="K165" s="31" t="n">
        <x:v>0</x:v>
      </x:c>
      <x:c r="L165" s="31" t="n">
        <x:v>9.2144681378</x:v>
      </x:c>
      <x:c r="M165" s="31" t="n">
        <x:v>0.3256500223</x:v>
      </x:c>
      <x:c r="N165" s="24" t="str">
        <x:v>harengula</x:v>
      </x:c>
      <x:c r="O165" s="32" t="n">
        <x:v>3.37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Harengula</x:v>
      </x:c>
      <x:c r="T165" s="32" t="n">
        <x:f>IF(O165="","",(1/'Metadata'!$B$5)^(O165-1))</x:f>
        <x:v>234.42288153199226</x:v>
      </x:c>
      <x:c r="U165" s="31" t="n">
        <x:f>IF(T165="","",I165*T165)</x:f>
        <x:v>2236.42198924633</x:v>
      </x:c>
    </x:row>
    <x:row r="166" ht="18" customHeight="1">
      <x:c r="A166" s="24" t="str">
        <x:v>LME_015</x:v>
      </x:c>
      <x:c r="B166" s="24" t="str">
        <x:v>South Brazil Shelf</x:v>
      </x:c>
      <x:c r="C166" s="24" t="str">
        <x:v>LME</x:v>
      </x:c>
      <x:c r="D166" s="30" t="n">
        <x:v>2019</x:v>
      </x:c>
      <x:c r="E166" s="24" t="str">
        <x:v>Makaira nigricans</x:v>
      </x:c>
      <x:c r="F166" s="24" t="str">
        <x:v>Blue marlin</x:v>
      </x:c>
      <x:c r="G166" s="24" t="str">
        <x:v>Large pelagics (&gt;=90 cm)</x:v>
      </x:c>
      <x:c r="H166" s="24" t="str">
        <x:v>Tuna &amp; billfishes</x:v>
      </x:c>
      <x:c r="I166" s="31" t="n">
        <x:v>9.4383947232</x:v>
      </x:c>
      <x:c r="J166" s="31" t="n">
        <x:v>9.4383947232</x:v>
      </x:c>
      <x:c r="K166" s="31" t="n">
        <x:v>0</x:v>
      </x:c>
      <x:c r="L166" s="31" t="n">
        <x:v>9.4383947232</x:v>
      </x:c>
      <x:c r="M166" s="31" t="n">
        <x:v>0</x:v>
      </x:c>
      <x:c r="N166" s="24" t="str">
        <x:v>makaira nigricans</x:v>
      </x:c>
      <x:c r="O166" s="32" t="n">
        <x:v>4.49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Makaira nigricans</x:v>
      </x:c>
      <x:c r="T166" s="32" t="n">
        <x:f>IF(O166="","",(1/'Metadata'!$B$5)^(O166-1))</x:f>
        <x:v>3090.295432513592</x:v>
      </x:c>
      <x:c r="U166" s="31" t="n">
        <x:f>IF(T166="","",I166*T166)</x:f>
        <x:v>29167.42810336535</x:v>
      </x:c>
    </x:row>
    <x:row r="167" ht="18" customHeight="1">
      <x:c r="A167" s="24" t="str">
        <x:v>LME_015</x:v>
      </x:c>
      <x:c r="B167" s="24" t="str">
        <x:v>South Brazil Shelf</x:v>
      </x:c>
      <x:c r="C167" s="24" t="str">
        <x:v>LME</x:v>
      </x:c>
      <x:c r="D167" s="30" t="n">
        <x:v>2019</x:v>
      </x:c>
      <x:c r="E167" s="24" t="str">
        <x:v>Hemiramphidae</x:v>
      </x:c>
      <x:c r="F167" s="24" t="str">
        <x:v>Halfbeaks, garfishes</x:v>
      </x:c>
      <x:c r="G167" s="24" t="str">
        <x:v>Medium pelagics (30 - 89 cm)</x:v>
      </x:c>
      <x:c r="H167" s="24" t="str">
        <x:v>Other fishes &amp; inverts</x:v>
      </x:c>
      <x:c r="I167" s="31" t="n">
        <x:v>9.2589103518</x:v>
      </x:c>
      <x:c r="J167" s="31" t="n">
        <x:v>9.2589103518</x:v>
      </x:c>
      <x:c r="K167" s="31" t="n">
        <x:v>0</x:v>
      </x:c>
      <x:c r="L167" s="31" t="n">
        <x:v>9.222402330300001</x:v>
      </x:c>
      <x:c r="M167" s="31" t="n">
        <x:v>0.036508021499999994</x:v>
      </x:c>
      <x:c r="N167" s="24" t="str">
        <x:v>hemiramphidae</x:v>
      </x:c>
      <x:c r="O167" s="32" t="n">
        <x:v>2.82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Hemiramphidae</x:v>
      </x:c>
      <x:c r="T167" s="32" t="n">
        <x:f>IF(O167="","",(1/'Metadata'!$B$5)^(O167-1))</x:f>
        <x:v>66.06934480075958</x:v>
      </x:c>
      <x:c r="U167" s="31" t="n">
        <x:f>IF(T167="","",I167*T167)</x:f>
        <x:v>611.7301405123965</x:v>
      </x:c>
    </x:row>
    <x:row r="168" ht="18" customHeight="1">
      <x:c r="A168" s="24" t="str">
        <x:v>LME_015</x:v>
      </x:c>
      <x:c r="B168" s="24" t="str">
        <x:v>South Brazil Shelf</x:v>
      </x:c>
      <x:c r="C168" s="24" t="str">
        <x:v>LME</x:v>
      </x:c>
      <x:c r="D168" s="30" t="n">
        <x:v>2019</x:v>
      </x:c>
      <x:c r="E168" s="24" t="str">
        <x:v>Carcharhinus falciformis</x:v>
      </x:c>
      <x:c r="F168" s="24" t="str">
        <x:v>Silky shark</x:v>
      </x:c>
      <x:c r="G168" s="24" t="str">
        <x:v>Large sharks (&gt;=90 cm)</x:v>
      </x:c>
      <x:c r="H168" s="24" t="str">
        <x:v>Sharks &amp; rays</x:v>
      </x:c>
      <x:c r="I168" s="31" t="n">
        <x:v>7.8077667257</x:v>
      </x:c>
      <x:c r="J168" s="31" t="n">
        <x:v>7.8077667257</x:v>
      </x:c>
      <x:c r="K168" s="31" t="n">
        <x:v>0</x:v>
      </x:c>
      <x:c r="L168" s="31" t="n">
        <x:v>0</x:v>
      </x:c>
      <x:c r="M168" s="31" t="n">
        <x:v>7.8077667257</x:v>
      </x:c>
      <x:c r="N168" s="24" t="str">
        <x:v>carcharhinus falciformis</x:v>
      </x:c>
      <x:c r="O168" s="32" t="n">
        <x:v>4.51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Carcharhinus falciformis</x:v>
      </x:c>
      <x:c r="T168" s="32" t="n">
        <x:f>IF(O168="","",(1/'Metadata'!$B$5)^(O168-1))</x:f>
        <x:v>3235.936569296281</x:v>
      </x:c>
      <x:c r="U168" s="31" t="n">
        <x:f>IF(T168="","",I168*T168)</x:f>
        <x:v>25265.437872227314</x:v>
      </x:c>
    </x:row>
    <x:row r="169" ht="18" customHeight="1">
      <x:c r="A169" s="24" t="str">
        <x:v>LME_015</x:v>
      </x:c>
      <x:c r="B169" s="24" t="str">
        <x:v>South Brazil Shelf</x:v>
      </x:c>
      <x:c r="C169" s="24" t="str">
        <x:v>LME</x:v>
      </x:c>
      <x:c r="D169" s="30" t="n">
        <x:v>2019</x:v>
      </x:c>
      <x:c r="E169" s="24" t="str">
        <x:v>Caranx</x:v>
      </x:c>
      <x:c r="F169" s="24" t="str">
        <x:v>Jacks</x:v>
      </x:c>
      <x:c r="G169" s="24" t="str">
        <x:v>Medium reef assoc. fish (30 - 89 cm)</x:v>
      </x:c>
      <x:c r="H169" s="24" t="str">
        <x:v>Perch-likes</x:v>
      </x:c>
      <x:c r="I169" s="31" t="n">
        <x:v>6.262244722</x:v>
      </x:c>
      <x:c r="J169" s="31" t="n">
        <x:v>6.262244722</x:v>
      </x:c>
      <x:c r="K169" s="31" t="n">
        <x:v>0</x:v>
      </x:c>
      <x:c r="L169" s="31" t="n">
        <x:v>2.8330000598000002</x:v>
      </x:c>
      <x:c r="M169" s="31" t="n">
        <x:v>3.4292446622</x:v>
      </x:c>
      <x:c r="N169" s="24" t="str">
        <x:v>caranx</x:v>
      </x:c>
      <x:c r="O169" s="32" t="n">
        <x:v>4.12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Caranx</x:v>
      </x:c>
      <x:c r="T169" s="32" t="n">
        <x:f>IF(O169="","",(1/'Metadata'!$B$5)^(O169-1))</x:f>
        <x:v>1318.2567385564075</x:v>
      </x:c>
      <x:c r="U169" s="31" t="n">
        <x:f>IF(T169="","",I169*T169)</x:f>
        <x:v>8255.246303265798</x:v>
      </x:c>
    </x:row>
    <x:row r="170" ht="18" customHeight="1">
      <x:c r="A170" s="24" t="str">
        <x:v>LME_015</x:v>
      </x:c>
      <x:c r="B170" s="24" t="str">
        <x:v>South Brazil Shelf</x:v>
      </x:c>
      <x:c r="C170" s="24" t="str">
        <x:v>LME</x:v>
      </x:c>
      <x:c r="D170" s="30" t="n">
        <x:v>2019</x:v>
      </x:c>
      <x:c r="E170" s="24" t="str">
        <x:v>Merluccius</x:v>
      </x:c>
      <x:c r="F170" s="24" t="str">
        <x:v>Hakes</x:v>
      </x:c>
      <x:c r="G170" s="24" t="str">
        <x:v>Medium bathydemersals (30 - 89 cm)</x:v>
      </x:c>
      <x:c r="H170" s="24" t="str">
        <x:v>Cod-likes</x:v>
      </x:c>
      <x:c r="I170" s="31" t="n">
        <x:v>6.0195223086</x:v>
      </x:c>
      <x:c r="J170" s="31" t="n">
        <x:v>6.0195223086</x:v>
      </x:c>
      <x:c r="K170" s="31" t="n">
        <x:v>0</x:v>
      </x:c>
      <x:c r="L170" s="31" t="n">
        <x:v>6.0195223086</x:v>
      </x:c>
      <x:c r="M170" s="31" t="n">
        <x:v>0</x:v>
      </x:c>
      <x:c r="N170" s="24" t="str">
        <x:v>merluccius</x:v>
      </x:c>
      <x:c r="O170" s="32" t="n">
        <x:v>4.27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Merluccius</x:v>
      </x:c>
      <x:c r="T170" s="32" t="n">
        <x:f>IF(O170="","",(1/'Metadata'!$B$5)^(O170-1))</x:f>
        <x:v>1862.0871366628655</x:v>
      </x:c>
      <x:c r="U170" s="31" t="n">
        <x:f>IF(T170="","",I170*T170)</x:f>
        <x:v>11208.875059699216</x:v>
      </x:c>
    </x:row>
    <x:row r="171" ht="18" customHeight="1">
      <x:c r="A171" s="24" t="str">
        <x:v>LME_015</x:v>
      </x:c>
      <x:c r="B171" s="24" t="str">
        <x:v>South Brazil Shelf</x:v>
      </x:c>
      <x:c r="C171" s="24" t="str">
        <x:v>LME</x:v>
      </x:c>
      <x:c r="D171" s="30" t="n">
        <x:v>2019</x:v>
      </x:c>
      <x:c r="E171" s="24" t="str">
        <x:v>Elagatis bipinnulata</x:v>
      </x:c>
      <x:c r="F171" s="24" t="str">
        <x:v>Rainbow runner</x:v>
      </x:c>
      <x:c r="G171" s="24" t="str">
        <x:v>Large pelagics (&gt;=90 cm)</x:v>
      </x:c>
      <x:c r="H171" s="24" t="str">
        <x:v>Perch-likes</x:v>
      </x:c>
      <x:c r="I171" s="31" t="n">
        <x:v>5.8444629193</x:v>
      </x:c>
      <x:c r="J171" s="31" t="n">
        <x:v>5.8444629193</x:v>
      </x:c>
      <x:c r="K171" s="31" t="n">
        <x:v>0</x:v>
      </x:c>
      <x:c r="L171" s="31" t="n">
        <x:v>5.762403954</x:v>
      </x:c>
      <x:c r="M171" s="31" t="n">
        <x:v>0.08205896530000001</x:v>
      </x:c>
      <x:c r="N171" s="24" t="str">
        <x:v>elagatis bipinnulata</x:v>
      </x:c>
      <x:c r="O171" s="32" t="n">
        <x:v>4.27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Elagatis bipinnulata</x:v>
      </x:c>
      <x:c r="T171" s="32" t="n">
        <x:f>IF(O171="","",(1/'Metadata'!$B$5)^(O171-1))</x:f>
        <x:v>1862.0871366628655</x:v>
      </x:c>
      <x:c r="U171" s="31" t="n">
        <x:f>IF(T171="","",I171*T171)</x:f>
        <x:v>10882.899222731628</x:v>
      </x:c>
    </x:row>
    <x:row r="172" ht="18" customHeight="1">
      <x:c r="A172" s="24" t="str">
        <x:v>LME_015</x:v>
      </x:c>
      <x:c r="B172" s="24" t="str">
        <x:v>South Brazil Shelf</x:v>
      </x:c>
      <x:c r="C172" s="24" t="str">
        <x:v>LME</x:v>
      </x:c>
      <x:c r="D172" s="30" t="n">
        <x:v>2019</x:v>
      </x:c>
      <x:c r="E172" s="24" t="str">
        <x:v>Squatina argentina</x:v>
      </x:c>
      <x:c r="F172" s="24" t="str">
        <x:v>Argentine angelshark</x:v>
      </x:c>
      <x:c r="G172" s="24" t="str">
        <x:v>Large sharks (&gt;=90 cm)</x:v>
      </x:c>
      <x:c r="H172" s="24" t="str">
        <x:v>Sharks &amp; rays</x:v>
      </x:c>
      <x:c r="I172" s="31" t="n">
        <x:v>5.795468639699999</x:v>
      </x:c>
      <x:c r="J172" s="31" t="n">
        <x:v>5.795468639699999</x:v>
      </x:c>
      <x:c r="K172" s="31" t="n">
        <x:v>0</x:v>
      </x:c>
      <x:c r="L172" s="31" t="n">
        <x:v>5.795468639699999</x:v>
      </x:c>
      <x:c r="M172" s="31" t="n">
        <x:v>0</x:v>
      </x:c>
      <x:c r="N172" s="24" t="str">
        <x:v>squatina argentina</x:v>
      </x:c>
      <x:c r="O172" s="32" t="n">
        <x:v>4.11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Squatina argentina</x:v>
      </x:c>
      <x:c r="T172" s="32" t="n">
        <x:f>IF(O172="","",(1/'Metadata'!$B$5)^(O172-1))</x:f>
        <x:v>1288.249551693135</x:v>
      </x:c>
      <x:c r="U172" s="31" t="n">
        <x:f>IF(T172="","",I172*T172)</x:f>
        <x:v>7466.009876945146</x:v>
      </x:c>
    </x:row>
    <x:row r="173" ht="18" customHeight="1">
      <x:c r="A173" s="24" t="str">
        <x:v>LME_015</x:v>
      </x:c>
      <x:c r="B173" s="24" t="str">
        <x:v>South Brazil Shelf</x:v>
      </x:c>
      <x:c r="C173" s="24" t="str">
        <x:v>LME</x:v>
      </x:c>
      <x:c r="D173" s="30" t="n">
        <x:v>2019</x:v>
      </x:c>
      <x:c r="E173" s="24" t="str">
        <x:v>Epinephelus morio</x:v>
      </x:c>
      <x:c r="F173" s="24" t="str">
        <x:v>Red grouper</x:v>
      </x:c>
      <x:c r="G173" s="24" t="str">
        <x:v>Large reef assoc. fish (&gt;=90 cm)</x:v>
      </x:c>
      <x:c r="H173" s="24" t="str">
        <x:v>Perch-likes</x:v>
      </x:c>
      <x:c r="I173" s="31" t="n">
        <x:v>5.7126093007</x:v>
      </x:c>
      <x:c r="J173" s="31" t="n">
        <x:v>5.7126093007</x:v>
      </x:c>
      <x:c r="K173" s="31" t="n">
        <x:v>0</x:v>
      </x:c>
      <x:c r="L173" s="31" t="n">
        <x:v>0</x:v>
      </x:c>
      <x:c r="M173" s="31" t="n">
        <x:v>5.7126093007</x:v>
      </x:c>
      <x:c r="N173" s="24" t="str">
        <x:v>epinephelus morio</x:v>
      </x:c>
      <x:c r="O173" s="32" t="n">
        <x:v>3.5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Epinephelus morio</x:v>
      </x:c>
      <x:c r="T173" s="32" t="n">
        <x:f>IF(O173="","",(1/'Metadata'!$B$5)^(O173-1))</x:f>
        <x:v>316.22776601683796</x:v>
      </x:c>
      <x:c r="U173" s="31" t="n">
        <x:f>IF(T173="","",I173*T173)</x:f>
        <x:v>1806.4856772873718</x:v>
      </x:c>
    </x:row>
    <x:row r="174" ht="18" customHeight="1">
      <x:c r="A174" s="24" t="str">
        <x:v>LME_015</x:v>
      </x:c>
      <x:c r="B174" s="24" t="str">
        <x:v>South Brazil Shelf</x:v>
      </x:c>
      <x:c r="C174" s="24" t="str">
        <x:v>LME</x:v>
      </x:c>
      <x:c r="D174" s="30" t="n">
        <x:v>2019</x:v>
      </x:c>
      <x:c r="E174" s="24" t="str">
        <x:v>Acanthurus</x:v>
      </x:c>
      <x:c r="F174" s="24" t="str">
        <x:v>Surgeonfishes</x:v>
      </x:c>
      <x:c r="G174" s="24" t="str">
        <x:v>Small reef assoc. fish (&lt;30 cm)</x:v>
      </x:c>
      <x:c r="H174" s="24" t="str">
        <x:v>Perch-likes</x:v>
      </x:c>
      <x:c r="I174" s="31" t="n">
        <x:v>5.6262433044</x:v>
      </x:c>
      <x:c r="J174" s="31" t="n">
        <x:v>5.6262433044</x:v>
      </x:c>
      <x:c r="K174" s="31" t="n">
        <x:v>0</x:v>
      </x:c>
      <x:c r="L174" s="31" t="n">
        <x:v>2.1504081236</x:v>
      </x:c>
      <x:c r="M174" s="31" t="n">
        <x:v>3.4758351808</x:v>
      </x:c>
      <x:c r="N174" s="24" t="str">
        <x:v>acanthurus</x:v>
      </x:c>
      <x:c r="O174" s="32" t="n">
        <x:v>2.03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Acanthurus</x:v>
      </x:c>
      <x:c r="T174" s="32" t="n">
        <x:f>IF(O174="","",(1/'Metadata'!$B$5)^(O174-1))</x:f>
        <x:v>10.71519305237606</x:v>
      </x:c>
      <x:c r="U174" s="31" t="n">
        <x:f>IF(T174="","",I174*T174)</x:f>
        <x:v>60.28628316628421</x:v>
      </x:c>
    </x:row>
    <x:row r="175" ht="18" customHeight="1">
      <x:c r="A175" s="24" t="str">
        <x:v>LME_015</x:v>
      </x:c>
      <x:c r="B175" s="24" t="str">
        <x:v>South Brazil Shelf</x:v>
      </x:c>
      <x:c r="C175" s="24" t="str">
        <x:v>LME</x:v>
      </x:c>
      <x:c r="D175" s="30" t="n">
        <x:v>2019</x:v>
      </x:c>
      <x:c r="E175" s="24" t="str">
        <x:v>Priacanthus</x:v>
      </x:c>
      <x:c r="F175" s="24" t="str">
        <x:v>Bigeyes</x:v>
      </x:c>
      <x:c r="G175" s="24" t="str">
        <x:v>Medium reef assoc. fish (30 - 89 cm)</x:v>
      </x:c>
      <x:c r="H175" s="24" t="str">
        <x:v>Perch-likes</x:v>
      </x:c>
      <x:c r="I175" s="31" t="n">
        <x:v>5.5512105913</x:v>
      </x:c>
      <x:c r="J175" s="31" t="n">
        <x:v>5.5512105913</x:v>
      </x:c>
      <x:c r="K175" s="31" t="n">
        <x:v>0</x:v>
      </x:c>
      <x:c r="L175" s="31" t="n">
        <x:v>0</x:v>
      </x:c>
      <x:c r="M175" s="31" t="n">
        <x:v>5.5512105913</x:v>
      </x:c>
      <x:c r="N175" s="24" t="str">
        <x:v>priacanthus</x:v>
      </x:c>
      <x:c r="O175" s="32" t="n">
        <x:v>3.81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Priacanthus</x:v>
      </x:c>
      <x:c r="T175" s="32" t="n">
        <x:f>IF(O175="","",(1/'Metadata'!$B$5)^(O175-1))</x:f>
        <x:v>645.6542290346556</x:v>
      </x:c>
      <x:c r="U175" s="31" t="n">
        <x:f>IF(T175="","",I175*T175)</x:f>
        <x:v>3584.1625945348164</x:v>
      </x:c>
    </x:row>
    <x:row r="176" ht="18" customHeight="1">
      <x:c r="A176" s="24" t="str">
        <x:v>LME_015</x:v>
      </x:c>
      <x:c r="B176" s="24" t="str">
        <x:v>South Brazil Shelf</x:v>
      </x:c>
      <x:c r="C176" s="24" t="str">
        <x:v>LME</x:v>
      </x:c>
      <x:c r="D176" s="30" t="n">
        <x:v>2019</x:v>
      </x:c>
      <x:c r="E176" s="24" t="str">
        <x:v>Rhizoprionodon porosus</x:v>
      </x:c>
      <x:c r="F176" s="24" t="str">
        <x:v>Caribbean sharpnose shark</x:v>
      </x:c>
      <x:c r="G176" s="24" t="str">
        <x:v>Large sharks (&gt;=90 cm)</x:v>
      </x:c>
      <x:c r="H176" s="24" t="str">
        <x:v>Sharks &amp; rays</x:v>
      </x:c>
      <x:c r="I176" s="31" t="n">
        <x:v>5.3989871816</x:v>
      </x:c>
      <x:c r="J176" s="31" t="n">
        <x:v>5.3989871816</x:v>
      </x:c>
      <x:c r="K176" s="31" t="n">
        <x:v>0</x:v>
      </x:c>
      <x:c r="L176" s="31" t="n">
        <x:v>0</x:v>
      </x:c>
      <x:c r="M176" s="31" t="n">
        <x:v>5.3989871816</x:v>
      </x:c>
      <x:c r="N176" s="24" t="str">
        <x:v>rhizoprionodon porosus</x:v>
      </x:c>
      <x:c r="O176" s="32" t="n">
        <x:v>3.99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Rhizoprionodon porosus</x:v>
      </x:c>
      <x:c r="T176" s="32" t="n">
        <x:f>IF(O176="","",(1/'Metadata'!$B$5)^(O176-1))</x:f>
        <x:v>977.2372209558112</x:v>
      </x:c>
      <x:c r="U176" s="31" t="n">
        <x:f>IF(T176="","",I176*T176)</x:f>
        <x:v>5276.091229322831</x:v>
      </x:c>
    </x:row>
    <x:row r="177" ht="18" customHeight="1">
      <x:c r="A177" s="24" t="str">
        <x:v>LME_015</x:v>
      </x:c>
      <x:c r="B177" s="24" t="str">
        <x:v>South Brazil Shelf</x:v>
      </x:c>
      <x:c r="C177" s="24" t="str">
        <x:v>LME</x:v>
      </x:c>
      <x:c r="D177" s="30" t="n">
        <x:v>2019</x:v>
      </x:c>
      <x:c r="E177" s="24" t="str">
        <x:v>Holocentrus adscensionis</x:v>
      </x:c>
      <x:c r="F177" s="24" t="str">
        <x:v>Squirrelfish</x:v>
      </x:c>
      <x:c r="G177" s="24" t="str">
        <x:v>Medium reef assoc. fish (30 - 89 cm)</x:v>
      </x:c>
      <x:c r="H177" s="24" t="str">
        <x:v>Other fishes &amp; inverts</x:v>
      </x:c>
      <x:c r="I177" s="31" t="n">
        <x:v>5.3303560303</x:v>
      </x:c>
      <x:c r="J177" s="31" t="n">
        <x:v>5.3303560303</x:v>
      </x:c>
      <x:c r="K177" s="31" t="n">
        <x:v>0</x:v>
      </x:c>
      <x:c r="L177" s="31" t="n">
        <x:v>3.5947445526</x:v>
      </x:c>
      <x:c r="M177" s="31" t="n">
        <x:v>1.7356114777</x:v>
      </x:c>
      <x:c r="N177" s="24" t="str">
        <x:v>holocentrus adscensionis</x:v>
      </x:c>
      <x:c r="O177" s="32" t="n">
        <x:v>3.11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Holocentrus adscensionis</x:v>
      </x:c>
      <x:c r="T177" s="32" t="n">
        <x:f>IF(O177="","",(1/'Metadata'!$B$5)^(O177-1))</x:f>
        <x:v>128.82495516931337</x:v>
      </x:c>
      <x:c r="U177" s="31" t="n">
        <x:f>IF(T177="","",I177*T177)</x:f>
        <x:v>686.6828766398767</x:v>
      </x:c>
    </x:row>
    <x:row r="178" ht="18" customHeight="1">
      <x:c r="A178" s="24" t="str">
        <x:v>LME_015</x:v>
      </x:c>
      <x:c r="B178" s="24" t="str">
        <x:v>South Brazil Shelf</x:v>
      </x:c>
      <x:c r="C178" s="24" t="str">
        <x:v>LME</x:v>
      </x:c>
      <x:c r="D178" s="30" t="n">
        <x:v>2019</x:v>
      </x:c>
      <x:c r="E178" s="24" t="str">
        <x:v>Lamna nasus</x:v>
      </x:c>
      <x:c r="F178" s="24" t="str">
        <x:v>Porbeagle</x:v>
      </x:c>
      <x:c r="G178" s="24" t="str">
        <x:v>Large sharks (&gt;=90 cm)</x:v>
      </x:c>
      <x:c r="H178" s="24" t="str">
        <x:v>Sharks &amp; rays</x:v>
      </x:c>
      <x:c r="I178" s="31" t="n">
        <x:v>5.3204693908000005</x:v>
      </x:c>
      <x:c r="J178" s="31" t="n">
        <x:v>5.3204693908000005</x:v>
      </x:c>
      <x:c r="K178" s="31" t="n">
        <x:v>0</x:v>
      </x:c>
      <x:c r="L178" s="31" t="n">
        <x:v>5.3204693908000005</x:v>
      </x:c>
      <x:c r="M178" s="31" t="n">
        <x:v>0</x:v>
      </x:c>
      <x:c r="N178" s="24" t="str">
        <x:v>lamna nasus</x:v>
      </x:c>
      <x:c r="O178" s="32" t="n">
        <x:v>4.57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Lamna nasus</x:v>
      </x:c>
      <x:c r="T178" s="32" t="n">
        <x:f>IF(O178="","",(1/'Metadata'!$B$5)^(O178-1))</x:f>
        <x:v>3715.3522909717276</x:v>
      </x:c>
      <x:c r="U178" s="31" t="n">
        <x:f>IF(T178="","",I178*T178)</x:f>
        <x:v>19767.418140153735</x:v>
      </x:c>
    </x:row>
    <x:row r="179" ht="18" customHeight="1">
      <x:c r="A179" s="24" t="str">
        <x:v>LME_015</x:v>
      </x:c>
      <x:c r="B179" s="24" t="str">
        <x:v>South Brazil Shelf</x:v>
      </x:c>
      <x:c r="C179" s="24" t="str">
        <x:v>LME</x:v>
      </x:c>
      <x:c r="D179" s="30" t="n">
        <x:v>2019</x:v>
      </x:c>
      <x:c r="E179" s="24" t="str">
        <x:v>Scomberomorus cavalla</x:v>
      </x:c>
      <x:c r="F179" s="24" t="str">
        <x:v>King mackerel</x:v>
      </x:c>
      <x:c r="G179" s="24" t="str">
        <x:v>Large pelagics (&gt;=90 cm)</x:v>
      </x:c>
      <x:c r="H179" s="24" t="str">
        <x:v>Perch-likes</x:v>
      </x:c>
      <x:c r="I179" s="31" t="n">
        <x:v>4.9864879819</x:v>
      </x:c>
      <x:c r="J179" s="31" t="n">
        <x:v>4.9864879819</x:v>
      </x:c>
      <x:c r="K179" s="31" t="n">
        <x:v>0</x:v>
      </x:c>
      <x:c r="L179" s="31" t="n">
        <x:v>4.2453214390000005</x:v>
      </x:c>
      <x:c r="M179" s="31" t="n">
        <x:v>0.7411665429</x:v>
      </x:c>
      <x:c r="N179" s="24" t="str">
        <x:v>scomberomorus cavalla</x:v>
      </x:c>
      <x:c r="O179" s="32" t="n">
        <x:v>4.42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Scomberomorus cavalla</x:v>
      </x:c>
      <x:c r="T179" s="32" t="n">
        <x:f>IF(O179="","",(1/'Metadata'!$B$5)^(O179-1))</x:f>
        <x:v>2630.2679918953813</x:v>
      </x:c>
      <x:c r="U179" s="31" t="n">
        <x:f>IF(T179="","",I179*T179)</x:f>
        <x:v>13115.799730762565</x:v>
      </x:c>
    </x:row>
    <x:row r="180" ht="18" customHeight="1">
      <x:c r="A180" s="24" t="str">
        <x:v>LME_015</x:v>
      </x:c>
      <x:c r="B180" s="24" t="str">
        <x:v>South Brazil Shelf</x:v>
      </x:c>
      <x:c r="C180" s="24" t="str">
        <x:v>LME</x:v>
      </x:c>
      <x:c r="D180" s="30" t="n">
        <x:v>2019</x:v>
      </x:c>
      <x:c r="E180" s="24" t="str">
        <x:v>Sphyraena barracuda</x:v>
      </x:c>
      <x:c r="F180" s="24" t="str">
        <x:v>Great barracuda</x:v>
      </x:c>
      <x:c r="G180" s="24" t="str">
        <x:v>Large pelagics (&gt;=90 cm)</x:v>
      </x:c>
      <x:c r="H180" s="24" t="str">
        <x:v>Perch-likes</x:v>
      </x:c>
      <x:c r="I180" s="31" t="n">
        <x:v>4.640181536</x:v>
      </x:c>
      <x:c r="J180" s="31" t="n">
        <x:v>4.640181536</x:v>
      </x:c>
      <x:c r="K180" s="31" t="n">
        <x:v>0</x:v>
      </x:c>
      <x:c r="L180" s="31" t="n">
        <x:v>2.5751230744</x:v>
      </x:c>
      <x:c r="M180" s="31" t="n">
        <x:v>2.0650584616</x:v>
      </x:c>
      <x:c r="N180" s="24" t="str">
        <x:v>sphyraena barracuda</x:v>
      </x:c>
      <x:c r="O180" s="32" t="n">
        <x:v>4.49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Sphyraena barracuda</x:v>
      </x:c>
      <x:c r="T180" s="32" t="n">
        <x:f>IF(O180="","",(1/'Metadata'!$B$5)^(O180-1))</x:f>
        <x:v>3090.295432513592</x:v>
      </x:c>
      <x:c r="U180" s="31" t="n">
        <x:f>IF(T180="","",I180*T180)</x:f>
        <x:v>14339.531806734703</x:v>
      </x:c>
    </x:row>
    <x:row r="181" ht="18" customHeight="1">
      <x:c r="A181" s="24" t="str">
        <x:v>LME_015</x:v>
      </x:c>
      <x:c r="B181" s="24" t="str">
        <x:v>South Brazil Shelf</x:v>
      </x:c>
      <x:c r="C181" s="24" t="str">
        <x:v>LME</x:v>
      </x:c>
      <x:c r="D181" s="30" t="n">
        <x:v>2019</x:v>
      </x:c>
      <x:c r="E181" s="24" t="str">
        <x:v>Archosargus rhomboidalis</x:v>
      </x:c>
      <x:c r="F181" s="24" t="str">
        <x:v>Western Atlantic seabream</x:v>
      </x:c>
      <x:c r="G181" s="24" t="str">
        <x:v>Medium reef assoc. fish (30 - 89 cm)</x:v>
      </x:c>
      <x:c r="H181" s="24" t="str">
        <x:v>Perch-likes</x:v>
      </x:c>
      <x:c r="I181" s="31" t="n">
        <x:v>4.568016119499999</x:v>
      </x:c>
      <x:c r="J181" s="31" t="n">
        <x:v>4.568016119499999</x:v>
      </x:c>
      <x:c r="K181" s="31" t="n">
        <x:v>0</x:v>
      </x:c>
      <x:c r="L181" s="31" t="n">
        <x:v>4.560784035599999</x:v>
      </x:c>
      <x:c r="M181" s="31" t="n">
        <x:v>0.0072320839</x:v>
      </x:c>
      <x:c r="N181" s="24" t="str">
        <x:v>archosargus rhomboidalis</x:v>
      </x:c>
      <x:c r="O181" s="32" t="n">
        <x:v>2.89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Archosargus rhomboidalis</x:v>
      </x:c>
      <x:c r="T181" s="32" t="n">
        <x:f>IF(O181="","",(1/'Metadata'!$B$5)^(O181-1))</x:f>
        <x:v>77.6247116628692</x:v>
      </x:c>
      <x:c r="U181" s="31" t="n">
        <x:f>IF(T181="","",I181*T181)</x:f>
        <x:v>354.5909341475261</x:v>
      </x:c>
    </x:row>
    <x:row r="182" ht="18" customHeight="1">
      <x:c r="A182" s="24" t="str">
        <x:v>LME_015</x:v>
      </x:c>
      <x:c r="B182" s="24" t="str">
        <x:v>South Brazil Shelf</x:v>
      </x:c>
      <x:c r="C182" s="24" t="str">
        <x:v>LME</x:v>
      </x:c>
      <x:c r="D182" s="30" t="n">
        <x:v>2019</x:v>
      </x:c>
      <x:c r="E182" s="24" t="str">
        <x:v>Kyphosus</x:v>
      </x:c>
      <x:c r="F182" s="24" t="str">
        <x:v>Sea chubs</x:v>
      </x:c>
      <x:c r="G182" s="24" t="str">
        <x:v>Medium reef assoc. fish (30 - 89 cm)</x:v>
      </x:c>
      <x:c r="H182" s="24" t="str">
        <x:v>Perch-likes</x:v>
      </x:c>
      <x:c r="I182" s="31" t="n">
        <x:v>4.3289562511</x:v>
      </x:c>
      <x:c r="J182" s="31" t="n">
        <x:v>4.3289562511</x:v>
      </x:c>
      <x:c r="K182" s="31" t="n">
        <x:v>0</x:v>
      </x:c>
      <x:c r="L182" s="31" t="n">
        <x:v>4.221542632999999</x:v>
      </x:c>
      <x:c r="M182" s="31" t="n">
        <x:v>0.1074136181</x:v>
      </x:c>
      <x:c r="N182" s="24" t="str">
        <x:v>kyphosus</x:v>
      </x:c>
      <x:c r="O182" s="32" t="n">
        <x:v>2.05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Kyphosus</x:v>
      </x:c>
      <x:c r="T182" s="32" t="n">
        <x:f>IF(O182="","",(1/'Metadata'!$B$5)^(O182-1))</x:f>
        <x:v>11.220184543019629</x:v>
      </x:c>
      <x:c r="U182" s="31" t="n">
        <x:f>IF(T182="","",I182*T182)</x:f>
        <x:v>48.57168801600042</x:v>
      </x:c>
    </x:row>
    <x:row r="183" ht="18" customHeight="1">
      <x:c r="A183" s="24" t="str">
        <x:v>LME_015</x:v>
      </x:c>
      <x:c r="B183" s="24" t="str">
        <x:v>South Brazil Shelf</x:v>
      </x:c>
      <x:c r="C183" s="24" t="str">
        <x:v>LME</x:v>
      </x:c>
      <x:c r="D183" s="30" t="n">
        <x:v>2019</x:v>
      </x:c>
      <x:c r="E183" s="24" t="str">
        <x:v>Lutjanidae</x:v>
      </x:c>
      <x:c r="F183" s="24" t="str">
        <x:v>Snappers</x:v>
      </x:c>
      <x:c r="G183" s="24" t="str">
        <x:v>Medium reef assoc. fish (30 - 89 cm)</x:v>
      </x:c>
      <x:c r="H183" s="24" t="str">
        <x:v>Perch-likes</x:v>
      </x:c>
      <x:c r="I183" s="31" t="n">
        <x:v>4.2164761171</x:v>
      </x:c>
      <x:c r="J183" s="31" t="n">
        <x:v>4.2164761171</x:v>
      </x:c>
      <x:c r="K183" s="31" t="n">
        <x:v>0</x:v>
      </x:c>
      <x:c r="L183" s="31" t="n">
        <x:v>0.7980007574000001</x:v>
      </x:c>
      <x:c r="M183" s="31" t="n">
        <x:v>3.4184753597</x:v>
      </x:c>
      <x:c r="N183" s="24" t="str">
        <x:v>lutjanidae</x:v>
      </x:c>
      <x:c r="O183" s="32" t="n">
        <x:v>4.02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Lutjanidae</x:v>
      </x:c>
      <x:c r="T183" s="32" t="n">
        <x:f>IF(O183="","",(1/'Metadata'!$B$5)^(O183-1))</x:f>
        <x:v>1047.1285480508984</x:v>
      </x:c>
      <x:c r="U183" s="31" t="n">
        <x:f>IF(T183="","",I183*T183)</x:f>
        <x:v>4415.192514390213</x:v>
      </x:c>
    </x:row>
    <x:row r="184" ht="18" customHeight="1">
      <x:c r="A184" s="24" t="str">
        <x:v>LME_015</x:v>
      </x:c>
      <x:c r="B184" s="24" t="str">
        <x:v>South Brazil Shelf</x:v>
      </x:c>
      <x:c r="C184" s="24" t="str">
        <x:v>LME</x:v>
      </x:c>
      <x:c r="D184" s="30" t="n">
        <x:v>2019</x:v>
      </x:c>
      <x:c r="E184" s="24" t="str">
        <x:v>Aetobatus narinari</x:v>
      </x:c>
      <x:c r="F184" s="24" t="str">
        <x:v>Spotted eagle ray</x:v>
      </x:c>
      <x:c r="G184" s="24" t="str">
        <x:v>Large rays (&gt;=90 cm)</x:v>
      </x:c>
      <x:c r="H184" s="24" t="str">
        <x:v>Sharks &amp; rays</x:v>
      </x:c>
      <x:c r="I184" s="31" t="n">
        <x:v>3.8798994407</x:v>
      </x:c>
      <x:c r="J184" s="31" t="n">
        <x:v>3.8798994407</x:v>
      </x:c>
      <x:c r="K184" s="31" t="n">
        <x:v>0</x:v>
      </x:c>
      <x:c r="L184" s="31" t="n">
        <x:v>1.9133366096</x:v>
      </x:c>
      <x:c r="M184" s="31" t="n">
        <x:v>1.9665628311</x:v>
      </x:c>
      <x:c r="N184" s="24" t="str">
        <x:v>aetobatus narinari</x:v>
      </x:c>
      <x:c r="O184" s="32" t="n">
        <x:v>4.17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Aetobatus narinari</x:v>
      </x:c>
      <x:c r="T184" s="32" t="n">
        <x:f>IF(O184="","",(1/'Metadata'!$B$5)^(O184-1))</x:f>
        <x:v>1479.1083881682073</x:v>
      </x:c>
      <x:c r="U184" s="31" t="n">
        <x:f>IF(T184="","",I184*T184)</x:f>
        <x:v>5738.791807988506</x:v>
      </x:c>
    </x:row>
    <x:row r="185" ht="18" customHeight="1">
      <x:c r="A185" s="24" t="str">
        <x:v>LME_015</x:v>
      </x:c>
      <x:c r="B185" s="24" t="str">
        <x:v>South Brazil Shelf</x:v>
      </x:c>
      <x:c r="C185" s="24" t="str">
        <x:v>LME</x:v>
      </x:c>
      <x:c r="D185" s="30" t="n">
        <x:v>2019</x:v>
      </x:c>
      <x:c r="E185" s="24" t="str">
        <x:v>Selar crumenophthalmus</x:v>
      </x:c>
      <x:c r="F185" s="24" t="str">
        <x:v>Bigeye scad</x:v>
      </x:c>
      <x:c r="G185" s="24" t="str">
        <x:v>Medium pelagics (30 - 89 cm)</x:v>
      </x:c>
      <x:c r="H185" s="24" t="str">
        <x:v>Perch-likes</x:v>
      </x:c>
      <x:c r="I185" s="31" t="n">
        <x:v>3.8658502867999998</x:v>
      </x:c>
      <x:c r="J185" s="31" t="n">
        <x:v>3.8658502867999998</x:v>
      </x:c>
      <x:c r="K185" s="31" t="n">
        <x:v>0</x:v>
      </x:c>
      <x:c r="L185" s="31" t="n">
        <x:v>3.7573326369999998</x:v>
      </x:c>
      <x:c r="M185" s="31" t="n">
        <x:v>0.1085176498</x:v>
      </x:c>
      <x:c r="N185" s="24" t="str">
        <x:v>selar crumenophthalmus</x:v>
      </x:c>
      <x:c r="O185" s="32" t="n">
        <x:v>3.81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Selar crumenophthalmus</x:v>
      </x:c>
      <x:c r="T185" s="32" t="n">
        <x:f>IF(O185="","",(1/'Metadata'!$B$5)^(O185-1))</x:f>
        <x:v>645.6542290346556</x:v>
      </x:c>
      <x:c r="U185" s="31" t="n">
        <x:f>IF(T185="","",I185*T185)</x:f>
        <x:v>2496.002586487256</x:v>
      </x:c>
    </x:row>
    <x:row r="186" ht="18" customHeight="1">
      <x:c r="A186" s="24" t="str">
        <x:v>LME_015</x:v>
      </x:c>
      <x:c r="B186" s="24" t="str">
        <x:v>South Brazil Shelf</x:v>
      </x:c>
      <x:c r="C186" s="24" t="str">
        <x:v>LME</x:v>
      </x:c>
      <x:c r="D186" s="30" t="n">
        <x:v>2019</x:v>
      </x:c>
      <x:c r="E186" s="24" t="str">
        <x:v>Alopias</x:v>
      </x:c>
      <x:c r="F186" s="24" t="str">
        <x:v>Thresher sharks</x:v>
      </x:c>
      <x:c r="G186" s="24" t="str">
        <x:v>Large sharks (&gt;=90 cm)</x:v>
      </x:c>
      <x:c r="H186" s="24" t="str">
        <x:v>Sharks &amp; rays</x:v>
      </x:c>
      <x:c r="I186" s="31" t="n">
        <x:v>3.8206275024</x:v>
      </x:c>
      <x:c r="J186" s="31" t="n">
        <x:v>3.8206275024</x:v>
      </x:c>
      <x:c r="K186" s="31" t="n">
        <x:v>0</x:v>
      </x:c>
      <x:c r="L186" s="31" t="n">
        <x:v>3.7275756818</x:v>
      </x:c>
      <x:c r="M186" s="31" t="n">
        <x:v>0.0930518206</x:v>
      </x:c>
      <x:c r="N186" s="24" t="str">
        <x:v>alopias</x:v>
      </x:c>
      <x:c r="O186" s="32" t="n">
        <x:v>4.5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Alopias</x:v>
      </x:c>
      <x:c r="T186" s="32" t="n">
        <x:f>IF(O186="","",(1/'Metadata'!$B$5)^(O186-1))</x:f>
        <x:v>3162.2776601683795</x:v>
      </x:c>
      <x:c r="U186" s="31" t="n">
        <x:f>IF(T186="","",I186*T186)</x:f>
        <x:v>12081.88499866443</x:v>
      </x:c>
    </x:row>
    <x:row r="187" ht="18" customHeight="1">
      <x:c r="A187" s="24" t="str">
        <x:v>LME_015</x:v>
      </x:c>
      <x:c r="B187" s="24" t="str">
        <x:v>South Brazil Shelf</x:v>
      </x:c>
      <x:c r="C187" s="24" t="str">
        <x:v>LME</x:v>
      </x:c>
      <x:c r="D187" s="30" t="n">
        <x:v>2019</x:v>
      </x:c>
      <x:c r="E187" s="24" t="str">
        <x:v>Genypterus blacodes</x:v>
      </x:c>
      <x:c r="F187" s="24" t="str">
        <x:v>Pink cusk-eel</x:v>
      </x:c>
      <x:c r="G187" s="24" t="str">
        <x:v>Large bathydemersals (&gt;=90 cm)</x:v>
      </x:c>
      <x:c r="H187" s="24" t="str">
        <x:v>Other fishes &amp; inverts</x:v>
      </x:c>
      <x:c r="I187" s="31" t="n">
        <x:v>3.6679976229</x:v>
      </x:c>
      <x:c r="J187" s="31" t="n">
        <x:v>3.6679976229</x:v>
      </x:c>
      <x:c r="K187" s="31" t="n">
        <x:v>0</x:v>
      </x:c>
      <x:c r="L187" s="31" t="n">
        <x:v>3.6679976229</x:v>
      </x:c>
      <x:c r="M187" s="31" t="n">
        <x:v>0</x:v>
      </x:c>
      <x:c r="N187" s="24" t="str">
        <x:v>genypterus blacodes</x:v>
      </x:c>
      <x:c r="O187" s="32" t="n">
        <x:v>4.22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Genypterus blacodes</x:v>
      </x:c>
      <x:c r="T187" s="32" t="n">
        <x:f>IF(O187="","",(1/'Metadata'!$B$5)^(O187-1))</x:f>
        <x:v>1659.5869074375596</x:v>
      </x:c>
      <x:c r="U187" s="31" t="n">
        <x:f>IF(T187="","",I187*T187)</x:f>
        <x:v>6087.360831476932</x:v>
      </x:c>
    </x:row>
    <x:row r="188" ht="18" customHeight="1">
      <x:c r="A188" s="24" t="str">
        <x:v>LME_015</x:v>
      </x:c>
      <x:c r="B188" s="24" t="str">
        <x:v>South Brazil Shelf</x:v>
      </x:c>
      <x:c r="C188" s="24" t="str">
        <x:v>LME</x:v>
      </x:c>
      <x:c r="D188" s="30" t="n">
        <x:v>2019</x:v>
      </x:c>
      <x:c r="E188" s="24" t="str">
        <x:v>Anchoa hepsetus</x:v>
      </x:c>
      <x:c r="F188" s="24" t="str">
        <x:v>Broad-striped anchovy</x:v>
      </x:c>
      <x:c r="G188" s="24" t="str">
        <x:v>Small pelagics (&lt;30 cm)</x:v>
      </x:c>
      <x:c r="H188" s="24" t="str">
        <x:v>Anchovies</x:v>
      </x:c>
      <x:c r="I188" s="31" t="n">
        <x:v>3.6166012215</x:v>
      </x:c>
      <x:c r="J188" s="31" t="n">
        <x:v>3.6166012215</x:v>
      </x:c>
      <x:c r="K188" s="31" t="n">
        <x:v>0</x:v>
      </x:c>
      <x:c r="L188" s="31" t="n">
        <x:v>3.0398926437</x:v>
      </x:c>
      <x:c r="M188" s="31" t="n">
        <x:v>0.5767085778000001</x:v>
      </x:c>
      <x:c r="N188" s="24" t="str">
        <x:v>anchoa hepsetus</x:v>
      </x:c>
      <x:c r="O188" s="32" t="n">
        <x:v>3.34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Anchoa hepsetus</x:v>
      </x:c>
      <x:c r="T188" s="32" t="n">
        <x:f>IF(O188="","",(1/'Metadata'!$B$5)^(O188-1))</x:f>
        <x:v>218.77616239495518</x:v>
      </x:c>
      <x:c r="U188" s="31" t="n">
        <x:f>IF(T188="","",I188*T188)</x:f>
        <x:v>791.2261361526772</x:v>
      </x:c>
    </x:row>
    <x:row r="189" ht="18" customHeight="1">
      <x:c r="A189" s="24" t="str">
        <x:v>LME_015</x:v>
      </x:c>
      <x:c r="B189" s="24" t="str">
        <x:v>South Brazil Shelf</x:v>
      </x:c>
      <x:c r="C189" s="24" t="str">
        <x:v>LME</x:v>
      </x:c>
      <x:c r="D189" s="30" t="n">
        <x:v>2019</x:v>
      </x:c>
      <x:c r="E189" s="24" t="str">
        <x:v>Eucinostomus</x:v>
      </x:c>
      <x:c r="F189" s="24" t="str">
        <x:v>Mojarras</x:v>
      </x:c>
      <x:c r="G189" s="24" t="str">
        <x:v>Large reef assoc. fish (&gt;=90 cm)</x:v>
      </x:c>
      <x:c r="H189" s="24" t="str">
        <x:v>Perch-likes</x:v>
      </x:c>
      <x:c r="I189" s="31" t="n">
        <x:v>3.5114247962</x:v>
      </x:c>
      <x:c r="J189" s="31" t="n">
        <x:v>3.5114247962</x:v>
      </x:c>
      <x:c r="K189" s="31" t="n">
        <x:v>0</x:v>
      </x:c>
      <x:c r="L189" s="31" t="n">
        <x:v>3.4411472155</x:v>
      </x:c>
      <x:c r="M189" s="31" t="n">
        <x:v>0.07027758070000001</x:v>
      </x:c>
      <x:c r="N189" s="24" t="str">
        <x:v>eucinostomus</x:v>
      </x:c>
      <x:c r="O189" s="32" t="n">
        <x:v>3.5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Eucinostomus</x:v>
      </x:c>
      <x:c r="T189" s="32" t="n">
        <x:f>IF(O189="","",(1/'Metadata'!$B$5)^(O189-1))</x:f>
        <x:v>316.22776601683796</x:v>
      </x:c>
      <x:c r="U189" s="31" t="n">
        <x:f>IF(T189="","",I189*T189)</x:f>
        <x:v>1110.4100188384566</x:v>
      </x:c>
    </x:row>
    <x:row r="190" ht="18" customHeight="1">
      <x:c r="A190" s="24" t="str">
        <x:v>LME_015</x:v>
      </x:c>
      <x:c r="B190" s="24" t="str">
        <x:v>South Brazil Shelf</x:v>
      </x:c>
      <x:c r="C190" s="24" t="str">
        <x:v>LME</x:v>
      </x:c>
      <x:c r="D190" s="30" t="n">
        <x:v>2019</x:v>
      </x:c>
      <x:c r="E190" s="24" t="str">
        <x:v>Zenopsis conchifer</x:v>
      </x:c>
      <x:c r="F190" s="24" t="str">
        <x:v>Silvery John dory</x:v>
      </x:c>
      <x:c r="G190" s="24" t="str">
        <x:v>Medium benthopelagics (30 - 89 cm)</x:v>
      </x:c>
      <x:c r="H190" s="24" t="str">
        <x:v>Other fishes &amp; inverts</x:v>
      </x:c>
      <x:c r="I190" s="31" t="n">
        <x:v>3.3569124229000002</x:v>
      </x:c>
      <x:c r="J190" s="31" t="n">
        <x:v>3.3569124229000002</x:v>
      </x:c>
      <x:c r="K190" s="31" t="n">
        <x:v>0</x:v>
      </x:c>
      <x:c r="L190" s="31" t="n">
        <x:v>3.2675133338</x:v>
      </x:c>
      <x:c r="M190" s="31" t="n">
        <x:v>0.0893990891</x:v>
      </x:c>
      <x:c r="N190" s="24" t="str">
        <x:v>zenopsis conchifer</x:v>
      </x:c>
      <x:c r="O190" s="32" t="n">
        <x:v>4.5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Zenopsis conchifer</x:v>
      </x:c>
      <x:c r="T190" s="32" t="n">
        <x:f>IF(O190="","",(1/'Metadata'!$B$5)^(O190-1))</x:f>
        <x:v>3162.2776601683795</x:v>
      </x:c>
      <x:c r="U190" s="31" t="n">
        <x:f>IF(T190="","",I190*T190)</x:f>
        <x:v>10615.489162078378</x:v>
      </x:c>
    </x:row>
    <x:row r="191" ht="18" customHeight="1">
      <x:c r="A191" s="24" t="str">
        <x:v>LME_015</x:v>
      </x:c>
      <x:c r="B191" s="24" t="str">
        <x:v>South Brazil Shelf</x:v>
      </x:c>
      <x:c r="C191" s="24" t="str">
        <x:v>LME</x:v>
      </x:c>
      <x:c r="D191" s="30" t="n">
        <x:v>2019</x:v>
      </x:c>
      <x:c r="E191" s="24" t="str">
        <x:v>Dissostichus eleginoides</x:v>
      </x:c>
      <x:c r="F191" s="24" t="str">
        <x:v>Patagonian toothfish</x:v>
      </x:c>
      <x:c r="G191" s="24" t="str">
        <x:v>Large bathydemersals (&gt;=90 cm)</x:v>
      </x:c>
      <x:c r="H191" s="24" t="str">
        <x:v>Perch-likes</x:v>
      </x:c>
      <x:c r="I191" s="31" t="n">
        <x:v>3.3417636516</x:v>
      </x:c>
      <x:c r="J191" s="31" t="n">
        <x:v>3.3417636516</x:v>
      </x:c>
      <x:c r="K191" s="31" t="n">
        <x:v>0</x:v>
      </x:c>
      <x:c r="L191" s="31" t="n">
        <x:v>3.3417636516</x:v>
      </x:c>
      <x:c r="M191" s="31" t="n">
        <x:v>0</x:v>
      </x:c>
      <x:c r="N191" s="24" t="str">
        <x:v>dissostichus eleginoides</x:v>
      </x:c>
      <x:c r="O191" s="32" t="n">
        <x:v>3.96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Dissostichus eleginoides</x:v>
      </x:c>
      <x:c r="T191" s="32" t="n">
        <x:f>IF(O191="","",(1/'Metadata'!$B$5)^(O191-1))</x:f>
        <x:v>912.0108393559096</x:v>
      </x:c>
      <x:c r="U191" s="31" t="n">
        <x:f>IF(T191="","",I191*T191)</x:f>
        <x:v>3047.7246728247856</x:v>
      </x:c>
    </x:row>
    <x:row r="192" ht="18" customHeight="1">
      <x:c r="A192" s="24" t="str">
        <x:v>LME_015</x:v>
      </x:c>
      <x:c r="B192" s="24" t="str">
        <x:v>South Brazil Shelf</x:v>
      </x:c>
      <x:c r="C192" s="24" t="str">
        <x:v>LME</x:v>
      </x:c>
      <x:c r="D192" s="30" t="n">
        <x:v>2019</x:v>
      </x:c>
      <x:c r="E192" s="24" t="str">
        <x:v>Polyprion americanus</x:v>
      </x:c>
      <x:c r="F192" s="24" t="str">
        <x:v>Wreckfish</x:v>
      </x:c>
      <x:c r="G192" s="24" t="str">
        <x:v>Large bathydemersals (&gt;=90 cm)</x:v>
      </x:c>
      <x:c r="H192" s="24" t="str">
        <x:v>Perch-likes</x:v>
      </x:c>
      <x:c r="I192" s="31" t="n">
        <x:v>3.2549423961</x:v>
      </x:c>
      <x:c r="J192" s="31" t="n">
        <x:v>3.2549423961</x:v>
      </x:c>
      <x:c r="K192" s="31" t="n">
        <x:v>0</x:v>
      </x:c>
      <x:c r="L192" s="31" t="n">
        <x:v>3.220184133</x:v>
      </x:c>
      <x:c r="M192" s="31" t="n">
        <x:v>0.0347582631</x:v>
      </x:c>
      <x:c r="N192" s="24" t="str">
        <x:v>polyprion americanus</x:v>
      </x:c>
      <x:c r="O192" s="32" t="n">
        <x:v>4.14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Polyprion americanus</x:v>
      </x:c>
      <x:c r="T192" s="32" t="n">
        <x:f>IF(O192="","",(1/'Metadata'!$B$5)^(O192-1))</x:f>
        <x:v>1380.3842646028838</x:v>
      </x:c>
      <x:c r="U192" s="31" t="n">
        <x:f>IF(T192="","",I192*T192)</x:f>
        <x:v>4493.0712657652475</x:v>
      </x:c>
    </x:row>
    <x:row r="193" ht="18" customHeight="1">
      <x:c r="A193" s="24" t="str">
        <x:v>LME_015</x:v>
      </x:c>
      <x:c r="B193" s="24" t="str">
        <x:v>South Brazil Shelf</x:v>
      </x:c>
      <x:c r="C193" s="24" t="str">
        <x:v>LME</x:v>
      </x:c>
      <x:c r="D193" s="30" t="n">
        <x:v>2019</x:v>
      </x:c>
      <x:c r="E193" s="24" t="str">
        <x:v>Centropomus</x:v>
      </x:c>
      <x:c r="F193" s="24" t="str">
        <x:v>Fat snooks</x:v>
      </x:c>
      <x:c r="G193" s="24" t="str">
        <x:v>Medium benthopelagics (30 - 89 cm)</x:v>
      </x:c>
      <x:c r="H193" s="24" t="str">
        <x:v>Perch-likes</x:v>
      </x:c>
      <x:c r="I193" s="31" t="n">
        <x:v>3.1696999085</x:v>
      </x:c>
      <x:c r="J193" s="31" t="n">
        <x:v>3.1696999085</x:v>
      </x:c>
      <x:c r="K193" s="31" t="n">
        <x:v>0</x:v>
      </x:c>
      <x:c r="L193" s="31" t="n">
        <x:v>3.1095425142</x:v>
      </x:c>
      <x:c r="M193" s="31" t="n">
        <x:v>0.0601573943</x:v>
      </x:c>
      <x:c r="N193" s="24" t="str">
        <x:v>centropomus</x:v>
      </x:c>
      <x:c r="O193" s="32" t="n">
        <x:v>3.92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Centropomus</x:v>
      </x:c>
      <x:c r="T193" s="32" t="n">
        <x:f>IF(O193="","",(1/'Metadata'!$B$5)^(O193-1))</x:f>
        <x:v>831.7637711026708</x:v>
      </x:c>
      <x:c r="U193" s="31" t="n">
        <x:f>IF(T193="","",I193*T193)</x:f>
        <x:v>2636.4415491577506</x:v>
      </x:c>
    </x:row>
    <x:row r="194" ht="18" customHeight="1">
      <x:c r="A194" s="24" t="str">
        <x:v>LME_015</x:v>
      </x:c>
      <x:c r="B194" s="24" t="str">
        <x:v>South Brazil Shelf</x:v>
      </x:c>
      <x:c r="C194" s="24" t="str">
        <x:v>LME</x:v>
      </x:c>
      <x:c r="D194" s="30" t="n">
        <x:v>2019</x:v>
      </x:c>
      <x:c r="E194" s="24" t="str">
        <x:v>Myliobatidae</x:v>
      </x:c>
      <x:c r="F194" s="24" t="str">
        <x:v>Eagle/manta rays</x:v>
      </x:c>
      <x:c r="G194" s="24" t="str">
        <x:v>Large rays (&gt;=90 cm)</x:v>
      </x:c>
      <x:c r="H194" s="24" t="str">
        <x:v>Sharks &amp; rays</x:v>
      </x:c>
      <x:c r="I194" s="31" t="n">
        <x:v>2.6973027233000004</x:v>
      </x:c>
      <x:c r="J194" s="31" t="n">
        <x:v>2.6973027233000004</x:v>
      </x:c>
      <x:c r="K194" s="31" t="n">
        <x:v>0</x:v>
      </x:c>
      <x:c r="L194" s="31" t="n">
        <x:v>2.6708900921</x:v>
      </x:c>
      <x:c r="M194" s="31" t="n">
        <x:v>0.0264126312</x:v>
      </x:c>
      <x:c r="N194" s="24" t="str">
        <x:v>myliobatidae</x:v>
      </x:c>
      <x:c r="O194" s="32" t="n">
        <x:v>3.36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Myliobatidae</x:v>
      </x:c>
      <x:c r="T194" s="32" t="n">
        <x:f>IF(O194="","",(1/'Metadata'!$B$5)^(O194-1))</x:f>
        <x:v>229.08676527677724</x:v>
      </x:c>
      <x:c r="U194" s="31" t="n">
        <x:f>IF(T194="","",I194*T194)</x:f>
        <x:v>617.9163558530392</x:v>
      </x:c>
    </x:row>
    <x:row r="195" ht="18" customHeight="1">
      <x:c r="A195" s="24" t="str">
        <x:v>LME_015</x:v>
      </x:c>
      <x:c r="B195" s="24" t="str">
        <x:v>South Brazil Shelf</x:v>
      </x:c>
      <x:c r="C195" s="24" t="str">
        <x:v>LME</x:v>
      </x:c>
      <x:c r="D195" s="30" t="n">
        <x:v>2019</x:v>
      </x:c>
      <x:c r="E195" s="24" t="str">
        <x:v>Pseudobatos percellens</x:v>
      </x:c>
      <x:c r="F195" s="24" t="str">
        <x:v>Chola guitarfish</x:v>
      </x:c>
      <x:c r="G195" s="24" t="str">
        <x:v>Small to medium rays (&lt;90 cm)</x:v>
      </x:c>
      <x:c r="H195" s="24" t="str">
        <x:v>Sharks &amp; rays</x:v>
      </x:c>
      <x:c r="I195" s="31" t="n">
        <x:v>2.6005653338</x:v>
      </x:c>
      <x:c r="J195" s="31" t="n">
        <x:v>2.6005653338</x:v>
      </x:c>
      <x:c r="K195" s="31" t="n">
        <x:v>0</x:v>
      </x:c>
      <x:c r="L195" s="31" t="n">
        <x:v>2.5945965148</x:v>
      </x:c>
      <x:c r="M195" s="31" t="n">
        <x:v>0.005968819</x:v>
      </x:c>
      <x:c r="N195" s="24" t="str">
        <x:v>pseudobatos percellens</x:v>
      </x:c>
      <x:c r="O195" s="32" t="n">
        <x:v>3.58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Pseudobatos percellens</x:v>
      </x:c>
      <x:c r="T195" s="32" t="n">
        <x:f>IF(O195="","",(1/'Metadata'!$B$5)^(O195-1))</x:f>
        <x:v>380.1893963205613</x:v>
      </x:c>
      <x:c r="U195" s="31" t="n">
        <x:f>IF(T195="","",I195*T195)</x:f>
        <x:v>988.707364349601</x:v>
      </x:c>
    </x:row>
    <x:row r="196" ht="18" customHeight="1">
      <x:c r="A196" s="24" t="str">
        <x:v>LME_015</x:v>
      </x:c>
      <x:c r="B196" s="24" t="str">
        <x:v>South Brazil Shelf</x:v>
      </x:c>
      <x:c r="C196" s="24" t="str">
        <x:v>LME</x:v>
      </x:c>
      <x:c r="D196" s="30" t="n">
        <x:v>2019</x:v>
      </x:c>
      <x:c r="E196" s="24" t="str">
        <x:v>Chaetodipterus faber</x:v>
      </x:c>
      <x:c r="F196" s="24" t="str">
        <x:v>Atlantic spadefish</x:v>
      </x:c>
      <x:c r="G196" s="24" t="str">
        <x:v>Medium demersals (30 - 89 cm)</x:v>
      </x:c>
      <x:c r="H196" s="24" t="str">
        <x:v>Perch-likes</x:v>
      </x:c>
      <x:c r="I196" s="31" t="n">
        <x:v>2.367130459</x:v>
      </x:c>
      <x:c r="J196" s="31" t="n">
        <x:v>1.2871101397</x:v>
      </x:c>
      <x:c r="K196" s="31" t="n">
        <x:v>1.0800203193</x:v>
      </x:c>
      <x:c r="L196" s="31" t="n">
        <x:v>1.1615262454</x:v>
      </x:c>
      <x:c r="M196" s="31" t="n">
        <x:v>1.2056042136</x:v>
      </x:c>
      <x:c r="N196" s="24" t="str">
        <x:v>chaetodipterus faber</x:v>
      </x:c>
      <x:c r="O196" s="32" t="n">
        <x:v>4.5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Chaetodipterus faber</x:v>
      </x:c>
      <x:c r="T196" s="32" t="n">
        <x:f>IF(O196="","",(1/'Metadata'!$B$5)^(O196-1))</x:f>
        <x:v>3162.2776601683795</x:v>
      </x:c>
      <x:c r="U196" s="31" t="n">
        <x:f>IF(T196="","",I196*T196)</x:f>
        <x:v>7485.523769199823</x:v>
      </x:c>
    </x:row>
    <x:row r="197" ht="18" customHeight="1">
      <x:c r="A197" s="24" t="str">
        <x:v>LME_015</x:v>
      </x:c>
      <x:c r="B197" s="24" t="str">
        <x:v>South Brazil Shelf</x:v>
      </x:c>
      <x:c r="C197" s="24" t="str">
        <x:v>LME</x:v>
      </x:c>
      <x:c r="D197" s="30" t="n">
        <x:v>2019</x:v>
      </x:c>
      <x:c r="E197" s="24" t="str">
        <x:v>Nototheniidae</x:v>
      </x:c>
      <x:c r="F197" s="24" t="str">
        <x:v>Cod icefishes</x:v>
      </x:c>
      <x:c r="G197" s="24" t="str">
        <x:v>Large bathydemersals (&gt;=90 cm)</x:v>
      </x:c>
      <x:c r="H197" s="24" t="str">
        <x:v>Perch-likes</x:v>
      </x:c>
      <x:c r="I197" s="31" t="n">
        <x:v>2.3491503134</x:v>
      </x:c>
      <x:c r="J197" s="31" t="n">
        <x:v>2.3491503134</x:v>
      </x:c>
      <x:c r="K197" s="31" t="n">
        <x:v>0</x:v>
      </x:c>
      <x:c r="L197" s="31" t="n">
        <x:v>2.3491503134</x:v>
      </x:c>
      <x:c r="M197" s="31" t="n">
        <x:v>0</x:v>
      </x:c>
      <x:c r="N197" s="24" t="str">
        <x:v>nototheniidae</x:v>
      </x:c>
      <x:c r="O197" s="32" t="n">
        <x:v>3.43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Nototheniidae</x:v>
      </x:c>
      <x:c r="T197" s="32" t="n">
        <x:f>IF(O197="","",(1/'Metadata'!$B$5)^(O197-1))</x:f>
        <x:v>269.1534803926917</x:v>
      </x:c>
      <x:c r="U197" s="31" t="n">
        <x:f>IF(T197="","",I197*T197)</x:f>
        <x:v>632.2819828171924</x:v>
      </x:c>
    </x:row>
    <x:row r="198" ht="18" customHeight="1">
      <x:c r="A198" s="24" t="str">
        <x:v>LME_015</x:v>
      </x:c>
      <x:c r="B198" s="24" t="str">
        <x:v>South Brazil Shelf</x:v>
      </x:c>
      <x:c r="C198" s="24" t="str">
        <x:v>LME</x:v>
      </x:c>
      <x:c r="D198" s="30" t="n">
        <x:v>2019</x:v>
      </x:c>
      <x:c r="E198" s="24" t="str">
        <x:v>Gobiidae</x:v>
      </x:c>
      <x:c r="F198" s="24" t="str">
        <x:v>Gobies</x:v>
      </x:c>
      <x:c r="G198" s="24" t="str">
        <x:v>Small reef assoc. fish (&lt;30 cm)</x:v>
      </x:c>
      <x:c r="H198" s="24" t="str">
        <x:v>Perch-likes</x:v>
      </x:c>
      <x:c r="I198" s="31" t="n">
        <x:v>2.2860430684</x:v>
      </x:c>
      <x:c r="J198" s="31" t="n">
        <x:v>2.2860430684</x:v>
      </x:c>
      <x:c r="K198" s="31" t="n">
        <x:v>0</x:v>
      </x:c>
      <x:c r="L198" s="31" t="n">
        <x:v>2.2496936278</x:v>
      </x:c>
      <x:c r="M198" s="31" t="n">
        <x:v>0.0363494406</x:v>
      </x:c>
      <x:c r="N198" s="24" t="str">
        <x:v>gobiidae</x:v>
      </x:c>
      <x:c r="O198" s="32" t="n">
        <x:v>3.11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Gobiidae</x:v>
      </x:c>
      <x:c r="T198" s="32" t="n">
        <x:f>IF(O198="","",(1/'Metadata'!$B$5)^(O198-1))</x:f>
        <x:v>128.82495516931337</x:v>
      </x:c>
      <x:c r="U198" s="31" t="n">
        <x:f>IF(T198="","",I198*T198)</x:f>
        <x:v>294.4993958017496</x:v>
      </x:c>
    </x:row>
    <x:row r="199" ht="18" customHeight="1">
      <x:c r="A199" s="24" t="str">
        <x:v>LME_015</x:v>
      </x:c>
      <x:c r="B199" s="24" t="str">
        <x:v>South Brazil Shelf</x:v>
      </x:c>
      <x:c r="C199" s="24" t="str">
        <x:v>LME</x:v>
      </x:c>
      <x:c r="D199" s="30" t="n">
        <x:v>2019</x:v>
      </x:c>
      <x:c r="E199" s="24" t="str">
        <x:v>Stromateidae</x:v>
      </x:c>
      <x:c r="F199" s="24" t="str">
        <x:v>Butterfishes</x:v>
      </x:c>
      <x:c r="G199" s="24" t="str">
        <x:v>Small benthopelagics (&lt;30 cm)</x:v>
      </x:c>
      <x:c r="H199" s="24" t="str">
        <x:v>Perch-likes</x:v>
      </x:c>
      <x:c r="I199" s="31" t="n">
        <x:v>2.2710334272</x:v>
      </x:c>
      <x:c r="J199" s="31" t="n">
        <x:v>2.2710334272</x:v>
      </x:c>
      <x:c r="K199" s="31" t="n">
        <x:v>0</x:v>
      </x:c>
      <x:c r="L199" s="31" t="n">
        <x:v>2.2710334272</x:v>
      </x:c>
      <x:c r="M199" s="31" t="n">
        <x:v>0</x:v>
      </x:c>
      <x:c r="N199" s="24" t="str">
        <x:v>stromateidae</x:v>
      </x:c>
      <x:c r="O199" s="32" t="n">
        <x:v>3.62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Stromateidae</x:v>
      </x:c>
      <x:c r="T199" s="32" t="n">
        <x:f>IF(O199="","",(1/'Metadata'!$B$5)^(O199-1))</x:f>
        <x:v>416.8693834703355</x:v>
      </x:c>
      <x:c r="U199" s="31" t="n">
        <x:f>IF(T199="","",I199*T199)</x:f>
        <x:v>946.724304637387</x:v>
      </x:c>
    </x:row>
    <x:row r="200" ht="18" customHeight="1">
      <x:c r="A200" s="24" t="str">
        <x:v>LME_015</x:v>
      </x:c>
      <x:c r="B200" s="24" t="str">
        <x:v>South Brazil Shelf</x:v>
      </x:c>
      <x:c r="C200" s="24" t="str">
        <x:v>LME</x:v>
      </x:c>
      <x:c r="D200" s="30" t="n">
        <x:v>2019</x:v>
      </x:c>
      <x:c r="E200" s="24" t="str">
        <x:v>Mollusca</x:v>
      </x:c>
      <x:c r="F200" s="24" t="str">
        <x:v>Clams, seasnails, squids, octopuses</x:v>
      </x:c>
      <x:c r="G200" s="24" t="str">
        <x:v>Other demersal invertebrates</x:v>
      </x:c>
      <x:c r="H200" s="24" t="str">
        <x:v>Molluscs</x:v>
      </x:c>
      <x:c r="I200" s="31" t="n">
        <x:v>2.0271936341</x:v>
      </x:c>
      <x:c r="J200" s="31" t="n">
        <x:v>2.0271936341</x:v>
      </x:c>
      <x:c r="K200" s="31" t="n">
        <x:v>0</x:v>
      </x:c>
      <x:c r="L200" s="31" t="n">
        <x:v>1.6761131813</x:v>
      </x:c>
      <x:c r="M200" s="31" t="n">
        <x:v>0.3510804528</x:v>
      </x:c>
      <x:c r="N200" s="24" t="str">
        <x:v>mollusca</x:v>
      </x:c>
      <x:c r="O200" s="32" t="n">
        <x:v>2.1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Mollusca</x:v>
      </x:c>
      <x:c r="T200" s="32" t="n">
        <x:f>IF(O200="","",(1/'Metadata'!$B$5)^(O200-1))</x:f>
        <x:v>12.589254117941675</x:v>
      </x:c>
      <x:c r="U200" s="31" t="n">
        <x:f>IF(T200="","",I200*T200)</x:f>
        <x:v>25.520855805958576</x:v>
      </x:c>
    </x:row>
    <x:row r="201" ht="18" customHeight="1">
      <x:c r="A201" s="24" t="str">
        <x:v>LME_015</x:v>
      </x:c>
      <x:c r="B201" s="24" t="str">
        <x:v>South Brazil Shelf</x:v>
      </x:c>
      <x:c r="C201" s="24" t="str">
        <x:v>LME</x:v>
      </x:c>
      <x:c r="D201" s="30" t="n">
        <x:v>2019</x:v>
      </x:c>
      <x:c r="E201" s="24" t="str">
        <x:v>Pseudocaranx dentex</x:v>
      </x:c>
      <x:c r="F201" s="24" t="str">
        <x:v>White trevally</x:v>
      </x:c>
      <x:c r="G201" s="24" t="str">
        <x:v>Large reef assoc. fish (&gt;=90 cm)</x:v>
      </x:c>
      <x:c r="H201" s="24" t="str">
        <x:v>Perch-likes</x:v>
      </x:c>
      <x:c r="I201" s="31" t="n">
        <x:v>2.0271906997999998</x:v>
      </x:c>
      <x:c r="J201" s="31" t="n">
        <x:v>2.0271906997999998</x:v>
      </x:c>
      <x:c r="K201" s="31" t="n">
        <x:v>0</x:v>
      </x:c>
      <x:c r="L201" s="31" t="n">
        <x:v>2.0271906997999998</x:v>
      </x:c>
      <x:c r="M201" s="31" t="n">
        <x:v>0</x:v>
      </x:c>
      <x:c r="N201" s="24" t="str">
        <x:v>pseudocaranx dentex</x:v>
      </x:c>
      <x:c r="O201" s="32" t="n">
        <x:v>3.92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Pseudocaranx dentex</x:v>
      </x:c>
      <x:c r="T201" s="32" t="n">
        <x:f>IF(O201="","",(1/'Metadata'!$B$5)^(O201-1))</x:f>
        <x:v>831.7637711026708</x:v>
      </x:c>
      <x:c r="U201" s="31" t="n">
        <x:f>IF(T201="","",I201*T201)</x:f>
        <x:v>1686.14378120991</x:v>
      </x:c>
    </x:row>
    <x:row r="202" ht="18" customHeight="1">
      <x:c r="A202" s="24" t="str">
        <x:v>LME_015</x:v>
      </x:c>
      <x:c r="B202" s="24" t="str">
        <x:v>South Brazil Shelf</x:v>
      </x:c>
      <x:c r="C202" s="24" t="str">
        <x:v>LME</x:v>
      </x:c>
      <x:c r="D202" s="30" t="n">
        <x:v>2019</x:v>
      </x:c>
      <x:c r="E202" s="24" t="str">
        <x:v>Albula vulpes</x:v>
      </x:c>
      <x:c r="F202" s="24" t="str">
        <x:v>Bonefish</x:v>
      </x:c>
      <x:c r="G202" s="24" t="str">
        <x:v>Medium reef assoc. fish (30 - 89 cm)</x:v>
      </x:c>
      <x:c r="H202" s="24" t="str">
        <x:v>Other fishes &amp; inverts</x:v>
      </x:c>
      <x:c r="I202" s="31" t="n">
        <x:v>2.0198067892</x:v>
      </x:c>
      <x:c r="J202" s="31" t="n">
        <x:v>2.0198067892</x:v>
      </x:c>
      <x:c r="K202" s="31" t="n">
        <x:v>0</x:v>
      </x:c>
      <x:c r="L202" s="31" t="n">
        <x:v>1.5140361948</x:v>
      </x:c>
      <x:c r="M202" s="31" t="n">
        <x:v>0.5057705944</x:v>
      </x:c>
      <x:c r="N202" s="24" t="str">
        <x:v>albula vulpes</x:v>
      </x:c>
      <x:c r="O202" s="32" t="n">
        <x:v>3.73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Albula vulpes</x:v>
      </x:c>
      <x:c r="T202" s="32" t="n">
        <x:f>IF(O202="","",(1/'Metadata'!$B$5)^(O202-1))</x:f>
        <x:v>537.0317963702527</x:v>
      </x:c>
      <x:c r="U202" s="31" t="n">
        <x:f>IF(T202="","",I202*T202)</x:f>
        <x:v>1084.7004683249083</x:v>
      </x:c>
    </x:row>
    <x:row r="203" ht="18" customHeight="1">
      <x:c r="A203" s="24" t="str">
        <x:v>LME_015</x:v>
      </x:c>
      <x:c r="B203" s="24" t="str">
        <x:v>South Brazil Shelf</x:v>
      </x:c>
      <x:c r="C203" s="24" t="str">
        <x:v>LME</x:v>
      </x:c>
      <x:c r="D203" s="30" t="n">
        <x:v>2019</x:v>
      </x:c>
      <x:c r="E203" s="24" t="str">
        <x:v>Seriola dumerili</x:v>
      </x:c>
      <x:c r="F203" s="24" t="str">
        <x:v>Greater amberjack</x:v>
      </x:c>
      <x:c r="G203" s="24" t="str">
        <x:v>Large reef assoc. fish (&gt;=90 cm)</x:v>
      </x:c>
      <x:c r="H203" s="24" t="str">
        <x:v>Perch-likes</x:v>
      </x:c>
      <x:c r="I203" s="31" t="n">
        <x:v>1.9705851186</x:v>
      </x:c>
      <x:c r="J203" s="31" t="n">
        <x:v>1.9705851186</x:v>
      </x:c>
      <x:c r="K203" s="31" t="n">
        <x:v>0</x:v>
      </x:c>
      <x:c r="L203" s="31" t="n">
        <x:v>1.9547339268000001</x:v>
      </x:c>
      <x:c r="M203" s="31" t="n">
        <x:v>0.0158511918</x:v>
      </x:c>
      <x:c r="N203" s="24" t="str">
        <x:v>seriola dumerili</x:v>
      </x:c>
      <x:c r="O203" s="32" t="n">
        <x:v>4.5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Seriola dumerili</x:v>
      </x:c>
      <x:c r="T203" s="32" t="n">
        <x:f>IF(O203="","",(1/'Metadata'!$B$5)^(O203-1))</x:f>
        <x:v>3162.2776601683795</x:v>
      </x:c>
      <x:c r="U203" s="31" t="n">
        <x:f>IF(T203="","",I203*T203)</x:f>
        <x:v>6231.537298009037</x:v>
      </x:c>
    </x:row>
    <x:row r="204" ht="18" customHeight="1">
      <x:c r="A204" s="24" t="str">
        <x:v>LME_015</x:v>
      </x:c>
      <x:c r="B204" s="24" t="str">
        <x:v>South Brazil Shelf</x:v>
      </x:c>
      <x:c r="C204" s="24" t="str">
        <x:v>LME</x:v>
      </x:c>
      <x:c r="D204" s="30" t="n">
        <x:v>2019</x:v>
      </x:c>
      <x:c r="E204" s="24" t="str">
        <x:v>Hyperoglyphe</x:v>
      </x:c>
      <x:c r="F204" s="24" t="str">
        <x:v>Warehous, barrelfishes</x:v>
      </x:c>
      <x:c r="G204" s="24" t="str">
        <x:v>Medium pelagics (30 - 89 cm)</x:v>
      </x:c>
      <x:c r="H204" s="24" t="str">
        <x:v>Perch-likes</x:v>
      </x:c>
      <x:c r="I204" s="31" t="n">
        <x:v>1.8597115456</x:v>
      </x:c>
      <x:c r="J204" s="31" t="n">
        <x:v>1.8597115456</x:v>
      </x:c>
      <x:c r="K204" s="31" t="n">
        <x:v>0</x:v>
      </x:c>
      <x:c r="L204" s="31" t="n">
        <x:v>1.8597115456</x:v>
      </x:c>
      <x:c r="M204" s="31" t="n">
        <x:v>0</x:v>
      </x:c>
      <x:c r="N204" s="24" t="str">
        <x:v>hyperoglyphe</x:v>
      </x:c>
      <x:c r="O204" s="32" t="n">
        <x:v>3.71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Hyperoglyphe</x:v>
      </x:c>
      <x:c r="T204" s="32" t="n">
        <x:f>IF(O204="","",(1/'Metadata'!$B$5)^(O204-1))</x:f>
        <x:v>512.8613839913648</x:v>
      </x:c>
      <x:c r="U204" s="31" t="n">
        <x:f>IF(T204="","",I204*T204)</x:f>
        <x:v>953.7742371011362</x:v>
      </x:c>
    </x:row>
    <x:row r="205" ht="18" customHeight="1">
      <x:c r="A205" s="24" t="str">
        <x:v>LME_015</x:v>
      </x:c>
      <x:c r="B205" s="24" t="str">
        <x:v>South Brazil Shelf</x:v>
      </x:c>
      <x:c r="C205" s="24" t="str">
        <x:v>LME</x:v>
      </x:c>
      <x:c r="D205" s="30" t="n">
        <x:v>2019</x:v>
      </x:c>
      <x:c r="E205" s="24" t="str">
        <x:v>Dasyatis</x:v>
      </x:c>
      <x:c r="F205" s="24" t="str">
        <x:v>Rough whip stingrays</x:v>
      </x:c>
      <x:c r="G205" s="24" t="str">
        <x:v>Large rays (&gt;=90 cm)</x:v>
      </x:c>
      <x:c r="H205" s="24" t="str">
        <x:v>Sharks &amp; rays</x:v>
      </x:c>
      <x:c r="I205" s="31" t="n">
        <x:v>1.7492887788</x:v>
      </x:c>
      <x:c r="J205" s="31" t="n">
        <x:v>1.7492887788</x:v>
      </x:c>
      <x:c r="K205" s="31" t="n">
        <x:v>0</x:v>
      </x:c>
      <x:c r="L205" s="31" t="n">
        <x:v>1.7220457625</x:v>
      </x:c>
      <x:c r="M205" s="31" t="n">
        <x:v>0.0272430163</x:v>
      </x:c>
      <x:c r="N205" s="24" t="str">
        <x:v>dasyatis</x:v>
      </x:c>
      <x:c r="O205" s="32" t="n">
        <x:v>3.28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Dasyatis</x:v>
      </x:c>
      <x:c r="T205" s="32" t="n">
        <x:f>IF(O205="","",(1/'Metadata'!$B$5)^(O205-1))</x:f>
        <x:v>190.54607179632464</x:v>
      </x:c>
      <x:c r="U205" s="31" t="n">
        <x:f>IF(T205="","",I205*T205)</x:f>
        <x:v>333.3201052377299</x:v>
      </x:c>
    </x:row>
    <x:row r="206" ht="18" customHeight="1">
      <x:c r="A206" s="24" t="str">
        <x:v>LME_015</x:v>
      </x:c>
      <x:c r="B206" s="24" t="str">
        <x:v>South Brazil Shelf</x:v>
      </x:c>
      <x:c r="C206" s="24" t="str">
        <x:v>LME</x:v>
      </x:c>
      <x:c r="D206" s="30" t="n">
        <x:v>2019</x:v>
      </x:c>
      <x:c r="E206" s="24" t="str">
        <x:v>Seriola rivoliana</x:v>
      </x:c>
      <x:c r="F206" s="24" t="str">
        <x:v>Longfin yellowtail</x:v>
      </x:c>
      <x:c r="G206" s="24" t="str">
        <x:v>Large benthopelagics (&gt;=90 cm)</x:v>
      </x:c>
      <x:c r="H206" s="24" t="str">
        <x:v>Perch-likes</x:v>
      </x:c>
      <x:c r="I206" s="31" t="n">
        <x:v>1.5993461046000002</x:v>
      </x:c>
      <x:c r="J206" s="31" t="n">
        <x:v>1.5993461046000002</x:v>
      </x:c>
      <x:c r="K206" s="31" t="n">
        <x:v>0</x:v>
      </x:c>
      <x:c r="L206" s="31" t="n">
        <x:v>1.5521067327000002</x:v>
      </x:c>
      <x:c r="M206" s="31" t="n">
        <x:v>0.04723937189999999</x:v>
      </x:c>
      <x:c r="N206" s="24" t="str">
        <x:v>seriola rivoliana</x:v>
      </x:c>
      <x:c r="O206" s="32" t="n">
        <x:v>4.45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Seriola rivoliana</x:v>
      </x:c>
      <x:c r="T206" s="32" t="n">
        <x:f>IF(O206="","",(1/'Metadata'!$B$5)^(O206-1))</x:f>
        <x:v>2818.382931264455</x:v>
      </x:c>
      <x:c r="U206" s="31" t="n">
        <x:f>IF(T206="","",I206*T206)</x:f>
        <x:v>4507.5697623889355</x:v>
      </x:c>
    </x:row>
    <x:row r="207" ht="18" customHeight="1">
      <x:c r="A207" s="24" t="str">
        <x:v>LME_015</x:v>
      </x:c>
      <x:c r="B207" s="24" t="str">
        <x:v>South Brazil Shelf</x:v>
      </x:c>
      <x:c r="C207" s="24" t="str">
        <x:v>LME</x:v>
      </x:c>
      <x:c r="D207" s="30" t="n">
        <x:v>2019</x:v>
      </x:c>
      <x:c r="E207" s="24" t="str">
        <x:v>Bairdiella ronchus</x:v>
      </x:c>
      <x:c r="F207" s="24" t="str">
        <x:v>Ground croaker</x:v>
      </x:c>
      <x:c r="G207" s="24" t="str">
        <x:v>Small demersals (&lt;30 cm)</x:v>
      </x:c>
      <x:c r="H207" s="24" t="str">
        <x:v>Perch-likes</x:v>
      </x:c>
      <x:c r="I207" s="31" t="n">
        <x:v>1.545877042</x:v>
      </x:c>
      <x:c r="J207" s="31" t="n">
        <x:v>1.545877042</x:v>
      </x:c>
      <x:c r="K207" s="31" t="n">
        <x:v>0</x:v>
      </x:c>
      <x:c r="L207" s="31" t="n">
        <x:v>0.0830375495</x:v>
      </x:c>
      <x:c r="M207" s="31" t="n">
        <x:v>1.4628394925000001</x:v>
      </x:c>
      <x:c r="N207" s="24" t="str">
        <x:v>bairdiella ronchus</x:v>
      </x:c>
      <x:c r="O207" s="32" t="n">
        <x:v>3.53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Bairdiella ronchus</x:v>
      </x:c>
      <x:c r="T207" s="32" t="n">
        <x:f>IF(O207="","",(1/'Metadata'!$B$5)^(O207-1))</x:f>
        <x:v>338.84415613920237</x:v>
      </x:c>
      <x:c r="U207" s="31" t="n">
        <x:f>IF(T207="","",I207*T207)</x:f>
        <x:v>523.8114017914563</x:v>
      </x:c>
    </x:row>
    <x:row r="208" ht="18" customHeight="1">
      <x:c r="A208" s="24" t="str">
        <x:v>LME_015</x:v>
      </x:c>
      <x:c r="B208" s="24" t="str">
        <x:v>South Brazil Shelf</x:v>
      </x:c>
      <x:c r="C208" s="24" t="str">
        <x:v>LME</x:v>
      </x:c>
      <x:c r="D208" s="30" t="n">
        <x:v>2019</x:v>
      </x:c>
      <x:c r="E208" s="24" t="str">
        <x:v>Stromateus brasiliensis</x:v>
      </x:c>
      <x:c r="F208" s="24" t="str">
        <x:v>Southwest Atlantic butterfish</x:v>
      </x:c>
      <x:c r="G208" s="24" t="str">
        <x:v>Medium benthopelagics (30 - 89 cm)</x:v>
      </x:c>
      <x:c r="H208" s="24" t="str">
        <x:v>Perch-likes</x:v>
      </x:c>
      <x:c r="I208" s="31" t="n">
        <x:v>1.5012033076</x:v>
      </x:c>
      <x:c r="J208" s="31" t="n">
        <x:v>1.5012033076</x:v>
      </x:c>
      <x:c r="K208" s="31" t="n">
        <x:v>0</x:v>
      </x:c>
      <x:c r="L208" s="31" t="n">
        <x:v>1.5012033076</x:v>
      </x:c>
      <x:c r="M208" s="31" t="n">
        <x:v>0</x:v>
      </x:c>
      <x:c r="N208" s="24" t="str">
        <x:v>stromateus brasiliensis</x:v>
      </x:c>
      <x:c r="O208" s="32" t="n">
        <x:v>3.4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Stromateus brasiliensis</x:v>
      </x:c>
      <x:c r="T208" s="32" t="n">
        <x:f>IF(O208="","",(1/'Metadata'!$B$5)^(O208-1))</x:f>
        <x:v>251.18864315095797</x:v>
      </x:c>
      <x:c r="U208" s="31" t="n">
        <x:f>IF(T208="","",I208*T208)</x:f>
        <x:v>377.0852219297742</x:v>
      </x:c>
    </x:row>
    <x:row r="209" ht="18" customHeight="1">
      <x:c r="A209" s="24" t="str">
        <x:v>LME_015</x:v>
      </x:c>
      <x:c r="B209" s="24" t="str">
        <x:v>South Brazil Shelf</x:v>
      </x:c>
      <x:c r="C209" s="24" t="str">
        <x:v>LME</x:v>
      </x:c>
      <x:c r="D209" s="30" t="n">
        <x:v>2019</x:v>
      </x:c>
      <x:c r="E209" s="24" t="str">
        <x:v>Aluterus</x:v>
      </x:c>
      <x:c r="F209" s="24" t="str">
        <x:v>Aluterid filefishes</x:v>
      </x:c>
      <x:c r="G209" s="24" t="str">
        <x:v>Large reef assoc. fish (&gt;=90 cm)</x:v>
      </x:c>
      <x:c r="H209" s="24" t="str">
        <x:v>Other fishes &amp; inverts</x:v>
      </x:c>
      <x:c r="I209" s="31" t="n">
        <x:v>1.4120314714</x:v>
      </x:c>
      <x:c r="J209" s="31" t="n">
        <x:v>1.4120314714</x:v>
      </x:c>
      <x:c r="K209" s="31" t="n">
        <x:v>0</x:v>
      </x:c>
      <x:c r="L209" s="31" t="n">
        <x:v>1.1780312951</x:v>
      </x:c>
      <x:c r="M209" s="31" t="n">
        <x:v>0.2340001763</x:v>
      </x:c>
      <x:c r="N209" s="24" t="str">
        <x:v>aluterus</x:v>
      </x:c>
      <x:c r="O209" s="32" t="n">
        <x:v>2.81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Aluterus</x:v>
      </x:c>
      <x:c r="T209" s="32" t="n">
        <x:f>IF(O209="","",(1/'Metadata'!$B$5)^(O209-1))</x:f>
        <x:v>64.56542290346556</x:v>
      </x:c>
      <x:c r="U209" s="31" t="n">
        <x:f>IF(T209="","",I209*T209)</x:f>
        <x:v>91.16840910394373</x:v>
      </x:c>
    </x:row>
    <x:row r="210" ht="18" customHeight="1">
      <x:c r="A210" s="24" t="str">
        <x:v>LME_015</x:v>
      </x:c>
      <x:c r="B210" s="24" t="str">
        <x:v>South Brazil Shelf</x:v>
      </x:c>
      <x:c r="C210" s="24" t="str">
        <x:v>LME</x:v>
      </x:c>
      <x:c r="D210" s="30" t="n">
        <x:v>2019</x:v>
      </x:c>
      <x:c r="E210" s="24" t="str">
        <x:v>Perciformes</x:v>
      </x:c>
      <x:c r="F210" s="24" t="str">
        <x:v>Perch-likes</x:v>
      </x:c>
      <x:c r="G210" s="24" t="str">
        <x:v>Medium demersals (30 - 89 cm)</x:v>
      </x:c>
      <x:c r="H210" s="24" t="str">
        <x:v>Perch-likes</x:v>
      </x:c>
      <x:c r="I210" s="31" t="n">
        <x:v>1.2843847186000001</x:v>
      </x:c>
      <x:c r="J210" s="31" t="n">
        <x:v>1.2843847186000001</x:v>
      </x:c>
      <x:c r="K210" s="31" t="n">
        <x:v>0</x:v>
      </x:c>
      <x:c r="L210" s="31" t="n">
        <x:v>1.2746072306</x:v>
      </x:c>
      <x:c r="M210" s="31" t="n">
        <x:v>0.009777488</x:v>
      </x:c>
      <x:c r="N210" s="24" t="str">
        <x:v>perciformes</x:v>
      </x:c>
      <x:c r="O210" s="32" t="n">
        <x:v>3.53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Perciformes</x:v>
      </x:c>
      <x:c r="T210" s="32" t="n">
        <x:f>IF(O210="","",(1/'Metadata'!$B$5)^(O210-1))</x:f>
        <x:v>338.84415613920237</x:v>
      </x:c>
      <x:c r="U210" s="31" t="n">
        <x:f>IF(T210="","",I210*T210)</x:f>
        <x:v>435.20625613210393</x:v>
      </x:c>
    </x:row>
    <x:row r="211" ht="18" customHeight="1">
      <x:c r="A211" s="24" t="str">
        <x:v>LME_015</x:v>
      </x:c>
      <x:c r="B211" s="24" t="str">
        <x:v>South Brazil Shelf</x:v>
      </x:c>
      <x:c r="C211" s="24" t="str">
        <x:v>LME</x:v>
      </x:c>
      <x:c r="D211" s="30" t="n">
        <x:v>2019</x:v>
      </x:c>
      <x:c r="E211" s="24" t="str">
        <x:v>Pseudupeneus maculatus</x:v>
      </x:c>
      <x:c r="F211" s="24" t="str">
        <x:v>Spotted goatfish</x:v>
      </x:c>
      <x:c r="G211" s="24" t="str">
        <x:v>Medium reef assoc. fish (30 - 89 cm)</x:v>
      </x:c>
      <x:c r="H211" s="24" t="str">
        <x:v>Perch-likes</x:v>
      </x:c>
      <x:c r="I211" s="31" t="n">
        <x:v>1.206229904</x:v>
      </x:c>
      <x:c r="J211" s="31" t="n">
        <x:v>1.206229904</x:v>
      </x:c>
      <x:c r="K211" s="31" t="n">
        <x:v>0</x:v>
      </x:c>
      <x:c r="L211" s="31" t="n">
        <x:v>1.1978965306</x:v>
      </x:c>
      <x:c r="M211" s="31" t="n">
        <x:v>0.0083333734</x:v>
      </x:c>
      <x:c r="N211" s="24" t="str">
        <x:v>pseudupeneus maculatus</x:v>
      </x:c>
      <x:c r="O211" s="32" t="n">
        <x:v>3.65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Pseudupeneus maculatus</x:v>
      </x:c>
      <x:c r="T211" s="32" t="n">
        <x:f>IF(O211="","",(1/'Metadata'!$B$5)^(O211-1))</x:f>
        <x:v>446.683592150963</x:v>
      </x:c>
      <x:c r="U211" s="31" t="n">
        <x:f>IF(T211="","",I211*T211)</x:f>
        <x:v>538.8031064786312</x:v>
      </x:c>
    </x:row>
    <x:row r="212" ht="18" customHeight="1">
      <x:c r="A212" s="24" t="str">
        <x:v>LME_015</x:v>
      </x:c>
      <x:c r="B212" s="24" t="str">
        <x:v>South Brazil Shelf</x:v>
      </x:c>
      <x:c r="C212" s="24" t="str">
        <x:v>LME</x:v>
      </x:c>
      <x:c r="D212" s="30" t="n">
        <x:v>2019</x:v>
      </x:c>
      <x:c r="E212" s="24" t="str">
        <x:v>Sphyraena guachancho</x:v>
      </x:c>
      <x:c r="F212" s="24" t="str">
        <x:v>Guachanche barracuda</x:v>
      </x:c>
      <x:c r="G212" s="24" t="str">
        <x:v>Large pelagics (&gt;=90 cm)</x:v>
      </x:c>
      <x:c r="H212" s="24" t="str">
        <x:v>Perch-likes</x:v>
      </x:c>
      <x:c r="I212" s="31" t="n">
        <x:v>1.1844345171</x:v>
      </x:c>
      <x:c r="J212" s="31" t="n">
        <x:v>1.1844345171</x:v>
      </x:c>
      <x:c r="K212" s="31" t="n">
        <x:v>0</x:v>
      </x:c>
      <x:c r="L212" s="31" t="n">
        <x:v>1.1480306548</x:v>
      </x:c>
      <x:c r="M212" s="31" t="n">
        <x:v>0.0364038623</x:v>
      </x:c>
      <x:c r="N212" s="24" t="str">
        <x:v>sphyraena guachancho</x:v>
      </x:c>
      <x:c r="O212" s="32" t="n">
        <x:v>4.35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Sphyraena guachancho</x:v>
      </x:c>
      <x:c r="T212" s="32" t="n">
        <x:f>IF(O212="","",(1/'Metadata'!$B$5)^(O212-1))</x:f>
        <x:v>2238.7211385683377</x:v>
      </x:c>
      <x:c r="U212" s="31" t="n">
        <x:f>IF(T212="","",I212*T212)</x:f>
        <x:v>2651.618590681751</x:v>
      </x:c>
    </x:row>
    <x:row r="213" ht="18" customHeight="1">
      <x:c r="A213" s="24" t="str">
        <x:v>LME_015</x:v>
      </x:c>
      <x:c r="B213" s="24" t="str">
        <x:v>South Brazil Shelf</x:v>
      </x:c>
      <x:c r="C213" s="24" t="str">
        <x:v>LME</x:v>
      </x:c>
      <x:c r="D213" s="30" t="n">
        <x:v>2019</x:v>
      </x:c>
      <x:c r="E213" s="24" t="str">
        <x:v>Alopias vulpinus</x:v>
      </x:c>
      <x:c r="F213" s="24" t="str">
        <x:v>Thresher</x:v>
      </x:c>
      <x:c r="G213" s="24" t="str">
        <x:v>Large sharks (&gt;=90 cm)</x:v>
      </x:c>
      <x:c r="H213" s="24" t="str">
        <x:v>Sharks &amp; rays</x:v>
      </x:c>
      <x:c r="I213" s="31" t="n">
        <x:v>1.0048259924</x:v>
      </x:c>
      <x:c r="J213" s="31" t="n">
        <x:v>1.0048259924</x:v>
      </x:c>
      <x:c r="K213" s="31" t="n">
        <x:v>0</x:v>
      </x:c>
      <x:c r="L213" s="31" t="n">
        <x:v>1.0048259924</x:v>
      </x:c>
      <x:c r="M213" s="31" t="n">
        <x:v>0</x:v>
      </x:c>
      <x:c r="N213" s="24" t="str">
        <x:v>alopias vulpinus</x:v>
      </x:c>
      <x:c r="O213" s="32" t="n">
        <x:v>4.5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Alopias vulpinus</x:v>
      </x:c>
      <x:c r="T213" s="32" t="n">
        <x:f>IF(O213="","",(1/'Metadata'!$B$5)^(O213-1))</x:f>
        <x:v>3162.2776601683795</x:v>
      </x:c>
      <x:c r="U213" s="31" t="n">
        <x:f>IF(T213="","",I213*T213)</x:f>
        <x:v>3177.538788123042</x:v>
      </x:c>
    </x:row>
    <x:row r="214" ht="18" customHeight="1">
      <x:c r="A214" s="24" t="str">
        <x:v>LME_015</x:v>
      </x:c>
      <x:c r="B214" s="24" t="str">
        <x:v>South Brazil Shelf</x:v>
      </x:c>
      <x:c r="C214" s="24" t="str">
        <x:v>LME</x:v>
      </x:c>
      <x:c r="D214" s="30" t="n">
        <x:v>2019</x:v>
      </x:c>
      <x:c r="E214" s="24" t="str">
        <x:v>Carcharhinus</x:v>
      </x:c>
      <x:c r="F214" s="24" t="str">
        <x:v>Sharp-nosed sharks</x:v>
      </x:c>
      <x:c r="G214" s="24" t="str">
        <x:v>Large sharks (&gt;=90 cm)</x:v>
      </x:c>
      <x:c r="H214" s="24" t="str">
        <x:v>Sharks &amp; rays</x:v>
      </x:c>
      <x:c r="I214" s="31" t="n">
        <x:v>0.9964266346</x:v>
      </x:c>
      <x:c r="J214" s="31" t="n">
        <x:v>0.9964266346</x:v>
      </x:c>
      <x:c r="K214" s="31" t="n">
        <x:v>0</x:v>
      </x:c>
      <x:c r="L214" s="31" t="n">
        <x:v>0</x:v>
      </x:c>
      <x:c r="M214" s="31" t="n">
        <x:v>0.9964266346</x:v>
      </x:c>
      <x:c r="N214" s="24" t="str">
        <x:v>carcharhinus</x:v>
      </x:c>
      <x:c r="O214" s="32" t="n">
        <x:v>4.26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Carcharhinus</x:v>
      </x:c>
      <x:c r="T214" s="32" t="n">
        <x:f>IF(O214="","",(1/'Metadata'!$B$5)^(O214-1))</x:f>
        <x:v>1819.7008586099826</x:v>
      </x:c>
      <x:c r="U214" s="31" t="n">
        <x:f>IF(T214="","",I214*T214)</x:f>
        <x:v>1813.1984025234754</x:v>
      </x:c>
    </x:row>
    <x:row r="215" ht="18" customHeight="1">
      <x:c r="A215" s="24" t="str">
        <x:v>LME_015</x:v>
      </x:c>
      <x:c r="B215" s="24" t="str">
        <x:v>South Brazil Shelf</x:v>
      </x:c>
      <x:c r="C215" s="24" t="str">
        <x:v>LME</x:v>
      </x:c>
      <x:c r="D215" s="30" t="n">
        <x:v>2019</x:v>
      </x:c>
      <x:c r="E215" s="24" t="str">
        <x:v>Haemulon plumierii</x:v>
      </x:c>
      <x:c r="F215" s="24" t="str">
        <x:v>White grunt</x:v>
      </x:c>
      <x:c r="G215" s="24" t="str">
        <x:v>Medium reef assoc. fish (30 - 89 cm)</x:v>
      </x:c>
      <x:c r="H215" s="24" t="str">
        <x:v>Perch-likes</x:v>
      </x:c>
      <x:c r="I215" s="31" t="n">
        <x:v>0.9585442459</x:v>
      </x:c>
      <x:c r="J215" s="31" t="n">
        <x:v>0.9585442459</x:v>
      </x:c>
      <x:c r="K215" s="31" t="n">
        <x:v>0</x:v>
      </x:c>
      <x:c r="L215" s="31" t="n">
        <x:v>0.9575554169</x:v>
      </x:c>
      <x:c r="M215" s="31" t="n">
        <x:v>0.000988829</x:v>
      </x:c>
      <x:c r="N215" s="24" t="str">
        <x:v>haemulon plumierii</x:v>
      </x:c>
      <x:c r="O215" s="32" t="n">
        <x:v>3.82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Haemulon plumierii</x:v>
      </x:c>
      <x:c r="T215" s="32" t="n">
        <x:f>IF(O215="","",(1/'Metadata'!$B$5)^(O215-1))</x:f>
        <x:v>660.6934480075957</x:v>
      </x:c>
      <x:c r="U215" s="31" t="n">
        <x:f>IF(T215="","",I215*T215)</x:f>
        <x:v>633.3039028915117</x:v>
      </x:c>
    </x:row>
    <x:row r="216" ht="18" customHeight="1">
      <x:c r="A216" s="24" t="str">
        <x:v>LME_015</x:v>
      </x:c>
      <x:c r="B216" s="24" t="str">
        <x:v>South Brazil Shelf</x:v>
      </x:c>
      <x:c r="C216" s="24" t="str">
        <x:v>LME</x:v>
      </x:c>
      <x:c r="D216" s="30" t="n">
        <x:v>2019</x:v>
      </x:c>
      <x:c r="E216" s="24" t="str">
        <x:v>Lobotes surinamensis</x:v>
      </x:c>
      <x:c r="F216" s="24" t="str">
        <x:v>Tripletail</x:v>
      </x:c>
      <x:c r="G216" s="24" t="str">
        <x:v>Large benthopelagics (&gt;=90 cm)</x:v>
      </x:c>
      <x:c r="H216" s="24" t="str">
        <x:v>Perch-likes</x:v>
      </x:c>
      <x:c r="I216" s="31" t="n">
        <x:v>0.9485809087</x:v>
      </x:c>
      <x:c r="J216" s="31" t="n">
        <x:v>0.9485809087</x:v>
      </x:c>
      <x:c r="K216" s="31" t="n">
        <x:v>0</x:v>
      </x:c>
      <x:c r="L216" s="31" t="n">
        <x:v>0.0738238574</x:v>
      </x:c>
      <x:c r="M216" s="31" t="n">
        <x:v>0.8747570512999999</x:v>
      </x:c>
      <x:c r="N216" s="24" t="str">
        <x:v>lobotes surinamensis</x:v>
      </x:c>
      <x:c r="O216" s="32" t="n">
        <x:v>4.04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Lobotes surinamensis</x:v>
      </x:c>
      <x:c r="T216" s="32" t="n">
        <x:f>IF(O216="","",(1/'Metadata'!$B$5)^(O216-1))</x:f>
        <x:v>1096.4781961431852</x:v>
      </x:c>
      <x:c r="U216" s="31" t="n">
        <x:f>IF(T216="","",I216*T216)</x:f>
        <x:v>1040.0982836672395</x:v>
      </x:c>
    </x:row>
    <x:row r="217" ht="18" customHeight="1">
      <x:c r="A217" s="24" t="str">
        <x:v>LME_015</x:v>
      </x:c>
      <x:c r="B217" s="24" t="str">
        <x:v>South Brazil Shelf</x:v>
      </x:c>
      <x:c r="C217" s="24" t="str">
        <x:v>LME</x:v>
      </x:c>
      <x:c r="D217" s="30" t="n">
        <x:v>2019</x:v>
      </x:c>
      <x:c r="E217" s="24" t="str">
        <x:v>Scorpaeniformes</x:v>
      </x:c>
      <x:c r="F217" s="24" t="str">
        <x:v>Scorpionfishes, flatheads</x:v>
      </x:c>
      <x:c r="G217" s="24" t="str">
        <x:v>Medium demersals (30 - 89 cm)</x:v>
      </x:c>
      <x:c r="H217" s="24" t="str">
        <x:v>Scorpionfishes</x:v>
      </x:c>
      <x:c r="I217" s="31" t="n">
        <x:v>0.8331538576</x:v>
      </x:c>
      <x:c r="J217" s="31" t="n">
        <x:v>0.8331538576</x:v>
      </x:c>
      <x:c r="K217" s="31" t="n">
        <x:v>0</x:v>
      </x:c>
      <x:c r="L217" s="31" t="n">
        <x:v>0.8130289549</x:v>
      </x:c>
      <x:c r="M217" s="31" t="n">
        <x:v>0.0201249027</x:v>
      </x:c>
      <x:c r="N217" s="24" t="str">
        <x:v>scorpaeniformes</x:v>
      </x:c>
      <x:c r="O217" s="32" t="n">
        <x:v>3.78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Scorpaeniformes</x:v>
      </x:c>
      <x:c r="T217" s="32" t="n">
        <x:f>IF(O217="","",(1/'Metadata'!$B$5)^(O217-1))</x:f>
        <x:v>602.5595860743575</x:v>
      </x:c>
      <x:c r="U217" s="31" t="n">
        <x:f>IF(T217="","",I217*T217)</x:f>
        <x:v>502.0248435717102</x:v>
      </x:c>
    </x:row>
    <x:row r="218" ht="18" customHeight="1">
      <x:c r="A218" s="24" t="str">
        <x:v>LME_015</x:v>
      </x:c>
      <x:c r="B218" s="24" t="str">
        <x:v>South Brazil Shelf</x:v>
      </x:c>
      <x:c r="C218" s="24" t="str">
        <x:v>LME</x:v>
      </x:c>
      <x:c r="D218" s="30" t="n">
        <x:v>2019</x:v>
      </x:c>
      <x:c r="E218" s="24" t="str">
        <x:v>Hypanus guttatus</x:v>
      </x:c>
      <x:c r="F218" s="24" t="str">
        <x:v>Longnose stingray</x:v>
      </x:c>
      <x:c r="G218" s="24" t="str">
        <x:v>Large rays (&gt;=90 cm)</x:v>
      </x:c>
      <x:c r="H218" s="24" t="str">
        <x:v>Sharks &amp; rays</x:v>
      </x:c>
      <x:c r="I218" s="31" t="n">
        <x:v>0.7943281226000001</x:v>
      </x:c>
      <x:c r="J218" s="31" t="n">
        <x:v>0.7943281226000001</x:v>
      </x:c>
      <x:c r="K218" s="31" t="n">
        <x:v>0</x:v>
      </x:c>
      <x:c r="L218" s="31" t="n">
        <x:v>0.7864760111000001</x:v>
      </x:c>
      <x:c r="M218" s="31" t="n">
        <x:v>0.0078521115</x:v>
      </x:c>
      <x:c r="N218" s="24" t="str">
        <x:v>hypanus guttatus</x:v>
      </x:c>
      <x:c r="O218" s="32" t="n">
        <x:v>2.61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Hypanus guttatus</x:v>
      </x:c>
      <x:c r="T218" s="32" t="n">
        <x:f>IF(O218="","",(1/'Metadata'!$B$5)^(O218-1))</x:f>
        <x:v>40.73802778041126</x:v>
      </x:c>
      <x:c r="U218" s="31" t="n">
        <x:f>IF(T218="","",I218*T218)</x:f>
        <x:v>32.359361125240724</x:v>
      </x:c>
    </x:row>
    <x:row r="219" ht="18" customHeight="1">
      <x:c r="A219" s="24" t="str">
        <x:v>LME_015</x:v>
      </x:c>
      <x:c r="B219" s="24" t="str">
        <x:v>South Brazil Shelf</x:v>
      </x:c>
      <x:c r="C219" s="24" t="str">
        <x:v>LME</x:v>
      </x:c>
      <x:c r="D219" s="30" t="n">
        <x:v>2019</x:v>
      </x:c>
      <x:c r="E219" s="24" t="str">
        <x:v>Cephalopoda</x:v>
      </x:c>
      <x:c r="F219" s="24" t="str">
        <x:v>Squids, cuttlefishes, octopuses</x:v>
      </x:c>
      <x:c r="G219" s="24" t="str">
        <x:v>Cephalopods</x:v>
      </x:c>
      <x:c r="H219" s="24" t="str">
        <x:v>Other fishes &amp; inverts</x:v>
      </x:c>
      <x:c r="I219" s="31" t="n">
        <x:v>0.7813704558</x:v>
      </x:c>
      <x:c r="J219" s="31" t="n">
        <x:v>0.7813704558</x:v>
      </x:c>
      <x:c r="K219" s="31" t="n">
        <x:v>0</x:v>
      </x:c>
      <x:c r="L219" s="31" t="n">
        <x:v>0.7813704558</x:v>
      </x:c>
      <x:c r="M219" s="31" t="n">
        <x:v>0</x:v>
      </x:c>
      <x:c r="N219" s="24" t="str">
        <x:v>cephalopoda</x:v>
      </x:c>
      <x:c r="O219" s="32" t="n">
        <x:v>3.81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Cephalopoda</x:v>
      </x:c>
      <x:c r="T219" s="32" t="n">
        <x:f>IF(O219="","",(1/'Metadata'!$B$5)^(O219-1))</x:f>
        <x:v>645.6542290346556</x:v>
      </x:c>
      <x:c r="U219" s="31" t="n">
        <x:f>IF(T219="","",I219*T219)</x:f>
        <x:v>504.49513923000643</x:v>
      </x:c>
    </x:row>
    <x:row r="220" ht="18" customHeight="1">
      <x:c r="A220" s="24" t="str">
        <x:v>LME_015</x:v>
      </x:c>
      <x:c r="B220" s="24" t="str">
        <x:v>South Brazil Shelf</x:v>
      </x:c>
      <x:c r="C220" s="24" t="str">
        <x:v>LME</x:v>
      </x:c>
      <x:c r="D220" s="30" t="n">
        <x:v>2019</x:v>
      </x:c>
      <x:c r="E220" s="24" t="str">
        <x:v>Hyporthodus niveatus</x:v>
      </x:c>
      <x:c r="F220" s="24" t="str">
        <x:v>Snowy grouper</x:v>
      </x:c>
      <x:c r="G220" s="24" t="str">
        <x:v>Large demersals (&gt;=90 cm)</x:v>
      </x:c>
      <x:c r="H220" s="24" t="str">
        <x:v>Perch-likes</x:v>
      </x:c>
      <x:c r="I220" s="31" t="n">
        <x:v>0.7009279821</x:v>
      </x:c>
      <x:c r="J220" s="31" t="n">
        <x:v>0.7009279821</x:v>
      </x:c>
      <x:c r="K220" s="31" t="n">
        <x:v>0</x:v>
      </x:c>
      <x:c r="L220" s="31" t="n">
        <x:v>0.6799484595999999</x:v>
      </x:c>
      <x:c r="M220" s="31" t="n">
        <x:v>0.020979522499999997</x:v>
      </x:c>
      <x:c r="N220" s="24" t="str">
        <x:v>hyporthodus niveatus</x:v>
      </x:c>
      <x:c r="O220" s="32" t="n">
        <x:v>4.04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Hyporthodus niveatus</x:v>
      </x:c>
      <x:c r="T220" s="32" t="n">
        <x:f>IF(O220="","",(1/'Metadata'!$B$5)^(O220-1))</x:f>
        <x:v>1096.4781961431852</x:v>
      </x:c>
      <x:c r="U220" s="31" t="n">
        <x:f>IF(T220="","",I220*T220)</x:f>
        <x:v>768.5522494392908</x:v>
      </x:c>
    </x:row>
    <x:row r="221" ht="18" customHeight="1">
      <x:c r="A221" s="24" t="str">
        <x:v>LME_015</x:v>
      </x:c>
      <x:c r="B221" s="24" t="str">
        <x:v>South Brazil Shelf</x:v>
      </x:c>
      <x:c r="C221" s="24" t="str">
        <x:v>LME</x:v>
      </x:c>
      <x:c r="D221" s="30" t="n">
        <x:v>2019</x:v>
      </x:c>
      <x:c r="E221" s="24" t="str">
        <x:v>Carcharhinidae</x:v>
      </x:c>
      <x:c r="F221" s="24" t="str">
        <x:v>Requiem sharks</x:v>
      </x:c>
      <x:c r="G221" s="24" t="str">
        <x:v>Large sharks (&gt;=90 cm)</x:v>
      </x:c>
      <x:c r="H221" s="24" t="str">
        <x:v>Sharks &amp; rays</x:v>
      </x:c>
      <x:c r="I221" s="31" t="n">
        <x:v>0.6643153974</x:v>
      </x:c>
      <x:c r="J221" s="31" t="n">
        <x:v>0.6643153974</x:v>
      </x:c>
      <x:c r="K221" s="31" t="n">
        <x:v>0</x:v>
      </x:c>
      <x:c r="L221" s="31" t="n">
        <x:v>0</x:v>
      </x:c>
      <x:c r="M221" s="31" t="n">
        <x:v>0.6643153974</x:v>
      </x:c>
      <x:c r="N221" s="24" t="str">
        <x:v>carcharhinidae</x:v>
      </x:c>
      <x:c r="O221" s="32" t="n">
        <x:v>4.24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Carcharhinidae</x:v>
      </x:c>
      <x:c r="T221" s="32" t="n">
        <x:f>IF(O221="","",(1/'Metadata'!$B$5)^(O221-1))</x:f>
        <x:v>1737.8008287493763</x:v>
      </x:c>
      <x:c r="U221" s="31" t="n">
        <x:f>IF(T221="","",I221*T221)</x:f>
        <x:v>1154.4478481526912</x:v>
      </x:c>
    </x:row>
    <x:row r="222" ht="18" customHeight="1">
      <x:c r="A222" s="24" t="str">
        <x:v>LME_015</x:v>
      </x:c>
      <x:c r="B222" s="24" t="str">
        <x:v>South Brazil Shelf</x:v>
      </x:c>
      <x:c r="C222" s="24" t="str">
        <x:v>LME</x:v>
      </x:c>
      <x:c r="D222" s="30" t="n">
        <x:v>2019</x:v>
      </x:c>
      <x:c r="E222" s="24" t="str">
        <x:v>Epinephelus</x:v>
      </x:c>
      <x:c r="F222" s="24" t="str">
        <x:v>Seabasses, hinds</x:v>
      </x:c>
      <x:c r="G222" s="24" t="str">
        <x:v>Medium reef assoc. fish (30 - 89 cm)</x:v>
      </x:c>
      <x:c r="H222" s="24" t="str">
        <x:v>Perch-likes</x:v>
      </x:c>
      <x:c r="I222" s="31" t="n">
        <x:v>0.628857892</x:v>
      </x:c>
      <x:c r="J222" s="31" t="n">
        <x:v>0.628857892</x:v>
      </x:c>
      <x:c r="K222" s="31" t="n">
        <x:v>0</x:v>
      </x:c>
      <x:c r="L222" s="31" t="n">
        <x:v>0</x:v>
      </x:c>
      <x:c r="M222" s="31" t="n">
        <x:v>0.628857892</x:v>
      </x:c>
      <x:c r="N222" s="24" t="str">
        <x:v>epinephelus</x:v>
      </x:c>
      <x:c r="O222" s="32" t="n">
        <x:v>3.84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Epinephelus</x:v>
      </x:c>
      <x:c r="T222" s="32" t="n">
        <x:f>IF(O222="","",(1/'Metadata'!$B$5)^(O222-1))</x:f>
        <x:v>691.8309709189363</x:v>
      </x:c>
      <x:c r="U222" s="31" t="n">
        <x:f>IF(T222="","",I222*T222)</x:f>
        <x:v>435.0633659923955</x:v>
      </x:c>
    </x:row>
    <x:row r="223" ht="18" customHeight="1">
      <x:c r="A223" s="24" t="str">
        <x:v>LME_015</x:v>
      </x:c>
      <x:c r="B223" s="24" t="str">
        <x:v>South Brazil Shelf</x:v>
      </x:c>
      <x:c r="C223" s="24" t="str">
        <x:v>LME</x:v>
      </x:c>
      <x:c r="D223" s="30" t="n">
        <x:v>2019</x:v>
      </x:c>
      <x:c r="E223" s="24" t="str">
        <x:v>Sphyrnidae</x:v>
      </x:c>
      <x:c r="F223" s="24" t="str">
        <x:v>Hammer, bonnet, scoophead sharks</x:v>
      </x:c>
      <x:c r="G223" s="24" t="str">
        <x:v>Large sharks (&gt;=90 cm)</x:v>
      </x:c>
      <x:c r="H223" s="24" t="str">
        <x:v>Sharks &amp; rays</x:v>
      </x:c>
      <x:c r="I223" s="31" t="n">
        <x:v>0.55249636</x:v>
      </x:c>
      <x:c r="J223" s="31" t="n">
        <x:v>0.55249636</x:v>
      </x:c>
      <x:c r="K223" s="31" t="n">
        <x:v>0</x:v>
      </x:c>
      <x:c r="L223" s="31" t="n">
        <x:v>0.55249636</x:v>
      </x:c>
      <x:c r="M223" s="31" t="n">
        <x:v>0</x:v>
      </x:c>
      <x:c r="N223" s="24" t="str">
        <x:v>sphyrnidae</x:v>
      </x:c>
      <x:c r="O223" s="32" t="n">
        <x:v>4.19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Sphyrnidae</x:v>
      </x:c>
      <x:c r="T223" s="32" t="n">
        <x:f>IF(O223="","",(1/'Metadata'!$B$5)^(O223-1))</x:f>
        <x:v>1548.8166189124827</x:v>
      </x:c>
      <x:c r="U223" s="31" t="n">
        <x:f>IF(T223="","",I223*T223)</x:f>
        <x:v>855.7155442566539</x:v>
      </x:c>
    </x:row>
    <x:row r="224" ht="18" customHeight="1">
      <x:c r="A224" s="24" t="str">
        <x:v>LME_015</x:v>
      </x:c>
      <x:c r="B224" s="24" t="str">
        <x:v>South Brazil Shelf</x:v>
      </x:c>
      <x:c r="C224" s="24" t="str">
        <x:v>LME</x:v>
      </x:c>
      <x:c r="D224" s="30" t="n">
        <x:v>2019</x:v>
      </x:c>
      <x:c r="E224" s="24" t="str">
        <x:v>Ctenosciaena gracilicirrhus</x:v>
      </x:c>
      <x:c r="F224" s="24" t="str">
        <x:v>Barbel drum</x:v>
      </x:c>
      <x:c r="G224" s="24" t="str">
        <x:v>Small demersals (&lt;30 cm)</x:v>
      </x:c>
      <x:c r="H224" s="24" t="str">
        <x:v>Perch-likes</x:v>
      </x:c>
      <x:c r="I224" s="31" t="n">
        <x:v>0.5253261012</x:v>
      </x:c>
      <x:c r="J224" s="31" t="n">
        <x:v>0.5253261012</x:v>
      </x:c>
      <x:c r="K224" s="31" t="n">
        <x:v>0</x:v>
      </x:c>
      <x:c r="L224" s="31" t="n">
        <x:v>0.5085882797</x:v>
      </x:c>
      <x:c r="M224" s="31" t="n">
        <x:v>0.0167378215</x:v>
      </x:c>
      <x:c r="N224" s="24" t="str">
        <x:v>ctenosciaena gracilicirrhus</x:v>
      </x:c>
      <x:c r="O224" s="32" t="n">
        <x:v>3.87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Ctenosciaena gracilicirrhus</x:v>
      </x:c>
      <x:c r="T224" s="32" t="n">
        <x:f>IF(O224="","",(1/'Metadata'!$B$5)^(O224-1))</x:f>
        <x:v>741.3102413009177</x:v>
      </x:c>
      <x:c r="U224" s="31" t="n">
        <x:f>IF(T224="","",I224*T224)</x:f>
        <x:v>389.42961884224235</x:v>
      </x:c>
    </x:row>
    <x:row r="225" ht="18" customHeight="1">
      <x:c r="A225" s="24" t="str">
        <x:v>LME_015</x:v>
      </x:c>
      <x:c r="B225" s="24" t="str">
        <x:v>South Brazil Shelf</x:v>
      </x:c>
      <x:c r="C225" s="24" t="str">
        <x:v>LME</x:v>
      </x:c>
      <x:c r="D225" s="30" t="n">
        <x:v>2019</x:v>
      </x:c>
      <x:c r="E225" s="24" t="str">
        <x:v>Alectis ciliaris</x:v>
      </x:c>
      <x:c r="F225" s="24" t="str">
        <x:v>African pompano</x:v>
      </x:c>
      <x:c r="G225" s="24" t="str">
        <x:v>Large pelagics (&gt;=90 cm)</x:v>
      </x:c>
      <x:c r="H225" s="24" t="str">
        <x:v>Perch-likes</x:v>
      </x:c>
      <x:c r="I225" s="31" t="n">
        <x:v>0.5091183713</x:v>
      </x:c>
      <x:c r="J225" s="31" t="n">
        <x:v>0.5091183713</x:v>
      </x:c>
      <x:c r="K225" s="31" t="n">
        <x:v>0</x:v>
      </x:c>
      <x:c r="L225" s="31" t="n">
        <x:v>0.11932463039999999</x:v>
      </x:c>
      <x:c r="M225" s="31" t="n">
        <x:v>0.3897937409</x:v>
      </x:c>
      <x:c r="N225" s="24" t="str">
        <x:v>alectis ciliaris</x:v>
      </x:c>
      <x:c r="O225" s="32" t="n">
        <x:v>3.95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Alectis ciliaris</x:v>
      </x:c>
      <x:c r="T225" s="32" t="n">
        <x:f>IF(O225="","",(1/'Metadata'!$B$5)^(O225-1))</x:f>
        <x:v>891.2509381337459</x:v>
      </x:c>
      <x:c r="U225" s="31" t="n">
        <x:f>IF(T225="","",I225*T225)</x:f>
        <x:v>453.7522260422498</x:v>
      </x:c>
    </x:row>
    <x:row r="226" ht="18" customHeight="1">
      <x:c r="A226" s="24" t="str">
        <x:v>LME_015</x:v>
      </x:c>
      <x:c r="B226" s="24" t="str">
        <x:v>South Brazil Shelf</x:v>
      </x:c>
      <x:c r="C226" s="24" t="str">
        <x:v>LME</x:v>
      </x:c>
      <x:c r="D226" s="30" t="n">
        <x:v>2019</x:v>
      </x:c>
      <x:c r="E226" s="24" t="str">
        <x:v>Caulolatilus chrysops</x:v>
      </x:c>
      <x:c r="F226" s="24" t="str">
        <x:v>Atlantic goldeneye tilefish</x:v>
      </x:c>
      <x:c r="G226" s="24" t="str">
        <x:v>Medium demersals (30 - 89 cm)</x:v>
      </x:c>
      <x:c r="H226" s="24" t="str">
        <x:v>Perch-likes</x:v>
      </x:c>
      <x:c r="I226" s="31" t="n">
        <x:v>0.49340829899999994</x:v>
      </x:c>
      <x:c r="J226" s="31" t="n">
        <x:v>0.49340829899999994</x:v>
      </x:c>
      <x:c r="K226" s="31" t="n">
        <x:v>0</x:v>
      </x:c>
      <x:c r="L226" s="31" t="n">
        <x:v>0.4795251639</x:v>
      </x:c>
      <x:c r="M226" s="31" t="n">
        <x:v>0.013883135100000001</x:v>
      </x:c>
      <x:c r="N226" s="24" t="str">
        <x:v>caulolatilus chrysops</x:v>
      </x:c>
      <x:c r="O226" s="32" t="n">
        <x:v>3.62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Caulolatilus chrysops</x:v>
      </x:c>
      <x:c r="T226" s="32" t="n">
        <x:f>IF(O226="","",(1/'Metadata'!$B$5)^(O226-1))</x:f>
        <x:v>416.8693834703355</x:v>
      </x:c>
      <x:c r="U226" s="31" t="n">
        <x:f>IF(T226="","",I226*T226)</x:f>
        <x:v>205.68681340327691</x:v>
      </x:c>
    </x:row>
    <x:row r="227" ht="18" customHeight="1">
      <x:c r="A227" s="24" t="str">
        <x:v>LME_015</x:v>
      </x:c>
      <x:c r="B227" s="24" t="str">
        <x:v>South Brazil Shelf</x:v>
      </x:c>
      <x:c r="C227" s="24" t="str">
        <x:v>LME</x:v>
      </x:c>
      <x:c r="D227" s="30" t="n">
        <x:v>2019</x:v>
      </x:c>
      <x:c r="E227" s="24" t="str">
        <x:v>Scomber</x:v>
      </x:c>
      <x:c r="F227" s="24" t="str">
        <x:v>Chub mackerels</x:v>
      </x:c>
      <x:c r="G227" s="24" t="str">
        <x:v>Medium pelagics (30 - 89 cm)</x:v>
      </x:c>
      <x:c r="H227" s="24" t="str">
        <x:v>Perch-likes</x:v>
      </x:c>
      <x:c r="I227" s="31" t="n">
        <x:v>0.4066922122</x:v>
      </x:c>
      <x:c r="J227" s="31" t="n">
        <x:v>0.4066922122</x:v>
      </x:c>
      <x:c r="K227" s="31" t="n">
        <x:v>0</x:v>
      </x:c>
      <x:c r="L227" s="31" t="n">
        <x:v>0.4066922122</x:v>
      </x:c>
      <x:c r="M227" s="31" t="n">
        <x:v>0</x:v>
      </x:c>
      <x:c r="N227" s="24" t="str">
        <x:v>scomber</x:v>
      </x:c>
      <x:c r="O227" s="32" t="n">
        <x:v>3.65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Scomber</x:v>
      </x:c>
      <x:c r="T227" s="32" t="n">
        <x:f>IF(O227="","",(1/'Metadata'!$B$5)^(O227-1))</x:f>
        <x:v>446.683592150963</x:v>
      </x:c>
      <x:c r="U227" s="31" t="n">
        <x:f>IF(T227="","",I227*T227)</x:f>
        <x:v>181.6627382453177</x:v>
      </x:c>
    </x:row>
    <x:row r="228" ht="18" customHeight="1">
      <x:c r="A228" s="24" t="str">
        <x:v>LME_015</x:v>
      </x:c>
      <x:c r="B228" s="24" t="str">
        <x:v>South Brazil Shelf</x:v>
      </x:c>
      <x:c r="C228" s="24" t="str">
        <x:v>LME</x:v>
      </x:c>
      <x:c r="D228" s="30" t="n">
        <x:v>2019</x:v>
      </x:c>
      <x:c r="E228" s="24" t="str">
        <x:v>Albulidae</x:v>
      </x:c>
      <x:c r="F228" s="24" t="str">
        <x:v>Bonefishes</x:v>
      </x:c>
      <x:c r="G228" s="24" t="str">
        <x:v>Medium reef assoc. fish (30 - 89 cm)</x:v>
      </x:c>
      <x:c r="H228" s="24" t="str">
        <x:v>Other fishes &amp; inverts</x:v>
      </x:c>
      <x:c r="I228" s="31" t="n">
        <x:v>0.3891381492</x:v>
      </x:c>
      <x:c r="J228" s="31" t="n">
        <x:v>0.3891381492</x:v>
      </x:c>
      <x:c r="K228" s="31" t="n">
        <x:v>0</x:v>
      </x:c>
      <x:c r="L228" s="31" t="n">
        <x:v>0.3786217812</x:v>
      </x:c>
      <x:c r="M228" s="31" t="n">
        <x:v>0.010516368</x:v>
      </x:c>
      <x:c r="N228" s="24" t="str">
        <x:v>albulidae</x:v>
      </x:c>
      <x:c r="O228" s="32" t="n">
        <x:v>3.47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Albulidae</x:v>
      </x:c>
      <x:c r="T228" s="32" t="n">
        <x:f>IF(O228="","",(1/'Metadata'!$B$5)^(O228-1))</x:f>
        <x:v>295.1209226666387</x:v>
      </x:c>
      <x:c r="U228" s="31" t="n">
        <x:f>IF(T228="","",I228*T228)</x:f>
        <x:v>114.84280963669211</x:v>
      </x:c>
    </x:row>
    <x:row r="229" ht="18" customHeight="1">
      <x:c r="A229" s="24" t="str">
        <x:v>LME_015</x:v>
      </x:c>
      <x:c r="B229" s="24" t="str">
        <x:v>South Brazil Shelf</x:v>
      </x:c>
      <x:c r="C229" s="24" t="str">
        <x:v>LME</x:v>
      </x:c>
      <x:c r="D229" s="30" t="n">
        <x:v>2019</x:v>
      </x:c>
      <x:c r="E229" s="24" t="str">
        <x:v>Gymnura micrura</x:v>
      </x:c>
      <x:c r="F229" s="24" t="str">
        <x:v>Smooth butterfly ray</x:v>
      </x:c>
      <x:c r="G229" s="24" t="str">
        <x:v>Small to medium rays (&lt;90 cm)</x:v>
      </x:c>
      <x:c r="H229" s="24" t="str">
        <x:v>Sharks &amp; rays</x:v>
      </x:c>
      <x:c r="I229" s="31" t="n">
        <x:v>0.3739963844</x:v>
      </x:c>
      <x:c r="J229" s="31" t="n">
        <x:v>0.3739963844</x:v>
      </x:c>
      <x:c r="K229" s="31" t="n">
        <x:v>0</x:v>
      </x:c>
      <x:c r="L229" s="31" t="n">
        <x:v>0.3624595919</x:v>
      </x:c>
      <x:c r="M229" s="31" t="n">
        <x:v>0.0115367925</x:v>
      </x:c>
      <x:c r="N229" s="24" t="str">
        <x:v>gymnura micrura</x:v>
      </x:c>
      <x:c r="O229" s="32" t="n">
        <x:v>3.56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Gymnura micrura</x:v>
      </x:c>
      <x:c r="T229" s="32" t="n">
        <x:f>IF(O229="","",(1/'Metadata'!$B$5)^(O229-1))</x:f>
        <x:v>363.0780547701014</x:v>
      </x:c>
      <x:c r="U229" s="31" t="n">
        <x:f>IF(T229="","",I229*T229)</x:f>
        <x:v>135.78987973900308</x:v>
      </x:c>
    </x:row>
    <x:row r="230" ht="18" customHeight="1">
      <x:c r="A230" s="24" t="str">
        <x:v>LME_015</x:v>
      </x:c>
      <x:c r="B230" s="24" t="str">
        <x:v>South Brazil Shelf</x:v>
      </x:c>
      <x:c r="C230" s="24" t="str">
        <x:v>LME</x:v>
      </x:c>
      <x:c r="D230" s="30" t="n">
        <x:v>2019</x:v>
      </x:c>
      <x:c r="E230" s="24" t="str">
        <x:v>Archosargus probatocephalus</x:v>
      </x:c>
      <x:c r="F230" s="24" t="str">
        <x:v>Sheepshead</x:v>
      </x:c>
      <x:c r="G230" s="24" t="str">
        <x:v>Medium demersals (30 - 89 cm)</x:v>
      </x:c>
      <x:c r="H230" s="24" t="str">
        <x:v>Perch-likes</x:v>
      </x:c>
      <x:c r="I230" s="31" t="n">
        <x:v>0.3284244434</x:v>
      </x:c>
      <x:c r="J230" s="31" t="n">
        <x:v>0.3284244434</x:v>
      </x:c>
      <x:c r="K230" s="31" t="n">
        <x:v>0</x:v>
      </x:c>
      <x:c r="L230" s="31" t="n">
        <x:v>0.3260274715</x:v>
      </x:c>
      <x:c r="M230" s="31" t="n">
        <x:v>0.0023969719</x:v>
      </x:c>
      <x:c r="N230" s="24" t="str">
        <x:v>archosargus probatocephalus</x:v>
      </x:c>
      <x:c r="O230" s="32" t="n">
        <x:v>3.53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Archosargus probatocephalus</x:v>
      </x:c>
      <x:c r="T230" s="32" t="n">
        <x:f>IF(O230="","",(1/'Metadata'!$B$5)^(O230-1))</x:f>
        <x:v>338.84415613920237</x:v>
      </x:c>
      <x:c r="U230" s="31" t="n">
        <x:f>IF(T230="","",I230*T230)</x:f>
        <x:v>111.28470337936022</x:v>
      </x:c>
    </x:row>
    <x:row r="231" ht="18" customHeight="1">
      <x:c r="A231" s="24" t="str">
        <x:v>LME_015</x:v>
      </x:c>
      <x:c r="B231" s="24" t="str">
        <x:v>South Brazil Shelf</x:v>
      </x:c>
      <x:c r="C231" s="24" t="str">
        <x:v>LME</x:v>
      </x:c>
      <x:c r="D231" s="30" t="n">
        <x:v>2019</x:v>
      </x:c>
      <x:c r="E231" s="24" t="str">
        <x:v>Centropomus undecimalis</x:v>
      </x:c>
      <x:c r="F231" s="24" t="str">
        <x:v>Common snook</x:v>
      </x:c>
      <x:c r="G231" s="24" t="str">
        <x:v>Large benthopelagics (&gt;=90 cm)</x:v>
      </x:c>
      <x:c r="H231" s="24" t="str">
        <x:v>Perch-likes</x:v>
      </x:c>
      <x:c r="I231" s="31" t="n">
        <x:v>0.3279921855</x:v>
      </x:c>
      <x:c r="J231" s="31" t="n">
        <x:v>0.3279921855</x:v>
      </x:c>
      <x:c r="K231" s="31" t="n">
        <x:v>0</x:v>
      </x:c>
      <x:c r="L231" s="31" t="n">
        <x:v>0.32659024319999996</x:v>
      </x:c>
      <x:c r="M231" s="31" t="n">
        <x:v>0.0014019423</x:v>
      </x:c>
      <x:c r="N231" s="24" t="str">
        <x:v>centropomus undecimalis</x:v>
      </x:c>
      <x:c r="O231" s="32" t="n">
        <x:v>4.17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Centropomus undecimalis</x:v>
      </x:c>
      <x:c r="T231" s="32" t="n">
        <x:f>IF(O231="","",(1/'Metadata'!$B$5)^(O231-1))</x:f>
        <x:v>1479.1083881682073</x:v>
      </x:c>
      <x:c r="U231" s="31" t="n">
        <x:f>IF(T231="","",I231*T231)</x:f>
        <x:v>485.13599282667263</x:v>
      </x:c>
    </x:row>
    <x:row r="232" ht="18" customHeight="1">
      <x:c r="A232" s="24" t="str">
        <x:v>LME_015</x:v>
      </x:c>
      <x:c r="B232" s="24" t="str">
        <x:v>South Brazil Shelf</x:v>
      </x:c>
      <x:c r="C232" s="24" t="str">
        <x:v>LME</x:v>
      </x:c>
      <x:c r="D232" s="30" t="n">
        <x:v>2019</x:v>
      </x:c>
      <x:c r="E232" s="24" t="str">
        <x:v>Ginglymostoma cirratum</x:v>
      </x:c>
      <x:c r="F232" s="24" t="str">
        <x:v>Nurse shark</x:v>
      </x:c>
      <x:c r="G232" s="24" t="str">
        <x:v>Large sharks (&gt;=90 cm)</x:v>
      </x:c>
      <x:c r="H232" s="24" t="str">
        <x:v>Sharks &amp; rays</x:v>
      </x:c>
      <x:c r="I232" s="31" t="n">
        <x:v>0.2614391318</x:v>
      </x:c>
      <x:c r="J232" s="31" t="n">
        <x:v>0.2614391318</x:v>
      </x:c>
      <x:c r="K232" s="31" t="n">
        <x:v>0</x:v>
      </x:c>
      <x:c r="L232" s="31" t="n">
        <x:v>0.25965836119999997</x:v>
      </x:c>
      <x:c r="M232" s="31" t="n">
        <x:v>0.0017807705999999999</x:v>
      </x:c>
      <x:c r="N232" s="24" t="str">
        <x:v>ginglymostoma cirratum</x:v>
      </x:c>
      <x:c r="O232" s="32" t="n">
        <x:v>4.15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Ginglymostoma cirratum</x:v>
      </x:c>
      <x:c r="T232" s="32" t="n">
        <x:f>IF(O232="","",(1/'Metadata'!$B$5)^(O232-1))</x:f>
        <x:v>1412.5375446227554</x:v>
      </x:c>
      <x:c r="U232" s="31" t="n">
        <x:f>IF(T232="","",I232*T232)</x:f>
        <x:v>369.29258930107693</x:v>
      </x:c>
    </x:row>
    <x:row r="233" ht="18" customHeight="1">
      <x:c r="A233" s="24" t="str">
        <x:v>LME_015</x:v>
      </x:c>
      <x:c r="B233" s="24" t="str">
        <x:v>South Brazil Shelf</x:v>
      </x:c>
      <x:c r="C233" s="24" t="str">
        <x:v>LME</x:v>
      </x:c>
      <x:c r="D233" s="30" t="n">
        <x:v>2019</x:v>
      </x:c>
      <x:c r="E233" s="24" t="str">
        <x:v>Sphyrna lewini</x:v>
      </x:c>
      <x:c r="F233" s="24" t="str">
        <x:v>Scalloped hammerhead</x:v>
      </x:c>
      <x:c r="G233" s="24" t="str">
        <x:v>Large sharks (&gt;=90 cm)</x:v>
      </x:c>
      <x:c r="H233" s="24" t="str">
        <x:v>Sharks &amp; rays</x:v>
      </x:c>
      <x:c r="I233" s="31" t="n">
        <x:v>0.2583822295</x:v>
      </x:c>
      <x:c r="J233" s="31" t="n">
        <x:v>0.2583822295</x:v>
      </x:c>
      <x:c r="K233" s="31" t="n">
        <x:v>0</x:v>
      </x:c>
      <x:c r="L233" s="31" t="n">
        <x:v>0</x:v>
      </x:c>
      <x:c r="M233" s="31" t="n">
        <x:v>0.2583822295</x:v>
      </x:c>
      <x:c r="N233" s="24" t="str">
        <x:v>sphyrna lewini</x:v>
      </x:c>
      <x:c r="O233" s="32" t="n">
        <x:v>4.08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Sphyrna lewini</x:v>
      </x:c>
      <x:c r="T233" s="32" t="n">
        <x:f>IF(O233="","",(1/'Metadata'!$B$5)^(O233-1))</x:f>
        <x:v>1202.2644346174131</x:v>
      </x:c>
      <x:c r="U233" s="31" t="n">
        <x:f>IF(T233="","",I233*T233)</x:f>
        <x:v>310.6437650650042</x:v>
      </x:c>
    </x:row>
    <x:row r="234" ht="18" customHeight="1">
      <x:c r="A234" s="24" t="str">
        <x:v>LME_015</x:v>
      </x:c>
      <x:c r="B234" s="24" t="str">
        <x:v>South Brazil Shelf</x:v>
      </x:c>
      <x:c r="C234" s="24" t="str">
        <x:v>LME</x:v>
      </x:c>
      <x:c r="D234" s="30" t="n">
        <x:v>2019</x:v>
      </x:c>
      <x:c r="E234" s="24" t="str">
        <x:v>Caranx latus</x:v>
      </x:c>
      <x:c r="F234" s="24" t="str">
        <x:v>Horse-eye jack</x:v>
      </x:c>
      <x:c r="G234" s="24" t="str">
        <x:v>Large reef assoc. fish (&gt;=90 cm)</x:v>
      </x:c>
      <x:c r="H234" s="24" t="str">
        <x:v>Perch-likes</x:v>
      </x:c>
      <x:c r="I234" s="31" t="n">
        <x:v>0.2551087745</x:v>
      </x:c>
      <x:c r="J234" s="31" t="n">
        <x:v>0.2551087745</x:v>
      </x:c>
      <x:c r="K234" s="31" t="n">
        <x:v>0</x:v>
      </x:c>
      <x:c r="L234" s="31" t="n">
        <x:v>0.2546238165</x:v>
      </x:c>
      <x:c r="M234" s="31" t="n">
        <x:v>0.00048495799999999996</x:v>
      </x:c>
      <x:c r="N234" s="24" t="str">
        <x:v>caranx latus</x:v>
      </x:c>
      <x:c r="O234" s="32" t="n">
        <x:v>4.16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Caranx latus</x:v>
      </x:c>
      <x:c r="T234" s="32" t="n">
        <x:f>IF(O234="","",(1/'Metadata'!$B$5)^(O234-1))</x:f>
        <x:v>1445.439770745928</x:v>
      </x:c>
      <x:c r="U234" s="31" t="n">
        <x:f>IF(T234="","",I234*T234)</x:f>
        <x:v>368.7443685285547</x:v>
      </x:c>
    </x:row>
    <x:row r="235" ht="18" customHeight="1">
      <x:c r="A235" s="24" t="str">
        <x:v>LME_015</x:v>
      </x:c>
      <x:c r="B235" s="24" t="str">
        <x:v>South Brazil Shelf</x:v>
      </x:c>
      <x:c r="C235" s="24" t="str">
        <x:v>LME</x:v>
      </x:c>
      <x:c r="D235" s="30" t="n">
        <x:v>2019</x:v>
      </x:c>
      <x:c r="E235" s="24" t="str">
        <x:v>Trachinotus goodei</x:v>
      </x:c>
      <x:c r="F235" s="24" t="str">
        <x:v>Great pompano</x:v>
      </x:c>
      <x:c r="G235" s="24" t="str">
        <x:v>Medium reef assoc. fish (30 - 89 cm)</x:v>
      </x:c>
      <x:c r="H235" s="24" t="str">
        <x:v>Perch-likes</x:v>
      </x:c>
      <x:c r="I235" s="31" t="n">
        <x:v>0.2041011529</x:v>
      </x:c>
      <x:c r="J235" s="31" t="n">
        <x:v>0.2041011529</x:v>
      </x:c>
      <x:c r="K235" s="31" t="n">
        <x:v>0</x:v>
      </x:c>
      <x:c r="L235" s="31" t="n">
        <x:v>0.2041011529</x:v>
      </x:c>
      <x:c r="M235" s="31" t="n">
        <x:v>0</x:v>
      </x:c>
      <x:c r="N235" s="24" t="str">
        <x:v>trachinotus goodei</x:v>
      </x:c>
      <x:c r="O235" s="32" t="n">
        <x:v>4.34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Trachinotus goodei</x:v>
      </x:c>
      <x:c r="T235" s="32" t="n">
        <x:f>IF(O235="","",(1/'Metadata'!$B$5)^(O235-1))</x:f>
        <x:v>2187.761623949552</x:v>
      </x:c>
      <x:c r="U235" s="31" t="n">
        <x:f>IF(T235="","",I235*T235)</x:f>
        <x:v>446.5246697184798</x:v>
      </x:c>
    </x:row>
    <x:row r="236" ht="18" customHeight="1">
      <x:c r="A236" s="24" t="str">
        <x:v>LME_015</x:v>
      </x:c>
      <x:c r="B236" s="24" t="str">
        <x:v>South Brazil Shelf</x:v>
      </x:c>
      <x:c r="C236" s="24" t="str">
        <x:v>LME</x:v>
      </x:c>
      <x:c r="D236" s="30" t="n">
        <x:v>2019</x:v>
      </x:c>
      <x:c r="E236" s="24" t="str">
        <x:v>Beryx splendens</x:v>
      </x:c>
      <x:c r="F236" s="24" t="str">
        <x:v>Splendid alfonsino</x:v>
      </x:c>
      <x:c r="G236" s="24" t="str">
        <x:v>Medium benthopelagics (30 - 89 cm)</x:v>
      </x:c>
      <x:c r="H236" s="24" t="str">
        <x:v>Other fishes &amp; inverts</x:v>
      </x:c>
      <x:c r="I236" s="31" t="n">
        <x:v>0.2014561968</x:v>
      </x:c>
      <x:c r="J236" s="31" t="n">
        <x:v>0.2014561968</x:v>
      </x:c>
      <x:c r="K236" s="31" t="n">
        <x:v>0</x:v>
      </x:c>
      <x:c r="L236" s="31" t="n">
        <x:v>0.1954874158</x:v>
      </x:c>
      <x:c r="M236" s="31" t="n">
        <x:v>0.005968781</x:v>
      </x:c>
      <x:c r="N236" s="24" t="str">
        <x:v>beryx splendens</x:v>
      </x:c>
      <x:c r="O236" s="32" t="n">
        <x:v>4.27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Beryx splendens</x:v>
      </x:c>
      <x:c r="T236" s="32" t="n">
        <x:f>IF(O236="","",(1/'Metadata'!$B$5)^(O236-1))</x:f>
        <x:v>1862.0871366628655</x:v>
      </x:c>
      <x:c r="U236" s="31" t="n">
        <x:f>IF(T236="","",I236*T236)</x:f>
        <x:v>375.1289926623027</x:v>
      </x:c>
    </x:row>
    <x:row r="237" ht="18" customHeight="1">
      <x:c r="A237" s="24" t="str">
        <x:v>LME_015</x:v>
      </x:c>
      <x:c r="B237" s="24" t="str">
        <x:v>South Brazil Shelf</x:v>
      </x:c>
      <x:c r="C237" s="24" t="str">
        <x:v>LME</x:v>
      </x:c>
      <x:c r="D237" s="30" t="n">
        <x:v>2019</x:v>
      </x:c>
      <x:c r="E237" s="24" t="str">
        <x:v>Notarius grandicassis</x:v>
      </x:c>
      <x:c r="F237" s="24" t="str">
        <x:v>Thomas sea catfish</x:v>
      </x:c>
      <x:c r="G237" s="24" t="str">
        <x:v>Medium demersals (30 - 89 cm)</x:v>
      </x:c>
      <x:c r="H237" s="24" t="str">
        <x:v>Other fishes &amp; inverts</x:v>
      </x:c>
      <x:c r="I237" s="31" t="n">
        <x:v>0.1609196716</x:v>
      </x:c>
      <x:c r="J237" s="31" t="n">
        <x:v>0.1609196716</x:v>
      </x:c>
      <x:c r="K237" s="31" t="n">
        <x:v>0</x:v>
      </x:c>
      <x:c r="L237" s="31" t="n">
        <x:v>0.15664240299999999</x:v>
      </x:c>
      <x:c r="M237" s="31" t="n">
        <x:v>0.0042772686</x:v>
      </x:c>
      <x:c r="N237" s="24" t="str">
        <x:v>notarius grandicassis</x:v>
      </x:c>
      <x:c r="O237" s="32" t="n">
        <x:v>3.6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Notarius grandicassis</x:v>
      </x:c>
      <x:c r="T237" s="32" t="n">
        <x:f>IF(O237="","",(1/'Metadata'!$B$5)^(O237-1))</x:f>
        <x:v>398.1071705534973</x:v>
      </x:c>
      <x:c r="U237" s="31" t="n">
        <x:f>IF(T237="","",I237*T237)</x:f>
        <x:v>64.06327514707398</x:v>
      </x:c>
    </x:row>
    <x:row r="238" ht="18" customHeight="1">
      <x:c r="A238" s="24" t="str">
        <x:v>LME_015</x:v>
      </x:c>
      <x:c r="B238" s="24" t="str">
        <x:v>South Brazil Shelf</x:v>
      </x:c>
      <x:c r="C238" s="24" t="str">
        <x:v>LME</x:v>
      </x:c>
      <x:c r="D238" s="30" t="n">
        <x:v>2019</x:v>
      </x:c>
      <x:c r="E238" s="24" t="str">
        <x:v>Thyrsitops lepidopoides</x:v>
      </x:c>
      <x:c r="F238" s="24" t="str">
        <x:v>White snake mackerel</x:v>
      </x:c>
      <x:c r="G238" s="24" t="str">
        <x:v>Medium benthopelagics (30 - 89 cm)</x:v>
      </x:c>
      <x:c r="H238" s="24" t="str">
        <x:v>Perch-likes</x:v>
      </x:c>
      <x:c r="I238" s="31" t="n">
        <x:v>0.11233811540000001</x:v>
      </x:c>
      <x:c r="J238" s="31" t="n">
        <x:v>0.11233811540000001</x:v>
      </x:c>
      <x:c r="K238" s="31" t="n">
        <x:v>0</x:v>
      </x:c>
      <x:c r="L238" s="31" t="n">
        <x:v>0.111169534</x:v>
      </x:c>
      <x:c r="M238" s="31" t="n">
        <x:v>0.0011685814</x:v>
      </x:c>
      <x:c r="N238" s="24" t="str">
        <x:v>thyrsitops lepidopoides</x:v>
      </x:c>
      <x:c r="O238" s="32" t="n">
        <x:v>3.86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Thyrsitops lepidopoides</x:v>
      </x:c>
      <x:c r="T238" s="32" t="n">
        <x:f>IF(O238="","",(1/'Metadata'!$B$5)^(O238-1))</x:f>
        <x:v>724.4359600749899</x:v>
      </x:c>
      <x:c r="U238" s="31" t="n">
        <x:f>IF(T238="","",I238*T238)</x:f>
        <x:v>81.38177048281402</x:v>
      </x:c>
    </x:row>
    <x:row r="239" ht="18" customHeight="1">
      <x:c r="A239" s="24" t="str">
        <x:v>LME_015</x:v>
      </x:c>
      <x:c r="B239" s="24" t="str">
        <x:v>South Brazil Shelf</x:v>
      </x:c>
      <x:c r="C239" s="24" t="str">
        <x:v>LME</x:v>
      </x:c>
      <x:c r="D239" s="30" t="n">
        <x:v>2019</x:v>
      </x:c>
      <x:c r="E239" s="24" t="str">
        <x:v>Carcharhiniformes</x:v>
      </x:c>
      <x:c r="F239" s="24" t="str">
        <x:v>Ground sharks</x:v>
      </x:c>
      <x:c r="G239" s="24" t="str">
        <x:v>Large sharks (&gt;=90 cm)</x:v>
      </x:c>
      <x:c r="H239" s="24" t="str">
        <x:v>Sharks &amp; rays</x:v>
      </x:c>
      <x:c r="I239" s="31" t="n">
        <x:v>0.1121670355</x:v>
      </x:c>
      <x:c r="J239" s="31" t="n">
        <x:v>0.1121670355</x:v>
      </x:c>
      <x:c r="K239" s="31" t="n">
        <x:v>0</x:v>
      </x:c>
      <x:c r="L239" s="31" t="n">
        <x:v>0</x:v>
      </x:c>
      <x:c r="M239" s="31" t="n">
        <x:v>0.1121670355</x:v>
      </x:c>
      <x:c r="N239" s="24" t="str">
        <x:v>carcharhiniformes</x:v>
      </x:c>
      <x:c r="O239" s="32" t="n">
        <x:v>4.08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Carcharhiniformes</x:v>
      </x:c>
      <x:c r="T239" s="32" t="n">
        <x:f>IF(O239="","",(1/'Metadata'!$B$5)^(O239-1))</x:f>
        <x:v>1202.2644346174131</x:v>
      </x:c>
      <x:c r="U239" s="31" t="n">
        <x:f>IF(T239="","",I239*T239)</x:f>
        <x:v>134.8544375181188</x:v>
      </x:c>
    </x:row>
    <x:row r="240" ht="18" customHeight="1">
      <x:c r="A240" s="24" t="str">
        <x:v>LME_015</x:v>
      </x:c>
      <x:c r="B240" s="24" t="str">
        <x:v>South Brazil Shelf</x:v>
      </x:c>
      <x:c r="C240" s="24" t="str">
        <x:v>LME</x:v>
      </x:c>
      <x:c r="D240" s="30" t="n">
        <x:v>2019</x:v>
      </x:c>
      <x:c r="E240" s="24" t="str">
        <x:v>Balistes</x:v>
      </x:c>
      <x:c r="F240" s="24" t="str">
        <x:v>Triggerfish</x:v>
      </x:c>
      <x:c r="G240" s="24" t="str">
        <x:v>Medium reef assoc. fish (30 - 89 cm)</x:v>
      </x:c>
      <x:c r="H240" s="24" t="str">
        <x:v>Other fishes &amp; inverts</x:v>
      </x:c>
      <x:c r="I240" s="31" t="n">
        <x:v>0.0865431814</x:v>
      </x:c>
      <x:c r="J240" s="31" t="n">
        <x:v>0.0865431814</x:v>
      </x:c>
      <x:c r="K240" s="31" t="n">
        <x:v>0</x:v>
      </x:c>
      <x:c r="L240" s="31" t="n">
        <x:v>0</x:v>
      </x:c>
      <x:c r="M240" s="31" t="n">
        <x:v>0.0865431814</x:v>
      </x:c>
      <x:c r="N240" s="24" t="str">
        <x:v>balistes</x:v>
      </x:c>
      <x:c r="O240" s="32" t="n">
        <x:v>3.94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Balistes</x:v>
      </x:c>
      <x:c r="T240" s="32" t="n">
        <x:f>IF(O240="","",(1/'Metadata'!$B$5)^(O240-1))</x:f>
        <x:v>870.9635899560806</x:v>
      </x:c>
      <x:c r="U240" s="31" t="n">
        <x:f>IF(T240="","",I240*T240)</x:f>
        <x:v>75.3759599583643</x:v>
      </x:c>
    </x:row>
    <x:row r="241" ht="18" customHeight="1">
      <x:c r="A241" s="24" t="str">
        <x:v>LME_015</x:v>
      </x:c>
      <x:c r="B241" s="24" t="str">
        <x:v>South Brazil Shelf</x:v>
      </x:c>
      <x:c r="C241" s="24" t="str">
        <x:v>LME</x:v>
      </x:c>
      <x:c r="D241" s="30" t="n">
        <x:v>2019</x:v>
      </x:c>
      <x:c r="E241" s="24" t="str">
        <x:v>Gastropoda</x:v>
      </x:c>
      <x:c r="F241" s="24" t="str">
        <x:v>Sea snails</x:v>
      </x:c>
      <x:c r="G241" s="24" t="str">
        <x:v>Other demersal invertebrates</x:v>
      </x:c>
      <x:c r="H241" s="24" t="str">
        <x:v>Molluscs</x:v>
      </x:c>
      <x:c r="I241" s="31" t="n">
        <x:v>0.0792569558</x:v>
      </x:c>
      <x:c r="J241" s="31" t="n">
        <x:v>0.0792569558</x:v>
      </x:c>
      <x:c r="K241" s="31" t="n">
        <x:v>0</x:v>
      </x:c>
      <x:c r="L241" s="31" t="n">
        <x:v>0.0792569558</x:v>
      </x:c>
      <x:c r="M241" s="31" t="n">
        <x:v>0</x:v>
      </x:c>
      <x:c r="N241" s="24" t="str">
        <x:v>gastropoda</x:v>
      </x:c>
      <x:c r="O241" s="32" t="n">
        <x:v>3.06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Gastropoda</x:v>
      </x:c>
      <x:c r="T241" s="32" t="n">
        <x:f>IF(O241="","",(1/'Metadata'!$B$5)^(O241-1))</x:f>
        <x:v>114.81536214968828</x:v>
      </x:c>
      <x:c r="U241" s="31" t="n">
        <x:f>IF(T241="","",I241*T241)</x:f>
        <x:v>9.099916083058837</x:v>
      </x:c>
    </x:row>
    <x:row r="242" ht="18" customHeight="1">
      <x:c r="A242" s="24" t="str">
        <x:v>LME_015</x:v>
      </x:c>
      <x:c r="B242" s="24" t="str">
        <x:v>South Brazil Shelf</x:v>
      </x:c>
      <x:c r="C242" s="24" t="str">
        <x:v>LME</x:v>
      </x:c>
      <x:c r="D242" s="30" t="n">
        <x:v>2019</x:v>
      </x:c>
      <x:c r="E242" s="24" t="str">
        <x:v>Sphyraena</x:v>
      </x:c>
      <x:c r="F242" s="24" t="str">
        <x:v>Barracudas, sennets</x:v>
      </x:c>
      <x:c r="G242" s="24" t="str">
        <x:v>Large pelagics (&gt;=90 cm)</x:v>
      </x:c>
      <x:c r="H242" s="24" t="str">
        <x:v>Perch-likes</x:v>
      </x:c>
      <x:c r="I242" s="31" t="n">
        <x:v>0.056259556700000005</x:v>
      </x:c>
      <x:c r="J242" s="31" t="n">
        <x:v>0.056259556700000005</x:v>
      </x:c>
      <x:c r="K242" s="31" t="n">
        <x:v>0</x:v>
      </x:c>
      <x:c r="L242" s="31" t="n">
        <x:v>0.0547388157</x:v>
      </x:c>
      <x:c r="M242" s="31" t="n">
        <x:v>0.001520741</x:v>
      </x:c>
      <x:c r="N242" s="24" t="str">
        <x:v>sphyraena</x:v>
      </x:c>
      <x:c r="O242" s="32" t="n">
        <x:v>4.4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Sphyraena</x:v>
      </x:c>
      <x:c r="T242" s="32" t="n">
        <x:f>IF(O242="","",(1/'Metadata'!$B$5)^(O242-1))</x:f>
        <x:v>2511.886431509582</x:v>
      </x:c>
      <x:c r="U242" s="31" t="n">
        <x:f>IF(T242="","",I242*T242)</x:f>
        <x:v>141.31761711747401</x:v>
      </x:c>
    </x:row>
    <x:row r="243" ht="18" customHeight="1">
      <x:c r="A243" s="24" t="str">
        <x:v>LME_015</x:v>
      </x:c>
      <x:c r="B243" s="24" t="str">
        <x:v>South Brazil Shelf</x:v>
      </x:c>
      <x:c r="C243" s="24" t="str">
        <x:v>LME</x:v>
      </x:c>
      <x:c r="D243" s="30" t="n">
        <x:v>2019</x:v>
      </x:c>
      <x:c r="E243" s="24" t="str">
        <x:v>Mycteroperca microlepis</x:v>
      </x:c>
      <x:c r="F243" s="24" t="str">
        <x:v>Gag</x:v>
      </x:c>
      <x:c r="G243" s="24" t="str">
        <x:v>Large demersals (&gt;=90 cm)</x:v>
      </x:c>
      <x:c r="H243" s="24" t="str">
        <x:v>Perch-likes</x:v>
      </x:c>
      <x:c r="I243" s="31" t="n">
        <x:v>0.0477059159</x:v>
      </x:c>
      <x:c r="J243" s="31" t="n">
        <x:v>0.0477059159</x:v>
      </x:c>
      <x:c r="K243" s="31" t="n">
        <x:v>0</x:v>
      </x:c>
      <x:c r="L243" s="31" t="n">
        <x:v>0.0477059159</x:v>
      </x:c>
      <x:c r="M243" s="31" t="n">
        <x:v>0</x:v>
      </x:c>
      <x:c r="N243" s="24" t="str">
        <x:v>mycteroperca microlepis</x:v>
      </x:c>
      <x:c r="O243" s="32" t="n">
        <x:v>3.65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Mycteroperca microlepis</x:v>
      </x:c>
      <x:c r="T243" s="32" t="n">
        <x:f>IF(O243="","",(1/'Metadata'!$B$5)^(O243-1))</x:f>
        <x:v>446.683592150963</x:v>
      </x:c>
      <x:c r="U243" s="31" t="n">
        <x:f>IF(T243="","",I243*T243)</x:f>
        <x:v>21.309449881063742</x:v>
      </x:c>
    </x:row>
    <x:row r="244" ht="18" customHeight="1">
      <x:c r="A244" s="24" t="str">
        <x:v>LME_015</x:v>
      </x:c>
      <x:c r="B244" s="24" t="str">
        <x:v>South Brazil Shelf</x:v>
      </x:c>
      <x:c r="C244" s="24" t="str">
        <x:v>LME</x:v>
      </x:c>
      <x:c r="D244" s="30" t="n">
        <x:v>2019</x:v>
      </x:c>
      <x:c r="E244" s="24" t="str">
        <x:v>Lutjanus analis</x:v>
      </x:c>
      <x:c r="F244" s="24" t="str">
        <x:v>Mutton snapper</x:v>
      </x:c>
      <x:c r="G244" s="24" t="str">
        <x:v>Medium reef assoc. fish (30 - 89 cm)</x:v>
      </x:c>
      <x:c r="H244" s="24" t="str">
        <x:v>Perch-likes</x:v>
      </x:c>
      <x:c r="I244" s="31" t="n">
        <x:v>0.0460041854</x:v>
      </x:c>
      <x:c r="J244" s="31" t="n">
        <x:v>0.0460041854</x:v>
      </x:c>
      <x:c r="K244" s="31" t="n">
        <x:v>0</x:v>
      </x:c>
      <x:c r="L244" s="31" t="n">
        <x:v>0.044958260199999996</x:v>
      </x:c>
      <x:c r="M244" s="31" t="n">
        <x:v>0.0010459252</x:v>
      </x:c>
      <x:c r="N244" s="24" t="str">
        <x:v>lutjanus analis</x:v>
      </x:c>
      <x:c r="O244" s="32" t="n">
        <x:v>3.91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Lutjanus analis</x:v>
      </x:c>
      <x:c r="T244" s="32" t="n">
        <x:f>IF(O244="","",(1/'Metadata'!$B$5)^(O244-1))</x:f>
        <x:v>812.8305161640995</x:v>
      </x:c>
      <x:c r="U244" s="31" t="n">
        <x:f>IF(T244="","",I244*T244)</x:f>
        <x:v>37.393605764390934</x:v>
      </x:c>
    </x:row>
    <x:row r="245" ht="18" customHeight="1">
      <x:c r="A245" s="24" t="str">
        <x:v>LME_015</x:v>
      </x:c>
      <x:c r="B245" s="24" t="str">
        <x:v>South Brazil Shelf</x:v>
      </x:c>
      <x:c r="C245" s="24" t="str">
        <x:v>LME</x:v>
      </x:c>
      <x:c r="D245" s="30" t="n">
        <x:v>2019</x:v>
      </x:c>
      <x:c r="E245" s="24" t="str">
        <x:v>Notorynchus cepedianus</x:v>
      </x:c>
      <x:c r="F245" s="24" t="str">
        <x:v>Broadnose sevengill shark</x:v>
      </x:c>
      <x:c r="G245" s="24" t="str">
        <x:v>Large sharks (&gt;=90 cm)</x:v>
      </x:c>
      <x:c r="H245" s="24" t="str">
        <x:v>Sharks &amp; rays</x:v>
      </x:c>
      <x:c r="I245" s="31" t="n">
        <x:v>0.0395605916</x:v>
      </x:c>
      <x:c r="J245" s="31" t="n">
        <x:v>0.0395605916</x:v>
      </x:c>
      <x:c r="K245" s="31" t="n">
        <x:v>0</x:v>
      </x:c>
      <x:c r="L245" s="31" t="n">
        <x:v>0.0381633465</x:v>
      </x:c>
      <x:c r="M245" s="31" t="n">
        <x:v>0.0013972451000000001</x:v>
      </x:c>
      <x:c r="N245" s="24" t="str">
        <x:v>notorynchus cepedianus</x:v>
      </x:c>
      <x:c r="O245" s="32" t="n">
        <x:v>4.68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Notorynchus cepedianus</x:v>
      </x:c>
      <x:c r="T245" s="32" t="n">
        <x:f>IF(O245="","",(1/'Metadata'!$B$5)^(O245-1))</x:f>
        <x:v>4786.30092322638</x:v>
      </x:c>
      <x:c r="U245" s="31" t="n">
        <x:f>IF(T245="","",I245*T245)</x:f>
        <x:v>189.34889609846178</x:v>
      </x:c>
    </x:row>
    <x:row r="246" ht="18" customHeight="1">
      <x:c r="A246" s="24" t="str">
        <x:v>LME_015</x:v>
      </x:c>
      <x:c r="B246" s="24" t="str">
        <x:v>South Brazil Shelf</x:v>
      </x:c>
      <x:c r="C246" s="24" t="str">
        <x:v>LME</x:v>
      </x:c>
      <x:c r="D246" s="30" t="n">
        <x:v>2019</x:v>
      </x:c>
      <x:c r="E246" s="24" t="str">
        <x:v>Squatina guggenheim</x:v>
      </x:c>
      <x:c r="F246" s="24" t="str">
        <x:v>Angular angel shark</x:v>
      </x:c>
      <x:c r="G246" s="24" t="str">
        <x:v>Large sharks (&gt;=90 cm)</x:v>
      </x:c>
      <x:c r="H246" s="24" t="str">
        <x:v>Sharks &amp; rays</x:v>
      </x:c>
      <x:c r="I246" s="31" t="n">
        <x:v>0.0388217375</x:v>
      </x:c>
      <x:c r="J246" s="31" t="n">
        <x:v>0</x:v>
      </x:c>
      <x:c r="K246" s="31" t="n">
        <x:v>0.0388217375</x:v>
      </x:c>
      <x:c r="L246" s="31" t="n">
        <x:v>0</x:v>
      </x:c>
      <x:c r="M246" s="31" t="n">
        <x:v>0.0388217375</x:v>
      </x:c>
      <x:c r="N246" s="24" t="str">
        <x:v>squatina guggenheim</x:v>
      </x:c>
      <x:c r="O246" s="32" t="n">
        <x:v>4.39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Squatina guggenheim</x:v>
      </x:c>
      <x:c r="T246" s="32" t="n">
        <x:f>IF(O246="","",(1/'Metadata'!$B$5)^(O246-1))</x:f>
        <x:v>2454.7089156850284</x:v>
      </x:c>
      <x:c r="U246" s="31" t="n">
        <x:f>IF(T246="","",I246*T246)</x:f>
        <x:v>95.29606516363381</x:v>
      </x:c>
    </x:row>
    <x:row r="247" ht="18" customHeight="1">
      <x:c r="A247" s="24" t="str">
        <x:v>LME_015</x:v>
      </x:c>
      <x:c r="B247" s="24" t="str">
        <x:v>South Brazil Shelf</x:v>
      </x:c>
      <x:c r="C247" s="24" t="str">
        <x:v>LME</x:v>
      </x:c>
      <x:c r="D247" s="30" t="n">
        <x:v>2019</x:v>
      </x:c>
      <x:c r="E247" s="24" t="str">
        <x:v>Auxis</x:v>
      </x:c>
      <x:c r="F247" s="24" t="str">
        <x:v>Bullet and frigate tunas</x:v>
      </x:c>
      <x:c r="G247" s="24" t="str">
        <x:v>Medium pelagics (30 - 89 cm)</x:v>
      </x:c>
      <x:c r="H247" s="24" t="str">
        <x:v>Tuna &amp; billfishes</x:v>
      </x:c>
      <x:c r="I247" s="31" t="n">
        <x:v>0.0350381231</x:v>
      </x:c>
      <x:c r="J247" s="31" t="n">
        <x:v>0.0350381231</x:v>
      </x:c>
      <x:c r="K247" s="31" t="n">
        <x:v>0</x:v>
      </x:c>
      <x:c r="L247" s="31" t="n">
        <x:v>0.0350381231</x:v>
      </x:c>
      <x:c r="M247" s="31" t="n">
        <x:v>0</x:v>
      </x:c>
      <x:c r="N247" s="24" t="str">
        <x:v>auxis</x:v>
      </x:c>
      <x:c r="O247" s="32" t="n">
        <x:v>4.24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Auxis</x:v>
      </x:c>
      <x:c r="T247" s="32" t="n">
        <x:f>IF(O247="","",(1/'Metadata'!$B$5)^(O247-1))</x:f>
        <x:v>1737.8008287493763</x:v>
      </x:c>
      <x:c r="U247" s="31" t="n">
        <x:f>IF(T247="","",I247*T247)</x:f>
        <x:v>60.889279361002664</x:v>
      </x:c>
    </x:row>
    <x:row r="248" ht="18" customHeight="1">
      <x:c r="A248" s="24" t="str">
        <x:v>LME_015</x:v>
      </x:c>
      <x:c r="B248" s="24" t="str">
        <x:v>South Brazil Shelf</x:v>
      </x:c>
      <x:c r="C248" s="24" t="str">
        <x:v>LME</x:v>
      </x:c>
      <x:c r="D248" s="30" t="n">
        <x:v>2019</x:v>
      </x:c>
      <x:c r="E248" s="24" t="str">
        <x:v>Sphyrna tiburo</x:v>
      </x:c>
      <x:c r="F248" s="24" t="str">
        <x:v>Bonnethead</x:v>
      </x:c>
      <x:c r="G248" s="24" t="str">
        <x:v>Large sharks (&gt;=90 cm)</x:v>
      </x:c>
      <x:c r="H248" s="24" t="str">
        <x:v>Sharks &amp; rays</x:v>
      </x:c>
      <x:c r="I248" s="31" t="n">
        <x:v>0.0208808534</x:v>
      </x:c>
      <x:c r="J248" s="31" t="n">
        <x:v>0.0208808534</x:v>
      </x:c>
      <x:c r="K248" s="31" t="n">
        <x:v>0</x:v>
      </x:c>
      <x:c r="L248" s="31" t="n">
        <x:v>0.0208808534</x:v>
      </x:c>
      <x:c r="M248" s="31" t="n">
        <x:v>0</x:v>
      </x:c>
      <x:c r="N248" s="24" t="str">
        <x:v>sphyrna tiburo</x:v>
      </x:c>
      <x:c r="O248" s="32" t="n">
        <x:v>3.88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Sphyrna tiburo</x:v>
      </x:c>
      <x:c r="T248" s="32" t="n">
        <x:f>IF(O248="","",(1/'Metadata'!$B$5)^(O248-1))</x:f>
        <x:v>758.5775750291835</x:v>
      </x:c>
      <x:c r="U248" s="31" t="n">
        <x:f>IF(T248="","",I248*T248)</x:f>
        <x:v>15.839747136711882</x:v>
      </x:c>
    </x:row>
    <x:row r="249" ht="18" customHeight="1">
      <x:c r="A249" s="24" t="str">
        <x:v>LME_015</x:v>
      </x:c>
      <x:c r="B249" s="24" t="str">
        <x:v>South Brazil Shelf</x:v>
      </x:c>
      <x:c r="C249" s="24" t="str">
        <x:v>LME</x:v>
      </x:c>
      <x:c r="D249" s="30" t="n">
        <x:v>2019</x:v>
      </x:c>
      <x:c r="E249" s="24" t="str">
        <x:v>Fistularia tabacaria</x:v>
      </x:c>
      <x:c r="F249" s="24" t="str">
        <x:v>Cornetfish</x:v>
      </x:c>
      <x:c r="G249" s="24" t="str">
        <x:v>Large reef assoc. fish (&gt;=90 cm)</x:v>
      </x:c>
      <x:c r="H249" s="24" t="str">
        <x:v>Other fishes &amp; inverts</x:v>
      </x:c>
      <x:c r="I249" s="31" t="n">
        <x:v>0.019350848599999998</x:v>
      </x:c>
      <x:c r="J249" s="31" t="n">
        <x:v>0.019350848599999998</x:v>
      </x:c>
      <x:c r="K249" s="31" t="n">
        <x:v>0</x:v>
      </x:c>
      <x:c r="L249" s="31" t="n">
        <x:v>0.0192784402</x:v>
      </x:c>
      <x:c r="M249" s="31" t="n">
        <x:v>0.0000724084</x:v>
      </x:c>
      <x:c r="N249" s="24" t="str">
        <x:v>fistularia tabacaria</x:v>
      </x:c>
      <x:c r="O249" s="32" t="n">
        <x:v>3.69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Fistularia tabacaria</x:v>
      </x:c>
      <x:c r="T249" s="32" t="n">
        <x:f>IF(O249="","",(1/'Metadata'!$B$5)^(O249-1))</x:f>
        <x:v>489.77881936844614</x:v>
      </x:c>
      <x:c r="U249" s="31" t="n">
        <x:f>IF(T249="","",I249*T249)</x:f>
        <x:v>9.477635781085548</x:v>
      </x:c>
    </x:row>
    <x:row r="250" ht="18" customHeight="1">
      <x:c r="A250" s="24" t="str">
        <x:v>LME_015</x:v>
      </x:c>
      <x:c r="B250" s="24" t="str">
        <x:v>South Brazil Shelf</x:v>
      </x:c>
      <x:c r="C250" s="24" t="str">
        <x:v>LME</x:v>
      </x:c>
      <x:c r="D250" s="30" t="n">
        <x:v>2019</x:v>
      </x:c>
      <x:c r="E250" s="24" t="str">
        <x:v>Myripristis jacobus</x:v>
      </x:c>
      <x:c r="F250" s="24" t="str">
        <x:v>Blackbar soldierfish</x:v>
      </x:c>
      <x:c r="G250" s="24" t="str">
        <x:v>Small reef assoc. fish (&lt;30 cm)</x:v>
      </x:c>
      <x:c r="H250" s="24" t="str">
        <x:v>Other fishes &amp; inverts</x:v>
      </x:c>
      <x:c r="I250" s="31" t="n">
        <x:v>0.0181847462</x:v>
      </x:c>
      <x:c r="J250" s="31" t="n">
        <x:v>0.0181847462</x:v>
      </x:c>
      <x:c r="K250" s="31" t="n">
        <x:v>0</x:v>
      </x:c>
      <x:c r="L250" s="31" t="n">
        <x:v>0.0181847462</x:v>
      </x:c>
      <x:c r="M250" s="31" t="n">
        <x:v>0</x:v>
      </x:c>
      <x:c r="N250" s="24" t="str">
        <x:v>myripristis jacobus</x:v>
      </x:c>
      <x:c r="O250" s="32" t="n">
        <x:v>3.39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Myripristis jacobus</x:v>
      </x:c>
      <x:c r="T250" s="32" t="n">
        <x:f>IF(O250="","",(1/'Metadata'!$B$5)^(O250-1))</x:f>
        <x:v>245.4708915685031</x:v>
      </x:c>
      <x:c r="U250" s="31" t="n">
        <x:f>IF(T250="","",I250*T250)</x:f>
        <x:v>4.463825862660949</x:v>
      </x:c>
    </x:row>
    <x:row r="251" ht="18" customHeight="1">
      <x:c r="A251" s="24" t="str">
        <x:v>LME_015</x:v>
      </x:c>
      <x:c r="B251" s="24" t="str">
        <x:v>South Brazil Shelf</x:v>
      </x:c>
      <x:c r="C251" s="24" t="str">
        <x:v>LME</x:v>
      </x:c>
      <x:c r="D251" s="30" t="n">
        <x:v>2019</x:v>
      </x:c>
      <x:c r="E251" s="24" t="str">
        <x:v>Hyporthodus flavolimbatus</x:v>
      </x:c>
      <x:c r="F251" s="24" t="str">
        <x:v>Yellowedge grouper</x:v>
      </x:c>
      <x:c r="G251" s="24" t="str">
        <x:v>Large demersals (&gt;=90 cm)</x:v>
      </x:c>
      <x:c r="H251" s="24" t="str">
        <x:v>Perch-likes</x:v>
      </x:c>
      <x:c r="I251" s="31" t="n">
        <x:v>0.0166267511</x:v>
      </x:c>
      <x:c r="J251" s="31" t="n">
        <x:v>0.0166267511</x:v>
      </x:c>
      <x:c r="K251" s="31" t="n">
        <x:v>0</x:v>
      </x:c>
      <x:c r="L251" s="31" t="n">
        <x:v>0.0162207525</x:v>
      </x:c>
      <x:c r="M251" s="31" t="n">
        <x:v>0.0004059986</x:v>
      </x:c>
      <x:c r="N251" s="24" t="str">
        <x:v>hyporthodus flavolimbatus</x:v>
      </x:c>
      <x:c r="O251" s="32" t="n">
        <x:v>3.82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Hyporthodus flavolimbatus</x:v>
      </x:c>
      <x:c r="T251" s="32" t="n">
        <x:f>IF(O251="","",(1/'Metadata'!$B$5)^(O251-1))</x:f>
        <x:v>660.6934480075957</x:v>
      </x:c>
      <x:c r="U251" s="31" t="n">
        <x:f>IF(T251="","",I251*T251)</x:f>
        <x:v>10.985185513423085</x:v>
      </x:c>
    </x:row>
    <x:row r="252" ht="18" customHeight="1">
      <x:c r="A252" s="24" t="str">
        <x:v>LME_015</x:v>
      </x:c>
      <x:c r="B252" s="24" t="str">
        <x:v>South Brazil Shelf</x:v>
      </x:c>
      <x:c r="C252" s="24" t="str">
        <x:v>LME</x:v>
      </x:c>
      <x:c r="D252" s="30" t="n">
        <x:v>2019</x:v>
      </x:c>
      <x:c r="E252" s="24" t="str">
        <x:v>Caranx lugubris</x:v>
      </x:c>
      <x:c r="F252" s="24" t="str">
        <x:v>Black jack</x:v>
      </x:c>
      <x:c r="G252" s="24" t="str">
        <x:v>Large benthopelagics (&gt;=90 cm)</x:v>
      </x:c>
      <x:c r="H252" s="24" t="str">
        <x:v>Perch-likes</x:v>
      </x:c>
      <x:c r="I252" s="31" t="n">
        <x:v>0.0141242257</x:v>
      </x:c>
      <x:c r="J252" s="31" t="n">
        <x:v>0.0141242257</x:v>
      </x:c>
      <x:c r="K252" s="31" t="n">
        <x:v>0</x:v>
      </x:c>
      <x:c r="L252" s="31" t="n">
        <x:v>0.0137836912</x:v>
      </x:c>
      <x:c r="M252" s="31" t="n">
        <x:v>0.0003405345</x:v>
      </x:c>
      <x:c r="N252" s="24" t="str">
        <x:v>caranx lugubris</x:v>
      </x:c>
      <x:c r="O252" s="32" t="n">
        <x:v>4.5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Caranx lugubris</x:v>
      </x:c>
      <x:c r="T252" s="32" t="n">
        <x:f>IF(O252="","",(1/'Metadata'!$B$5)^(O252-1))</x:f>
        <x:v>3162.2776601683795</x:v>
      </x:c>
      <x:c r="U252" s="31" t="n">
        <x:f>IF(T252="","",I252*T252)</x:f>
        <x:v>44.66472339828609</x:v>
      </x:c>
    </x:row>
    <x:row r="253" ht="18" customHeight="1">
      <x:c r="A253" s="24" t="str">
        <x:v>LME_015</x:v>
      </x:c>
      <x:c r="B253" s="24" t="str">
        <x:v>South Brazil Shelf</x:v>
      </x:c>
      <x:c r="C253" s="24" t="str">
        <x:v>LME</x:v>
      </x:c>
      <x:c r="D253" s="30" t="n">
        <x:v>2019</x:v>
      </x:c>
      <x:c r="E253" s="24" t="str">
        <x:v>Muraenidae</x:v>
      </x:c>
      <x:c r="F253" s="24" t="str">
        <x:v>Moray eels</x:v>
      </x:c>
      <x:c r="G253" s="24" t="str">
        <x:v>Large reef assoc. fish (&gt;=90 cm)</x:v>
      </x:c>
      <x:c r="H253" s="24" t="str">
        <x:v>Other fishes &amp; inverts</x:v>
      </x:c>
      <x:c r="I253" s="31" t="n">
        <x:v>0.0129917985</x:v>
      </x:c>
      <x:c r="J253" s="31" t="n">
        <x:v>0.0129917985</x:v>
      </x:c>
      <x:c r="K253" s="31" t="n">
        <x:v>0</x:v>
      </x:c>
      <x:c r="L253" s="31" t="n">
        <x:v>0.0129917985</x:v>
      </x:c>
      <x:c r="M253" s="31" t="n">
        <x:v>0</x:v>
      </x:c>
      <x:c r="N253" s="24" t="str">
        <x:v>muraenidae</x:v>
      </x:c>
      <x:c r="O253" s="32" t="n">
        <x:v>4.07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Muraenidae</x:v>
      </x:c>
      <x:c r="T253" s="32" t="n">
        <x:f>IF(O253="","",(1/'Metadata'!$B$5)^(O253-1))</x:f>
        <x:v>1174.8975549395302</x:v>
      </x:c>
      <x:c r="U253" s="31" t="n">
        <x:f>IF(T253="","",I253*T253)</x:f>
        <x:v>15.264032291917056</x:v>
      </x:c>
    </x:row>
    <x:row r="254" ht="18" customHeight="1">
      <x:c r="A254" s="24" t="str">
        <x:v>LME_015</x:v>
      </x:c>
      <x:c r="B254" s="24" t="str">
        <x:v>South Brazil Shelf</x:v>
      </x:c>
      <x:c r="C254" s="24" t="str">
        <x:v>LME</x:v>
      </x:c>
      <x:c r="D254" s="30" t="n">
        <x:v>2019</x:v>
      </x:c>
      <x:c r="E254" s="24" t="str">
        <x:v>Mulloidichthys martinicus</x:v>
      </x:c>
      <x:c r="F254" s="24" t="str">
        <x:v>Yellow goatfish</x:v>
      </x:c>
      <x:c r="G254" s="24" t="str">
        <x:v>Medium reef assoc. fish (30 - 89 cm)</x:v>
      </x:c>
      <x:c r="H254" s="24" t="str">
        <x:v>Perch-likes</x:v>
      </x:c>
      <x:c r="I254" s="31" t="n">
        <x:v>0.0110264847</x:v>
      </x:c>
      <x:c r="J254" s="31" t="n">
        <x:v>0.0110264847</x:v>
      </x:c>
      <x:c r="K254" s="31" t="n">
        <x:v>0</x:v>
      </x:c>
      <x:c r="L254" s="31" t="n">
        <x:v>0.0106763238</x:v>
      </x:c>
      <x:c r="M254" s="31" t="n">
        <x:v>0.0003501609</x:v>
      </x:c>
      <x:c r="N254" s="24" t="str">
        <x:v>mulloidichthys martinicus</x:v>
      </x:c>
      <x:c r="O254" s="32" t="n">
        <x:v>3.21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Mulloidichthys martinicus</x:v>
      </x:c>
      <x:c r="T254" s="32" t="n">
        <x:f>IF(O254="","",(1/'Metadata'!$B$5)^(O254-1))</x:f>
        <x:v>162.18100973589299</x:v>
      </x:c>
      <x:c r="U254" s="31" t="n">
        <x:f>IF(T254="","",I254*T254)</x:f>
        <x:v>1.788286422483375</x:v>
      </x:c>
    </x:row>
    <x:row r="255" ht="18" customHeight="1">
      <x:c r="A255" s="24" t="str">
        <x:v>LME_015</x:v>
      </x:c>
      <x:c r="B255" s="24" t="str">
        <x:v>South Brazil Shelf</x:v>
      </x:c>
      <x:c r="C255" s="24" t="str">
        <x:v>LME</x:v>
      </x:c>
      <x:c r="D255" s="30" t="n">
        <x:v>2019</x:v>
      </x:c>
      <x:c r="E255" s="24" t="str">
        <x:v>Anchoa spinifer</x:v>
      </x:c>
      <x:c r="F255" s="24" t="str">
        <x:v>Spicule anchovy</x:v>
      </x:c>
      <x:c r="G255" s="24" t="str">
        <x:v>Small pelagics (&lt;30 cm)</x:v>
      </x:c>
      <x:c r="H255" s="24" t="str">
        <x:v>Anchovies</x:v>
      </x:c>
      <x:c r="I255" s="31" t="n">
        <x:v>0.0064003136000000006</x:v>
      </x:c>
      <x:c r="J255" s="31" t="n">
        <x:v>0.0064003136000000006</x:v>
      </x:c>
      <x:c r="K255" s="31" t="n">
        <x:v>0</x:v>
      </x:c>
      <x:c r="L255" s="31" t="n">
        <x:v>0.0064003136000000006</x:v>
      </x:c>
      <x:c r="M255" s="31" t="n">
        <x:v>0</x:v>
      </x:c>
      <x:c r="N255" s="24" t="str">
        <x:v>anchoa spinifer</x:v>
      </x:c>
      <x:c r="O255" s="32" t="n">
        <x:v>4.09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Anchoa spinifer</x:v>
      </x:c>
      <x:c r="T255" s="32" t="n">
        <x:f>IF(O255="","",(1/'Metadata'!$B$5)^(O255-1))</x:f>
        <x:v>1230.268770812381</x:v>
      </x:c>
      <x:c r="U255" s="31" t="n">
        <x:f>IF(T255="","",I255*T255)</x:f>
        <x:v>7.874105945485766</x:v>
      </x:c>
    </x:row>
    <x:row r="256" ht="18" customHeight="1">
      <x:c r="A256" s="24" t="str">
        <x:v>LME_015</x:v>
      </x:c>
      <x:c r="B256" s="24" t="str">
        <x:v>South Brazil Shelf</x:v>
      </x:c>
      <x:c r="C256" s="24" t="str">
        <x:v>LME</x:v>
      </x:c>
      <x:c r="D256" s="30" t="n">
        <x:v>2019</x:v>
      </x:c>
      <x:c r="E256" s="24" t="str">
        <x:v>Epinephelus adscensionis</x:v>
      </x:c>
      <x:c r="F256" s="24" t="str">
        <x:v>Rock hind</x:v>
      </x:c>
      <x:c r="G256" s="24" t="str">
        <x:v>Medium reef assoc. fish (30 - 89 cm)</x:v>
      </x:c>
      <x:c r="H256" s="24" t="str">
        <x:v>Perch-likes</x:v>
      </x:c>
      <x:c r="I256" s="31" t="n">
        <x:v>0.005359330099999999</x:v>
      </x:c>
      <x:c r="J256" s="31" t="n">
        <x:v>0.005359330099999999</x:v>
      </x:c>
      <x:c r="K256" s="31" t="n">
        <x:v>0</x:v>
      </x:c>
      <x:c r="L256" s="31" t="n">
        <x:v>0.0053425736</x:v>
      </x:c>
      <x:c r="M256" s="31" t="n">
        <x:v>0.000016756499999999998</x:v>
      </x:c>
      <x:c r="N256" s="24" t="str">
        <x:v>epinephelus adscensionis</x:v>
      </x:c>
      <x:c r="O256" s="32" t="n">
        <x:v>3.53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Epinephelus adscensionis</x:v>
      </x:c>
      <x:c r="T256" s="32" t="n">
        <x:f>IF(O256="","",(1/'Metadata'!$B$5)^(O256-1))</x:f>
        <x:v>338.84415613920237</x:v>
      </x:c>
      <x:c r="U256" s="31" t="n">
        <x:f>IF(T256="","",I256*T256)</x:f>
        <x:v>1.8159776852059268</x:v>
      </x:c>
    </x:row>
    <x:row r="257" ht="18" customHeight="1">
      <x:c r="A257" s="24" t="str">
        <x:v>LME_015</x:v>
      </x:c>
      <x:c r="B257" s="24" t="str">
        <x:v>South Brazil Shelf</x:v>
      </x:c>
      <x:c r="C257" s="24" t="str">
        <x:v>LME</x:v>
      </x:c>
      <x:c r="D257" s="30" t="n">
        <x:v>2019</x:v>
      </x:c>
      <x:c r="E257" s="24" t="str">
        <x:v>Callinectes sapidus</x:v>
      </x:c>
      <x:c r="F257" s="24" t="str">
        <x:v>Blue crab</x:v>
      </x:c>
      <x:c r="G257" s="24" t="str">
        <x:v>Lobsters, crabs</x:v>
      </x:c>
      <x:c r="H257" s="24" t="str">
        <x:v>Crustaceans</x:v>
      </x:c>
      <x:c r="I257" s="31" t="n">
        <x:v>0.0044364602</x:v>
      </x:c>
      <x:c r="J257" s="31" t="n">
        <x:v>0.0044364602</x:v>
      </x:c>
      <x:c r="K257" s="31" t="n">
        <x:v>0</x:v>
      </x:c>
      <x:c r="L257" s="31" t="n">
        <x:v>0.0044364602</x:v>
      </x:c>
      <x:c r="M257" s="31" t="n">
        <x:v>0</x:v>
      </x:c>
      <x:c r="N257" s="24" t="str">
        <x:v>callinectes sapidus</x:v>
      </x:c>
      <x:c r="O257" s="32" t="n">
        <x:v>4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Callinectes sapidus</x:v>
      </x:c>
      <x:c r="T257" s="32" t="n">
        <x:f>IF(O257="","",(1/'Metadata'!$B$5)^(O257-1))</x:f>
        <x:v>1000</x:v>
      </x:c>
      <x:c r="U257" s="31" t="n">
        <x:f>IF(T257="","",I257*T257)</x:f>
        <x:v>4.4364602</x:v>
      </x:c>
    </x:row>
    <x:row r="258" ht="18" customHeight="1">
      <x:c r="A258" s="24" t="str">
        <x:v>LME_015</x:v>
      </x:c>
      <x:c r="B258" s="24" t="str">
        <x:v>South Brazil Shelf</x:v>
      </x:c>
      <x:c r="C258" s="24" t="str">
        <x:v>LME</x:v>
      </x:c>
      <x:c r="D258" s="30" t="n">
        <x:v>2019</x:v>
      </x:c>
      <x:c r="E258" s="24" t="str">
        <x:v>Ephippidae</x:v>
      </x:c>
      <x:c r="F258" s="24" t="str">
        <x:v>Spade-, batfishes, scats</x:v>
      </x:c>
      <x:c r="G258" s="24" t="str">
        <x:v>Medium reef assoc. fish (30 - 89 cm)</x:v>
      </x:c>
      <x:c r="H258" s="24" t="str">
        <x:v>Perch-likes</x:v>
      </x:c>
      <x:c r="I258" s="31" t="n">
        <x:v>0.0038022222</x:v>
      </x:c>
      <x:c r="J258" s="31" t="n">
        <x:v>0.0038022222</x:v>
      </x:c>
      <x:c r="K258" s="31" t="n">
        <x:v>0</x:v>
      </x:c>
      <x:c r="L258" s="31" t="n">
        <x:v>0</x:v>
      </x:c>
      <x:c r="M258" s="31" t="n">
        <x:v>0.0038022222</x:v>
      </x:c>
      <x:c r="N258" s="24" t="str">
        <x:v>ephippidae</x:v>
      </x:c>
      <x:c r="O258" s="32" t="n">
        <x:v>3.57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Ephippidae</x:v>
      </x:c>
      <x:c r="T258" s="32" t="n">
        <x:f>IF(O258="","",(1/'Metadata'!$B$5)^(O258-1))</x:f>
        <x:v>371.5352290971724</x:v>
      </x:c>
      <x:c r="U258" s="31" t="n">
        <x:f>IF(T258="","",I258*T258)</x:f>
        <x:v>1.412659496155355</x:v>
      </x:c>
    </x:row>
    <x:row r="259" ht="18" customHeight="1">
      <x:c r="A259" s="24" t="str">
        <x:v>LME_015</x:v>
      </x:c>
      <x:c r="B259" s="24" t="str">
        <x:v>South Brazil Shelf</x:v>
      </x:c>
      <x:c r="C259" s="24" t="str">
        <x:v>LME</x:v>
      </x:c>
      <x:c r="D259" s="30" t="n">
        <x:v>2019</x:v>
      </x:c>
      <x:c r="E259" s="24" t="str">
        <x:v>Lampris guttatus</x:v>
      </x:c>
      <x:c r="F259" s="24" t="str">
        <x:v>Opah</x:v>
      </x:c>
      <x:c r="G259" s="24" t="str">
        <x:v>Large bathypelagics (&gt;=90 cm)</x:v>
      </x:c>
      <x:c r="H259" s="24" t="str">
        <x:v>Other fishes &amp; inverts</x:v>
      </x:c>
      <x:c r="I259" s="31" t="n">
        <x:v>0.0031194954</x:v>
      </x:c>
      <x:c r="J259" s="31" t="n">
        <x:v>0.0031194954</x:v>
      </x:c>
      <x:c r="K259" s="31" t="n">
        <x:v>0</x:v>
      </x:c>
      <x:c r="L259" s="31" t="n">
        <x:v>0.0031194954</x:v>
      </x:c>
      <x:c r="M259" s="31" t="n">
        <x:v>0</x:v>
      </x:c>
      <x:c r="N259" s="24" t="str">
        <x:v>lampris guttatus</x:v>
      </x:c>
      <x:c r="O259" s="32" t="n">
        <x:v>4.22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Lampris guttatus</x:v>
      </x:c>
      <x:c r="T259" s="32" t="n">
        <x:f>IF(O259="","",(1/'Metadata'!$B$5)^(O259-1))</x:f>
        <x:v>1659.5869074375596</x:v>
      </x:c>
      <x:c r="U259" s="31" t="n">
        <x:f>IF(T259="","",I259*T259)</x:f>
        <x:v>5.177073723651693</x:v>
      </x:c>
    </x:row>
    <x:row r="260" ht="18" customHeight="1">
      <x:c r="A260" s="24" t="str">
        <x:v>LME_015</x:v>
      </x:c>
      <x:c r="B260" s="24" t="str">
        <x:v>South Brazil Shelf</x:v>
      </x:c>
      <x:c r="C260" s="24" t="str">
        <x:v>LME</x:v>
      </x:c>
      <x:c r="D260" s="30" t="n">
        <x:v>2019</x:v>
      </x:c>
      <x:c r="E260" s="24" t="str">
        <x:v>Isurus paucus</x:v>
      </x:c>
      <x:c r="F260" s="24" t="str">
        <x:v>Longfin mako</x:v>
      </x:c>
      <x:c r="G260" s="24" t="str">
        <x:v>Large sharks (&gt;=90 cm)</x:v>
      </x:c>
      <x:c r="H260" s="24" t="str">
        <x:v>Sharks &amp; rays</x:v>
      </x:c>
      <x:c r="I260" s="31" t="n">
        <x:v>0.0011554572</x:v>
      </x:c>
      <x:c r="J260" s="31" t="n">
        <x:v>0.0011554572</x:v>
      </x:c>
      <x:c r="K260" s="31" t="n">
        <x:v>0</x:v>
      </x:c>
      <x:c r="L260" s="31" t="n">
        <x:v>0.0011554572</x:v>
      </x:c>
      <x:c r="M260" s="31" t="n">
        <x:v>0</x:v>
      </x:c>
      <x:c r="N260" s="24" t="str">
        <x:v>isurus paucus</x:v>
      </x:c>
      <x:c r="O260" s="32" t="n">
        <x:v>4.51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Isurus paucus</x:v>
      </x:c>
      <x:c r="T260" s="32" t="n">
        <x:f>IF(O260="","",(1/'Metadata'!$B$5)^(O260-1))</x:f>
        <x:v>3235.936569296281</x:v>
      </x:c>
      <x:c r="U260" s="31" t="n">
        <x:f>IF(T260="","",I260*T260)</x:f>
        <x:v>3.7389862077366867</x:v>
      </x:c>
    </x:row>
    <x:row r="261" ht="18" customHeight="1">
      <x:c r="A261" s="24" t="str">
        <x:v>LME_015</x:v>
      </x:c>
      <x:c r="B261" s="24" t="str">
        <x:v>South Brazil Shelf</x:v>
      </x:c>
      <x:c r="C261" s="24" t="str">
        <x:v>LME</x:v>
      </x:c>
      <x:c r="D261" s="30" t="n">
        <x:v>2019</x:v>
      </x:c>
      <x:c r="E261" s="24" t="str">
        <x:v>Uraspis secunda</x:v>
      </x:c>
      <x:c r="F261" s="24" t="str">
        <x:v>Cottonmouth jack</x:v>
      </x:c>
      <x:c r="G261" s="24" t="str">
        <x:v>Medium pelagics (30 - 89 cm)</x:v>
      </x:c>
      <x:c r="H261" s="24" t="str">
        <x:v>Perch-likes</x:v>
      </x:c>
      <x:c r="I261" s="31" t="n">
        <x:v>0.00085145</x:v>
      </x:c>
      <x:c r="J261" s="31" t="n">
        <x:v>0.00085145</x:v>
      </x:c>
      <x:c r="K261" s="31" t="n">
        <x:v>0</x:v>
      </x:c>
      <x:c r="L261" s="31" t="n">
        <x:v>0.00085145</x:v>
      </x:c>
      <x:c r="M261" s="31" t="n">
        <x:v>0</x:v>
      </x:c>
      <x:c r="N261" s="24" t="str">
        <x:v>uraspis secunda</x:v>
      </x:c>
      <x:c r="O261" s="32" t="n">
        <x:v>4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Uraspis secunda</x:v>
      </x:c>
      <x:c r="T261" s="32" t="n">
        <x:f>IF(O261="","",(1/'Metadata'!$B$5)^(O261-1))</x:f>
        <x:v>1000</x:v>
      </x:c>
      <x:c r="U261" s="31" t="n">
        <x:f>IF(T261="","",I261*T261)</x:f>
        <x:v>0.85145</x:v>
      </x:c>
    </x:row>
    <x:row r="262" ht="18" customHeight="1">
      <x:c r="A262" s="24" t="str">
        <x:v>LME_015</x:v>
      </x:c>
      <x:c r="B262" s="24" t="str">
        <x:v>South Brazil Shelf</x:v>
      </x:c>
      <x:c r="C262" s="24" t="str">
        <x:v>LME</x:v>
      </x:c>
      <x:c r="D262" s="30" t="n">
        <x:v>2019</x:v>
      </x:c>
      <x:c r="E262" s="24" t="str">
        <x:v>Sphyrna mokarran</x:v>
      </x:c>
      <x:c r="F262" s="24" t="str">
        <x:v>Great hammerhead</x:v>
      </x:c>
      <x:c r="G262" s="24" t="str">
        <x:v>Large sharks (&gt;=90 cm)</x:v>
      </x:c>
      <x:c r="H262" s="24" t="str">
        <x:v>Sharks &amp; rays</x:v>
      </x:c>
      <x:c r="I262" s="31" t="n">
        <x:v>0.0007212122</x:v>
      </x:c>
      <x:c r="J262" s="31" t="n">
        <x:v>0.0007212122</x:v>
      </x:c>
      <x:c r="K262" s="31" t="n">
        <x:v>0</x:v>
      </x:c>
      <x:c r="L262" s="31" t="n">
        <x:v>0.0007212122</x:v>
      </x:c>
      <x:c r="M262" s="31" t="n">
        <x:v>0</x:v>
      </x:c>
      <x:c r="N262" s="24" t="str">
        <x:v>sphyrna mokarran</x:v>
      </x:c>
      <x:c r="O262" s="32" t="n">
        <x:v>4.32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Sphyrna mokarran</x:v>
      </x:c>
      <x:c r="T262" s="32" t="n">
        <x:f>IF(O262="","",(1/'Metadata'!$B$5)^(O262-1))</x:f>
        <x:v>2089.2961308540407</x:v>
      </x:c>
      <x:c r="U262" s="31" t="n">
        <x:f>IF(T262="","",I262*T262)</x:f>
        <x:v>1.5068258589847305</x:v>
      </x:c>
    </x:row>
    <x:row r="263" ht="18" customHeight="1">
      <x:c r="A263" s="24" t="str">
        <x:v>LME_015</x:v>
      </x:c>
      <x:c r="B263" s="24" t="str">
        <x:v>South Brazil Shelf</x:v>
      </x:c>
      <x:c r="C263" s="24" t="str">
        <x:v>LME</x:v>
      </x:c>
      <x:c r="D263" s="30" t="n">
        <x:v>2019</x:v>
      </x:c>
      <x:c r="E263" s="24" t="str">
        <x:v>Macrouridae</x:v>
      </x:c>
      <x:c r="F263" s="24" t="str">
        <x:v>Grenadiers, rattails</x:v>
      </x:c>
      <x:c r="G263" s="24" t="str">
        <x:v>Medium benthopelagics (30 - 89 cm)</x:v>
      </x:c>
      <x:c r="H263" s="24" t="str">
        <x:v>Cod-likes</x:v>
      </x:c>
      <x:c r="I263" s="31" t="n">
        <x:v>0.0007054016</x:v>
      </x:c>
      <x:c r="J263" s="31" t="n">
        <x:v>0.0007054016</x:v>
      </x:c>
      <x:c r="K263" s="31" t="n">
        <x:v>0</x:v>
      </x:c>
      <x:c r="L263" s="31" t="n">
        <x:v>0.0007054016</x:v>
      </x:c>
      <x:c r="M263" s="31" t="n">
        <x:v>0</x:v>
      </x:c>
      <x:c r="N263" s="24" t="str">
        <x:v>macrouridae</x:v>
      </x:c>
      <x:c r="O263" s="32" t="n">
        <x:v>3.88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Macrouridae</x:v>
      </x:c>
      <x:c r="T263" s="32" t="n">
        <x:f>IF(O263="","",(1/'Metadata'!$B$5)^(O263-1))</x:f>
        <x:v>758.5775750291835</x:v>
      </x:c>
      <x:c r="U263" s="31" t="n">
        <x:f>IF(T263="","",I263*T263)</x:f>
        <x:v>0.5351018351497061</x:v>
      </x:c>
    </x:row>
    <x:row r="264" ht="18" customHeight="1">
      <x:c r="A264" s="24" t="str">
        <x:v>LME_015</x:v>
      </x:c>
      <x:c r="B264" s="24" t="str">
        <x:v>South Brazil Shelf</x:v>
      </x:c>
      <x:c r="C264" s="24" t="str">
        <x:v>LME</x:v>
      </x:c>
      <x:c r="D264" s="30" t="n">
        <x:v>2019</x:v>
      </x:c>
      <x:c r="E264" s="24" t="str">
        <x:v>Tetrapturus pfluegeri</x:v>
      </x:c>
      <x:c r="F264" s="24" t="str">
        <x:v>Longbill spearfish</x:v>
      </x:c>
      <x:c r="G264" s="24" t="str">
        <x:v>Large pelagics (&gt;=90 cm)</x:v>
      </x:c>
      <x:c r="H264" s="24" t="str">
        <x:v>Tuna &amp; billfishes</x:v>
      </x:c>
      <x:c r="I264" s="31" t="n">
        <x:v>0.0006695916</x:v>
      </x:c>
      <x:c r="J264" s="31" t="n">
        <x:v>0.0006695916</x:v>
      </x:c>
      <x:c r="K264" s="31" t="n">
        <x:v>0</x:v>
      </x:c>
      <x:c r="L264" s="31" t="n">
        <x:v>0.0006695916</x:v>
      </x:c>
      <x:c r="M264" s="31" t="n">
        <x:v>0</x:v>
      </x:c>
      <x:c r="N264" s="24" t="str">
        <x:v>tetrapturus pfluegeri</x:v>
      </x:c>
      <x:c r="O264" s="32" t="n">
        <x:v>4.4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Tetrapturus pfluegeri</x:v>
      </x:c>
      <x:c r="T264" s="32" t="n">
        <x:f>IF(O264="","",(1/'Metadata'!$B$5)^(O264-1))</x:f>
        <x:v>2511.886431509582</x:v>
      </x:c>
      <x:c r="U264" s="31" t="n">
        <x:f>IF(T264="","",I264*T264)</x:f>
        <x:v>1.6819380546927913</x:v>
      </x:c>
    </x:row>
    <x:row r="265" ht="18" customHeight="1">
      <x:c r="A265" s="24" t="str">
        <x:v>LME_015</x:v>
      </x:c>
      <x:c r="B265" s="24" t="str">
        <x:v>South Brazil Shelf</x:v>
      </x:c>
      <x:c r="C265" s="24" t="str">
        <x:v>LME</x:v>
      </x:c>
      <x:c r="D265" s="30" t="n">
        <x:v>2019</x:v>
      </x:c>
      <x:c r="E265" s="24" t="str">
        <x:v>Istiophoridae</x:v>
      </x:c>
      <x:c r="F265" s="24" t="str">
        <x:v>Billfishes</x:v>
      </x:c>
      <x:c r="G265" s="24" t="str">
        <x:v>Large pelagics (&gt;=90 cm)</x:v>
      </x:c>
      <x:c r="H265" s="24" t="str">
        <x:v>Tuna &amp; billfishes</x:v>
      </x:c>
      <x:c r="I265" s="31" t="n">
        <x:v>0.0001522267</x:v>
      </x:c>
      <x:c r="J265" s="31" t="n">
        <x:v>0.0001522267</x:v>
      </x:c>
      <x:c r="K265" s="31" t="n">
        <x:v>0</x:v>
      </x:c>
      <x:c r="L265" s="31" t="n">
        <x:v>0.0001522267</x:v>
      </x:c>
      <x:c r="M265" s="31" t="n">
        <x:v>0</x:v>
      </x:c>
      <x:c r="N265" s="24" t="str">
        <x:v>istiophoridae</x:v>
      </x:c>
      <x:c r="O265" s="32" t="n">
        <x:v>4.48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Istiophoridae</x:v>
      </x:c>
      <x:c r="T265" s="32" t="n">
        <x:f>IF(O265="","",(1/'Metadata'!$B$5)^(O265-1))</x:f>
        <x:v>3019.951720402019</x:v>
      </x:c>
      <x:c r="U265" s="31" t="n">
        <x:f>IF(T265="","",I265*T265)</x:f>
        <x:v>0.45971728455612204</x:v>
      </x:c>
    </x:row>
  </x:sheetData>
  <x:conditionalFormatting sqref="R2:R26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5b3b9086a7247f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590.7311473911001</x:v>
      </x:c>
      <x:c r="C2" s="32" t="n">
        <x:v>2.9492088307869455</x:v>
      </x:c>
      <x:c r="D2" s="32" t="n">
        <x:f>IF(C2="","",(1/'Metadata'!$B$5)^(C2-1))</x:f>
        <x:v>88.96287936155008</x:v>
      </x:c>
      <x:c r="E2" s="31" t="n">
        <x:f>IF(B2=0,"",B2*D2)</x:f>
        <x:v>52553.143800464495</x:v>
      </x:c>
    </x:row>
    <x:row r="3" ht="18" customHeight="1">
      <x:c r="A3" s="24" t="str">
        <x:v>Cod-likes</x:v>
      </x:c>
      <x:c r="B3" s="31" t="n">
        <x:v>7446.672923409101</x:v>
      </x:c>
      <x:c r="C3" s="32" t="n">
        <x:v>3.901907363072741</x:v>
      </x:c>
      <x:c r="D3" s="32" t="n">
        <x:f>IF(C3="","",(1/'Metadata'!$B$5)^(C3-1))</x:f>
        <x:v>797.8244896364057</x:v>
      </x:c>
      <x:c r="E3" s="31" t="n">
        <x:f>IF(B3=0,"",B3*D3)</x:f>
        <x:v>5941138.024608107</x:v>
      </x:c>
    </x:row>
    <x:row r="4" ht="18" customHeight="1">
      <x:c r="A4" s="24" t="str">
        <x:v>Crustaceans</x:v>
      </x:c>
      <x:c r="B4" s="31" t="n">
        <x:v>11869.4786314086</x:v>
      </x:c>
      <x:c r="C4" s="32" t="n">
        <x:v>2.79624623441564</x:v>
      </x:c>
      <x:c r="D4" s="32" t="n">
        <x:f>IF(C4="","",(1/'Metadata'!$B$5)^(C4-1))</x:f>
        <x:v>62.55272510010138</x:v>
      </x:c>
      <x:c r="E4" s="31" t="n">
        <x:f>IF(B4=0,"",B4*D4)</x:f>
        <x:v>742468.2339120297</x:v>
      </x:c>
    </x:row>
    <x:row r="5" ht="18" customHeight="1">
      <x:c r="A5" s="24" t="str">
        <x:v>Flatfishes</x:v>
      </x:c>
      <x:c r="B5" s="31" t="n">
        <x:v>999.6871411252</x:v>
      </x:c>
      <x:c r="C5" s="32" t="n">
        <x:v>3.368495957037971</x:v>
      </x:c>
      <x:c r="D5" s="32" t="n">
        <x:f>IF(C5="","",(1/'Metadata'!$B$5)^(C5-1))</x:f>
        <x:v>233.61243545191186</x:v>
      </x:c>
      <x:c r="E5" s="31" t="n">
        <x:f>IF(B5=0,"",B5*D5)</x:f>
        <x:v>233539.3477282171</x:v>
      </x:c>
    </x:row>
    <x:row r="6" ht="18" customHeight="1">
      <x:c r="A6" s="24" t="str">
        <x:v>Herring-likes</x:v>
      </x:c>
      <x:c r="B6" s="31" t="n">
        <x:v>28634.4769196915</x:v>
      </x:c>
      <x:c r="C6" s="32" t="n">
        <x:v>3.1946357043076583</x:v>
      </x:c>
      <x:c r="D6" s="32" t="n">
        <x:f>IF(C6="","",(1/'Metadata'!$B$5)^(C6-1))</x:f>
        <x:v>156.54373961536058</x:v>
      </x:c>
      <x:c r="E6" s="31" t="n">
        <x:f>IF(B6=0,"",B6*D6)</x:f>
        <x:v>4482548.098938239</x:v>
      </x:c>
    </x:row>
    <x:row r="7" ht="18" customHeight="1">
      <x:c r="A7" s="24" t="str">
        <x:v>Molluscs</x:v>
      </x:c>
      <x:c r="B7" s="31" t="n">
        <x:v>3973.2032768271997</x:v>
      </x:c>
      <x:c r="C7" s="32" t="n">
        <x:v>2.0784048706608114</x:v>
      </x:c>
      <x:c r="D7" s="32" t="n">
        <x:f>IF(C7="","",(1/'Metadata'!$B$5)^(C7-1))</x:f>
        <x:v>11.978567118464811</x:v>
      </x:c>
      <x:c r="E7" s="31" t="n">
        <x:f>IF(B7=0,"",B7*D7)</x:f>
        <x:v>47593.28212677893</x:v>
      </x:c>
    </x:row>
    <x:row r="8" ht="18" customHeight="1">
      <x:c r="A8" s="24" t="str">
        <x:v>Other fishes &amp; inverts</x:v>
      </x:c>
      <x:c r="B8" s="31" t="n">
        <x:v>26800.5455220326</x:v>
      </x:c>
      <x:c r="C8" s="32" t="n">
        <x:v>3.4551262173780435</x:v>
      </x:c>
      <x:c r="D8" s="32" t="n">
        <x:f>IF(C8="","",(1/'Metadata'!$B$5)^(C8-1))</x:f>
        <x:v>285.1846968676009</x:v>
      </x:c>
      <x:c r="E8" s="31" t="n">
        <x:f>IF(B8=0,"",B8*D8)</x:f>
        <x:v>7643105.450587206</x:v>
      </x:c>
    </x:row>
    <x:row r="9" ht="18" customHeight="1">
      <x:c r="A9" s="24" t="str">
        <x:v>Perch-likes</x:v>
      </x:c>
      <x:c r="B9" s="31" t="n">
        <x:v>150297.70461451498</x:v>
      </x:c>
      <x:c r="C9" s="32" t="n">
        <x:v>3.6874578076365006</x:v>
      </x:c>
      <x:c r="D9" s="32" t="n">
        <x:f>IF(C9="","",(1/'Metadata'!$B$5)^(C9-1))</x:f>
        <x:v>486.92021783484665</x:v>
      </x:c>
      <x:c r="E9" s="31" t="n">
        <x:f>IF(B9=0,"",B9*D9)</x:f>
        <x:v>73182991.07097708</x:v>
      </x:c>
    </x:row>
    <x:row r="10" ht="18" customHeight="1">
      <x:c r="A10" s="24" t="str">
        <x:v>Scorpionfishes</x:v>
      </x:c>
      <x:c r="B10" s="31" t="n">
        <x:v>0.8331538576</x:v>
      </x:c>
      <x:c r="C10" s="32" t="n">
        <x:v>3.78</x:v>
      </x:c>
      <x:c r="D10" s="32" t="n">
        <x:f>IF(C10="","",(1/'Metadata'!$B$5)^(C10-1))</x:f>
        <x:v>602.5595860743575</x:v>
      </x:c>
      <x:c r="E10" s="31" t="n">
        <x:f>IF(B10=0,"",B10*D10)</x:f>
        <x:v>502.0248435717102</x:v>
      </x:c>
    </x:row>
    <x:row r="11" ht="18" customHeight="1">
      <x:c r="A11" s="24" t="str">
        <x:v>Sharks &amp; rays</x:v>
      </x:c>
      <x:c r="B11" s="31" t="n">
        <x:v>41069.883315392195</x:v>
      </x:c>
      <x:c r="C11" s="32" t="n">
        <x:v>3.8453709373209617</x:v>
      </x:c>
      <x:c r="D11" s="32" t="n">
        <x:f>IF(C11="","",(1/'Metadata'!$B$5)^(C11-1))</x:f>
        <x:v>700.4399967149654</x:v>
      </x:c>
      <x:c r="E11" s="31" t="n">
        <x:f>IF(B11=0,"",B11*D11)</x:f>
        <x:v>28766988.934517324</x:v>
      </x:c>
    </x:row>
    <x:row r="12" ht="18" customHeight="1">
      <x:c r="A12" s="24" t="str">
        <x:v>Tuna &amp; billfishes</x:v>
      </x:c>
      <x:c r="B12" s="31" t="n">
        <x:v>20748.883331556008</x:v>
      </x:c>
      <x:c r="C12" s="32" t="n">
        <x:v>4.435186635225594</x:v>
      </x:c>
      <x:c r="D12" s="32" t="n">
        <x:f>IF(C12="","",(1/'Metadata'!$B$5)^(C12-1))</x:f>
        <x:v>2723.8716226851193</x:v>
      </x:c>
      <x:c r="E12" s="31" t="n">
        <x:f>IF(B12=0,"",B12*D12)</x:f>
        <x:v>56517294.50922969</x:v>
      </x:c>
    </x:row>
  </x:sheetData>
  <x:pageMargins left="0.7" right="0.7" top="0.75" bottom="0.75" header="0.3" footer="0.3"/>
  <x:tableParts count="1">
    <x:tablePart xmlns:r="http://schemas.openxmlformats.org/officeDocument/2006/relationships" r:id="Re8b4828fb7af4d2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1128.9740678458002</x:v>
      </x:c>
      <x:c r="C2" s="32" t="n">
        <x:v>3.793678926867843</x:v>
      </x:c>
      <x:c r="D2" s="32" t="n">
        <x:f>IF(C2="","",(1/'Metadata'!$B$5)^(C2-1))</x:f>
        <x:v>621.8403897044726</x:v>
      </x:c>
      <x:c r="E2" s="31" t="n">
        <x:f>IF(B2=0,"",B2*D2)</x:f>
        <x:v>702041.6743154761</x:v>
      </x:c>
    </x:row>
    <x:row r="3" ht="18" customHeight="1">
      <x:c r="A3" s="24" t="str">
        <x:v>Large bathydemersals (&gt;=90 cm)</x:v>
      </x:c>
      <x:c r="B3" s="31" t="n">
        <x:v>608.7961961883999</x:v>
      </x:c>
      <x:c r="C3" s="32" t="n">
        <x:v>4.195511132253915</x:v>
      </x:c>
      <x:c r="D3" s="32" t="n">
        <x:f>IF(C3="","",(1/'Metadata'!$B$5)^(C3-1))</x:f>
        <x:v>1568.5961049291946</x:v>
      </x:c>
      <x:c r="E3" s="31" t="n">
        <x:f>IF(B3=0,"",B3*D3)</x:f>
        <x:v>954955.3420368339</x:v>
      </x:c>
    </x:row>
    <x:row r="4" ht="18" customHeight="1">
      <x:c r="A4" s="24" t="str">
        <x:v>Large bathypelagics (&gt;=90 cm)</x:v>
      </x:c>
      <x:c r="B4" s="31" t="n">
        <x:v>42.137356414900005</x:v>
      </x:c>
      <x:c r="C4" s="32" t="n">
        <x:v>4.339991116209467</x:v>
      </x:c>
      <x:c r="D4" s="32" t="n">
        <x:f>IF(C4="","",(1/'Metadata'!$B$5)^(C4-1))</x:f>
        <x:v>2187.7168722475867</x:v>
      </x:c>
      <x:c r="E4" s="31" t="n">
        <x:f>IF(B4=0,"",B4*D4)</x:f>
        <x:v>92184.60558078683</x:v>
      </x:c>
    </x:row>
    <x:row r="5" ht="18" customHeight="1">
      <x:c r="A5" s="24" t="str">
        <x:v>Large benthopelagics (&gt;=90 cm)</x:v>
      </x:c>
      <x:c r="B5" s="31" t="n">
        <x:v>6468.236210026399</x:v>
      </x:c>
      <x:c r="C5" s="32" t="n">
        <x:v>4.410887575217163</x:v>
      </x:c>
      <x:c r="D5" s="32" t="n">
        <x:f>IF(C5="","",(1/'Metadata'!$B$5)^(C5-1))</x:f>
        <x:v>2575.654317168352</x:v>
      </x:c>
      <x:c r="E5" s="31" t="n">
        <x:f>IF(B5=0,"",B5*D5)</x:f>
        <x:v>16659940.518819153</x:v>
      </x:c>
    </x:row>
    <x:row r="6" ht="18" customHeight="1">
      <x:c r="A6" s="24" t="str">
        <x:v>Large demersals (&gt;=90 cm)</x:v>
      </x:c>
      <x:c r="B6" s="31" t="n">
        <x:v>6006.0747995453</x:v>
      </x:c>
      <x:c r="C6" s="32" t="n">
        <x:v>4.041239092272968</x:v>
      </x:c>
      <x:c r="D6" s="32" t="n">
        <x:f>IF(C6="","",(1/'Metadata'!$B$5)^(C6-1))</x:f>
        <x:v>1099.611042026845</x:v>
      </x:c>
      <x:c r="E6" s="31" t="n">
        <x:f>IF(B6=0,"",B6*D6)</x:f>
        <x:v>6604346.168819183</x:v>
      </x:c>
    </x:row>
    <x:row r="7" ht="18" customHeight="1">
      <x:c r="A7" s="24" t="str">
        <x:v>Large pelagics (&gt;=90 cm)</x:v>
      </x:c>
      <x:c r="B7" s="31" t="n">
        <x:v>23408.2091660222</x:v>
      </x:c>
      <x:c r="C7" s="32" t="n">
        <x:v>4.391522203883495</x:v>
      </x:c>
      <x:c r="D7" s="32" t="n">
        <x:f>IF(C7="","",(1/'Metadata'!$B$5)^(C7-1))</x:f>
        <x:v>2463.3277759273474</x:v>
      </x:c>
      <x:c r="E7" s="31" t="n">
        <x:f>IF(B7=0,"",B7*D7)</x:f>
        <x:v>57662091.82337961</x:v>
      </x:c>
    </x:row>
    <x:row r="8" ht="18" customHeight="1">
      <x:c r="A8" s="24" t="str">
        <x:v>Large rays (&gt;=90 cm)</x:v>
      </x:c>
      <x:c r="B8" s="31" t="n">
        <x:v>9089.333247651499</x:v>
      </x:c>
      <x:c r="C8" s="32" t="n">
        <x:v>3.714920149174662</x:v>
      </x:c>
      <x:c r="D8" s="32" t="n">
        <x:f>IF(C8="","",(1/'Metadata'!$B$5)^(C8-1))</x:f>
        <x:v>518.70465940001</x:v>
      </x:c>
      <x:c r="E8" s="31" t="n">
        <x:f>IF(B8=0,"",B8*D8)</x:f>
        <x:v>4714679.506396257</x:v>
      </x:c>
    </x:row>
    <x:row r="9" ht="18" customHeight="1">
      <x:c r="A9" s="24" t="str">
        <x:v>Large reef assoc. fish (&gt;=90 cm)</x:v>
      </x:c>
      <x:c r="B9" s="31" t="n">
        <x:v>1182.8073413186003</x:v>
      </x:c>
      <x:c r="C9" s="32" t="n">
        <x:v>3.560210243995016</x:v>
      </x:c>
      <x:c r="D9" s="32" t="n">
        <x:f>IF(C9="","",(1/'Metadata'!$B$5)^(C9-1))</x:f>
        <x:v>363.25386511069297</x:v>
      </x:c>
      <x:c r="E9" s="31" t="n">
        <x:f>IF(B9=0,"",B9*D9)</x:f>
        <x:v>429659.3384152842</x:v>
      </x:c>
    </x:row>
    <x:row r="10" ht="18" customHeight="1">
      <x:c r="A10" s="24" t="str">
        <x:v>Large sharks (&gt;=90 cm)</x:v>
      </x:c>
      <x:c r="B10" s="31" t="n">
        <x:v>21692.304022246804</x:v>
      </x:c>
      <x:c r="C10" s="32" t="n">
        <x:v>4.021397854759408</x:v>
      </x:c>
      <x:c r="D10" s="32" t="n">
        <x:f>IF(C10="","",(1/'Metadata'!$B$5)^(C10-1))</x:f>
        <x:v>1050.5043491715999</x:v>
      </x:c>
      <x:c r="E10" s="31" t="n">
        <x:f>IF(B10=0,"",B10*D10)</x:f>
        <x:v>22787859.718922857</x:v>
      </x:c>
    </x:row>
    <x:row r="11" ht="18" customHeight="1">
      <x:c r="A11" s="24" t="str">
        <x:v>Lobsters, crabs</x:v>
      </x:c>
      <x:c r="B11" s="31" t="n">
        <x:v>1015.2373884796</x:v>
      </x:c>
      <x:c r="C11" s="32" t="n">
        <x:v>3.5564888179999388</x:v>
      </x:c>
      <x:c r="D11" s="32" t="n">
        <x:f>IF(C11="","",(1/'Metadata'!$B$5)^(C11-1))</x:f>
        <x:v>360.1544771955502</x:v>
      </x:c>
      <x:c r="E11" s="31" t="n">
        <x:f>IF(B11=0,"",B11*D11)</x:f>
        <x:v>365642.29087724607</x:v>
      </x:c>
    </x:row>
    <x:row r="12" ht="18" customHeight="1">
      <x:c r="A12" s="24" t="str">
        <x:v>Medium bathydemersals (30 - 89 cm)</x:v>
      </x:c>
      <x:c r="B12" s="31" t="n">
        <x:v>884.0317484727</x:v>
      </x:c>
      <x:c r="C12" s="32" t="n">
        <x:v>4.488501982637864</x:v>
      </x:c>
      <x:c r="D12" s="32" t="n">
        <x:f>IF(C12="","",(1/'Metadata'!$B$5)^(C12-1))</x:f>
        <x:v>3079.654400685135</x:v>
      </x:c>
      <x:c r="E12" s="31" t="n">
        <x:f>IF(B12=0,"",B12*D12)</x:f>
        <x:v>2722512.2645293246</x:v>
      </x:c>
    </x:row>
    <x:row r="13" ht="18" customHeight="1">
      <x:c r="A13" s="24" t="str">
        <x:v>Medium benthopelagics (30 - 89 cm)</x:v>
      </x:c>
      <x:c r="B13" s="31" t="n">
        <x:v>3223.4317297621</x:v>
      </x:c>
      <x:c r="C13" s="32" t="n">
        <x:v>4.10872282449673</x:v>
      </x:c>
      <x:c r="D13" s="32" t="n">
        <x:f>IF(C13="","",(1/'Metadata'!$B$5)^(C13-1))</x:f>
        <x:v>1284.4666257666345</x:v>
      </x:c>
      <x:c r="E13" s="31" t="n">
        <x:f>IF(B13=0,"",B13*D13)</x:f>
        <x:v>4140390.4773166305</x:v>
      </x:c>
    </x:row>
    <x:row r="14" ht="18" customHeight="1">
      <x:c r="A14" s="24" t="str">
        <x:v>Medium demersals (30 - 89 cm)</x:v>
      </x:c>
      <x:c r="B14" s="31" t="n">
        <x:v>152028.97673790538</x:v>
      </x:c>
      <x:c r="C14" s="32" t="n">
        <x:v>3.5893890072029437</x:v>
      </x:c>
      <x:c r="D14" s="32" t="n">
        <x:f>IF(C14="","",(1/'Metadata'!$B$5)^(C14-1))</x:f>
        <x:v>388.4981966417494</x:v>
      </x:c>
      <x:c r="E14" s="31" t="n">
        <x:f>IF(B14=0,"",B14*D14)</x:f>
        <x:v>59062983.299966715</x:v>
      </x:c>
    </x:row>
    <x:row r="15" ht="18" customHeight="1">
      <x:c r="A15" s="24" t="str">
        <x:v>Medium pelagics (30 - 89 cm)</x:v>
      </x:c>
      <x:c r="B15" s="31" t="n">
        <x:v>4261.2009268325</x:v>
      </x:c>
      <x:c r="C15" s="32" t="n">
        <x:v>3.9251654245522567</x:v>
      </x:c>
      <x:c r="D15" s="32" t="n">
        <x:f>IF(C15="","",(1/'Metadata'!$B$5)^(C15-1))</x:f>
        <x:v>841.7156935570282</x:v>
      </x:c>
      <x:c r="E15" s="31" t="n">
        <x:f>IF(B15=0,"",B15*D15)</x:f>
        <x:v>3586719.6935146693</x:v>
      </x:c>
    </x:row>
    <x:row r="16" ht="18" customHeight="1">
      <x:c r="A16" s="24" t="str">
        <x:v>Medium reef assoc. fish (30 - 89 cm)</x:v>
      </x:c>
      <x:c r="B16" s="31" t="n">
        <x:v>1547.1141481054</x:v>
      </x:c>
      <x:c r="C16" s="32" t="n">
        <x:v>3.7742523048833774</x:v>
      </x:c>
      <x:c r="D16" s="32" t="n">
        <x:f>IF(C16="","",(1/'Metadata'!$B$5)^(C16-1))</x:f>
        <x:v>594.6375150116486</x:v>
      </x:c>
      <x:c r="E16" s="31" t="n">
        <x:f>IF(B16=0,"",B16*D16)</x:f>
        <x:v>919972.1124687587</x:v>
      </x:c>
    </x:row>
    <x:row r="17" ht="18" customHeight="1">
      <x:c r="A17" s="24" t="str">
        <x:v>Other demersal invertebrates</x:v>
      </x:c>
      <x:c r="B17" s="31" t="n">
        <x:v>3973.2032768271997</x:v>
      </x:c>
      <x:c r="C17" s="32" t="n">
        <x:v>2.0784048706608114</x:v>
      </x:c>
      <x:c r="D17" s="32" t="n">
        <x:f>IF(C17="","",(1/'Metadata'!$B$5)^(C17-1))</x:f>
        <x:v>11.978567118464811</x:v>
      </x:c>
      <x:c r="E17" s="31" t="n">
        <x:f>IF(B17=0,"",B17*D17)</x:f>
        <x:v>47593.28212677893</x:v>
      </x:c>
    </x:row>
    <x:row r="18" ht="18" customHeight="1">
      <x:c r="A18" s="24" t="str">
        <x:v>Shrimps</x:v>
      </x:c>
      <x:c r="B18" s="31" t="n">
        <x:v>10854.241242929</x:v>
      </x:c>
      <x:c r="C18" s="32" t="n">
        <x:v>2.725137929570111</x:v>
      </x:c>
      <x:c r="D18" s="32" t="n">
        <x:f>IF(C18="","",(1/'Metadata'!$B$5)^(C18-1))</x:f>
        <x:v>53.10530770258588</x:v>
      </x:c>
      <x:c r="E18" s="31" t="n">
        <x:f>IF(B18=0,"",B18*D18)</x:f>
        <x:v>576417.8210838428</x:v>
      </x:c>
    </x:row>
    <x:row r="19" ht="18" customHeight="1">
      <x:c r="A19" s="24" t="str">
        <x:v>Small benthopelagics (&lt;30 cm)</x:v>
      </x:c>
      <x:c r="B19" s="31" t="n">
        <x:v>608.0292341077</x:v>
      </x:c>
      <x:c r="C19" s="32" t="n">
        <x:v>3.179649620130363</x:v>
      </x:c>
      <x:c r="D19" s="32" t="n">
        <x:f>IF(C19="","",(1/'Metadata'!$B$5)^(C19-1))</x:f>
        <x:v>151.23406307532352</x:v>
      </x:c>
      <x:c r="E19" s="31" t="n">
        <x:f>IF(B19=0,"",B19*D19)</x:f>
        <x:v>91954.73154268455</x:v>
      </x:c>
    </x:row>
    <x:row r="20" ht="18" customHeight="1">
      <x:c r="A20" s="24" t="str">
        <x:v>Small demersals (&lt;30 cm)</x:v>
      </x:c>
      <x:c r="B20" s="31" t="n">
        <x:v>4492.856275167201</x:v>
      </x:c>
      <x:c r="C20" s="32" t="n">
        <x:v>3.504429365530371</x:v>
      </x:c>
      <x:c r="D20" s="32" t="n">
        <x:f>IF(C20="","",(1/'Metadata'!$B$5)^(C20-1))</x:f>
        <x:v>319.46947314053085</x:v>
      </x:c>
      <x:c r="E20" s="31" t="n">
        <x:f>IF(B20=0,"",B20*D20)</x:f>
        <x:v>1435330.4271237934</x:v>
      </x:c>
    </x:row>
    <x:row r="21" ht="18" customHeight="1">
      <x:c r="A21" s="24" t="str">
        <x:v>Small pelagics (&lt;30 cm)</x:v>
      </x:c>
      <x:c r="B21" s="31" t="n">
        <x:v>28576.717517410503</x:v>
      </x:c>
      <x:c r="C21" s="32" t="n">
        <x:v>3.1828240086216777</x:v>
      </x:c>
      <x:c r="D21" s="32" t="n">
        <x:f>IF(C21="","",(1/'Metadata'!$B$5)^(C21-1))</x:f>
        <x:v>152.34352792099332</x:v>
      </x:c>
      <x:c r="E21" s="31" t="n">
        <x:f>IF(B21=0,"",B21*D21)</x:f>
        <x:v>4353477.963003966</x:v>
      </x:c>
    </x:row>
    <x:row r="22" ht="18" customHeight="1">
      <x:c r="A22" s="24" t="str">
        <x:v>Small reef assoc. fish (&lt;30 cm)</x:v>
      </x:c>
      <x:c r="B22" s="31" t="n">
        <x:v>52.254157327799994</x:v>
      </x:c>
      <x:c r="C22" s="32" t="n">
        <x:v>3.5682788921369872</x:v>
      </x:c>
      <x:c r="D22" s="32" t="n">
        <x:f>IF(C22="","",(1/'Metadata'!$B$5)^(C22-1))</x:f>
        <x:v>370.06574967884643</x:v>
      </x:c>
      <x:c r="E22" s="31" t="n">
        <x:f>IF(B22=0,"",B22*D22)</x:f>
        <x:v>19337.473905348692</x:v>
      </x:c>
    </x:row>
    <x:row r="23" ht="18" customHeight="1">
      <x:c r="A23" s="24" t="str">
        <x:v>Small to medium flatfishes (&lt;90 cm)</x:v>
      </x:c>
      <x:c r="B23" s="31" t="n">
        <x:v>999.6871411252</x:v>
      </x:c>
      <x:c r="C23" s="32" t="n">
        <x:v>3.368495957037971</x:v>
      </x:c>
      <x:c r="D23" s="32" t="n">
        <x:f>IF(C23="","",(1/'Metadata'!$B$5)^(C23-1))</x:f>
        <x:v>233.61243545191186</x:v>
      </x:c>
      <x:c r="E23" s="31" t="n">
        <x:f>IF(B23=0,"",B23*D23)</x:f>
        <x:v>233539.3477282171</x:v>
      </x:c>
    </x:row>
    <x:row r="24" ht="18" customHeight="1">
      <x:c r="A24" s="24" t="str">
        <x:v>Small to medium rays (&lt;90 cm)</x:v>
      </x:c>
      <x:c r="B24" s="31" t="n">
        <x:v>62.5574697396</x:v>
      </x:c>
      <x:c r="C24" s="32" t="n">
        <x:v>3.5036843723176054</x:v>
      </x:c>
      <x:c r="D24" s="32" t="n">
        <x:f>IF(C24="","",(1/'Metadata'!$B$5)^(C24-1))</x:f>
        <x:v>318.9219216985541</x:v>
      </x:c>
      <x:c r="E24" s="31" t="n">
        <x:f>IF(B24=0,"",B24*D24)</x:f>
        <x:v>19950.94846595238</x:v>
      </x:c>
    </x:row>
    <x:row r="25" ht="18" customHeight="1">
      <x:c r="A25" s="24" t="str">
        <x:v>Small to medium sharks (&lt;90 cm)</x:v>
      </x:c>
      <x:c r="B25" s="31" t="n">
        <x:v>10225.6885757543</x:v>
      </x:c>
      <x:c r="C25" s="32" t="n">
        <x:v>3.5899999999999994</x:v>
      </x:c>
      <x:c r="D25" s="32" t="n">
        <x:f>IF(C25="","",(1/'Metadata'!$B$5)^(C25-1))</x:f>
        <x:v>389.04514499428007</x:v>
      </x:c>
      <x:c r="E25" s="31" t="n">
        <x:f>IF(B25=0,"",B25*D25)</x:f>
        <x:v>3978254.494620685</x:v>
      </x:c>
    </x:row>
  </x:sheetData>
  <x:pageMargins left="0.7" right="0.7" top="0.75" bottom="0.75" header="0.3" footer="0.3"/>
  <x:tableParts count="1">
    <x:tablePart xmlns:r="http://schemas.openxmlformats.org/officeDocument/2006/relationships" r:id="R3463074cb6ff40f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LME_015</x:v>
      </x:c>
      <x:c r="B2" s="24" t="str">
        <x:v>raw_filtered_tonnes</x:v>
      </x:c>
      <x:c r="C2" s="24" t="n">
        <x:v>292432.0999772061</x:v>
      </x:c>
      <x:c r="D2" s="24" t="str">
        <x:v>tonnes</x:v>
      </x:c>
    </x:row>
    <x:row r="3" ht="18" customHeight="1">
      <x:c r="A3" s="24" t="str">
        <x:v>LME_015</x:v>
      </x:c>
      <x:c r="B3" s="24" t="str">
        <x:v>species_catch_tonnes</x:v>
      </x:c>
      <x:c r="C3" s="24" t="n">
        <x:v>292432.0999772061</x:v>
      </x:c>
      <x:c r="D3" s="24" t="str">
        <x:v>tonnes</x:v>
      </x:c>
    </x:row>
    <x:row r="4" ht="18" customHeight="1">
      <x:c r="A4" s="24" t="str">
        <x:v>LME_015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LME_015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LME_015</x:v>
      </x:c>
      <x:c r="B6" s="24" t="str">
        <x:v>matched_catch_tonnes</x:v>
      </x:c>
      <x:c r="C6" s="24" t="n">
        <x:v>292432.0999772061</x:v>
      </x:c>
      <x:c r="D6" s="24" t="str">
        <x:v>tonnes</x:v>
      </x:c>
    </x:row>
    <x:row r="7" ht="18" customHeight="1">
      <x:c r="A7" s="24" t="str">
        <x:v>LME_015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LME_015</x:v>
      </x:c>
      <x:c r="B8" s="24" t="str">
        <x:v>taxa_count</x:v>
      </x:c>
      <x:c r="C8" s="24" t="n">
        <x:v>264</x:v>
      </x:c>
      <x:c r="D8" s="24" t="str">
        <x:v>count</x:v>
      </x:c>
    </x:row>
    <x:row r="9" ht="18" customHeight="1">
      <x:c r="A9" s="24" t="str">
        <x:v>LME_015</x:v>
      </x:c>
      <x:c r="B9" s="24" t="str">
        <x:v>matched_taxa_count</x:v>
      </x:c>
      <x:c r="C9" s="24" t="n">
        <x:v>264</x:v>
      </x:c>
      <x:c r="D9" s="24" t="str">
        <x:v>count</x:v>
      </x:c>
    </x:row>
    <x:row r="10" ht="18" customHeight="1">
      <x:c r="A10" s="24" t="str">
        <x:v>LME_015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LME_015</x:v>
      </x:c>
      <x:c r="B11" s="24" t="str">
        <x:v>species_ppr</x:v>
      </x:c>
      <x:c r="C11" s="24" t="n">
        <x:v>226590038.89243433</x:v>
      </x:c>
      <x:c r="D11" s="24" t="str">
        <x:v>tonnes_primary_production_equivalent</x:v>
      </x:c>
    </x:row>
    <x:row r="12" ht="18" customHeight="1">
      <x:c r="A12" s="24" t="str">
        <x:v>LME_015</x:v>
      </x:c>
      <x:c r="B12" s="24" t="str">
        <x:v>commercial_ppr</x:v>
      </x:c>
      <x:c r="C12" s="24" t="n">
        <x:v>177610722.1212687</x:v>
      </x:c>
      <x:c r="D12" s="24" t="str">
        <x:v>tonnes_primary_production_equivalent</x:v>
      </x:c>
    </x:row>
    <x:row r="13" ht="18" customHeight="1">
      <x:c r="A13" s="24" t="str">
        <x:v>LME_015</x:v>
      </x:c>
      <x:c r="B13" s="24" t="str">
        <x:v>functional_ppr</x:v>
      </x:c>
      <x:c r="C13" s="24" t="n">
        <x:v>192161835.32496005</x:v>
      </x:c>
      <x:c r="D13" s="24" t="str">
        <x:v>tonnes_primary_production_equivalent</x:v>
      </x:c>
    </x:row>
    <x:row r="14" ht="18" customHeight="1">
      <x:c r="A14" s="24" t="str">
        <x:v>LME_015</x:v>
      </x:c>
      <x:c r="B14" s="24" t="str">
        <x:v>commercial_ppr_difference</x:v>
      </x:c>
      <x:c r="C14" s="24" t="n">
        <x:v>-48979316.77116564</x:v>
      </x:c>
      <x:c r="D14" s="24" t="str">
        <x:v>tonnes_primary_production_equivalent</x:v>
      </x:c>
    </x:row>
    <x:row r="15" ht="18" customHeight="1">
      <x:c r="A15" s="24" t="str">
        <x:v>LME_015</x:v>
      </x:c>
      <x:c r="B15" s="24" t="str">
        <x:v>functional_ppr_difference</x:v>
      </x:c>
      <x:c r="C15" s="24" t="n">
        <x:v>-34428203.567474276</x:v>
      </x:c>
      <x:c r="D15" s="24" t="str">
        <x:v>tonnes_primary_production_equivalent</x:v>
      </x:c>
    </x:row>
    <x:row r="16" ht="18" customHeight="1">
      <x:c r="A16" s="24" t="str">
        <x:v>LME_015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LME_015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4b003e34c1741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LME_015 - South Brazil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LME_015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raw_data/SAU_downloads/LME_015-catch.zip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