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957346eea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96b807412a4636"/>
    <x:sheet xmlns:r="http://schemas.openxmlformats.org/officeDocument/2006/relationships" name="Validation" sheetId="2" r:id="R816f9c32436a4e38"/>
    <x:sheet xmlns:r="http://schemas.openxmlformats.org/officeDocument/2006/relationships" name="TL Coverage" sheetId="3" r:id="Ra8304cf2dd114b0c"/>
    <x:sheet xmlns:r="http://schemas.openxmlformats.org/officeDocument/2006/relationships" name="Ingestion Audit" sheetId="4" r:id="R491844c11eaf4799"/>
    <x:sheet xmlns:r="http://schemas.openxmlformats.org/officeDocument/2006/relationships" name="Configuration" sheetId="5" r:id="R335ec7ce61604698"/>
    <x:sheet xmlns:r="http://schemas.openxmlformats.org/officeDocument/2006/relationships" name="Sources" sheetId="6" r:id="R33d7a4c4e20a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"/>
    <x:numFmt numFmtId="202" formatCode="#,##0.00"/>
    <x:numFmt numFmtId="203" formatCode="0.0000"/>
    <x:numFmt numFmtId="204" formatCode="0.00%"/>
    <x:numFmt numFmtId="205" formatCode="#,##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a24c47fda4c47" /><Relationship Type="http://schemas.openxmlformats.org/officeDocument/2006/relationships/theme" Target="/xl/theme/theme1.xml" Id="R393a556dc562458b" /><Relationship Type="http://schemas.microsoft.com/office/2022/11/relationships/FeaturePropertyBag" Target="/xl/featurePropertyBag/featurePropertyBag.xml" Id="R829983b1ce0c4d98" /><Relationship Type="http://schemas.openxmlformats.org/officeDocument/2006/relationships/sharedStrings" Target="/xl/sharedStrings.xml" Id="R60b242d5da5a4aeb" /><Relationship Type="http://schemas.openxmlformats.org/officeDocument/2006/relationships/worksheet" Target="/xl/worksheets/sheet1.xml" Id="Rae96b807412a4636" /><Relationship Type="http://schemas.openxmlformats.org/officeDocument/2006/relationships/worksheet" Target="/xl/worksheets/sheet2.xml" Id="R816f9c32436a4e38" /><Relationship Type="http://schemas.openxmlformats.org/officeDocument/2006/relationships/worksheet" Target="/xl/worksheets/sheet3.xml" Id="Ra8304cf2dd114b0c" /><Relationship Type="http://schemas.openxmlformats.org/officeDocument/2006/relationships/worksheet" Target="/xl/worksheets/sheet4.xml" Id="R491844c11eaf4799" /><Relationship Type="http://schemas.openxmlformats.org/officeDocument/2006/relationships/worksheet" Target="/xl/worksheets/sheet5.xml" Id="R335ec7ce61604698" /><Relationship Type="http://schemas.openxmlformats.org/officeDocument/2006/relationships/worksheet" Target="/xl/worksheets/sheet6.xml" Id="R33d7a4c4e20a4d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2e45b23b5141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25 global PPR ranking (tonnes primary-production equivalent)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Species PPR</c:v>
          </c:tx>
          <c:cat>
            <c:strRef>
              <c:f>'Summary'!$S$25:$S$49</c:f>
              <c:strCache>
                <c:ptCount val="0"/>
              </c:strCache>
            </c:strRef>
          </c:cat>
          <c:val>
            <c:numRef>
              <c:f>'Summary'!$T$25:$T$49</c:f>
              <c:numCache>
                <c:formatCode>0.00E+00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E+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2e45b23b51417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ilotSummaryTable" displayName="PilotSummaryTable" ref="A1:O85" headerRowCount="1" totalsRowCount="0" totalsRowShown="0">
  <x:autoFilter ref="A1:O85"/>
  <x:tableColumns count="15">
    <x:tableColumn id="1" name="unit_id"/>
    <x:tableColumn id="2" name="region_name"/>
    <x:tableColumn id="3" name="region_type"/>
    <x:tableColumn id="4" name="year"/>
    <x:tableColumn id="5" name="total_catch_tonnes"/>
    <x:tableColumn id="6" name="matched_catch_tonnes"/>
    <x:tableColumn id="7" name="missing_tl_catch_tonnes"/>
    <x:tableColumn id="8" name="catch_tl_coverage_fraction"/>
    <x:tableColumn id="9" name="taxa_count"/>
    <x:tableColumn id="10" name="matched_taxa_count"/>
    <x:tableColumn id="11" name="ppr_species"/>
    <x:tableColumn id="12" name="ppr_commercial"/>
    <x:tableColumn id="13" name="ppr_functional"/>
    <x:tableColumn id="14" name="fraction_global_ppr"/>
    <x:tableColumn id="15" name="rank_global_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ValidationTable" displayName="PilotValidationTable" ref="A1:D1345" headerRowCount="1" totalsRowCount="0" totalsRowShown="0">
  <x:autoFilter ref="A1:D1345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TLCoverageTable" displayName="PilotTLCoverageTable" ref="A1:J165" headerRowCount="1" totalsRowCount="0" totalsRowShown="0">
  <x:autoFilter ref="A1:J165"/>
  <x:tableColumns count="10">
    <x:tableColumn id="1" name="unit_id"/>
    <x:tableColumn id="2" name="match_method"/>
    <x:tableColumn id="3" name="tl_source"/>
    <x:tableColumn id="4" name="match_confidence"/>
    <x:tableColumn id="5" name="taxa_count"/>
    <x:tableColumn id="6" name="catch_tonnes"/>
    <x:tableColumn id="7" name="unit_catch_tonnes"/>
    <x:tableColumn id="8" name="unit_taxa"/>
    <x:tableColumn id="9" name="taxa_fraction"/>
    <x:tableColumn id="10" name="catch_fr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IngestionTable" displayName="PilotIngestionTable" ref="A1:K85" headerRowCount="1" totalsRowCount="0" totalsRowShown="0">
  <x:autoFilter ref="A1:K85"/>
  <x:tableColumns count="11">
    <x:tableColumn id="1" name="unit_id"/>
    <x:tableColumn id="2" name="area_name"/>
    <x:tableColumn id="3" name="area_type"/>
    <x:tableColumn id="4" name="year"/>
    <x:tableColumn id="5" name="raw_rows_selected"/>
    <x:tableColumn id="6" name="taxon_rows_standardized"/>
    <x:tableColumn id="7" name="raw_filtered_tonnes"/>
    <x:tableColumn id="8" name="standardized_tonnes"/>
    <x:tableColumn id="9" name="difference_tonnes"/>
    <x:tableColumn id="10" name="reconciled"/>
    <x:tableColumn id="11" name="source_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cdb99301414a71" /><Relationship Type="http://schemas.openxmlformats.org/officeDocument/2006/relationships/table" Target="/xl/tables/table1.xml" Id="Re31136e86b384f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008481f8154d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286d96756247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2bc16496e242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8" hidden="0" customWidth="1"/>
  </x:cols>
  <x:sheetData>
    <x:row r="1" ht="32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year</x:v>
      </x:c>
      <x:c r="E1" s="30" t="str">
        <x:v>total_catch_tonnes</x:v>
      </x:c>
      <x:c r="F1" s="30" t="str">
        <x:v>matched_catch_tonnes</x:v>
      </x:c>
      <x:c r="G1" s="30" t="str">
        <x:v>missing_tl_catch_tonnes</x:v>
      </x:c>
      <x:c r="H1" s="30" t="str">
        <x:v>catch_tl_coverage_fraction</x:v>
      </x:c>
      <x:c r="I1" s="30" t="str">
        <x:v>taxa_count</x:v>
      </x:c>
      <x:c r="J1" s="30" t="str">
        <x:v>matched_taxa_count</x:v>
      </x:c>
      <x:c r="K1" s="30" t="str">
        <x:v>ppr_species</x:v>
      </x:c>
      <x:c r="L1" s="30" t="str">
        <x:v>ppr_commercial</x:v>
      </x:c>
      <x:c r="M1" s="30" t="str">
        <x:v>ppr_functional</x:v>
      </x:c>
      <x:c r="N1" s="30" t="str">
        <x:v>fraction_global_ppr</x:v>
      </x:c>
      <x:c r="O1" s="30" t="str">
        <x:v>rank_global_ppr</x:v>
      </x:c>
    </x:row>
    <x:row r="2" ht="18" customHeight="1">
      <x:c r="A2" s="25" t="str">
        <x:v>LME_036</x:v>
      </x:c>
      <x:c r="B2" s="25" t="str">
        <x:v>South China Sea</x:v>
      </x:c>
      <x:c r="C2" s="25" t="str">
        <x:v>LME</x:v>
      </x:c>
      <x:c r="D2" s="31" t="n">
        <x:v>2019</x:v>
      </x:c>
      <x:c r="E2" s="32" t="n">
        <x:v>11101666.087778974</x:v>
      </x:c>
      <x:c r="F2" s="32" t="n">
        <x:v>11101666.087778974</x:v>
      </x:c>
      <x:c r="G2" s="33" t="n">
        <x:v>0</x:v>
      </x:c>
      <x:c r="H2" s="34" t="n">
        <x:v>1</x:v>
      </x:c>
      <x:c r="I2" s="35" t="n">
        <x:v>340</x:v>
      </x:c>
      <x:c r="J2" s="35" t="n">
        <x:v>340</x:v>
      </x:c>
      <x:c r="K2" s="32" t="n">
        <x:v>8070990713.09262</x:v>
      </x:c>
      <x:c r="L2" s="32" t="n">
        <x:v>5121239748.801037</x:v>
      </x:c>
      <x:c r="M2" s="32" t="n">
        <x:v>6177614152.066727</x:v>
      </x:c>
      <x:c r="N2" s="34" t="n">
        <x:f>K2/SUM($K$2:$K$85)</x:f>
        <x:v>0.12368825646846707</x:v>
      </x:c>
      <x:c r="O2" s="35" t="n">
        <x:f>RANK(K2,$K$2:$K$85,0)+COUNTIF($K$2:K2,K2)-1</x:f>
        <x:v>1</x:v>
      </x:c>
    </x:row>
    <x:row r="3" ht="18" customHeight="1">
      <x:c r="A3" s="25" t="str">
        <x:v>LME_032</x:v>
      </x:c>
      <x:c r="B3" s="25" t="str">
        <x:v>Arabian Sea</x:v>
      </x:c>
      <x:c r="C3" s="25" t="str">
        <x:v>LME</x:v>
      </x:c>
      <x:c r="D3" s="31" t="n">
        <x:v>2019</x:v>
      </x:c>
      <x:c r="E3" s="32" t="n">
        <x:v>5436428.793803818</x:v>
      </x:c>
      <x:c r="F3" s="32" t="n">
        <x:v>5436428.793803818</x:v>
      </x:c>
      <x:c r="G3" s="33" t="n">
        <x:v>0</x:v>
      </x:c>
      <x:c r="H3" s="34" t="n">
        <x:v>1</x:v>
      </x:c>
      <x:c r="I3" s="35" t="n">
        <x:v>393</x:v>
      </x:c>
      <x:c r="J3" s="35" t="n">
        <x:v>393</x:v>
      </x:c>
      <x:c r="K3" s="32" t="n">
        <x:v>4734727053.1209135</x:v>
      </x:c>
      <x:c r="L3" s="32" t="n">
        <x:v>3513410168.9238224</x:v>
      </x:c>
      <x:c r="M3" s="32" t="n">
        <x:v>3986670658.279414</x:v>
      </x:c>
      <x:c r="N3" s="34" t="n">
        <x:f>K3/SUM($K$2:$K$85)</x:f>
        <x:v>0.07255988203587074</x:v>
      </x:c>
      <x:c r="O3" s="35" t="n">
        <x:f>RANK(K3,$K$2:$K$85,0)+COUNTIF($K$2:K3,K3)-1</x:f>
        <x:v>2</x:v>
      </x:c>
    </x:row>
    <x:row r="4" ht="18" customHeight="1">
      <x:c r="A4" s="25" t="str">
        <x:v>LME_034</x:v>
      </x:c>
      <x:c r="B4" s="25" t="str">
        <x:v>Bay of Bengal</x:v>
      </x:c>
      <x:c r="C4" s="25" t="str">
        <x:v>LME</x:v>
      </x:c>
      <x:c r="D4" s="31" t="n">
        <x:v>2019</x:v>
      </x:c>
      <x:c r="E4" s="32" t="n">
        <x:v>6697725.785375867</x:v>
      </x:c>
      <x:c r="F4" s="32" t="n">
        <x:v>6697725.785375867</x:v>
      </x:c>
      <x:c r="G4" s="33" t="n">
        <x:v>0</x:v>
      </x:c>
      <x:c r="H4" s="34" t="n">
        <x:v>1</x:v>
      </x:c>
      <x:c r="I4" s="35" t="n">
        <x:v>288</x:v>
      </x:c>
      <x:c r="J4" s="35" t="n">
        <x:v>288</x:v>
      </x:c>
      <x:c r="K4" s="32" t="n">
        <x:v>3525461853.606897</x:v>
      </x:c>
      <x:c r="L4" s="32" t="n">
        <x:v>2348434942.0634265</x:v>
      </x:c>
      <x:c r="M4" s="32" t="n">
        <x:v>2527044613.979731</x:v>
      </x:c>
      <x:c r="N4" s="34" t="n">
        <x:f>K4/SUM($K$2:$K$85)</x:f>
        <x:v>0.0540278443402693</x:v>
      </x:c>
      <x:c r="O4" s="35" t="n">
        <x:f>RANK(K4,$K$2:$K$85,0)+COUNTIF($K$2:K4,K4)-1</x:f>
        <x:v>3</x:v>
      </x:c>
    </x:row>
    <x:row r="5" ht="18" customHeight="1">
      <x:c r="A5" s="25" t="str">
        <x:v>LME_047</x:v>
      </x:c>
      <x:c r="B5" s="25" t="str">
        <x:v>East China Sea</x:v>
      </x:c>
      <x:c r="C5" s="25" t="str">
        <x:v>LME</x:v>
      </x:c>
      <x:c r="D5" s="31" t="n">
        <x:v>2019</x:v>
      </x:c>
      <x:c r="E5" s="32" t="n">
        <x:v>5649829.984210193</x:v>
      </x:c>
      <x:c r="F5" s="32" t="n">
        <x:v>5649829.984210193</x:v>
      </x:c>
      <x:c r="G5" s="33" t="n">
        <x:v>0</x:v>
      </x:c>
      <x:c r="H5" s="34" t="n">
        <x:v>1</x:v>
      </x:c>
      <x:c r="I5" s="35" t="n">
        <x:v>254</x:v>
      </x:c>
      <x:c r="J5" s="35" t="n">
        <x:v>254</x:v>
      </x:c>
      <x:c r="K5" s="32" t="n">
        <x:v>3396644855.5552316</x:v>
      </x:c>
      <x:c r="L5" s="32" t="n">
        <x:v>2016011352.6502066</x:v>
      </x:c>
      <x:c r="M5" s="32" t="n">
        <x:v>2784351281.529257</x:v>
      </x:c>
      <x:c r="N5" s="34" t="n">
        <x:f>K5/SUM($K$2:$K$85)</x:f>
        <x:v>0.052053718677274055</x:v>
      </x:c>
      <x:c r="O5" s="35" t="n">
        <x:f>RANK(K5,$K$2:$K$85,0)+COUNTIF($K$2:K5,K5)-1</x:f>
        <x:v>4</x:v>
      </x:c>
    </x:row>
    <x:row r="6" ht="18" customHeight="1">
      <x:c r="A6" s="25" t="str">
        <x:v>LME_052</x:v>
      </x:c>
      <x:c r="B6" s="25" t="str">
        <x:v>Sea of Okhotsk</x:v>
      </x:c>
      <x:c r="C6" s="25" t="str">
        <x:v>LME</x:v>
      </x:c>
      <x:c r="D6" s="31" t="n">
        <x:v>2019</x:v>
      </x:c>
      <x:c r="E6" s="32" t="n">
        <x:v>4800852.125625119</x:v>
      </x:c>
      <x:c r="F6" s="32" t="n">
        <x:v>4800852.125625119</x:v>
      </x:c>
      <x:c r="G6" s="33" t="n">
        <x:v>0</x:v>
      </x:c>
      <x:c r="H6" s="34" t="n">
        <x:v>1</x:v>
      </x:c>
      <x:c r="I6" s="35" t="n">
        <x:v>131</x:v>
      </x:c>
      <x:c r="J6" s="35" t="n">
        <x:v>131</x:v>
      </x:c>
      <x:c r="K6" s="32" t="n">
        <x:v>2799543440.9812036</x:v>
      </x:c>
      <x:c r="L6" s="32" t="n">
        <x:v>2242784197.569399</x:v>
      </x:c>
      <x:c r="M6" s="32" t="n">
        <x:v>2131158646.726793</x:v>
      </x:c>
      <x:c r="N6" s="34" t="n">
        <x:f>K6/SUM($K$2:$K$85)</x:f>
        <x:v>0.04290311554453702</x:v>
      </x:c>
      <x:c r="O6" s="35" t="n">
        <x:f>RANK(K6,$K$2:$K$85,0)+COUNTIF($K$2:K6,K6)-1</x:f>
        <x:v>5</x:v>
      </x:c>
    </x:row>
    <x:row r="7" ht="18" customHeight="1">
      <x:c r="A7" s="25" t="str">
        <x:v>LME_013</x:v>
      </x:c>
      <x:c r="B7" s="25" t="str">
        <x:v>Humboldt Current</x:v>
      </x:c>
      <x:c r="C7" s="25" t="str">
        <x:v>LME</x:v>
      </x:c>
      <x:c r="D7" s="31" t="n">
        <x:v>2019</x:v>
      </x:c>
      <x:c r="E7" s="32" t="n">
        <x:v>7390380.680601614</x:v>
      </x:c>
      <x:c r="F7" s="32" t="n">
        <x:v>7390380.680601614</x:v>
      </x:c>
      <x:c r="G7" s="33" t="n">
        <x:v>0</x:v>
      </x:c>
      <x:c r="H7" s="34" t="n">
        <x:v>1</x:v>
      </x:c>
      <x:c r="I7" s="35" t="n">
        <x:v>184</x:v>
      </x:c>
      <x:c r="J7" s="35" t="n">
        <x:v>184</x:v>
      </x:c>
      <x:c r="K7" s="32" t="n">
        <x:v>2612052520.1434836</x:v>
      </x:c>
      <x:c r="L7" s="32" t="n">
        <x:v>2058671336.4057274</x:v>
      </x:c>
      <x:c r="M7" s="32" t="n">
        <x:v>2239918376.137161</x:v>
      </x:c>
      <x:c r="N7" s="34" t="n">
        <x:f>K7/SUM($K$2:$K$85)</x:f>
        <x:v>0.040029809660977286</x:v>
      </x:c>
      <x:c r="O7" s="35" t="n">
        <x:f>RANK(K7,$K$2:$K$85,0)+COUNTIF($K$2:K7,K7)-1</x:f>
        <x:v>6</x:v>
      </x:c>
    </x:row>
    <x:row r="8" ht="18" customHeight="1">
      <x:c r="A8" s="25" t="str">
        <x:v>LME_027</x:v>
      </x:c>
      <x:c r="B8" s="25" t="str">
        <x:v>Canary Current</x:v>
      </x:c>
      <x:c r="C8" s="25" t="str">
        <x:v>LME</x:v>
      </x:c>
      <x:c r="D8" s="31" t="n">
        <x:v>2019</x:v>
      </x:c>
      <x:c r="E8" s="32" t="n">
        <x:v>5771015.257329415</x:v>
      </x:c>
      <x:c r="F8" s="32" t="n">
        <x:v>5771015.257329415</x:v>
      </x:c>
      <x:c r="G8" s="33" t="n">
        <x:v>0</x:v>
      </x:c>
      <x:c r="H8" s="34" t="n">
        <x:v>1</x:v>
      </x:c>
      <x:c r="I8" s="35" t="n">
        <x:v>412</x:v>
      </x:c>
      <x:c r="J8" s="35" t="n">
        <x:v>412</x:v>
      </x:c>
      <x:c r="K8" s="32" t="n">
        <x:v>2359485422.816173</x:v>
      </x:c>
      <x:c r="L8" s="32" t="n">
        <x:v>1988040059.996524</x:v>
      </x:c>
      <x:c r="M8" s="32" t="n">
        <x:v>1932746132.292241</x:v>
      </x:c>
      <x:c r="N8" s="34" t="n">
        <x:f>K8/SUM($K$2:$K$85)</x:f>
        <x:v>0.036159208762002105</x:v>
      </x:c>
      <x:c r="O8" s="35" t="n">
        <x:f>RANK(K8,$K$2:$K$85,0)+COUNTIF($K$2:K8,K8)-1</x:f>
        <x:v>7</x:v>
      </x:c>
    </x:row>
    <x:row r="9" ht="18" customHeight="1">
      <x:c r="A9" s="25" t="str">
        <x:v>LME_028</x:v>
      </x:c>
      <x:c r="B9" s="25" t="str">
        <x:v>Guinea Current</x:v>
      </x:c>
      <x:c r="C9" s="25" t="str">
        <x:v>LME</x:v>
      </x:c>
      <x:c r="D9" s="31" t="n">
        <x:v>2019</x:v>
      </x:c>
      <x:c r="E9" s="32" t="n">
        <x:v>4469154.981144243</x:v>
      </x:c>
      <x:c r="F9" s="32" t="n">
        <x:v>4469154.981144243</x:v>
      </x:c>
      <x:c r="G9" s="33" t="n">
        <x:v>0</x:v>
      </x:c>
      <x:c r="H9" s="34" t="n">
        <x:v>1</x:v>
      </x:c>
      <x:c r="I9" s="35" t="n">
        <x:v>325</x:v>
      </x:c>
      <x:c r="J9" s="35" t="n">
        <x:v>325</x:v>
      </x:c>
      <x:c r="K9" s="32" t="n">
        <x:v>2256398879.66561</x:v>
      </x:c>
      <x:c r="L9" s="32" t="n">
        <x:v>1724262907.9504876</x:v>
      </x:c>
      <x:c r="M9" s="32" t="n">
        <x:v>1769169841.9924123</x:v>
      </x:c>
      <x:c r="N9" s="34" t="n">
        <x:f>K9/SUM($K$2:$K$85)</x:f>
        <x:v>0.03457940335261528</x:v>
      </x:c>
      <x:c r="O9" s="35" t="n">
        <x:f>RANK(K9,$K$2:$K$85,0)+COUNTIF($K$2:K9,K9)-1</x:f>
        <x:v>8</x:v>
      </x:c>
    </x:row>
    <x:row r="10" ht="18" customHeight="1">
      <x:c r="A10" s="25" t="str">
        <x:v>HS_077</x:v>
      </x:c>
      <x:c r="B10" s="25" t="str">
        <x:v>Pacific, Eastern Central</x:v>
      </x:c>
      <x:c r="C10" s="25" t="str">
        <x:v>High Seas</x:v>
      </x:c>
      <x:c r="D10" s="31" t="n">
        <x:v>2019</x:v>
      </x:c>
      <x:c r="E10" s="32" t="n">
        <x:v>860671.2076084926</x:v>
      </x:c>
      <x:c r="F10" s="32" t="n">
        <x:v>860671.2076084926</x:v>
      </x:c>
      <x:c r="G10" s="33" t="n">
        <x:v>0</x:v>
      </x:c>
      <x:c r="H10" s="34" t="n">
        <x:v>1</x:v>
      </x:c>
      <x:c r="I10" s="35" t="n">
        <x:v>26</x:v>
      </x:c>
      <x:c r="J10" s="35" t="n">
        <x:v>26</x:v>
      </x:c>
      <x:c r="K10" s="32" t="n">
        <x:v>2196179346.027695</x:v>
      </x:c>
      <x:c r="L10" s="32" t="n">
        <x:v>2177549454.5469604</x:v>
      </x:c>
      <x:c r="M10" s="32" t="n">
        <x:v>2170818471.3741584</x:v>
      </x:c>
      <x:c r="N10" s="34" t="n">
        <x:f>K10/SUM($K$2:$K$85)</x:f>
        <x:v>0.03365653658373954</x:v>
      </x:c>
      <x:c r="O10" s="35" t="n">
        <x:f>RANK(K10,$K$2:$K$85,0)+COUNTIF($K$2:K10,K10)-1</x:f>
        <x:v>9</x:v>
      </x:c>
    </x:row>
    <x:row r="11" ht="18" customHeight="1">
      <x:c r="A11" s="25" t="str">
        <x:v>LME_035</x:v>
      </x:c>
      <x:c r="B11" s="25" t="str">
        <x:v>Gulf of Thailand</x:v>
      </x:c>
      <x:c r="C11" s="25" t="str">
        <x:v>LME</x:v>
      </x:c>
      <x:c r="D11" s="31" t="n">
        <x:v>2019</x:v>
      </x:c>
      <x:c r="E11" s="32" t="n">
        <x:v>2615825.0568618225</x:v>
      </x:c>
      <x:c r="F11" s="32" t="n">
        <x:v>2615825.0568618225</x:v>
      </x:c>
      <x:c r="G11" s="33" t="n">
        <x:v>0</x:v>
      </x:c>
      <x:c r="H11" s="34" t="n">
        <x:v>1</x:v>
      </x:c>
      <x:c r="I11" s="35" t="n">
        <x:v>214</x:v>
      </x:c>
      <x:c r="J11" s="35" t="n">
        <x:v>214</x:v>
      </x:c>
      <x:c r="K11" s="32" t="n">
        <x:v>1868893899.8381805</x:v>
      </x:c>
      <x:c r="L11" s="32" t="n">
        <x:v>1321291448.1609046</x:v>
      </x:c>
      <x:c r="M11" s="32" t="n">
        <x:v>1470605570.760545</x:v>
      </x:c>
      <x:c r="N11" s="34" t="n">
        <x:f>K11/SUM($K$2:$K$85)</x:f>
        <x:v>0.028640873990915933</x:v>
      </x:c>
      <x:c r="O11" s="35" t="n">
        <x:f>RANK(K11,$K$2:$K$85,0)+COUNTIF($K$2:K11,K11)-1</x:f>
        <x:v>10</x:v>
      </x:c>
    </x:row>
    <x:row r="12" ht="18" customHeight="1">
      <x:c r="A12" s="25" t="str">
        <x:v>LME_022</x:v>
      </x:c>
      <x:c r="B12" s="25" t="str">
        <x:v>North Sea</x:v>
      </x:c>
      <x:c r="C12" s="25" t="str">
        <x:v>LME</x:v>
      </x:c>
      <x:c r="D12" s="31" t="n">
        <x:v>2019</x:v>
      </x:c>
      <x:c r="E12" s="32" t="n">
        <x:v>2717260.698205171</x:v>
      </x:c>
      <x:c r="F12" s="32" t="n">
        <x:v>2717260.698205171</x:v>
      </x:c>
      <x:c r="G12" s="33" t="n">
        <x:v>0</x:v>
      </x:c>
      <x:c r="H12" s="34" t="n">
        <x:v>1</x:v>
      </x:c>
      <x:c r="I12" s="35" t="n">
        <x:v>312</x:v>
      </x:c>
      <x:c r="J12" s="35" t="n">
        <x:v>312</x:v>
      </x:c>
      <x:c r="K12" s="32" t="n">
        <x:v>1700184787.4627526</x:v>
      </x:c>
      <x:c r="L12" s="32" t="n">
        <x:v>1461271647.0493312</x:v>
      </x:c>
      <x:c r="M12" s="32" t="n">
        <x:v>1529129228.171731</x:v>
      </x:c>
      <x:c r="N12" s="34" t="n">
        <x:f>K12/SUM($K$2:$K$85)</x:f>
        <x:v>0.026055400075525505</x:v>
      </x:c>
      <x:c r="O12" s="35" t="n">
        <x:f>RANK(K12,$K$2:$K$85,0)+COUNTIF($K$2:K12,K12)-1</x:f>
        <x:v>11</x:v>
      </x:c>
    </x:row>
    <x:row r="13" ht="18" customHeight="1">
      <x:c r="A13" s="25" t="str">
        <x:v>LME_049</x:v>
      </x:c>
      <x:c r="B13" s="25" t="str">
        <x:v>Kuroshio Current</x:v>
      </x:c>
      <x:c r="C13" s="25" t="str">
        <x:v>LME</x:v>
      </x:c>
      <x:c r="D13" s="31" t="n">
        <x:v>2019</x:v>
      </x:c>
      <x:c r="E13" s="32" t="n">
        <x:v>3090456.265124474</x:v>
      </x:c>
      <x:c r="F13" s="32" t="n">
        <x:v>3090456.265124474</x:v>
      </x:c>
      <x:c r="G13" s="33" t="n">
        <x:v>0</x:v>
      </x:c>
      <x:c r="H13" s="34" t="n">
        <x:v>1</x:v>
      </x:c>
      <x:c r="I13" s="35" t="n">
        <x:v>229</x:v>
      </x:c>
      <x:c r="J13" s="35" t="n">
        <x:v>229</x:v>
      </x:c>
      <x:c r="K13" s="32" t="n">
        <x:v>1682486180.5803435</x:v>
      </x:c>
      <x:c r="L13" s="32" t="n">
        <x:v>1229429462.9598556</x:v>
      </x:c>
      <x:c r="M13" s="32" t="n">
        <x:v>1479014398.4195945</x:v>
      </x:c>
      <x:c r="N13" s="34" t="n">
        <x:f>K13/SUM($K$2:$K$85)</x:f>
        <x:v>0.025784168215023565</x:v>
      </x:c>
      <x:c r="O13" s="35" t="n">
        <x:f>RANK(K13,$K$2:$K$85,0)+COUNTIF($K$2:K13,K13)-1</x:f>
        <x:v>12</x:v>
      </x:c>
    </x:row>
    <x:row r="14" ht="18" customHeight="1">
      <x:c r="A14" s="25" t="str">
        <x:v>LME_038</x:v>
      </x:c>
      <x:c r="B14" s="25" t="str">
        <x:v>Indonesian Sea</x:v>
      </x:c>
      <x:c r="C14" s="25" t="str">
        <x:v>LME</x:v>
      </x:c>
      <x:c r="D14" s="31" t="n">
        <x:v>2019</x:v>
      </x:c>
      <x:c r="E14" s="32" t="n">
        <x:v>2883541.9537540916</x:v>
      </x:c>
      <x:c r="F14" s="32" t="n">
        <x:v>2883541.9537540916</x:v>
      </x:c>
      <x:c r="G14" s="33" t="n">
        <x:v>0</x:v>
      </x:c>
      <x:c r="H14" s="34" t="n">
        <x:v>1</x:v>
      </x:c>
      <x:c r="I14" s="35" t="n">
        <x:v>142</x:v>
      </x:c>
      <x:c r="J14" s="35" t="n">
        <x:v>142</x:v>
      </x:c>
      <x:c r="K14" s="32" t="n">
        <x:v>1678212214.8416104</x:v>
      </x:c>
      <x:c r="L14" s="32" t="n">
        <x:v>1110962513.3774147</x:v>
      </x:c>
      <x:c r="M14" s="32" t="n">
        <x:v>1252314766.816485</x:v>
      </x:c>
      <x:c r="N14" s="34" t="n">
        <x:f>K14/SUM($K$2:$K$85)</x:f>
        <x:v>0.025718669518615414</x:v>
      </x:c>
      <x:c r="O14" s="35" t="n">
        <x:f>RANK(K14,$K$2:$K$85,0)+COUNTIF($K$2:K14,K14)-1</x:f>
        <x:v>13</x:v>
      </x:c>
    </x:row>
    <x:row r="15" ht="18" customHeight="1">
      <x:c r="A15" s="25" t="str">
        <x:v>LME_048</x:v>
      </x:c>
      <x:c r="B15" s="25" t="str">
        <x:v>Yellow Sea</x:v>
      </x:c>
      <x:c r="C15" s="25" t="str">
        <x:v>LME</x:v>
      </x:c>
      <x:c r="D15" s="31" t="n">
        <x:v>2019</x:v>
      </x:c>
      <x:c r="E15" s="32" t="n">
        <x:v>2658977.968899307</x:v>
      </x:c>
      <x:c r="F15" s="32" t="n">
        <x:v>2658977.968899307</x:v>
      </x:c>
      <x:c r="G15" s="33" t="n">
        <x:v>0</x:v>
      </x:c>
      <x:c r="H15" s="34" t="n">
        <x:v>1</x:v>
      </x:c>
      <x:c r="I15" s="35" t="n">
        <x:v>175</x:v>
      </x:c>
      <x:c r="J15" s="35" t="n">
        <x:v>175</x:v>
      </x:c>
      <x:c r="K15" s="32" t="n">
        <x:v>1554214509.6068287</x:v>
      </x:c>
      <x:c r="L15" s="32" t="n">
        <x:v>939968038.6418488</x:v>
      </x:c>
      <x:c r="M15" s="32" t="n">
        <x:v>1272167957.9722326</x:v>
      </x:c>
      <x:c r="N15" s="34" t="n">
        <x:f>K15/SUM($K$2:$K$85)</x:f>
        <x:v>0.0238183997113783</x:v>
      </x:c>
      <x:c r="O15" s="35" t="n">
        <x:f>RANK(K15,$K$2:$K$85,0)+COUNTIF($K$2:K15,K15)-1</x:f>
        <x:v>14</x:v>
      </x:c>
    </x:row>
    <x:row r="16" ht="18" customHeight="1">
      <x:c r="A16" s="25" t="str">
        <x:v>HS_071</x:v>
      </x:c>
      <x:c r="B16" s="25" t="str">
        <x:v>Pacific, Western Central</x:v>
      </x:c>
      <x:c r="C16" s="25" t="str">
        <x:v>High Seas</x:v>
      </x:c>
      <x:c r="D16" s="31" t="n">
        <x:v>2019</x:v>
      </x:c>
      <x:c r="E16" s="32" t="n">
        <x:v>571817.786555246</x:v>
      </x:c>
      <x:c r="F16" s="32" t="n">
        <x:v>571817.786555246</x:v>
      </x:c>
      <x:c r="G16" s="33" t="n">
        <x:v>0</x:v>
      </x:c>
      <x:c r="H16" s="34" t="n">
        <x:v>1</x:v>
      </x:c>
      <x:c r="I16" s="35" t="n">
        <x:v>23</x:v>
      </x:c>
      <x:c r="J16" s="35" t="n">
        <x:v>23</x:v>
      </x:c>
      <x:c r="K16" s="32" t="n">
        <x:v>1482147259.8171525</x:v>
      </x:c>
      <x:c r="L16" s="32" t="n">
        <x:v>1476697755.8816364</x:v>
      </x:c>
      <x:c r="M16" s="32" t="n">
        <x:v>1474269044.8780706</x:v>
      </x:c>
      <x:c r="N16" s="34" t="n">
        <x:f>K16/SUM($K$2:$K$85)</x:f>
        <x:v>0.022713966217172612</x:v>
      </x:c>
      <x:c r="O16" s="35" t="n">
        <x:f>RANK(K16,$K$2:$K$85,0)+COUNTIF($K$2:K16,K16)-1</x:f>
        <x:v>15</x:v>
      </x:c>
    </x:row>
    <x:row r="17" ht="18" customHeight="1">
      <x:c r="A17" s="25" t="str">
        <x:v>LME_050</x:v>
      </x:c>
      <x:c r="B17" s="25" t="str">
        <x:v>Sea of Japan / East Sea</x:v>
      </x:c>
      <x:c r="C17" s="25" t="str">
        <x:v>LME</x:v>
      </x:c>
      <x:c r="D17" s="31" t="n">
        <x:v>2019</x:v>
      </x:c>
      <x:c r="E17" s="32" t="n">
        <x:v>2586941.83669577</x:v>
      </x:c>
      <x:c r="F17" s="32" t="n">
        <x:v>2586941.83669577</x:v>
      </x:c>
      <x:c r="G17" s="33" t="n">
        <x:v>0</x:v>
      </x:c>
      <x:c r="H17" s="34" t="n">
        <x:v>1</x:v>
      </x:c>
      <x:c r="I17" s="35" t="n">
        <x:v>218</x:v>
      </x:c>
      <x:c r="J17" s="35" t="n">
        <x:v>218</x:v>
      </x:c>
      <x:c r="K17" s="32" t="n">
        <x:v>1439195574.0782979</x:v>
      </x:c>
      <x:c r="L17" s="32" t="n">
        <x:v>1036169699.9564209</x:v>
      </x:c>
      <x:c r="M17" s="32" t="n">
        <x:v>1161227971.5261807</x:v>
      </x:c>
      <x:c r="N17" s="34" t="n">
        <x:f>K17/SUM($K$2:$K$85)</x:f>
        <x:v>0.02205572991009789</x:v>
      </x:c>
      <x:c r="O17" s="35" t="n">
        <x:f>RANK(K17,$K$2:$K$85,0)+COUNTIF($K$2:K17,K17)-1</x:f>
        <x:v>16</x:v>
      </x:c>
    </x:row>
    <x:row r="18" ht="18" customHeight="1">
      <x:c r="A18" s="25" t="str">
        <x:v>LME_014</x:v>
      </x:c>
      <x:c r="B18" s="25" t="str">
        <x:v>Patagonian Shelf</x:v>
      </x:c>
      <x:c r="C18" s="25" t="str">
        <x:v>LME</x:v>
      </x:c>
      <x:c r="D18" s="31" t="n">
        <x:v>2019</x:v>
      </x:c>
      <x:c r="E18" s="32" t="n">
        <x:v>1589890.9385366847</x:v>
      </x:c>
      <x:c r="F18" s="32" t="n">
        <x:v>1589890.9385366847</x:v>
      </x:c>
      <x:c r="G18" s="33" t="n">
        <x:v>0</x:v>
      </x:c>
      <x:c r="H18" s="34" t="n">
        <x:v>1</x:v>
      </x:c>
      <x:c r="I18" s="35" t="n">
        <x:v>195</x:v>
      </x:c>
      <x:c r="J18" s="35" t="n">
        <x:v>195</x:v>
      </x:c>
      <x:c r="K18" s="32" t="n">
        <x:v>1391657718.08254</x:v>
      </x:c>
      <x:c r="L18" s="32" t="n">
        <x:v>1272373321.7534766</x:v>
      </x:c>
      <x:c r="M18" s="32" t="n">
        <x:v>1310989991.8158207</x:v>
      </x:c>
      <x:c r="N18" s="34" t="n">
        <x:f>K18/SUM($K$2:$K$85)</x:f>
        <x:v>0.021327210359849105</x:v>
      </x:c>
      <x:c r="O18" s="35" t="n">
        <x:f>RANK(K18,$K$2:$K$85,0)+COUNTIF($K$2:K18,K18)-1</x:f>
        <x:v>17</x:v>
      </x:c>
    </x:row>
    <x:row r="19" ht="18" customHeight="1">
      <x:c r="A19" s="25" t="str">
        <x:v>LME_003</x:v>
      </x:c>
      <x:c r="B19" s="25" t="str">
        <x:v>California Current</x:v>
      </x:c>
      <x:c r="C19" s="25" t="str">
        <x:v>LME</x:v>
      </x:c>
      <x:c r="D19" s="31" t="n">
        <x:v>2019</x:v>
      </x:c>
      <x:c r="E19" s="32" t="n">
        <x:v>1037537.6190575529</x:v>
      </x:c>
      <x:c r="F19" s="32" t="n">
        <x:v>1037537.6190575529</x:v>
      </x:c>
      <x:c r="G19" s="33" t="n">
        <x:v>0</x:v>
      </x:c>
      <x:c r="H19" s="34" t="n">
        <x:v>1</x:v>
      </x:c>
      <x:c r="I19" s="35" t="n">
        <x:v>277</x:v>
      </x:c>
      <x:c r="J19" s="35" t="n">
        <x:v>277</x:v>
      </x:c>
      <x:c r="K19" s="32" t="n">
        <x:v>1028923753.7644161</x:v>
      </x:c>
      <x:c r="L19" s="32" t="n">
        <x:v>948325445.2391397</x:v>
      </x:c>
      <x:c r="M19" s="32" t="n">
        <x:v>956158720.3224782</x:v>
      </x:c>
      <x:c r="N19" s="34" t="n">
        <x:f>K19/SUM($K$2:$K$85)</x:f>
        <x:v>0.015768297804588303</x:v>
      </x:c>
      <x:c r="O19" s="35" t="n">
        <x:f>RANK(K19,$K$2:$K$85,0)+COUNTIF($K$2:K19,K19)-1</x:f>
        <x:v>18</x:v>
      </x:c>
    </x:row>
    <x:row r="20" ht="18" customHeight="1">
      <x:c r="A20" s="25" t="str">
        <x:v>LME_024</x:v>
      </x:c>
      <x:c r="B20" s="25" t="str">
        <x:v>Celtic-Biscay Shelf</x:v>
      </x:c>
      <x:c r="C20" s="25" t="str">
        <x:v>LME</x:v>
      </x:c>
      <x:c r="D20" s="31" t="n">
        <x:v>2019</x:v>
      </x:c>
      <x:c r="E20" s="32" t="n">
        <x:v>1139679.567089067</x:v>
      </x:c>
      <x:c r="F20" s="32" t="n">
        <x:v>1139679.567089067</x:v>
      </x:c>
      <x:c r="G20" s="33" t="n">
        <x:v>0</x:v>
      </x:c>
      <x:c r="H20" s="34" t="n">
        <x:v>1</x:v>
      </x:c>
      <x:c r="I20" s="35" t="n">
        <x:v>383</x:v>
      </x:c>
      <x:c r="J20" s="35" t="n">
        <x:v>383</x:v>
      </x:c>
      <x:c r="K20" s="32" t="n">
        <x:v>1010255322.1765621</x:v>
      </x:c>
      <x:c r="L20" s="32" t="n">
        <x:v>875614821.1777916</x:v>
      </x:c>
      <x:c r="M20" s="32" t="n">
        <x:v>905533467.1732023</x:v>
      </x:c>
      <x:c r="N20" s="34" t="n">
        <x:f>K20/SUM($K$2:$K$85)</x:f>
        <x:v>0.015482203341568196</x:v>
      </x:c>
      <x:c r="O20" s="35" t="n">
        <x:f>RANK(K20,$K$2:$K$85,0)+COUNTIF($K$2:K20,K20)-1</x:f>
        <x:v>19</x:v>
      </x:c>
    </x:row>
    <x:row r="21" ht="18" customHeight="1">
      <x:c r="A21" s="25" t="str">
        <x:v>LME_026</x:v>
      </x:c>
      <x:c r="B21" s="25" t="str">
        <x:v>Mediterranean Sea</x:v>
      </x:c>
      <x:c r="C21" s="25" t="str">
        <x:v>LME</x:v>
      </x:c>
      <x:c r="D21" s="31" t="n">
        <x:v>2019</x:v>
      </x:c>
      <x:c r="E21" s="32" t="n">
        <x:v>1487741.6269238535</x:v>
      </x:c>
      <x:c r="F21" s="32" t="n">
        <x:v>1487741.6269238535</x:v>
      </x:c>
      <x:c r="G21" s="33" t="n">
        <x:v>0</x:v>
      </x:c>
      <x:c r="H21" s="34" t="n">
        <x:v>1</x:v>
      </x:c>
      <x:c r="I21" s="35" t="n">
        <x:v>482</x:v>
      </x:c>
      <x:c r="J21" s="35" t="n">
        <x:v>482</x:v>
      </x:c>
      <x:c r="K21" s="32" t="n">
        <x:v>1007915797.3835726</x:v>
      </x:c>
      <x:c r="L21" s="32" t="n">
        <x:v>777778177.4549513</x:v>
      </x:c>
      <x:c r="M21" s="32" t="n">
        <x:v>818089702.4134529</x:v>
      </x:c>
      <x:c r="N21" s="34" t="n">
        <x:f>K21/SUM($K$2:$K$85)</x:f>
        <x:v>0.015446350030259064</x:v>
      </x:c>
      <x:c r="O21" s="35" t="n">
        <x:f>RANK(K21,$K$2:$K$85,0)+COUNTIF($K$2:K21,K21)-1</x:f>
        <x:v>20</x:v>
      </x:c>
    </x:row>
    <x:row r="22" ht="18" customHeight="1">
      <x:c r="A22" s="25" t="str">
        <x:v>LME_029</x:v>
      </x:c>
      <x:c r="B22" s="25" t="str">
        <x:v>Benguela Current</x:v>
      </x:c>
      <x:c r="C22" s="25" t="str">
        <x:v>LME</x:v>
      </x:c>
      <x:c r="D22" s="31" t="n">
        <x:v>2019</x:v>
      </x:c>
      <x:c r="E22" s="32" t="n">
        <x:v>1592518.0818040825</x:v>
      </x:c>
      <x:c r="F22" s="32" t="n">
        <x:v>1592518.0818040825</x:v>
      </x:c>
      <x:c r="G22" s="33" t="n">
        <x:v>0</x:v>
      </x:c>
      <x:c r="H22" s="34" t="n">
        <x:v>1</x:v>
      </x:c>
      <x:c r="I22" s="35" t="n">
        <x:v>147</x:v>
      </x:c>
      <x:c r="J22" s="35" t="n">
        <x:v>147</x:v>
      </x:c>
      <x:c r="K22" s="32" t="n">
        <x:v>997757338.2466873</x:v>
      </x:c>
      <x:c r="L22" s="32" t="n">
        <x:v>874219072.3241919</x:v>
      </x:c>
      <x:c r="M22" s="32" t="n">
        <x:v>905698527.5872977</x:v>
      </x:c>
      <x:c r="N22" s="34" t="n">
        <x:f>K22/SUM($K$2:$K$85)</x:f>
        <x:v>0.01529067123645135</x:v>
      </x:c>
      <x:c r="O22" s="35" t="n">
        <x:f>RANK(K22,$K$2:$K$85,0)+COUNTIF($K$2:K22,K22)-1</x:f>
        <x:v>21</x:v>
      </x:c>
    </x:row>
    <x:row r="23" ht="18" customHeight="1">
      <x:c r="A23" s="25" t="str">
        <x:v>LME_037</x:v>
      </x:c>
      <x:c r="B23" s="25" t="str">
        <x:v>Sulu-Celebes Sea</x:v>
      </x:c>
      <x:c r="C23" s="25" t="str">
        <x:v>LME</x:v>
      </x:c>
      <x:c r="D23" s="31" t="n">
        <x:v>2019</x:v>
      </x:c>
      <x:c r="E23" s="32" t="n">
        <x:v>1731971.9673227614</x:v>
      </x:c>
      <x:c r="F23" s="32" t="n">
        <x:v>1731971.9673227614</x:v>
      </x:c>
      <x:c r="G23" s="33" t="n">
        <x:v>0</x:v>
      </x:c>
      <x:c r="H23" s="34" t="n">
        <x:v>1</x:v>
      </x:c>
      <x:c r="I23" s="35" t="n">
        <x:v>219</x:v>
      </x:c>
      <x:c r="J23" s="35" t="n">
        <x:v>219</x:v>
      </x:c>
      <x:c r="K23" s="32" t="n">
        <x:v>990198790.8703026</x:v>
      </x:c>
      <x:c r="L23" s="32" t="n">
        <x:v>668224367.6583638</x:v>
      </x:c>
      <x:c r="M23" s="32" t="n">
        <x:v>731176308.5367349</x:v>
      </x:c>
      <x:c r="N23" s="34" t="n">
        <x:f>K23/SUM($K$2:$K$85)</x:f>
        <x:v>0.015174836194676028</x:v>
      </x:c>
      <x:c r="O23" s="35" t="n">
        <x:f>RANK(K23,$K$2:$K$85,0)+COUNTIF($K$2:K23,K23)-1</x:f>
        <x:v>22</x:v>
      </x:c>
    </x:row>
    <x:row r="24" ht="18" customHeight="1">
      <x:c r="A24" s="25" t="str">
        <x:v>LME_002</x:v>
      </x:c>
      <x:c r="B24" s="25" t="str">
        <x:v>Gulf of Alaska</x:v>
      </x:c>
      <x:c r="C24" s="25" t="str">
        <x:v>LME</x:v>
      </x:c>
      <x:c r="D24" s="31" t="n">
        <x:v>2019</x:v>
      </x:c>
      <x:c r="E24" s="32" t="n">
        <x:v>1102866.6258441233</x:v>
      </x:c>
      <x:c r="F24" s="32" t="n">
        <x:v>1102866.6258441233</x:v>
      </x:c>
      <x:c r="G24" s="33" t="n">
        <x:v>0</x:v>
      </x:c>
      <x:c r="H24" s="34" t="n">
        <x:v>1</x:v>
      </x:c>
      <x:c r="I24" s="35" t="n">
        <x:v>170</x:v>
      </x:c>
      <x:c r="J24" s="35" t="n">
        <x:v>170</x:v>
      </x:c>
      <x:c r="K24" s="32" t="n">
        <x:v>967218747.5530663</x:v>
      </x:c>
      <x:c r="L24" s="32" t="n">
        <x:v>688947934.142388</x:v>
      </x:c>
      <x:c r="M24" s="32" t="n">
        <x:v>696280979.0165482</x:v>
      </x:c>
      <x:c r="N24" s="34" t="n">
        <x:f>K24/SUM($K$2:$K$85)</x:f>
        <x:v>0.014822666108930793</x:v>
      </x:c>
      <x:c r="O24" s="35" t="n">
        <x:f>RANK(K24,$K$2:$K$85,0)+COUNTIF($K$2:K24,K24)-1</x:f>
        <x:v>23</x:v>
      </x:c>
      <x:c r="S24" t="str">
        <x:v>Region</x:v>
      </x:c>
      <x:c r="T24" t="str">
        <x:v>Species PPR</x:v>
      </x:c>
    </x:row>
    <x:row r="25" ht="18" customHeight="1">
      <x:c r="A25" s="25" t="str">
        <x:v>HS_051</x:v>
      </x:c>
      <x:c r="B25" s="25" t="str">
        <x:v>Indian Ocean, Western</x:v>
      </x:c>
      <x:c r="C25" s="25" t="str">
        <x:v>High Seas</x:v>
      </x:c>
      <x:c r="D25" s="31" t="n">
        <x:v>2019</x:v>
      </x:c>
      <x:c r="E25" s="32" t="n">
        <x:v>377854.0083285441</x:v>
      </x:c>
      <x:c r="F25" s="32" t="n">
        <x:v>377854.0083285441</x:v>
      </x:c>
      <x:c r="G25" s="33" t="n">
        <x:v>0</x:v>
      </x:c>
      <x:c r="H25" s="34" t="n">
        <x:v>1</x:v>
      </x:c>
      <x:c r="I25" s="35" t="n">
        <x:v>36</x:v>
      </x:c>
      <x:c r="J25" s="35" t="n">
        <x:v>36</x:v>
      </x:c>
      <x:c r="K25" s="32" t="n">
        <x:v>907481876.8369483</x:v>
      </x:c>
      <x:c r="L25" s="32" t="n">
        <x:v>898130651.4662967</x:v>
      </x:c>
      <x:c r="M25" s="32" t="n">
        <x:v>892837267.8459628</x:v>
      </x:c>
      <x:c r="N25" s="34" t="n">
        <x:f>K25/SUM($K$2:$K$85)</x:f>
        <x:v>0.013907196168694961</x:v>
      </x:c>
      <x:c r="O25" s="35" t="n">
        <x:f>RANK(K25,$K$2:$K$85,0)+COUNTIF($K$2:K25,K25)-1</x:f>
        <x:v>24</x:v>
      </x:c>
      <x:c r="S25" t="str">
        <x:f>B2</x:f>
        <x:v>South China Sea</x:v>
      </x:c>
      <x:c r="T25" t="n">
        <x:f>K2</x:f>
        <x:v>8070990713.09262</x:v>
      </x:c>
    </x:row>
    <x:row r="26" ht="18" customHeight="1">
      <x:c r="A26" s="25" t="str">
        <x:v>LME_001</x:v>
      </x:c>
      <x:c r="B26" s="25" t="str">
        <x:v>East Bering Sea</x:v>
      </x:c>
      <x:c r="C26" s="25" t="str">
        <x:v>LME</x:v>
      </x:c>
      <x:c r="D26" s="31" t="n">
        <x:v>2019</x:v>
      </x:c>
      <x:c r="E26" s="32" t="n">
        <x:v>1300999.7714510453</x:v>
      </x:c>
      <x:c r="F26" s="32" t="n">
        <x:v>1300999.7714510453</x:v>
      </x:c>
      <x:c r="G26" s="33" t="n">
        <x:v>0</x:v>
      </x:c>
      <x:c r="H26" s="34" t="n">
        <x:v>1</x:v>
      </x:c>
      <x:c r="I26" s="35" t="n">
        <x:v>73</x:v>
      </x:c>
      <x:c r="J26" s="35" t="n">
        <x:v>73</x:v>
      </x:c>
      <x:c r="K26" s="32" t="n">
        <x:v>816435933.9124104</x:v>
      </x:c>
      <x:c r="L26" s="32" t="n">
        <x:v>651544945.5261025</x:v>
      </x:c>
      <x:c r="M26" s="32" t="n">
        <x:v>689600284.1461229</x:v>
      </x:c>
      <x:c r="N26" s="34" t="n">
        <x:f>K26/SUM($K$2:$K$85)</x:f>
        <x:v>0.012511913440814263</x:v>
      </x:c>
      <x:c r="O26" s="35" t="n">
        <x:f>RANK(K26,$K$2:$K$85,0)+COUNTIF($K$2:K26,K26)-1</x:f>
        <x:v>25</x:v>
      </x:c>
      <x:c r="S26" t="str">
        <x:f>B3</x:f>
        <x:v>Arabian Sea</x:v>
      </x:c>
      <x:c r="T26" t="n">
        <x:f>K3</x:f>
        <x:v>4734727053.1209135</x:v>
      </x:c>
    </x:row>
    <x:row r="27" ht="18" customHeight="1">
      <x:c r="A27" s="25" t="str">
        <x:v>LME_011</x:v>
      </x:c>
      <x:c r="B27" s="25" t="str">
        <x:v>Pacific Central-American Coastal</x:v>
      </x:c>
      <x:c r="C27" s="25" t="str">
        <x:v>LME</x:v>
      </x:c>
      <x:c r="D27" s="31" t="n">
        <x:v>2019</x:v>
      </x:c>
      <x:c r="E27" s="32" t="n">
        <x:v>1587670.713519913</x:v>
      </x:c>
      <x:c r="F27" s="32" t="n">
        <x:v>1587670.713519913</x:v>
      </x:c>
      <x:c r="G27" s="33" t="n">
        <x:v>0</x:v>
      </x:c>
      <x:c r="H27" s="34" t="n">
        <x:v>1</x:v>
      </x:c>
      <x:c r="I27" s="35" t="n">
        <x:v>270</x:v>
      </x:c>
      <x:c r="J27" s="35" t="n">
        <x:v>270</x:v>
      </x:c>
      <x:c r="K27" s="32" t="n">
        <x:v>748768977.2026196</x:v>
      </x:c>
      <x:c r="L27" s="32" t="n">
        <x:v>571582336.2211993</x:v>
      </x:c>
      <x:c r="M27" s="32" t="n">
        <x:v>616011177.0694925</x:v>
      </x:c>
      <x:c r="N27" s="34" t="n">
        <x:f>K27/SUM($K$2:$K$85)</x:f>
        <x:v>0.011474914614587857</x:v>
      </x:c>
      <x:c r="O27" s="35" t="n">
        <x:f>RANK(K27,$K$2:$K$85,0)+COUNTIF($K$2:K27,K27)-1</x:f>
        <x:v>26</x:v>
      </x:c>
      <x:c r="S27" t="str">
        <x:f>B4</x:f>
        <x:v>Bay of Bengal</x:v>
      </x:c>
      <x:c r="T27" t="n">
        <x:f>K4</x:f>
        <x:v>3525461853.606897</x:v>
      </x:c>
    </x:row>
    <x:row r="28" ht="18" customHeight="1">
      <x:c r="A28" s="25" t="str">
        <x:v>LME_046</x:v>
      </x:c>
      <x:c r="B28" s="25" t="str">
        <x:v>New Zealand Shelf</x:v>
      </x:c>
      <x:c r="C28" s="25" t="str">
        <x:v>LME</x:v>
      </x:c>
      <x:c r="D28" s="31" t="n">
        <x:v>2019</x:v>
      </x:c>
      <x:c r="E28" s="32" t="n">
        <x:v>431127.77716673305</x:v>
      </x:c>
      <x:c r="F28" s="32" t="n">
        <x:v>431127.77716673305</x:v>
      </x:c>
      <x:c r="G28" s="33" t="n">
        <x:v>0</x:v>
      </x:c>
      <x:c r="H28" s="34" t="n">
        <x:v>1</x:v>
      </x:c>
      <x:c r="I28" s="35" t="n">
        <x:v>197</x:v>
      </x:c>
      <x:c r="J28" s="35" t="n">
        <x:v>197</x:v>
      </x:c>
      <x:c r="K28" s="32" t="n">
        <x:v>722610291.6356041</x:v>
      </x:c>
      <x:c r="L28" s="32" t="n">
        <x:v>625979302.9233905</x:v>
      </x:c>
      <x:c r="M28" s="32" t="n">
        <x:v>640351591.0568204</x:v>
      </x:c>
      <x:c r="N28" s="34" t="n">
        <x:f>K28/SUM($K$2:$K$85)</x:f>
        <x:v>0.011074031708844653</x:v>
      </x:c>
      <x:c r="O28" s="35" t="n">
        <x:f>RANK(K28,$K$2:$K$85,0)+COUNTIF($K$2:K28,K28)-1</x:f>
        <x:v>27</x:v>
      </x:c>
      <x:c r="S28" t="str">
        <x:f>B5</x:f>
        <x:v>East China Sea</x:v>
      </x:c>
      <x:c r="T28" t="n">
        <x:f>K5</x:f>
        <x:v>3396644855.5552316</x:v>
      </x:c>
    </x:row>
    <x:row r="29" ht="18" customHeight="1">
      <x:c r="A29" s="25" t="str">
        <x:v>LME_059</x:v>
      </x:c>
      <x:c r="B29" s="25" t="str">
        <x:v>Iceland Shelf and Sea</x:v>
      </x:c>
      <x:c r="C29" s="25" t="str">
        <x:v>LME</x:v>
      </x:c>
      <x:c r="D29" s="31" t="n">
        <x:v>2019</x:v>
      </x:c>
      <x:c r="E29" s="32" t="n">
        <x:v>697974.9116856114</x:v>
      </x:c>
      <x:c r="F29" s="32" t="n">
        <x:v>697974.9116856114</x:v>
      </x:c>
      <x:c r="G29" s="33" t="n">
        <x:v>0</x:v>
      </x:c>
      <x:c r="H29" s="34" t="n">
        <x:v>1</x:v>
      </x:c>
      <x:c r="I29" s="35" t="n">
        <x:v>74</x:v>
      </x:c>
      <x:c r="J29" s="35" t="n">
        <x:v>74</x:v>
      </x:c>
      <x:c r="K29" s="32" t="n">
        <x:v>707135211.9152755</x:v>
      </x:c>
      <x:c r="L29" s="32" t="n">
        <x:v>670516995.6658894</x:v>
      </x:c>
      <x:c r="M29" s="32" t="n">
        <x:v>648512955.9012274</x:v>
      </x:c>
      <x:c r="N29" s="34" t="n">
        <x:f>K29/SUM($K$2:$K$85)</x:f>
        <x:v>0.010836875491304594</x:v>
      </x:c>
      <x:c r="O29" s="35" t="n">
        <x:f>RANK(K29,$K$2:$K$85,0)+COUNTIF($K$2:K29,K29)-1</x:f>
        <x:v>28</x:v>
      </x:c>
      <x:c r="S29" t="str">
        <x:f>B6</x:f>
        <x:v>Sea of Okhotsk</x:v>
      </x:c>
      <x:c r="T29" t="n">
        <x:f>K6</x:f>
        <x:v>2799543440.9812036</x:v>
      </x:c>
    </x:row>
    <x:row r="30" ht="18" customHeight="1">
      <x:c r="A30" s="25" t="str">
        <x:v>LME_020</x:v>
      </x:c>
      <x:c r="B30" s="25" t="str">
        <x:v>Barents Sea</x:v>
      </x:c>
      <x:c r="C30" s="25" t="str">
        <x:v>LME</x:v>
      </x:c>
      <x:c r="D30" s="31" t="n">
        <x:v>2019</x:v>
      </x:c>
      <x:c r="E30" s="32" t="n">
        <x:v>675569.0179631643</x:v>
      </x:c>
      <x:c r="F30" s="32" t="n">
        <x:v>675569.0179631643</x:v>
      </x:c>
      <x:c r="G30" s="33" t="n">
        <x:v>0</x:v>
      </x:c>
      <x:c r="H30" s="34" t="n">
        <x:v>1</x:v>
      </x:c>
      <x:c r="I30" s="35" t="n">
        <x:v>138</x:v>
      </x:c>
      <x:c r="J30" s="35" t="n">
        <x:v>138</x:v>
      </x:c>
      <x:c r="K30" s="32" t="n">
        <x:v>661277433.8131701</x:v>
      </x:c>
      <x:c r="L30" s="32" t="n">
        <x:v>631761250.3934948</x:v>
      </x:c>
      <x:c r="M30" s="32" t="n">
        <x:v>611750577.6098361</x:v>
      </x:c>
      <x:c r="N30" s="34" t="n">
        <x:f>K30/SUM($K$2:$K$85)</x:f>
        <x:v>0.010134103202177048</x:v>
      </x:c>
      <x:c r="O30" s="35" t="n">
        <x:f>RANK(K30,$K$2:$K$85,0)+COUNTIF($K$2:K30,K30)-1</x:f>
        <x:v>29</x:v>
      </x:c>
      <x:c r="S30" t="str">
        <x:f>B7</x:f>
        <x:v>Humboldt Current</x:v>
      </x:c>
      <x:c r="T30" t="n">
        <x:f>K7</x:f>
        <x:v>2612052520.1434836</x:v>
      </x:c>
    </x:row>
    <x:row r="31" ht="18" customHeight="1">
      <x:c r="A31" s="25" t="str">
        <x:v>HS_087</x:v>
      </x:c>
      <x:c r="B31" s="25" t="str">
        <x:v>Pacific, Southeast</x:v>
      </x:c>
      <x:c r="C31" s="25" t="str">
        <x:v>High Seas</x:v>
      </x:c>
      <x:c r="D31" s="31" t="n">
        <x:v>2019</x:v>
      </x:c>
      <x:c r="E31" s="32" t="n">
        <x:v>245882.41767354257</x:v>
      </x:c>
      <x:c r="F31" s="32" t="n">
        <x:v>245882.41767354257</x:v>
      </x:c>
      <x:c r="G31" s="33" t="n">
        <x:v>0</x:v>
      </x:c>
      <x:c r="H31" s="34" t="n">
        <x:v>1</x:v>
      </x:c>
      <x:c r="I31" s="35" t="n">
        <x:v>25</x:v>
      </x:c>
      <x:c r="J31" s="35" t="n">
        <x:v>25</x:v>
      </x:c>
      <x:c r="K31" s="32" t="n">
        <x:v>657270846.1435144</x:v>
      </x:c>
      <x:c r="L31" s="32" t="n">
        <x:v>654505526.6641706</x:v>
      </x:c>
      <x:c r="M31" s="32" t="n">
        <x:v>653973496.1491203</x:v>
      </x:c>
      <x:c r="N31" s="34" t="n">
        <x:f>K31/SUM($K$2:$K$85)</x:f>
        <x:v>0.010072702085404126</x:v>
      </x:c>
      <x:c r="O31" s="35" t="n">
        <x:f>RANK(K31,$K$2:$K$85,0)+COUNTIF($K$2:K31,K31)-1</x:f>
        <x:v>30</x:v>
      </x:c>
      <x:c r="S31" t="str">
        <x:f>B8</x:f>
        <x:v>Canary Current</x:v>
      </x:c>
      <x:c r="T31" t="n">
        <x:f>K8</x:f>
        <x:v>2359485422.816173</x:v>
      </x:c>
    </x:row>
    <x:row r="32" ht="18" customHeight="1">
      <x:c r="A32" s="25" t="str">
        <x:v>HS_034</x:v>
      </x:c>
      <x:c r="B32" s="25" t="str">
        <x:v>Atlantic, Eastern Central</x:v>
      </x:c>
      <x:c r="C32" s="25" t="str">
        <x:v>High Seas</x:v>
      </x:c>
      <x:c r="D32" s="31" t="n">
        <x:v>2019</x:v>
      </x:c>
      <x:c r="E32" s="32" t="n">
        <x:v>235319.45527268611</x:v>
      </x:c>
      <x:c r="F32" s="32" t="n">
        <x:v>235319.45527268611</x:v>
      </x:c>
      <x:c r="G32" s="33" t="n">
        <x:v>0</x:v>
      </x:c>
      <x:c r="H32" s="34" t="n">
        <x:v>1</x:v>
      </x:c>
      <x:c r="I32" s="35" t="n">
        <x:v>37</x:v>
      </x:c>
      <x:c r="J32" s="35" t="n">
        <x:v>37</x:v>
      </x:c>
      <x:c r="K32" s="32" t="n">
        <x:v>580150840.1289461</x:v>
      </x:c>
      <x:c r="L32" s="32" t="n">
        <x:v>577913963.9606429</x:v>
      </x:c>
      <x:c r="M32" s="32" t="n">
        <x:v>573709660.5593073</x:v>
      </x:c>
      <x:c r="N32" s="34" t="n">
        <x:f>K32/SUM($K$2:$K$85)</x:f>
        <x:v>0.008890834899346544</x:v>
      </x:c>
      <x:c r="O32" s="35" t="n">
        <x:f>RANK(K32,$K$2:$K$85,0)+COUNTIF($K$2:K32,K32)-1</x:f>
        <x:v>31</x:v>
      </x:c>
      <x:c r="S32" t="str">
        <x:f>B9</x:f>
        <x:v>Guinea Current</x:v>
      </x:c>
      <x:c r="T32" t="n">
        <x:f>K9</x:f>
        <x:v>2256398879.66561</x:v>
      </x:c>
    </x:row>
    <x:row r="33" ht="18" customHeight="1">
      <x:c r="A33" s="25" t="str">
        <x:v>HS_057</x:v>
      </x:c>
      <x:c r="B33" s="25" t="str">
        <x:v>Indian Ocean, Eastern</x:v>
      </x:c>
      <x:c r="C33" s="25" t="str">
        <x:v>High Seas</x:v>
      </x:c>
      <x:c r="D33" s="31" t="n">
        <x:v>2019</x:v>
      </x:c>
      <x:c r="E33" s="32" t="n">
        <x:v>249459.52394633277</x:v>
      </x:c>
      <x:c r="F33" s="32" t="n">
        <x:v>249459.52394633277</x:v>
      </x:c>
      <x:c r="G33" s="33" t="n">
        <x:v>0</x:v>
      </x:c>
      <x:c r="H33" s="34" t="n">
        <x:v>1</x:v>
      </x:c>
      <x:c r="I33" s="35" t="n">
        <x:v>34</x:v>
      </x:c>
      <x:c r="J33" s="35" t="n">
        <x:v>34</x:v>
      </x:c>
      <x:c r="K33" s="32" t="n">
        <x:v>577352176.9718388</x:v>
      </x:c>
      <x:c r="L33" s="32" t="n">
        <x:v>561837233.6617491</x:v>
      </x:c>
      <x:c r="M33" s="32" t="n">
        <x:v>561492847.4666706</x:v>
      </x:c>
      <x:c r="N33" s="34" t="n">
        <x:f>K33/SUM($K$2:$K$85)</x:f>
        <x:v>0.008847945274187691</x:v>
      </x:c>
      <x:c r="O33" s="35" t="n">
        <x:f>RANK(K33,$K$2:$K$85,0)+COUNTIF($K$2:K33,K33)-1</x:f>
        <x:v>32</x:v>
      </x:c>
      <x:c r="S33" t="str">
        <x:f>B10</x:f>
        <x:v>Pacific, Eastern Central</x:v>
      </x:c>
      <x:c r="T33" t="n">
        <x:f>K10</x:f>
        <x:v>2196179346.027695</x:v>
      </x:c>
    </x:row>
    <x:row r="34" ht="18" customHeight="1">
      <x:c r="A34" s="25" t="str">
        <x:v>LME_005</x:v>
      </x:c>
      <x:c r="B34" s="25" t="str">
        <x:v>Gulf of Mexico</x:v>
      </x:c>
      <x:c r="C34" s="25" t="str">
        <x:v>LME</x:v>
      </x:c>
      <x:c r="D34" s="31" t="n">
        <x:v>2019</x:v>
      </x:c>
      <x:c r="E34" s="32" t="n">
        <x:v>1549275.8254257175</x:v>
      </x:c>
      <x:c r="F34" s="32" t="n">
        <x:v>1549275.8254257175</x:v>
      </x:c>
      <x:c r="G34" s="33" t="n">
        <x:v>0</x:v>
      </x:c>
      <x:c r="H34" s="34" t="n">
        <x:v>1</x:v>
      </x:c>
      <x:c r="I34" s="35" t="n">
        <x:v>418</x:v>
      </x:c>
      <x:c r="J34" s="35" t="n">
        <x:v>418</x:v>
      </x:c>
      <x:c r="K34" s="32" t="n">
        <x:v>558361747.8475869</x:v>
      </x:c>
      <x:c r="L34" s="32" t="n">
        <x:v>352850227.10518026</x:v>
      </x:c>
      <x:c r="M34" s="32" t="n">
        <x:v>421891503.66125906</x:v>
      </x:c>
      <x:c r="N34" s="34" t="n">
        <x:f>K34/SUM($K$2:$K$85)</x:f>
        <x:v>0.008556916186004453</x:v>
      </x:c>
      <x:c r="O34" s="35" t="n">
        <x:f>RANK(K34,$K$2:$K$85,0)+COUNTIF($K$2:K34,K34)-1</x:f>
        <x:v>33</x:v>
      </x:c>
      <x:c r="S34" t="str">
        <x:f>B11</x:f>
        <x:v>Gulf of Thailand</x:v>
      </x:c>
      <x:c r="T34" t="n">
        <x:f>K11</x:f>
        <x:v>1868893899.8381805</x:v>
      </x:c>
    </x:row>
    <x:row r="35" ht="18" customHeight="1">
      <x:c r="A35" s="25" t="str">
        <x:v>LME_051</x:v>
      </x:c>
      <x:c r="B35" s="25" t="str">
        <x:v>Oyashio Current</x:v>
      </x:c>
      <x:c r="C35" s="25" t="str">
        <x:v>LME</x:v>
      </x:c>
      <x:c r="D35" s="31" t="n">
        <x:v>2019</x:v>
      </x:c>
      <x:c r="E35" s="32" t="n">
        <x:v>1092021.8374498228</x:v>
      </x:c>
      <x:c r="F35" s="32" t="n">
        <x:v>1092021.8374498228</x:v>
      </x:c>
      <x:c r="G35" s="33" t="n">
        <x:v>0</x:v>
      </x:c>
      <x:c r="H35" s="34" t="n">
        <x:v>1</x:v>
      </x:c>
      <x:c r="I35" s="35" t="n">
        <x:v>143</x:v>
      </x:c>
      <x:c r="J35" s="35" t="n">
        <x:v>143</x:v>
      </x:c>
      <x:c r="K35" s="32" t="n">
        <x:v>528421987.24496377</x:v>
      </x:c>
      <x:c r="L35" s="32" t="n">
        <x:v>405330451.30796736</x:v>
      </x:c>
      <x:c r="M35" s="32" t="n">
        <x:v>415171646.0100482</x:v>
      </x:c>
      <x:c r="N35" s="34" t="n">
        <x:f>K35/SUM($K$2:$K$85)</x:f>
        <x:v>0.008098088153652181</x:v>
      </x:c>
      <x:c r="O35" s="35" t="n">
        <x:f>RANK(K35,$K$2:$K$85,0)+COUNTIF($K$2:K35,K35)-1</x:f>
        <x:v>34</x:v>
      </x:c>
      <x:c r="S35" t="str">
        <x:f>B12</x:f>
        <x:v>North Sea</x:v>
      </x:c>
      <x:c r="T35" t="n">
        <x:f>K12</x:f>
        <x:v>1700184787.4627526</x:v>
      </x:c>
    </x:row>
    <x:row r="36" ht="18" customHeight="1">
      <x:c r="A36" s="25" t="str">
        <x:v>LME_053</x:v>
      </x:c>
      <x:c r="B36" s="25" t="str">
        <x:v>West Bering Sea</x:v>
      </x:c>
      <x:c r="C36" s="25" t="str">
        <x:v>LME</x:v>
      </x:c>
      <x:c r="D36" s="31" t="n">
        <x:v>2019</x:v>
      </x:c>
      <x:c r="E36" s="32" t="n">
        <x:v>705687.5220776038</x:v>
      </x:c>
      <x:c r="F36" s="32" t="n">
        <x:v>705687.5220776038</x:v>
      </x:c>
      <x:c r="G36" s="33" t="n">
        <x:v>0</x:v>
      </x:c>
      <x:c r="H36" s="34" t="n">
        <x:v>1</x:v>
      </x:c>
      <x:c r="I36" s="35" t="n">
        <x:v>63</x:v>
      </x:c>
      <x:c r="J36" s="35" t="n">
        <x:v>63</x:v>
      </x:c>
      <x:c r="K36" s="32" t="n">
        <x:v>511445832.05498385</x:v>
      </x:c>
      <x:c r="L36" s="32" t="n">
        <x:v>392569072.97454214</x:v>
      </x:c>
      <x:c r="M36" s="32" t="n">
        <x:v>341774720.3779067</x:v>
      </x:c>
      <x:c r="N36" s="34" t="n">
        <x:f>K36/SUM($K$2:$K$85)</x:f>
        <x:v>0.007837927894319884</x:v>
      </x:c>
      <x:c r="O36" s="35" t="n">
        <x:f>RANK(K36,$K$2:$K$85,0)+COUNTIF($K$2:K36,K36)-1</x:f>
        <x:v>35</x:v>
      </x:c>
      <x:c r="S36" t="str">
        <x:f>B13</x:f>
        <x:v>Kuroshio Current</x:v>
      </x:c>
      <x:c r="T36" t="n">
        <x:f>K13</x:f>
        <x:v>1682486180.5803435</x:v>
      </x:c>
    </x:row>
    <x:row r="37" ht="18" customHeight="1">
      <x:c r="A37" s="25" t="str">
        <x:v>LME_030</x:v>
      </x:c>
      <x:c r="B37" s="25" t="str">
        <x:v>Agulhas Current</x:v>
      </x:c>
      <x:c r="C37" s="25" t="str">
        <x:v>LME</x:v>
      </x:c>
      <x:c r="D37" s="31" t="n">
        <x:v>2019</x:v>
      </x:c>
      <x:c r="E37" s="32" t="n">
        <x:v>794215.4259763142</x:v>
      </x:c>
      <x:c r="F37" s="32" t="n">
        <x:v>794215.4259763142</x:v>
      </x:c>
      <x:c r="G37" s="33" t="n">
        <x:v>0</x:v>
      </x:c>
      <x:c r="H37" s="34" t="n">
        <x:v>1</x:v>
      </x:c>
      <x:c r="I37" s="35" t="n">
        <x:v>272</x:v>
      </x:c>
      <x:c r="J37" s="35" t="n">
        <x:v>272</x:v>
      </x:c>
      <x:c r="K37" s="32" t="n">
        <x:v>482169734.53988993</x:v>
      </x:c>
      <x:c r="L37" s="32" t="n">
        <x:v>371322087.27435106</x:v>
      </x:c>
      <x:c r="M37" s="32" t="n">
        <x:v>404858007.0563225</x:v>
      </x:c>
      <x:c r="N37" s="34" t="n">
        <x:f>K37/SUM($K$2:$K$85)</x:f>
        <x:v>0.007389270525408693</x:v>
      </x:c>
      <x:c r="O37" s="35" t="n">
        <x:f>RANK(K37,$K$2:$K$85,0)+COUNTIF($K$2:K37,K37)-1</x:f>
        <x:v>36</x:v>
      </x:c>
      <x:c r="S37" t="str">
        <x:f>B14</x:f>
        <x:v>Indonesian Sea</x:v>
      </x:c>
      <x:c r="T37" t="n">
        <x:f>K14</x:f>
        <x:v>1678212214.8416104</x:v>
      </x:c>
    </x:row>
    <x:row r="38" ht="18" customHeight="1">
      <x:c r="A38" s="25" t="str">
        <x:v>LME_060</x:v>
      </x:c>
      <x:c r="B38" s="25" t="str">
        <x:v>Faroe Plateau</x:v>
      </x:c>
      <x:c r="C38" s="25" t="str">
        <x:v>LME</x:v>
      </x:c>
      <x:c r="D38" s="31" t="n">
        <x:v>2019</x:v>
      </x:c>
      <x:c r="E38" s="32" t="n">
        <x:v>420222.20101457404</x:v>
      </x:c>
      <x:c r="F38" s="32" t="n">
        <x:v>420222.20101457404</x:v>
      </x:c>
      <x:c r="G38" s="33" t="n">
        <x:v>0</x:v>
      </x:c>
      <x:c r="H38" s="34" t="n">
        <x:v>1</x:v>
      </x:c>
      <x:c r="I38" s="35" t="n">
        <x:v>114</x:v>
      </x:c>
      <x:c r="J38" s="35" t="n">
        <x:v>114</x:v>
      </x:c>
      <x:c r="K38" s="32" t="n">
        <x:v>476451437.8234684</x:v>
      </x:c>
      <x:c r="L38" s="32" t="n">
        <x:v>464921354.3871538</x:v>
      </x:c>
      <x:c r="M38" s="32" t="n">
        <x:v>468250278.9980398</x:v>
      </x:c>
      <x:c r="N38" s="34" t="n">
        <x:f>K38/SUM($K$2:$K$85)</x:f>
        <x:v>0.007301637398824098</x:v>
      </x:c>
      <x:c r="O38" s="35" t="n">
        <x:f>RANK(K38,$K$2:$K$85,0)+COUNTIF($K$2:K38,K38)-1</x:f>
        <x:v>37</x:v>
      </x:c>
      <x:c r="S38" t="str">
        <x:f>B15</x:f>
        <x:v>Yellow Sea</x:v>
      </x:c>
      <x:c r="T38" t="n">
        <x:f>K15</x:f>
        <x:v>1554214509.6068287</x:v>
      </x:c>
    </x:row>
    <x:row r="39" ht="18" customHeight="1">
      <x:c r="A39" s="25" t="str">
        <x:v>LME_007</x:v>
      </x:c>
      <x:c r="B39" s="25" t="str">
        <x:v>Northeast U.S. Continental Shelf</x:v>
      </x:c>
      <x:c r="C39" s="25" t="str">
        <x:v>LME</x:v>
      </x:c>
      <x:c r="D39" s="31" t="n">
        <x:v>2019</x:v>
      </x:c>
      <x:c r="E39" s="32" t="n">
        <x:v>700878.7473042159</x:v>
      </x:c>
      <x:c r="F39" s="32" t="n">
        <x:v>700878.7473042159</x:v>
      </x:c>
      <x:c r="G39" s="33" t="n">
        <x:v>0</x:v>
      </x:c>
      <x:c r="H39" s="34" t="n">
        <x:v>1</x:v>
      </x:c>
      <x:c r="I39" s="35" t="n">
        <x:v>232</x:v>
      </x:c>
      <x:c r="J39" s="35" t="n">
        <x:v>232</x:v>
      </x:c>
      <x:c r="K39" s="32" t="n">
        <x:v>432863601.07882154</x:v>
      </x:c>
      <x:c r="L39" s="32" t="n">
        <x:v>318789633.10278773</x:v>
      </x:c>
      <x:c r="M39" s="32" t="n">
        <x:v>363980234.12803376</x:v>
      </x:c>
      <x:c r="N39" s="34" t="n">
        <x:f>K39/SUM($K$2:$K$85)</x:f>
        <x:v>0.006633652052064638</x:v>
      </x:c>
      <x:c r="O39" s="35" t="n">
        <x:f>RANK(K39,$K$2:$K$85,0)+COUNTIF($K$2:K39,K39)-1</x:f>
        <x:v>38</x:v>
      </x:c>
      <x:c r="S39" t="str">
        <x:f>B16</x:f>
        <x:v>Pacific, Western Central</x:v>
      </x:c>
      <x:c r="T39" t="n">
        <x:f>K16</x:f>
        <x:v>1482147259.8171525</x:v>
      </x:c>
    </x:row>
    <x:row r="40" ht="18" customHeight="1">
      <x:c r="A40" s="25" t="str">
        <x:v>LME_012</x:v>
      </x:c>
      <x:c r="B40" s="25" t="str">
        <x:v>Caribbean Sea</x:v>
      </x:c>
      <x:c r="C40" s="25" t="str">
        <x:v>LME</x:v>
      </x:c>
      <x:c r="D40" s="31" t="n">
        <x:v>2019</x:v>
      </x:c>
      <x:c r="E40" s="32" t="n">
        <x:v>625707.9632201534</x:v>
      </x:c>
      <x:c r="F40" s="32" t="n">
        <x:v>625707.9632201534</x:v>
      </x:c>
      <x:c r="G40" s="33" t="n">
        <x:v>0</x:v>
      </x:c>
      <x:c r="H40" s="34" t="n">
        <x:v>1</x:v>
      </x:c>
      <x:c r="I40" s="35" t="n">
        <x:v>507</x:v>
      </x:c>
      <x:c r="J40" s="35" t="n">
        <x:v>507</x:v>
      </x:c>
      <x:c r="K40" s="32" t="n">
        <x:v>398459551.5651003</x:v>
      </x:c>
      <x:c r="L40" s="32" t="n">
        <x:v>269270898.9438963</x:v>
      </x:c>
      <x:c r="M40" s="32" t="n">
        <x:v>318302383.71405965</x:v>
      </x:c>
      <x:c r="N40" s="34" t="n">
        <x:f>K40/SUM($K$2:$K$85)</x:f>
        <x:v>0.006106408613052375</x:v>
      </x:c>
      <x:c r="O40" s="35" t="n">
        <x:f>RANK(K40,$K$2:$K$85,0)+COUNTIF($K$2:K40,K40)-1</x:f>
        <x:v>39</x:v>
      </x:c>
      <x:c r="S40" t="str">
        <x:f>B17</x:f>
        <x:v>Sea of Japan / East Sea</x:v>
      </x:c>
      <x:c r="T40" t="n">
        <x:f>K17</x:f>
        <x:v>1439195574.0782979</x:v>
      </x:c>
    </x:row>
    <x:row r="41" ht="18" customHeight="1">
      <x:c r="A41" s="25" t="str">
        <x:v>LME_025</x:v>
      </x:c>
      <x:c r="B41" s="25" t="str">
        <x:v>Iberian Coastal</x:v>
      </x:c>
      <x:c r="C41" s="25" t="str">
        <x:v>LME</x:v>
      </x:c>
      <x:c r="D41" s="31" t="n">
        <x:v>2019</x:v>
      </x:c>
      <x:c r="E41" s="32" t="n">
        <x:v>429516.3330948258</x:v>
      </x:c>
      <x:c r="F41" s="32" t="n">
        <x:v>429516.3330948258</x:v>
      </x:c>
      <x:c r="G41" s="33" t="n">
        <x:v>0</x:v>
      </x:c>
      <x:c r="H41" s="34" t="n">
        <x:v>1</x:v>
      </x:c>
      <x:c r="I41" s="35" t="n">
        <x:v>432</x:v>
      </x:c>
      <x:c r="J41" s="35" t="n">
        <x:v>432</x:v>
      </x:c>
      <x:c r="K41" s="32" t="n">
        <x:v>350502389.2247894</x:v>
      </x:c>
      <x:c r="L41" s="32" t="n">
        <x:v>290052892.74702895</x:v>
      </x:c>
      <x:c r="M41" s="32" t="n">
        <x:v>317576506.32073075</x:v>
      </x:c>
      <x:c r="N41" s="34" t="n">
        <x:f>K41/SUM($K$2:$K$85)</x:f>
        <x:v>0.00537146317625167</x:v>
      </x:c>
      <x:c r="O41" s="35" t="n">
        <x:f>RANK(K41,$K$2:$K$85,0)+COUNTIF($K$2:K41,K41)-1</x:f>
        <x:v>40</x:v>
      </x:c>
      <x:c r="S41" t="str">
        <x:f>B18</x:f>
        <x:v>Patagonian Shelf</x:v>
      </x:c>
      <x:c r="T41" t="n">
        <x:f>K18</x:f>
        <x:v>1391657718.08254</x:v>
      </x:c>
    </x:row>
    <x:row r="42" ht="18" customHeight="1">
      <x:c r="A42" s="25" t="str">
        <x:v>LME_021</x:v>
      </x:c>
      <x:c r="B42" s="25" t="str">
        <x:v>Norwegian Sea</x:v>
      </x:c>
      <x:c r="C42" s="25" t="str">
        <x:v>LME</x:v>
      </x:c>
      <x:c r="D42" s="31" t="n">
        <x:v>2019</x:v>
      </x:c>
      <x:c r="E42" s="32" t="n">
        <x:v>707251.5165434971</x:v>
      </x:c>
      <x:c r="F42" s="32" t="n">
        <x:v>707251.5165434971</x:v>
      </x:c>
      <x:c r="G42" s="33" t="n">
        <x:v>0</x:v>
      </x:c>
      <x:c r="H42" s="34" t="n">
        <x:v>1</x:v>
      </x:c>
      <x:c r="I42" s="35" t="n">
        <x:v>162</x:v>
      </x:c>
      <x:c r="J42" s="35" t="n">
        <x:v>162</x:v>
      </x:c>
      <x:c r="K42" s="32" t="n">
        <x:v>338234665.9022903</x:v>
      </x:c>
      <x:c r="L42" s="32" t="n">
        <x:v>335085397.39012265</x:v>
      </x:c>
      <x:c r="M42" s="32" t="n">
        <x:v>329594728.18682873</x:v>
      </x:c>
      <x:c r="N42" s="34" t="n">
        <x:f>K42/SUM($K$2:$K$85)</x:f>
        <x:v>0.005183459824180405</x:v>
      </x:c>
      <x:c r="O42" s="35" t="n">
        <x:f>RANK(K42,$K$2:$K$85,0)+COUNTIF($K$2:K42,K42)-1</x:f>
        <x:v>41</x:v>
      </x:c>
      <x:c r="S42" t="str">
        <x:f>B19</x:f>
        <x:v>California Current</x:v>
      </x:c>
      <x:c r="T42" t="n">
        <x:f>K19</x:f>
        <x:v>1028923753.7644161</x:v>
      </x:c>
    </x:row>
    <x:row r="43" ht="18" customHeight="1">
      <x:c r="A43" s="25" t="str">
        <x:v>LME_017</x:v>
      </x:c>
      <x:c r="B43" s="25" t="str">
        <x:v>North Brazil Shelf</x:v>
      </x:c>
      <x:c r="C43" s="25" t="str">
        <x:v>LME</x:v>
      </x:c>
      <x:c r="D43" s="31" t="n">
        <x:v>2019</x:v>
      </x:c>
      <x:c r="E43" s="32" t="n">
        <x:v>453226.03085279715</x:v>
      </x:c>
      <x:c r="F43" s="32" t="n">
        <x:v>453226.03085279715</x:v>
      </x:c>
      <x:c r="G43" s="33" t="n">
        <x:v>0</x:v>
      </x:c>
      <x:c r="H43" s="34" t="n">
        <x:v>1</x:v>
      </x:c>
      <x:c r="I43" s="35" t="n">
        <x:v>311</x:v>
      </x:c>
      <x:c r="J43" s="35" t="n">
        <x:v>311</x:v>
      </x:c>
      <x:c r="K43" s="32" t="n">
        <x:v>292573328.34463125</x:v>
      </x:c>
      <x:c r="L43" s="32" t="n">
        <x:v>189166998.1074495</x:v>
      </x:c>
      <x:c r="M43" s="32" t="n">
        <x:v>222989340.40241998</x:v>
      </x:c>
      <x:c r="N43" s="34" t="n">
        <x:f>K43/SUM($K$2:$K$85)</x:f>
        <x:v>0.00448369799427726</x:v>
      </x:c>
      <x:c r="O43" s="35" t="n">
        <x:f>RANK(K43,$K$2:$K$85,0)+COUNTIF($K$2:K43,K43)-1</x:f>
        <x:v>42</x:v>
      </x:c>
      <x:c r="S43" t="str">
        <x:f>B20</x:f>
        <x:v>Celtic-Biscay Shelf</x:v>
      </x:c>
      <x:c r="T43" t="n">
        <x:f>K20</x:f>
        <x:v>1010255322.1765621</x:v>
      </x:c>
    </x:row>
    <x:row r="44" ht="18" customHeight="1">
      <x:c r="A44" s="25" t="str">
        <x:v>LME_062</x:v>
      </x:c>
      <x:c r="B44" s="25" t="str">
        <x:v>Black Sea</x:v>
      </x:c>
      <x:c r="C44" s="25" t="str">
        <x:v>LME</x:v>
      </x:c>
      <x:c r="D44" s="31" t="n">
        <x:v>2019</x:v>
      </x:c>
      <x:c r="E44" s="32" t="n">
        <x:v>1145168.1859547237</x:v>
      </x:c>
      <x:c r="F44" s="32" t="n">
        <x:v>1145168.1859547237</x:v>
      </x:c>
      <x:c r="G44" s="33" t="n">
        <x:v>0</x:v>
      </x:c>
      <x:c r="H44" s="34" t="n">
        <x:v>1</x:v>
      </x:c>
      <x:c r="I44" s="35" t="n">
        <x:v>120</x:v>
      </x:c>
      <x:c r="J44" s="35" t="n">
        <x:v>120</x:v>
      </x:c>
      <x:c r="K44" s="32" t="n">
        <x:v>287609386.6659423</x:v>
      </x:c>
      <x:c r="L44" s="32" t="n">
        <x:v>257887285.09777054</x:v>
      </x:c>
      <x:c r="M44" s="32" t="n">
        <x:v>257454061.90611702</x:v>
      </x:c>
      <x:c r="N44" s="34" t="n">
        <x:f>K44/SUM($K$2:$K$85)</x:f>
        <x:v>0.0044076253889089746</x:v>
      </x:c>
      <x:c r="O44" s="35" t="n">
        <x:f>RANK(K44,$K$2:$K$85,0)+COUNTIF($K$2:K44,K44)-1</x:f>
        <x:v>43</x:v>
      </x:c>
      <x:c r="S44" t="str">
        <x:f>B21</x:f>
        <x:v>Mediterranean Sea</x:v>
      </x:c>
      <x:c r="T44" t="n">
        <x:f>K21</x:f>
        <x:v>1007915797.3835726</x:v>
      </x:c>
    </x:row>
    <x:row r="45" ht="18" customHeight="1">
      <x:c r="A45" s="25" t="str">
        <x:v>HS_061</x:v>
      </x:c>
      <x:c r="B45" s="25" t="str">
        <x:v>Pacific, Northwest</x:v>
      </x:c>
      <x:c r="C45" s="25" t="str">
        <x:v>High Seas</x:v>
      </x:c>
      <x:c r="D45" s="31" t="n">
        <x:v>2019</x:v>
      </x:c>
      <x:c r="E45" s="32" t="n">
        <x:v>132995.67933726683</x:v>
      </x:c>
      <x:c r="F45" s="32" t="n">
        <x:v>132995.67933726683</x:v>
      </x:c>
      <x:c r="G45" s="33" t="n">
        <x:v>0</x:v>
      </x:c>
      <x:c r="H45" s="34" t="n">
        <x:v>1</x:v>
      </x:c>
      <x:c r="I45" s="35" t="n">
        <x:v>21</x:v>
      </x:c>
      <x:c r="J45" s="35" t="n">
        <x:v>21</x:v>
      </x:c>
      <x:c r="K45" s="32" t="n">
        <x:v>284384862.0630329</x:v>
      </x:c>
      <x:c r="L45" s="32" t="n">
        <x:v>282590083.8142501</x:v>
      </x:c>
      <x:c r="M45" s="32" t="n">
        <x:v>282258802.3773237</x:v>
      </x:c>
      <x:c r="N45" s="34" t="n">
        <x:f>K45/SUM($K$2:$K$85)</x:f>
        <x:v>0.004358209420008583</x:v>
      </x:c>
      <x:c r="O45" s="35" t="n">
        <x:f>RANK(K45,$K$2:$K$85,0)+COUNTIF($K$2:K45,K45)-1</x:f>
        <x:v>44</x:v>
      </x:c>
      <x:c r="S45" t="str">
        <x:f>B22</x:f>
        <x:v>Benguela Current</x:v>
      </x:c>
      <x:c r="T45" t="n">
        <x:f>K22</x:f>
        <x:v>997757338.2466873</x:v>
      </x:c>
    </x:row>
    <x:row r="46" ht="18" customHeight="1">
      <x:c r="A46" s="25" t="str">
        <x:v>LME_009</x:v>
      </x:c>
      <x:c r="B46" s="25" t="str">
        <x:v>Newfoundland-Labrador Shelf</x:v>
      </x:c>
      <x:c r="C46" s="25" t="str">
        <x:v>LME</x:v>
      </x:c>
      <x:c r="D46" s="31" t="n">
        <x:v>2019</x:v>
      </x:c>
      <x:c r="E46" s="32" t="n">
        <x:v>506689.99406100786</x:v>
      </x:c>
      <x:c r="F46" s="32" t="n">
        <x:v>506689.99406100786</x:v>
      </x:c>
      <x:c r="G46" s="33" t="n">
        <x:v>0</x:v>
      </x:c>
      <x:c r="H46" s="34" t="n">
        <x:v>1</x:v>
      </x:c>
      <x:c r="I46" s="35" t="n">
        <x:v>111</x:v>
      </x:c>
      <x:c r="J46" s="35" t="n">
        <x:v>111</x:v>
      </x:c>
      <x:c r="K46" s="32" t="n">
        <x:v>272326949.81673676</x:v>
      </x:c>
      <x:c r="L46" s="32" t="n">
        <x:v>222909537.7389832</x:v>
      </x:c>
      <x:c r="M46" s="32" t="n">
        <x:v>248795200.32622927</x:v>
      </x:c>
      <x:c r="N46" s="34" t="n">
        <x:f>K46/SUM($K$2:$K$85)</x:f>
        <x:v>0.004173421431097285</x:v>
      </x:c>
      <x:c r="O46" s="35" t="n">
        <x:f>RANK(K46,$K$2:$K$85,0)+COUNTIF($K$2:K46,K46)-1</x:f>
        <x:v>45</x:v>
      </x:c>
      <x:c r="S46" t="str">
        <x:f>B23</x:f>
        <x:v>Sulu-Celebes Sea</x:v>
      </x:c>
      <x:c r="T46" t="n">
        <x:f>K23</x:f>
        <x:v>990198790.8703026</x:v>
      </x:c>
    </x:row>
    <x:row r="47" ht="18" customHeight="1">
      <x:c r="A47" s="25" t="str">
        <x:v>LME_004</x:v>
      </x:c>
      <x:c r="B47" s="25" t="str">
        <x:v>Gulf of California</x:v>
      </x:c>
      <x:c r="C47" s="25" t="str">
        <x:v>LME</x:v>
      </x:c>
      <x:c r="D47" s="31" t="n">
        <x:v>2019</x:v>
      </x:c>
      <x:c r="E47" s="32" t="n">
        <x:v>664877.8552277525</x:v>
      </x:c>
      <x:c r="F47" s="32" t="n">
        <x:v>664877.8552277525</x:v>
      </x:c>
      <x:c r="G47" s="33" t="n">
        <x:v>0</x:v>
      </x:c>
      <x:c r="H47" s="34" t="n">
        <x:v>1</x:v>
      </x:c>
      <x:c r="I47" s="35" t="n">
        <x:v>129</x:v>
      </x:c>
      <x:c r="J47" s="35" t="n">
        <x:v>129</x:v>
      </x:c>
      <x:c r="K47" s="32" t="n">
        <x:v>254257319.8187799</x:v>
      </x:c>
      <x:c r="L47" s="32" t="n">
        <x:v>187669905.16739705</x:v>
      </x:c>
      <x:c r="M47" s="32" t="n">
        <x:v>193115605.2914297</x:v>
      </x:c>
      <x:c r="N47" s="34" t="n">
        <x:f>K47/SUM($K$2:$K$85)</x:f>
        <x:v>0.0038965036264649467</x:v>
      </x:c>
      <x:c r="O47" s="35" t="n">
        <x:f>RANK(K47,$K$2:$K$85,0)+COUNTIF($K$2:K47,K47)-1</x:f>
        <x:v>46</x:v>
      </x:c>
      <x:c r="S47" t="str">
        <x:f>B24</x:f>
        <x:v>Gulf of Alaska</x:v>
      </x:c>
      <x:c r="T47" t="n">
        <x:f>K24</x:f>
        <x:v>967218747.5530663</x:v>
      </x:c>
    </x:row>
    <x:row r="48" ht="18" customHeight="1">
      <x:c r="A48" s="25" t="str">
        <x:v>LME_023</x:v>
      </x:c>
      <x:c r="B48" s="25" t="str">
        <x:v>Baltic Sea</x:v>
      </x:c>
      <x:c r="C48" s="25" t="str">
        <x:v>LME</x:v>
      </x:c>
      <x:c r="D48" s="31" t="n">
        <x:v>2019</x:v>
      </x:c>
      <x:c r="E48" s="32" t="n">
        <x:v>937172.6469930055</x:v>
      </x:c>
      <x:c r="F48" s="32" t="n">
        <x:v>937172.6469930055</x:v>
      </x:c>
      <x:c r="G48" s="33" t="n">
        <x:v>0</x:v>
      </x:c>
      <x:c r="H48" s="34" t="n">
        <x:v>1</x:v>
      </x:c>
      <x:c r="I48" s="35" t="n">
        <x:v>117</x:v>
      </x:c>
      <x:c r="J48" s="35" t="n">
        <x:v>117</x:v>
      </x:c>
      <x:c r="K48" s="32" t="n">
        <x:v>250346631.37596366</x:v>
      </x:c>
      <x:c r="L48" s="32" t="n">
        <x:v>225670148.64899933</x:v>
      </x:c>
      <x:c r="M48" s="32" t="n">
        <x:v>229959848.8100546</x:v>
      </x:c>
      <x:c r="N48" s="34" t="n">
        <x:f>K48/SUM($K$2:$K$85)</x:f>
        <x:v>0.0038365721691906046</x:v>
      </x:c>
      <x:c r="O48" s="35" t="n">
        <x:f>RANK(K48,$K$2:$K$85,0)+COUNTIF($K$2:K48,K48)-1</x:f>
        <x:v>47</x:v>
      </x:c>
      <x:c r="S48" t="str">
        <x:f>B25</x:f>
        <x:v>Indian Ocean, Western</x:v>
      </x:c>
      <x:c r="T48" t="n">
        <x:f>K25</x:f>
        <x:v>907481876.8369483</x:v>
      </x:c>
    </x:row>
    <x:row r="49" ht="18" customHeight="1">
      <x:c r="A49" s="25" t="str">
        <x:v>LME_015</x:v>
      </x:c>
      <x:c r="B49" s="25" t="str">
        <x:v>South Brazil Shelf</x:v>
      </x:c>
      <x:c r="C49" s="25" t="str">
        <x:v>LME</x:v>
      </x:c>
      <x:c r="D49" s="31" t="n">
        <x:v>2019</x:v>
      </x:c>
      <x:c r="E49" s="32" t="n">
        <x:v>292432.0999772061</x:v>
      </x:c>
      <x:c r="F49" s="32" t="n">
        <x:v>292432.0999772061</x:v>
      </x:c>
      <x:c r="G49" s="33" t="n">
        <x:v>0</x:v>
      </x:c>
      <x:c r="H49" s="34" t="n">
        <x:v>1</x:v>
      </x:c>
      <x:c r="I49" s="35" t="n">
        <x:v>264</x:v>
      </x:c>
      <x:c r="J49" s="35" t="n">
        <x:v>264</x:v>
      </x:c>
      <x:c r="K49" s="32" t="n">
        <x:v>226590038.89243433</x:v>
      </x:c>
      <x:c r="L49" s="32" t="n">
        <x:v>177610722.1212687</x:v>
      </x:c>
      <x:c r="M49" s="32" t="n">
        <x:v>192161835.32496005</x:v>
      </x:c>
      <x:c r="N49" s="34" t="n">
        <x:f>K49/SUM($K$2:$K$85)</x:f>
        <x:v>0.0034725014363184933</x:v>
      </x:c>
      <x:c r="O49" s="35" t="n">
        <x:f>RANK(K49,$K$2:$K$85,0)+COUNTIF($K$2:K49,K49)-1</x:f>
        <x:v>48</x:v>
      </x:c>
      <x:c r="S49" t="str">
        <x:f>B26</x:f>
        <x:v>East Bering Sea</x:v>
      </x:c>
      <x:c r="T49" t="n">
        <x:f>K26</x:f>
        <x:v>816435933.9124104</x:v>
      </x:c>
    </x:row>
    <x:row r="50" ht="18" customHeight="1">
      <x:c r="A50" s="25" t="str">
        <x:v>LME_031</x:v>
      </x:c>
      <x:c r="B50" s="25" t="str">
        <x:v>Somali Coastal Current</x:v>
      </x:c>
      <x:c r="C50" s="25" t="str">
        <x:v>LME</x:v>
      </x:c>
      <x:c r="D50" s="31" t="n">
        <x:v>2019</x:v>
      </x:c>
      <x:c r="E50" s="32" t="n">
        <x:v>237379.07863162042</x:v>
      </x:c>
      <x:c r="F50" s="32" t="n">
        <x:v>237379.07863162042</x:v>
      </x:c>
      <x:c r="G50" s="33" t="n">
        <x:v>0</x:v>
      </x:c>
      <x:c r="H50" s="34" t="n">
        <x:v>1</x:v>
      </x:c>
      <x:c r="I50" s="35" t="n">
        <x:v>205</x:v>
      </x:c>
      <x:c r="J50" s="35" t="n">
        <x:v>205</x:v>
      </x:c>
      <x:c r="K50" s="32" t="n">
        <x:v>220033882.6044375</x:v>
      </x:c>
      <x:c r="L50" s="32" t="n">
        <x:v>156501852.68740436</x:v>
      </x:c>
      <x:c r="M50" s="32" t="n">
        <x:v>180797899.8177598</x:v>
      </x:c>
      <x:c r="N50" s="34" t="n">
        <x:f>K50/SUM($K$2:$K$85)</x:f>
        <x:v>0.003372028078186431</x:v>
      </x:c>
      <x:c r="O50" s="35" t="n">
        <x:f>RANK(K50,$K$2:$K$85,0)+COUNTIF($K$2:K50,K50)-1</x:f>
        <x:v>49</x:v>
      </x:c>
    </x:row>
    <x:row r="51" ht="18" customHeight="1">
      <x:c r="A51" s="25" t="str">
        <x:v>LME_018</x:v>
      </x:c>
      <x:c r="B51" s="25" t="str">
        <x:v>Canadian Eastern Arctic -West Greenland</x:v>
      </x:c>
      <x:c r="C51" s="25" t="str">
        <x:v>LME</x:v>
      </x:c>
      <x:c r="D51" s="31" t="n">
        <x:v>2019</x:v>
      </x:c>
      <x:c r="E51" s="32" t="n">
        <x:v>219045.62416918142</x:v>
      </x:c>
      <x:c r="F51" s="32" t="n">
        <x:v>219045.62416918142</x:v>
      </x:c>
      <x:c r="G51" s="33" t="n">
        <x:v>0</x:v>
      </x:c>
      <x:c r="H51" s="34" t="n">
        <x:v>1</x:v>
      </x:c>
      <x:c r="I51" s="35" t="n">
        <x:v>61</x:v>
      </x:c>
      <x:c r="J51" s="35" t="n">
        <x:v>61</x:v>
      </x:c>
      <x:c r="K51" s="32" t="n">
        <x:v>208696707.97660503</x:v>
      </x:c>
      <x:c r="L51" s="32" t="n">
        <x:v>207626199.11109316</x:v>
      </x:c>
      <x:c r="M51" s="32" t="n">
        <x:v>208407100.77841595</x:v>
      </x:c>
      <x:c r="N51" s="34" t="n">
        <x:f>K51/SUM($K$2:$K$85)</x:f>
        <x:v>0.00319828542219249</x:v>
      </x:c>
      <x:c r="O51" s="35" t="n">
        <x:f>RANK(K51,$K$2:$K$85,0)+COUNTIF($K$2:K51,K51)-1</x:f>
        <x:v>50</x:v>
      </x:c>
    </x:row>
    <x:row r="52" ht="18" customHeight="1">
      <x:c r="A52" s="25" t="str">
        <x:v>LME_016</x:v>
      </x:c>
      <x:c r="B52" s="25" t="str">
        <x:v>East Brazil Shelf</x:v>
      </x:c>
      <x:c r="C52" s="25" t="str">
        <x:v>LME</x:v>
      </x:c>
      <x:c r="D52" s="31" t="n">
        <x:v>2019</x:v>
      </x:c>
      <x:c r="E52" s="32" t="n">
        <x:v>306003.2887419415</x:v>
      </x:c>
      <x:c r="F52" s="32" t="n">
        <x:v>306003.2887419415</x:v>
      </x:c>
      <x:c r="G52" s="33" t="n">
        <x:v>0</x:v>
      </x:c>
      <x:c r="H52" s="34" t="n">
        <x:v>1</x:v>
      </x:c>
      <x:c r="I52" s="35" t="n">
        <x:v>254</x:v>
      </x:c>
      <x:c r="J52" s="35" t="n">
        <x:v>254</x:v>
      </x:c>
      <x:c r="K52" s="32" t="n">
        <x:v>201658143.7250421</x:v>
      </x:c>
      <x:c r="L52" s="32" t="n">
        <x:v>132379802.06755418</x:v>
      </x:c>
      <x:c r="M52" s="32" t="n">
        <x:v>154874390.16322204</x:v>
      </x:c>
      <x:c r="N52" s="34" t="n">
        <x:f>K52/SUM($K$2:$K$85)</x:f>
        <x:v>0.0030904191426656354</x:v>
      </x:c>
      <x:c r="O52" s="35" t="n">
        <x:f>RANK(K52,$K$2:$K$85,0)+COUNTIF($K$2:K52,K52)-1</x:f>
        <x:v>51</x:v>
      </x:c>
    </x:row>
    <x:row r="53" ht="18" customHeight="1">
      <x:c r="A53" s="25" t="str">
        <x:v>HS_027</x:v>
      </x:c>
      <x:c r="B53" s="25" t="str">
        <x:v>Atlantic, Northeast</x:v>
      </x:c>
      <x:c r="C53" s="25" t="str">
        <x:v>High Seas</x:v>
      </x:c>
      <x:c r="D53" s="31" t="n">
        <x:v>2019</x:v>
      </x:c>
      <x:c r="E53" s="32" t="n">
        <x:v>734932.290461042</x:v>
      </x:c>
      <x:c r="F53" s="32" t="n">
        <x:v>734932.290461042</x:v>
      </x:c>
      <x:c r="G53" s="33" t="n">
        <x:v>0</x:v>
      </x:c>
      <x:c r="H53" s="34" t="n">
        <x:v>1</x:v>
      </x:c>
      <x:c r="I53" s="35" t="n">
        <x:v>131</x:v>
      </x:c>
      <x:c r="J53" s="35" t="n">
        <x:v>131</x:v>
      </x:c>
      <x:c r="K53" s="32" t="n">
        <x:v>192111009.49801588</x:v>
      </x:c>
      <x:c r="L53" s="32" t="n">
        <x:v>190119918.21647057</x:v>
      </x:c>
      <x:c r="M53" s="32" t="n">
        <x:v>191769855.84918004</x:v>
      </x:c>
      <x:c r="N53" s="34" t="n">
        <x:f>K53/SUM($K$2:$K$85)</x:f>
        <x:v>0.002944108927626518</x:v>
      </x:c>
      <x:c r="O53" s="35" t="n">
        <x:f>RANK(K53,$K$2:$K$85,0)+COUNTIF($K$2:K53,K53)-1</x:f>
        <x:v>52</x:v>
      </x:c>
    </x:row>
    <x:row r="54" ht="18" customHeight="1">
      <x:c r="A54" s="25" t="str">
        <x:v>LME_054</x:v>
      </x:c>
      <x:c r="B54" s="25" t="str">
        <x:v>Northern Bering - Chukchi Seas</x:v>
      </x:c>
      <x:c r="C54" s="25" t="str">
        <x:v>LME</x:v>
      </x:c>
      <x:c r="D54" s="31" t="n">
        <x:v>2019</x:v>
      </x:c>
      <x:c r="E54" s="32" t="n">
        <x:v>348828.221273396</x:v>
      </x:c>
      <x:c r="F54" s="32" t="n">
        <x:v>348828.221273396</x:v>
      </x:c>
      <x:c r="G54" s="33" t="n">
        <x:v>0</x:v>
      </x:c>
      <x:c r="H54" s="34" t="n">
        <x:v>1</x:v>
      </x:c>
      <x:c r="I54" s="35" t="n">
        <x:v>93</x:v>
      </x:c>
      <x:c r="J54" s="35" t="n">
        <x:v>93</x:v>
      </x:c>
      <x:c r="K54" s="32" t="n">
        <x:v>188778895.78178987</x:v>
      </x:c>
      <x:c r="L54" s="32" t="n">
        <x:v>152040929.93117216</x:v>
      </x:c>
      <x:c r="M54" s="32" t="n">
        <x:v>138060768.34332538</x:v>
      </x:c>
      <x:c r="N54" s="34" t="n">
        <x:f>K54/SUM($K$2:$K$85)</x:f>
        <x:v>0.002893044151248311</x:v>
      </x:c>
      <x:c r="O54" s="35" t="n">
        <x:f>RANK(K54,$K$2:$K$85,0)+COUNTIF($K$2:K54,K54)-1</x:f>
        <x:v>53</x:v>
      </x:c>
    </x:row>
    <x:row r="55" ht="18" customHeight="1">
      <x:c r="A55" s="25" t="str">
        <x:v>HS_041</x:v>
      </x:c>
      <x:c r="B55" s="25" t="str">
        <x:v>Atlantic, Southwest</x:v>
      </x:c>
      <x:c r="C55" s="25" t="str">
        <x:v>High Seas</x:v>
      </x:c>
      <x:c r="D55" s="31" t="n">
        <x:v>2019</x:v>
      </x:c>
      <x:c r="E55" s="32" t="n">
        <x:v>62238.365213295096</x:v>
      </x:c>
      <x:c r="F55" s="32" t="n">
        <x:v>62238.365213295096</x:v>
      </x:c>
      <x:c r="G55" s="33" t="n">
        <x:v>0</x:v>
      </x:c>
      <x:c r="H55" s="34" t="n">
        <x:v>1</x:v>
      </x:c>
      <x:c r="I55" s="35" t="n">
        <x:v>33</x:v>
      </x:c>
      <x:c r="J55" s="35" t="n">
        <x:v>33</x:v>
      </x:c>
      <x:c r="K55" s="32" t="n">
        <x:v>149349456.4630281</x:v>
      </x:c>
      <x:c r="L55" s="32" t="n">
        <x:v>147948022.15720508</x:v>
      </x:c>
      <x:c r="M55" s="32" t="n">
        <x:v>147484387.13170964</x:v>
      </x:c>
      <x:c r="N55" s="34" t="n">
        <x:f>K55/SUM($K$2:$K$85)</x:f>
        <x:v>0.0022887864118662613</x:v>
      </x:c>
      <x:c r="O55" s="35" t="n">
        <x:f>RANK(K55,$K$2:$K$85,0)+COUNTIF($K$2:K55,K55)-1</x:f>
        <x:v>54</x:v>
      </x:c>
    </x:row>
    <x:row r="56" ht="18" customHeight="1">
      <x:c r="A56" s="25" t="str">
        <x:v>LME_033</x:v>
      </x:c>
      <x:c r="B56" s="25" t="str">
        <x:v>Red Sea</x:v>
      </x:c>
      <x:c r="C56" s="25" t="str">
        <x:v>LME</x:v>
      </x:c>
      <x:c r="D56" s="31" t="n">
        <x:v>2019</x:v>
      </x:c>
      <x:c r="E56" s="32" t="n">
        <x:v>147100.3417814472</x:v>
      </x:c>
      <x:c r="F56" s="32" t="n">
        <x:v>147100.3417814472</x:v>
      </x:c>
      <x:c r="G56" s="33" t="n">
        <x:v>0</x:v>
      </x:c>
      <x:c r="H56" s="34" t="n">
        <x:v>1</x:v>
      </x:c>
      <x:c r="I56" s="35" t="n">
        <x:v>193</x:v>
      </x:c>
      <x:c r="J56" s="35" t="n">
        <x:v>193</x:v>
      </x:c>
      <x:c r="K56" s="32" t="n">
        <x:v>114071139.38229904</x:v>
      </x:c>
      <x:c r="L56" s="32" t="n">
        <x:v>74674605.88945664</x:v>
      </x:c>
      <x:c r="M56" s="32" t="n">
        <x:v>87236027.58411431</x:v>
      </x:c>
      <x:c r="N56" s="34" t="n">
        <x:f>K56/SUM($K$2:$K$85)</x:f>
        <x:v>0.0017481447873159191</x:v>
      </x:c>
      <x:c r="O56" s="35" t="n">
        <x:f>RANK(K56,$K$2:$K$85,0)+COUNTIF($K$2:K56,K56)-1</x:f>
        <x:v>55</x:v>
      </x:c>
    </x:row>
    <x:row r="57" ht="18" customHeight="1">
      <x:c r="A57" s="25" t="str">
        <x:v>LME_006</x:v>
      </x:c>
      <x:c r="B57" s="25" t="str">
        <x:v>Southeast U.S. Continental Shelf</x:v>
      </x:c>
      <x:c r="C57" s="25" t="str">
        <x:v>LME</x:v>
      </x:c>
      <x:c r="D57" s="31" t="n">
        <x:v>2019</x:v>
      </x:c>
      <x:c r="E57" s="32" t="n">
        <x:v>115599.570034811</x:v>
      </x:c>
      <x:c r="F57" s="32" t="n">
        <x:v>115599.570034811</x:v>
      </x:c>
      <x:c r="G57" s="33" t="n">
        <x:v>0</x:v>
      </x:c>
      <x:c r="H57" s="34" t="n">
        <x:v>1</x:v>
      </x:c>
      <x:c r="I57" s="35" t="n">
        <x:v>283</x:v>
      </x:c>
      <x:c r="J57" s="35" t="n">
        <x:v>283</x:v>
      </x:c>
      <x:c r="K57" s="32" t="n">
        <x:v>104438774.10426635</x:v>
      </x:c>
      <x:c r="L57" s="32" t="n">
        <x:v>65622920.65646398</x:v>
      </x:c>
      <x:c r="M57" s="32" t="n">
        <x:v>91125601.58560155</x:v>
      </x:c>
      <x:c r="N57" s="34" t="n">
        <x:f>K57/SUM($K$2:$K$85)</x:f>
        <x:v>0.0016005284030008462</x:v>
      </x:c>
      <x:c r="O57" s="35" t="n">
        <x:f>RANK(K57,$K$2:$K$85,0)+COUNTIF($K$2:K57,K57)-1</x:f>
        <x:v>56</x:v>
      </x:c>
    </x:row>
    <x:row r="58" ht="18" customHeight="1">
      <x:c r="A58" s="25" t="str">
        <x:v>HS_021</x:v>
      </x:c>
      <x:c r="B58" s="25" t="str">
        <x:v>Atlantic, Northwest</x:v>
      </x:c>
      <x:c r="C58" s="25" t="str">
        <x:v>High Seas</x:v>
      </x:c>
      <x:c r="D58" s="31" t="n">
        <x:v>2019</x:v>
      </x:c>
      <x:c r="E58" s="32" t="n">
        <x:v>87745.0994728874</x:v>
      </x:c>
      <x:c r="F58" s="32" t="n">
        <x:v>87745.0994728874</x:v>
      </x:c>
      <x:c r="G58" s="33" t="n">
        <x:v>0</x:v>
      </x:c>
      <x:c r="H58" s="34" t="n">
        <x:v>1</x:v>
      </x:c>
      <x:c r="I58" s="35" t="n">
        <x:v>67</x:v>
      </x:c>
      <x:c r="J58" s="35" t="n">
        <x:v>67</x:v>
      </x:c>
      <x:c r="K58" s="32" t="n">
        <x:v>101551846.3748264</x:v>
      </x:c>
      <x:c r="L58" s="32" t="n">
        <x:v>94575783.00091098</x:v>
      </x:c>
      <x:c r="M58" s="32" t="n">
        <x:v>94079149.74054004</x:v>
      </x:c>
      <x:c r="N58" s="34" t="n">
        <x:f>K58/SUM($K$2:$K$85)</x:f>
        <x:v>0.0015562861197300144</x:v>
      </x:c>
      <x:c r="O58" s="35" t="n">
        <x:f>RANK(K58,$K$2:$K$85,0)+COUNTIF($K$2:K58,K58)-1</x:f>
        <x:v>57</x:v>
      </x:c>
    </x:row>
    <x:row r="59" ht="18" customHeight="1">
      <x:c r="A59" s="25" t="str">
        <x:v>HS_081</x:v>
      </x:c>
      <x:c r="B59" s="25" t="str">
        <x:v>Pacific, Southwest</x:v>
      </x:c>
      <x:c r="C59" s="25" t="str">
        <x:v>High Seas</x:v>
      </x:c>
      <x:c r="D59" s="31" t="n">
        <x:v>2019</x:v>
      </x:c>
      <x:c r="E59" s="32" t="n">
        <x:v>45252.466822717106</x:v>
      </x:c>
      <x:c r="F59" s="32" t="n">
        <x:v>45252.466822717106</x:v>
      </x:c>
      <x:c r="G59" s="33" t="n">
        <x:v>0</x:v>
      </x:c>
      <x:c r="H59" s="34" t="n">
        <x:v>1</x:v>
      </x:c>
      <x:c r="I59" s="35" t="n">
        <x:v>27</x:v>
      </x:c>
      <x:c r="J59" s="35" t="n">
        <x:v>27</x:v>
      </x:c>
      <x:c r="K59" s="32" t="n">
        <x:v>91386286.47267893</x:v>
      </x:c>
      <x:c r="L59" s="32" t="n">
        <x:v>87435123.8002821</x:v>
      </x:c>
      <x:c r="M59" s="32" t="n">
        <x:v>86872298.1778867</x:v>
      </x:c>
      <x:c r="N59" s="34" t="n">
        <x:f>K59/SUM($K$2:$K$85)</x:f>
        <x:v>0.0014004985064097917</x:v>
      </x:c>
      <x:c r="O59" s="35" t="n">
        <x:f>RANK(K59,$K$2:$K$85,0)+COUNTIF($K$2:K59,K59)-1</x:f>
        <x:v>58</x:v>
      </x:c>
    </x:row>
    <x:row r="60" ht="18" customHeight="1">
      <x:c r="A60" s="25" t="str">
        <x:v>HS_047</x:v>
      </x:c>
      <x:c r="B60" s="25" t="str">
        <x:v>Atlantic, Southeast</x:v>
      </x:c>
      <x:c r="C60" s="25" t="str">
        <x:v>High Seas</x:v>
      </x:c>
      <x:c r="D60" s="31" t="n">
        <x:v>2019</x:v>
      </x:c>
      <x:c r="E60" s="32" t="n">
        <x:v>41830.7267805337</x:v>
      </x:c>
      <x:c r="F60" s="32" t="n">
        <x:v>41830.7267805337</x:v>
      </x:c>
      <x:c r="G60" s="33" t="n">
        <x:v>0</x:v>
      </x:c>
      <x:c r="H60" s="34" t="n">
        <x:v>1</x:v>
      </x:c>
      <x:c r="I60" s="35" t="n">
        <x:v>35</x:v>
      </x:c>
      <x:c r="J60" s="35" t="n">
        <x:v>35</x:v>
      </x:c>
      <x:c r="K60" s="32" t="n">
        <x:v>87861469.42037457</x:v>
      </x:c>
      <x:c r="L60" s="32" t="n">
        <x:v>81599560.34715328</x:v>
      </x:c>
      <x:c r="M60" s="32" t="n">
        <x:v>81300520.57549798</x:v>
      </x:c>
      <x:c r="N60" s="34" t="n">
        <x:f>K60/SUM($K$2:$K$85)</x:f>
        <x:v>0.0013464805436753519</x:v>
      </x:c>
      <x:c r="O60" s="35" t="n">
        <x:f>RANK(K60,$K$2:$K$85,0)+COUNTIF($K$2:K60,K60)-1</x:f>
        <x:v>59</x:v>
      </x:c>
    </x:row>
    <x:row r="61" ht="18" customHeight="1">
      <x:c r="A61" s="25" t="str">
        <x:v>LME_065</x:v>
      </x:c>
      <x:c r="B61" s="25" t="str">
        <x:v>Aleutian Islands</x:v>
      </x:c>
      <x:c r="C61" s="25" t="str">
        <x:v>LME</x:v>
      </x:c>
      <x:c r="D61" s="31" t="n">
        <x:v>2019</x:v>
      </x:c>
      <x:c r="E61" s="32" t="n">
        <x:v>151507.6717909796</x:v>
      </x:c>
      <x:c r="F61" s="32" t="n">
        <x:v>151507.6717909796</x:v>
      </x:c>
      <x:c r="G61" s="33" t="n">
        <x:v>0</x:v>
      </x:c>
      <x:c r="H61" s="34" t="n">
        <x:v>1</x:v>
      </x:c>
      <x:c r="I61" s="35" t="n">
        <x:v>68</x:v>
      </x:c>
      <x:c r="J61" s="35" t="n">
        <x:v>68</x:v>
      </x:c>
      <x:c r="K61" s="32" t="n">
        <x:v>85526381.4039745</x:v>
      </x:c>
      <x:c r="L61" s="32" t="n">
        <x:v>70379109.37733433</x:v>
      </x:c>
      <x:c r="M61" s="32" t="n">
        <x:v>75180854.1365574</x:v>
      </x:c>
      <x:c r="N61" s="34" t="n">
        <x:f>K61/SUM($K$2:$K$85)</x:f>
        <x:v>0.0013106952261454465</x:v>
      </x:c>
      <x:c r="O61" s="35" t="n">
        <x:f>RANK(K61,$K$2:$K$85,0)+COUNTIF($K$2:K61,K61)-1</x:f>
        <x:v>60</x:v>
      </x:c>
    </x:row>
    <x:row r="62" ht="18" customHeight="1">
      <x:c r="A62" s="25" t="str">
        <x:v>LME_019</x:v>
      </x:c>
      <x:c r="B62" s="25" t="str">
        <x:v>Greenland Sea</x:v>
      </x:c>
      <x:c r="C62" s="25" t="str">
        <x:v>LME</x:v>
      </x:c>
      <x:c r="D62" s="31" t="n">
        <x:v>2019</x:v>
      </x:c>
      <x:c r="E62" s="32" t="n">
        <x:v>87093.8235737202</x:v>
      </x:c>
      <x:c r="F62" s="32" t="n">
        <x:v>87093.8235737202</x:v>
      </x:c>
      <x:c r="G62" s="33" t="n">
        <x:v>0</x:v>
      </x:c>
      <x:c r="H62" s="34" t="n">
        <x:v>1</x:v>
      </x:c>
      <x:c r="I62" s="35" t="n">
        <x:v>64</x:v>
      </x:c>
      <x:c r="J62" s="35" t="n">
        <x:v>64</x:v>
      </x:c>
      <x:c r="K62" s="32" t="n">
        <x:v>76279788.78654897</x:v>
      </x:c>
      <x:c r="L62" s="32" t="n">
        <x:v>74591467.5388397</x:v>
      </x:c>
      <x:c r="M62" s="32" t="n">
        <x:v>75872029.19055331</x:v>
      </x:c>
      <x:c r="N62" s="34" t="n">
        <x:f>K62/SUM($K$2:$K$85)</x:f>
        <x:v>0.0011689908233305255</x:v>
      </x:c>
      <x:c r="O62" s="35" t="n">
        <x:f>RANK(K62,$K$2:$K$85,0)+COUNTIF($K$2:K62,K62)-1</x:f>
        <x:v>61</x:v>
      </x:c>
    </x:row>
    <x:row r="63" ht="18" customHeight="1">
      <x:c r="A63" s="25" t="str">
        <x:v>LME_008</x:v>
      </x:c>
      <x:c r="B63" s="25" t="str">
        <x:v>Scotian Shelf</x:v>
      </x:c>
      <x:c r="C63" s="25" t="str">
        <x:v>LME</x:v>
      </x:c>
      <x:c r="D63" s="31" t="n">
        <x:v>2019</x:v>
      </x:c>
      <x:c r="E63" s="32" t="n">
        <x:v>148680.26073080715</x:v>
      </x:c>
      <x:c r="F63" s="32" t="n">
        <x:v>148680.26073080715</x:v>
      </x:c>
      <x:c r="G63" s="33" t="n">
        <x:v>0</x:v>
      </x:c>
      <x:c r="H63" s="34" t="n">
        <x:v>1</x:v>
      </x:c>
      <x:c r="I63" s="35" t="n">
        <x:v>92</x:v>
      </x:c>
      <x:c r="J63" s="35" t="n">
        <x:v>92</x:v>
      </x:c>
      <x:c r="K63" s="32" t="n">
        <x:v>75212513.43069898</x:v>
      </x:c>
      <x:c r="L63" s="32" t="n">
        <x:v>64517927.31064559</x:v>
      </x:c>
      <x:c r="M63" s="32" t="n">
        <x:v>61782823.81142751</x:v>
      </x:c>
      <x:c r="N63" s="34" t="n">
        <x:f>K63/SUM($K$2:$K$85)</x:f>
        <x:v>0.0011526347856853942</x:v>
      </x:c>
      <x:c r="O63" s="35" t="n">
        <x:f>RANK(K63,$K$2:$K$85,0)+COUNTIF($K$2:K63,K63)-1</x:f>
        <x:v>62</x:v>
      </x:c>
    </x:row>
    <x:row r="64" ht="18" customHeight="1">
      <x:c r="A64" s="25" t="str">
        <x:v>LME_010</x:v>
      </x:c>
      <x:c r="B64" s="25" t="str">
        <x:v>Insular Pacific-Hawaiian</x:v>
      </x:c>
      <x:c r="C64" s="25" t="str">
        <x:v>LME</x:v>
      </x:c>
      <x:c r="D64" s="31" t="n">
        <x:v>2019</x:v>
      </x:c>
      <x:c r="E64" s="32" t="n">
        <x:v>21171.9533963985</x:v>
      </x:c>
      <x:c r="F64" s="32" t="n">
        <x:v>21171.9533963985</x:v>
      </x:c>
      <x:c r="G64" s="33" t="n">
        <x:v>0</x:v>
      </x:c>
      <x:c r="H64" s="34" t="n">
        <x:v>1</x:v>
      </x:c>
      <x:c r="I64" s="35" t="n">
        <x:v>140</x:v>
      </x:c>
      <x:c r="J64" s="35" t="n">
        <x:v>140</x:v>
      </x:c>
      <x:c r="K64" s="32" t="n">
        <x:v>44813494.47199182</x:v>
      </x:c>
      <x:c r="L64" s="32" t="n">
        <x:v>40663775.27641271</x:v>
      </x:c>
      <x:c r="M64" s="32" t="n">
        <x:v>43231826.719544135</x:v>
      </x:c>
      <x:c r="N64" s="34" t="n">
        <x:f>K64/SUM($K$2:$K$85)</x:f>
        <x:v>0.0006867686006017025</x:v>
      </x:c>
      <x:c r="O64" s="35" t="n">
        <x:f>RANK(K64,$K$2:$K$85,0)+COUNTIF($K$2:K64,K64)-1</x:f>
        <x:v>63</x:v>
      </x:c>
    </x:row>
    <x:row r="65" ht="18" customHeight="1">
      <x:c r="A65" s="25" t="str">
        <x:v>HS_031</x:v>
      </x:c>
      <x:c r="B65" s="25" t="str">
        <x:v>Atlantic, Western Central</x:v>
      </x:c>
      <x:c r="C65" s="25" t="str">
        <x:v>High Seas</x:v>
      </x:c>
      <x:c r="D65" s="31" t="n">
        <x:v>2019</x:v>
      </x:c>
      <x:c r="E65" s="32" t="n">
        <x:v>16859.0112032287</x:v>
      </x:c>
      <x:c r="F65" s="32" t="n">
        <x:v>16859.0112032287</x:v>
      </x:c>
      <x:c r="G65" s="33" t="n">
        <x:v>0</x:v>
      </x:c>
      <x:c r="H65" s="34" t="n">
        <x:v>1</x:v>
      </x:c>
      <x:c r="I65" s="35" t="n">
        <x:v>32</x:v>
      </x:c>
      <x:c r="J65" s="35" t="n">
        <x:v>32</x:v>
      </x:c>
      <x:c r="K65" s="32" t="n">
        <x:v>32845718.432304144</x:v>
      </x:c>
      <x:c r="L65" s="32" t="n">
        <x:v>32332686.35082694</x:v>
      </x:c>
      <x:c r="M65" s="32" t="n">
        <x:v>32085747.063295085</x:v>
      </x:c>
      <x:c r="N65" s="34" t="n">
        <x:f>K65/SUM($K$2:$K$85)</x:f>
        <x:v>0.0005033619526727449</x:v>
      </x:c>
      <x:c r="O65" s="35" t="n">
        <x:f>RANK(K65,$K$2:$K$85,0)+COUNTIF($K$2:K65,K65)-1</x:f>
        <x:v>64</x:v>
      </x:c>
    </x:row>
    <x:row r="66" ht="18" customHeight="1">
      <x:c r="A66" s="25" t="str">
        <x:v>LME_039</x:v>
      </x:c>
      <x:c r="B66" s="25" t="str">
        <x:v>North Australian Shelf</x:v>
      </x:c>
      <x:c r="C66" s="25" t="str">
        <x:v>LME</x:v>
      </x:c>
      <x:c r="D66" s="31" t="n">
        <x:v>2019</x:v>
      </x:c>
      <x:c r="E66" s="32" t="n">
        <x:v>44872.4444403339</x:v>
      </x:c>
      <x:c r="F66" s="32" t="n">
        <x:v>44872.4444403339</x:v>
      </x:c>
      <x:c r="G66" s="33" t="n">
        <x:v>0</x:v>
      </x:c>
      <x:c r="H66" s="34" t="n">
        <x:v>1</x:v>
      </x:c>
      <x:c r="I66" s="35" t="n">
        <x:v>452</x:v>
      </x:c>
      <x:c r="J66" s="35" t="n">
        <x:v>452</x:v>
      </x:c>
      <x:c r="K66" s="32" t="n">
        <x:v>32609919.10129194</x:v>
      </x:c>
      <x:c r="L66" s="32" t="n">
        <x:v>21306232.562969234</x:v>
      </x:c>
      <x:c r="M66" s="32" t="n">
        <x:v>23668195.99001727</x:v>
      </x:c>
      <x:c r="N66" s="34" t="n">
        <x:f>K66/SUM($K$2:$K$85)</x:f>
        <x:v>0.0004997483184652345</x:v>
      </x:c>
      <x:c r="O66" s="35" t="n">
        <x:f>RANK(K66,$K$2:$K$85,0)+COUNTIF($K$2:K66,K66)-1</x:f>
        <x:v>65</x:v>
      </x:c>
    </x:row>
    <x:row r="67" ht="18" customHeight="1">
      <x:c r="A67" s="25" t="str">
        <x:v>LME_041</x:v>
      </x:c>
      <x:c r="B67" s="25" t="str">
        <x:v>East-Central Australian Shelf</x:v>
      </x:c>
      <x:c r="C67" s="25" t="str">
        <x:v>LME</x:v>
      </x:c>
      <x:c r="D67" s="31" t="n">
        <x:v>2019</x:v>
      </x:c>
      <x:c r="E67" s="32" t="n">
        <x:v>39281.024733703096</x:v>
      </x:c>
      <x:c r="F67" s="32" t="n">
        <x:v>39281.024733703096</x:v>
      </x:c>
      <x:c r="G67" s="33" t="n">
        <x:v>0</x:v>
      </x:c>
      <x:c r="H67" s="34" t="n">
        <x:v>1</x:v>
      </x:c>
      <x:c r="I67" s="35" t="n">
        <x:v>382</x:v>
      </x:c>
      <x:c r="J67" s="35" t="n">
        <x:v>382</x:v>
      </x:c>
      <x:c r="K67" s="32" t="n">
        <x:v>32154354.584904723</x:v>
      </x:c>
      <x:c r="L67" s="32" t="n">
        <x:v>21227256.672829352</x:v>
      </x:c>
      <x:c r="M67" s="32" t="n">
        <x:v>27004717.00709983</x:v>
      </x:c>
      <x:c r="N67" s="34" t="n">
        <x:f>K67/SUM($K$2:$K$85)</x:f>
        <x:v>0.000492766773975358</x:v>
      </x:c>
      <x:c r="O67" s="35" t="n">
        <x:f>RANK(K67,$K$2:$K$85,0)+COUNTIF($K$2:K67,K67)-1</x:f>
        <x:v>66</x:v>
      </x:c>
    </x:row>
    <x:row r="68" ht="18" customHeight="1">
      <x:c r="A68" s="25" t="str">
        <x:v>HS_048</x:v>
      </x:c>
      <x:c r="B68" s="25" t="str">
        <x:v>Atlantic, Antarctic</x:v>
      </x:c>
      <x:c r="C68" s="25" t="str">
        <x:v>High Seas</x:v>
      </x:c>
      <x:c r="D68" s="31" t="n">
        <x:v>2019</x:v>
      </x:c>
      <x:c r="E68" s="32" t="n">
        <x:v>154127.61540295082</x:v>
      </x:c>
      <x:c r="F68" s="32" t="n">
        <x:v>154127.61540295082</x:v>
      </x:c>
      <x:c r="G68" s="33" t="n">
        <x:v>0</x:v>
      </x:c>
      <x:c r="H68" s="34" t="n">
        <x:v>1</x:v>
      </x:c>
      <x:c r="I68" s="35" t="n">
        <x:v>6</x:v>
      </x:c>
      <x:c r="J68" s="35" t="n">
        <x:v>6</x:v>
      </x:c>
      <x:c r="K68" s="32" t="n">
        <x:v>29368420.191220015</x:v>
      </x:c>
      <x:c r="L68" s="32" t="n">
        <x:v>29368419.84106065</x:v>
      </x:c>
      <x:c r="M68" s="32" t="n">
        <x:v>29368420.191220015</x:v>
      </x:c>
      <x:c r="N68" s="34" t="n">
        <x:f>K68/SUM($K$2:$K$85)</x:f>
        <x:v>0.00045007221762660476</x:v>
      </x:c>
      <x:c r="O68" s="35" t="n">
        <x:f>RANK(K68,$K$2:$K$85,0)+COUNTIF($K$2:K68,K68)-1</x:f>
        <x:v>67</x:v>
      </x:c>
    </x:row>
    <x:row r="69" ht="18" customHeight="1">
      <x:c r="A69" s="25" t="str">
        <x:v>LME_040</x:v>
      </x:c>
      <x:c r="B69" s="25" t="str">
        <x:v>Northeast Australian Shelf-Great Barrier Reef</x:v>
      </x:c>
      <x:c r="C69" s="25" t="str">
        <x:v>LME</x:v>
      </x:c>
      <x:c r="D69" s="31" t="n">
        <x:v>2019</x:v>
      </x:c>
      <x:c r="E69" s="32" t="n">
        <x:v>22842.531697643197</x:v>
      </x:c>
      <x:c r="F69" s="32" t="n">
        <x:v>22842.531697643197</x:v>
      </x:c>
      <x:c r="G69" s="33" t="n">
        <x:v>0</x:v>
      </x:c>
      <x:c r="H69" s="34" t="n">
        <x:v>1</x:v>
      </x:c>
      <x:c r="I69" s="35" t="n">
        <x:v>332</x:v>
      </x:c>
      <x:c r="J69" s="35" t="n">
        <x:v>332</x:v>
      </x:c>
      <x:c r="K69" s="32" t="n">
        <x:v>27661702.09258175</x:v>
      </x:c>
      <x:c r="L69" s="32" t="n">
        <x:v>20349298.750192918</x:v>
      </x:c>
      <x:c r="M69" s="32" t="n">
        <x:v>24055117.92563951</x:v>
      </x:c>
      <x:c r="N69" s="34" t="n">
        <x:f>K69/SUM($K$2:$K$85)</x:f>
        <x:v>0.0004239166942952125</x:v>
      </x:c>
      <x:c r="O69" s="35" t="n">
        <x:f>RANK(K69,$K$2:$K$85,0)+COUNTIF($K$2:K69,K69)-1</x:f>
        <x:v>68</x:v>
      </x:c>
    </x:row>
    <x:row r="70" ht="18" customHeight="1">
      <x:c r="A70" s="25" t="str">
        <x:v>LME_042</x:v>
      </x:c>
      <x:c r="B70" s="25" t="str">
        <x:v>Southeast Australian Shelf</x:v>
      </x:c>
      <x:c r="C70" s="25" t="str">
        <x:v>LME</x:v>
      </x:c>
      <x:c r="D70" s="31" t="n">
        <x:v>2019</x:v>
      </x:c>
      <x:c r="E70" s="32" t="n">
        <x:v>32645.7543579061</x:v>
      </x:c>
      <x:c r="F70" s="32" t="n">
        <x:v>32645.7543579061</x:v>
      </x:c>
      <x:c r="G70" s="33" t="n">
        <x:v>0</x:v>
      </x:c>
      <x:c r="H70" s="34" t="n">
        <x:v>1</x:v>
      </x:c>
      <x:c r="I70" s="35" t="n">
        <x:v>246</x:v>
      </x:c>
      <x:c r="J70" s="35" t="n">
        <x:v>246</x:v>
      </x:c>
      <x:c r="K70" s="32" t="n">
        <x:v>22122834.477210246</x:v>
      </x:c>
      <x:c r="L70" s="32" t="n">
        <x:v>16994442.064237066</x:v>
      </x:c>
      <x:c r="M70" s="32" t="n">
        <x:v>17411902.077911425</x:v>
      </x:c>
      <x:c r="N70" s="34" t="n">
        <x:f>K70/SUM($K$2:$K$85)</x:f>
        <x:v>0.0003390333258825081</x:v>
      </x:c>
      <x:c r="O70" s="35" t="n">
        <x:f>RANK(K70,$K$2:$K$85,0)+COUNTIF($K$2:K70,K70)-1</x:f>
        <x:v>69</x:v>
      </x:c>
    </x:row>
    <x:row r="71" ht="18" customHeight="1">
      <x:c r="A71" s="25" t="str">
        <x:v>LME_043</x:v>
      </x:c>
      <x:c r="B71" s="25" t="str">
        <x:v>Southwest Australian Shelf</x:v>
      </x:c>
      <x:c r="C71" s="25" t="str">
        <x:v>LME</x:v>
      </x:c>
      <x:c r="D71" s="31" t="n">
        <x:v>2019</x:v>
      </x:c>
      <x:c r="E71" s="32" t="n">
        <x:v>30450.9174249122</x:v>
      </x:c>
      <x:c r="F71" s="32" t="n">
        <x:v>30450.9174249122</x:v>
      </x:c>
      <x:c r="G71" s="33" t="n">
        <x:v>0</x:v>
      </x:c>
      <x:c r="H71" s="34" t="n">
        <x:v>1</x:v>
      </x:c>
      <x:c r="I71" s="35" t="n">
        <x:v>245</x:v>
      </x:c>
      <x:c r="J71" s="35" t="n">
        <x:v>245</x:v>
      </x:c>
      <x:c r="K71" s="32" t="n">
        <x:v>21615913.499733415</x:v>
      </x:c>
      <x:c r="L71" s="32" t="n">
        <x:v>17708395.819334067</x:v>
      </x:c>
      <x:c r="M71" s="32" t="n">
        <x:v>17052177.81094027</x:v>
      </x:c>
      <x:c r="N71" s="34" t="n">
        <x:f>K71/SUM($K$2:$K$85)</x:f>
        <x:v>0.0003312647415661255</x:v>
      </x:c>
      <x:c r="O71" s="35" t="n">
        <x:f>RANK(K71,$K$2:$K$85,0)+COUNTIF($K$2:K71,K71)-1</x:f>
        <x:v>70</x:v>
      </x:c>
    </x:row>
    <x:row r="72" ht="18" customHeight="1">
      <x:c r="A72" s="25" t="str">
        <x:v>LME_045</x:v>
      </x:c>
      <x:c r="B72" s="25" t="str">
        <x:v>Northwest Australian Shelf</x:v>
      </x:c>
      <x:c r="C72" s="25" t="str">
        <x:v>LME</x:v>
      </x:c>
      <x:c r="D72" s="31" t="n">
        <x:v>2019</x:v>
      </x:c>
      <x:c r="E72" s="32" t="n">
        <x:v>44647.94498142931</x:v>
      </x:c>
      <x:c r="F72" s="32" t="n">
        <x:v>44647.94498142931</x:v>
      </x:c>
      <x:c r="G72" s="33" t="n">
        <x:v>0</x:v>
      </x:c>
      <x:c r="H72" s="34" t="n">
        <x:v>1</x:v>
      </x:c>
      <x:c r="I72" s="35" t="n">
        <x:v>410</x:v>
      </x:c>
      <x:c r="J72" s="35" t="n">
        <x:v>410</x:v>
      </x:c>
      <x:c r="K72" s="32" t="n">
        <x:v>19198827.203371964</x:v>
      </x:c>
      <x:c r="L72" s="32" t="n">
        <x:v>14488054.060753897</x:v>
      </x:c>
      <x:c r="M72" s="32" t="n">
        <x:v>15071326.5809076</x:v>
      </x:c>
      <x:c r="N72" s="34" t="n">
        <x:f>K72/SUM($K$2:$K$85)</x:f>
        <x:v>0.00029422279710622224</x:v>
      </x:c>
      <x:c r="O72" s="35" t="n">
        <x:f>RANK(K72,$K$2:$K$85,0)+COUNTIF($K$2:K72,K72)-1</x:f>
        <x:v>71</x:v>
      </x:c>
    </x:row>
    <x:row r="73" ht="18" customHeight="1">
      <x:c r="A73" s="25" t="str">
        <x:v>LME_044</x:v>
      </x:c>
      <x:c r="B73" s="25" t="str">
        <x:v>West-Central Australian Shelf</x:v>
      </x:c>
      <x:c r="C73" s="25" t="str">
        <x:v>LME</x:v>
      </x:c>
      <x:c r="D73" s="31" t="n">
        <x:v>2019</x:v>
      </x:c>
      <x:c r="E73" s="32" t="n">
        <x:v>19839.072931287603</x:v>
      </x:c>
      <x:c r="F73" s="32" t="n">
        <x:v>19839.072931287603</x:v>
      </x:c>
      <x:c r="G73" s="33" t="n">
        <x:v>0</x:v>
      </x:c>
      <x:c r="H73" s="34" t="n">
        <x:v>1</x:v>
      </x:c>
      <x:c r="I73" s="35" t="n">
        <x:v>411</x:v>
      </x:c>
      <x:c r="J73" s="35" t="n">
        <x:v>411</x:v>
      </x:c>
      <x:c r="K73" s="32" t="n">
        <x:v>8269244.800308174</x:v>
      </x:c>
      <x:c r="L73" s="32" t="n">
        <x:v>6187071.010985136</x:v>
      </x:c>
      <x:c r="M73" s="32" t="n">
        <x:v>5984450.086611022</x:v>
      </x:c>
      <x:c r="N73" s="34" t="n">
        <x:f>K73/SUM($K$2:$K$85)</x:f>
        <x:v>0.00012672650830856158</x:v>
      </x:c>
      <x:c r="O73" s="35" t="n">
        <x:f>RANK(K73,$K$2:$K$85,0)+COUNTIF($K$2:K73,K73)-1</x:f>
        <x:v>72</x:v>
      </x:c>
    </x:row>
    <x:row r="74" ht="18" customHeight="1">
      <x:c r="A74" s="25" t="str">
        <x:v>HS_088</x:v>
      </x:c>
      <x:c r="B74" s="25" t="str">
        <x:v>Pacific, Antarctic</x:v>
      </x:c>
      <x:c r="C74" s="25" t="str">
        <x:v>High Seas</x:v>
      </x:c>
      <x:c r="D74" s="31" t="n">
        <x:v>2019</x:v>
      </x:c>
      <x:c r="E74" s="32" t="n">
        <x:v>3559.327863</x:v>
      </x:c>
      <x:c r="F74" s="32" t="n">
        <x:v>3559.327863</x:v>
      </x:c>
      <x:c r="G74" s="33" t="n">
        <x:v>0</x:v>
      </x:c>
      <x:c r="H74" s="34" t="n">
        <x:v>1</x:v>
      </x:c>
      <x:c r="I74" s="35" t="n">
        <x:v>32</x:v>
      </x:c>
      <x:c r="J74" s="35" t="n">
        <x:v>32</x:v>
      </x:c>
      <x:c r="K74" s="32" t="n">
        <x:v>5471586.54715935</x:v>
      </x:c>
      <x:c r="L74" s="32" t="n">
        <x:v>5441171.091395552</x:v>
      </x:c>
      <x:c r="M74" s="32" t="n">
        <x:v>5471351.988849449</x:v>
      </x:c>
      <x:c r="N74" s="34" t="n">
        <x:f>K74/SUM($K$2:$K$85)</x:f>
        <x:v>0.00008385228334318532</x:v>
      </x:c>
      <x:c r="O74" s="35" t="n">
        <x:f>RANK(K74,$K$2:$K$85,0)+COUNTIF($K$2:K74,K74)-1</x:f>
        <x:v>73</x:v>
      </x:c>
    </x:row>
    <x:row r="75" ht="18" customHeight="1">
      <x:c r="A75" s="25" t="str">
        <x:v>LME_063</x:v>
      </x:c>
      <x:c r="B75" s="25" t="str">
        <x:v>Hudson Bay Complex</x:v>
      </x:c>
      <x:c r="C75" s="25" t="str">
        <x:v>LME</x:v>
      </x:c>
      <x:c r="D75" s="31" t="n">
        <x:v>2019</x:v>
      </x:c>
      <x:c r="E75" s="32" t="n">
        <x:v>1269.735630608</x:v>
      </x:c>
      <x:c r="F75" s="32" t="n">
        <x:v>1269.735630608</x:v>
      </x:c>
      <x:c r="G75" s="33" t="n">
        <x:v>0</x:v>
      </x:c>
      <x:c r="H75" s="34" t="n">
        <x:v>1</x:v>
      </x:c>
      <x:c r="I75" s="35" t="n">
        <x:v>44</x:v>
      </x:c>
      <x:c r="J75" s="35" t="n">
        <x:v>44</x:v>
      </x:c>
      <x:c r="K75" s="32" t="n">
        <x:v>2919836.9461889495</x:v>
      </x:c>
      <x:c r="L75" s="32" t="n">
        <x:v>2767953.6523261997</x:v>
      </x:c>
      <x:c r="M75" s="32" t="n">
        <x:v>2896761.9589186287</x:v>
      </x:c>
      <x:c r="N75" s="34" t="n">
        <x:f>K75/SUM($K$2:$K$85)</x:f>
        <x:v>0.000044746618337755484</x:v>
      </x:c>
      <x:c r="O75" s="35" t="n">
        <x:f>RANK(K75,$K$2:$K$85,0)+COUNTIF($K$2:K75,K75)-1</x:f>
        <x:v>74</x:v>
      </x:c>
    </x:row>
    <x:row r="76" ht="18" customHeight="1">
      <x:c r="A76" s="25" t="str">
        <x:v>HS_067</x:v>
      </x:c>
      <x:c r="B76" s="25" t="str">
        <x:v>Pacific, Northeast</x:v>
      </x:c>
      <x:c r="C76" s="25" t="str">
        <x:v>High Seas</x:v>
      </x:c>
      <x:c r="D76" s="31" t="n">
        <x:v>2019</x:v>
      </x:c>
      <x:c r="E76" s="32" t="n">
        <x:v>402.29139540870005</x:v>
      </x:c>
      <x:c r="F76" s="32" t="n">
        <x:v>402.29139540870005</x:v>
      </x:c>
      <x:c r="G76" s="33" t="n">
        <x:v>0</x:v>
      </x:c>
      <x:c r="H76" s="34" t="n">
        <x:v>1</x:v>
      </x:c>
      <x:c r="I76" s="35" t="n">
        <x:v>16</x:v>
      </x:c>
      <x:c r="J76" s="35" t="n">
        <x:v>16</x:v>
      </x:c>
      <x:c r="K76" s="32" t="n">
        <x:v>759816.5237174243</x:v>
      </x:c>
      <x:c r="L76" s="32" t="n">
        <x:v>741062.6904888835</x:v>
      </x:c>
      <x:c r="M76" s="32" t="n">
        <x:v>736055.8992847266</x:v>
      </x:c>
      <x:c r="N76" s="34" t="n">
        <x:f>K76/SUM($K$2:$K$85)</x:f>
        <x:v>0.000011644218708130407</x:v>
      </x:c>
      <x:c r="O76" s="35" t="n">
        <x:f>RANK(K76,$K$2:$K$85,0)+COUNTIF($K$2:K76,K76)-1</x:f>
        <x:v>75</x:v>
      </x:c>
    </x:row>
    <x:row r="77" ht="18" customHeight="1">
      <x:c r="A77" s="25" t="str">
        <x:v>LME_057</x:v>
      </x:c>
      <x:c r="B77" s="25" t="str">
        <x:v>Laptev Sea</x:v>
      </x:c>
      <x:c r="C77" s="25" t="str">
        <x:v>LME</x:v>
      </x:c>
      <x:c r="D77" s="31" t="n">
        <x:v>2019</x:v>
      </x:c>
      <x:c r="E77" s="32" t="n">
        <x:v>2616.1834162357</x:v>
      </x:c>
      <x:c r="F77" s="32" t="n">
        <x:v>2616.1834162357</x:v>
      </x:c>
      <x:c r="G77" s="33" t="n">
        <x:v>0</x:v>
      </x:c>
      <x:c r="H77" s="34" t="n">
        <x:v>1</x:v>
      </x:c>
      <x:c r="I77" s="35" t="n">
        <x:v>5</x:v>
      </x:c>
      <x:c r="J77" s="35" t="n">
        <x:v>5</x:v>
      </x:c>
      <x:c r="K77" s="32" t="n">
        <x:v>507104.9804889677</x:v>
      </x:c>
      <x:c r="L77" s="32" t="n">
        <x:v>494176.8628170198</x:v>
      </x:c>
      <x:c r="M77" s="32" t="n">
        <x:v>494181.0890332617</x:v>
      </x:c>
      <x:c r="N77" s="34" t="n">
        <x:f>K77/SUM($K$2:$K$85)</x:f>
        <x:v>0.000007771404169925308</x:v>
      </x:c>
      <x:c r="O77" s="35" t="n">
        <x:f>RANK(K77,$K$2:$K$85,0)+COUNTIF($K$2:K77,K77)-1</x:f>
        <x:v>76</x:v>
      </x:c>
    </x:row>
    <x:row r="78" ht="18" customHeight="1">
      <x:c r="A78" s="25" t="str">
        <x:v>LME_055</x:v>
      </x:c>
      <x:c r="B78" s="25" t="str">
        <x:v>Beaufort Sea</x:v>
      </x:c>
      <x:c r="C78" s="25" t="str">
        <x:v>LME</x:v>
      </x:c>
      <x:c r="D78" s="31" t="n">
        <x:v>2019</x:v>
      </x:c>
      <x:c r="E78" s="32" t="n">
        <x:v>212.78852302800001</x:v>
      </x:c>
      <x:c r="F78" s="32" t="n">
        <x:v>212.78852302800001</x:v>
      </x:c>
      <x:c r="G78" s="33" t="n">
        <x:v>0</x:v>
      </x:c>
      <x:c r="H78" s="34" t="n">
        <x:v>1</x:v>
      </x:c>
      <x:c r="I78" s="35" t="n">
        <x:v>19</x:v>
      </x:c>
      <x:c r="J78" s="35" t="n">
        <x:v>19</x:v>
      </x:c>
      <x:c r="K78" s="32" t="n">
        <x:v>439874.51024657505</x:v>
      </x:c>
      <x:c r="L78" s="32" t="n">
        <x:v>381706.2485704526</x:v>
      </x:c>
      <x:c r="M78" s="32" t="n">
        <x:v>438573.7452643022</x:v>
      </x:c>
      <x:c r="N78" s="34" t="n">
        <x:f>K78/SUM($K$2:$K$85)</x:f>
        <x:v>0.000006741094516322653</x:v>
      </x:c>
      <x:c r="O78" s="35" t="n">
        <x:f>RANK(K78,$K$2:$K$85,0)+COUNTIF($K$2:K78,K78)-1</x:f>
        <x:v>77</x:v>
      </x:c>
    </x:row>
    <x:row r="79" ht="18" customHeight="1">
      <x:c r="A79" s="25" t="str">
        <x:v>HS_058</x:v>
      </x:c>
      <x:c r="B79" s="25" t="str">
        <x:v>Indian Ocean, Antarctic</x:v>
      </x:c>
      <x:c r="C79" s="25" t="str">
        <x:v>High Seas</x:v>
      </x:c>
      <x:c r="D79" s="31" t="n">
        <x:v>2019</x:v>
      </x:c>
      <x:c r="E79" s="32" t="n">
        <x:v>1622.2799593135003</x:v>
      </x:c>
      <x:c r="F79" s="32" t="n">
        <x:v>1622.2799593135003</x:v>
      </x:c>
      <x:c r="G79" s="33" t="n">
        <x:v>0</x:v>
      </x:c>
      <x:c r="H79" s="34" t="n">
        <x:v>1</x:v>
      </x:c>
      <x:c r="I79" s="35" t="n">
        <x:v>6</x:v>
      </x:c>
      <x:c r="J79" s="35" t="n">
        <x:v>6</x:v>
      </x:c>
      <x:c r="K79" s="32" t="n">
        <x:v>316826.047060139</x:v>
      </x:c>
      <x:c r="L79" s="32" t="n">
        <x:v>316302.392591317</x:v>
      </x:c>
      <x:c r="M79" s="32" t="n">
        <x:v>316825.92653248494</x:v>
      </x:c>
      <x:c r="N79" s="34" t="n">
        <x:f>K79/SUM($K$2:$K$85)</x:f>
        <x:v>0.00000485537188155793</x:v>
      </x:c>
      <x:c r="O79" s="35" t="n">
        <x:f>RANK(K79,$K$2:$K$85,0)+COUNTIF($K$2:K79,K79)-1</x:f>
        <x:v>78</x:v>
      </x:c>
    </x:row>
    <x:row r="80" ht="18" customHeight="1">
      <x:c r="A80" s="25" t="str">
        <x:v>LME_056</x:v>
      </x:c>
      <x:c r="B80" s="25" t="str">
        <x:v>East Siberian Sea</x:v>
      </x:c>
      <x:c r="C80" s="25" t="str">
        <x:v>LME</x:v>
      </x:c>
      <x:c r="D80" s="31" t="n">
        <x:v>2019</x:v>
      </x:c>
      <x:c r="E80" s="32" t="n">
        <x:v>1304.0687744917002</x:v>
      </x:c>
      <x:c r="F80" s="32" t="n">
        <x:v>1304.0687744917002</x:v>
      </x:c>
      <x:c r="G80" s="33" t="n">
        <x:v>0</x:v>
      </x:c>
      <x:c r="H80" s="34" t="n">
        <x:v>1</x:v>
      </x:c>
      <x:c r="I80" s="35" t="n">
        <x:v>4</x:v>
      </x:c>
      <x:c r="J80" s="35" t="n">
        <x:v>4</x:v>
      </x:c>
      <x:c r="K80" s="32" t="n">
        <x:v>275429.0625472164</x:v>
      </x:c>
      <x:c r="L80" s="32" t="n">
        <x:v>257076.62225567218</x:v>
      </x:c>
      <x:c r="M80" s="32" t="n">
        <x:v>257076.62225567218</x:v>
      </x:c>
      <x:c r="N80" s="34" t="n">
        <x:f>K80/SUM($K$2:$K$85)</x:f>
        <x:v>0.000004220961433141798</x:v>
      </x:c>
      <x:c r="O80" s="35" t="n">
        <x:f>RANK(K80,$K$2:$K$85,0)+COUNTIF($K$2:K80,K80)-1</x:f>
        <x:v>79</x:v>
      </x:c>
    </x:row>
    <x:row r="81" ht="18" customHeight="1">
      <x:c r="A81" s="25" t="str">
        <x:v>LME_058</x:v>
      </x:c>
      <x:c r="B81" s="25" t="str">
        <x:v>Kara Sea</x:v>
      </x:c>
      <x:c r="C81" s="25" t="str">
        <x:v>LME</x:v>
      </x:c>
      <x:c r="D81" s="31" t="n">
        <x:v>2019</x:v>
      </x:c>
      <x:c r="E81" s="32" t="n">
        <x:v>719.2892019078</x:v>
      </x:c>
      <x:c r="F81" s="32" t="n">
        <x:v>719.2892019078</x:v>
      </x:c>
      <x:c r="G81" s="33" t="n">
        <x:v>0</x:v>
      </x:c>
      <x:c r="H81" s="34" t="n">
        <x:v>1</x:v>
      </x:c>
      <x:c r="I81" s="35" t="n">
        <x:v>5</x:v>
      </x:c>
      <x:c r="J81" s="35" t="n">
        <x:v>5</x:v>
      </x:c>
      <x:c r="K81" s="32" t="n">
        <x:v>137138.92556169763</x:v>
      </x:c>
      <x:c r="L81" s="32" t="n">
        <x:v>135651.10448002513</x:v>
      </x:c>
      <x:c r="M81" s="32" t="n">
        <x:v>135652.11223848525</x:v>
      </x:c>
      <x:c r="N81" s="34" t="n">
        <x:f>K81/SUM($K$2:$K$85)</x:f>
        <x:v>0.000002101659535943839</x:v>
      </x:c>
      <x:c r="O81" s="35" t="n">
        <x:f>RANK(K81,$K$2:$K$85,0)+COUNTIF($K$2:K81,K81)-1</x:f>
        <x:v>80</x:v>
      </x:c>
    </x:row>
    <x:row r="82" ht="18" customHeight="1">
      <x:c r="A82" s="25" t="str">
        <x:v>LME_066</x:v>
      </x:c>
      <x:c r="B82" s="25" t="str">
        <x:v>Canadian High Arctic - North Greenland</x:v>
      </x:c>
      <x:c r="C82" s="25" t="str">
        <x:v>LME</x:v>
      </x:c>
      <x:c r="D82" s="31" t="n">
        <x:v>2019</x:v>
      </x:c>
      <x:c r="E82" s="32" t="n">
        <x:v>53.5919340839</x:v>
      </x:c>
      <x:c r="F82" s="32" t="n">
        <x:v>53.5919340839</x:v>
      </x:c>
      <x:c r="G82" s="33" t="n">
        <x:v>0</x:v>
      </x:c>
      <x:c r="H82" s="34" t="n">
        <x:v>1</x:v>
      </x:c>
      <x:c r="I82" s="35" t="n">
        <x:v>21</x:v>
      </x:c>
      <x:c r="J82" s="35" t="n">
        <x:v>21</x:v>
      </x:c>
      <x:c r="K82" s="32" t="n">
        <x:v>10566.207059943801</x:v>
      </x:c>
      <x:c r="L82" s="32" t="n">
        <x:v>10565.421006259996</x:v>
      </x:c>
      <x:c r="M82" s="32" t="n">
        <x:v>10565.545720551861</x:v>
      </x:c>
      <x:c r="N82" s="34" t="n">
        <x:f>K82/SUM($K$2:$K$85)</x:f>
        <x:v>1.6192754708653057e-7</x:v>
      </x:c>
      <x:c r="O82" s="35" t="n">
        <x:f>RANK(K82,$K$2:$K$85,0)+COUNTIF($K$2:K82,K82)-1</x:f>
        <x:v>81</x:v>
      </x:c>
    </x:row>
    <x:row r="83" ht="18" customHeight="1">
      <x:c r="A83" s="25" t="str">
        <x:v>LME_061</x:v>
      </x:c>
      <x:c r="B83" s="25" t="str">
        <x:v>Antarctic</x:v>
      </x:c>
      <x:c r="C83" s="25" t="str">
        <x:v>LME</x:v>
      </x:c>
      <x:c r="D83" s="31" t="n">
        <x:v>2019</x:v>
      </x:c>
      <x:c r="E83" s="32" t="n">
        <x:v>0.2496140134</x:v>
      </x:c>
      <x:c r="F83" s="32" t="n">
        <x:v>0.2496140134</x:v>
      </x:c>
      <x:c r="G83" s="33" t="n">
        <x:v>0</x:v>
      </x:c>
      <x:c r="H83" s="34" t="n">
        <x:v>1</x:v>
      </x:c>
      <x:c r="I83" s="35" t="n">
        <x:v>10</x:v>
      </x:c>
      <x:c r="J83" s="35" t="n">
        <x:v>10</x:v>
      </x:c>
      <x:c r="K83" s="32" t="n">
        <x:v>57.73274163591119</x:v>
      </x:c>
      <x:c r="L83" s="32" t="n">
        <x:v>57.58283522606718</x:v>
      </x:c>
      <x:c r="M83" s="32" t="n">
        <x:v>57.732498833181225</x:v>
      </x:c>
      <x:c r="N83" s="34" t="n">
        <x:f>K83/SUM($K$2:$K$85)</x:f>
        <x:v>8.847565816804309e-10</x:v>
      </x:c>
      <x:c r="O83" s="35" t="n">
        <x:f>RANK(K83,$K$2:$K$85,0)+COUNTIF($K$2:K83,K83)-1</x:f>
        <x:v>82</x:v>
      </x:c>
    </x:row>
    <x:row r="84" ht="18" customHeight="1">
      <x:c r="A84" s="25" t="str">
        <x:v>HS_018</x:v>
      </x:c>
      <x:c r="B84" s="25" t="str">
        <x:v>Arctic Sea</x:v>
      </x:c>
      <x:c r="C84" s="25" t="str">
        <x:v>High Seas</x:v>
      </x:c>
      <x:c r="D84" s="31" t="n">
        <x:v>2019</x:v>
      </x:c>
      <x:c r="E84" s="32" t="n">
        <x:v>0</x:v>
      </x:c>
      <x:c r="F84" s="32" t="n">
        <x:v>0</x:v>
      </x:c>
      <x:c r="G84" s="33" t="n">
        <x:v>0</x:v>
      </x:c>
      <x:c r="H84" s="34" t="str"/>
      <x:c r="I84" s="35" t="n">
        <x:v>0</x:v>
      </x:c>
      <x:c r="J84" s="35" t="n">
        <x:v>0</x:v>
      </x:c>
      <x:c r="K84" s="32" t="n">
        <x:v>0</x:v>
      </x:c>
      <x:c r="L84" s="32" t="n">
        <x:v>0</x:v>
      </x:c>
      <x:c r="M84" s="32" t="n">
        <x:v>0</x:v>
      </x:c>
      <x:c r="N84" s="34" t="n">
        <x:f>K84/SUM($K$2:$K$85)</x:f>
        <x:v>0</x:v>
      </x:c>
      <x:c r="O84" s="35" t="n">
        <x:f>RANK(K84,$K$2:$K$85,0)+COUNTIF($K$2:K84,K84)-1</x:f>
        <x:v>83</x:v>
      </x:c>
    </x:row>
    <x:row r="85" ht="18" customHeight="1">
      <x:c r="A85" s="25" t="str">
        <x:v>LME_064</x:v>
      </x:c>
      <x:c r="B85" s="25" t="str">
        <x:v>Central Arctic Ocean</x:v>
      </x:c>
      <x:c r="C85" s="25" t="str">
        <x:v>LME</x:v>
      </x:c>
      <x:c r="D85" s="31" t="n">
        <x:v>2019</x:v>
      </x:c>
      <x:c r="E85" s="32" t="n">
        <x:v>0</x:v>
      </x:c>
      <x:c r="F85" s="32" t="n">
        <x:v>0</x:v>
      </x:c>
      <x:c r="G85" s="33" t="n">
        <x:v>0</x:v>
      </x:c>
      <x:c r="H85" s="34" t="str"/>
      <x:c r="I85" s="35" t="n">
        <x:v>0</x:v>
      </x:c>
      <x:c r="J85" s="35" t="n">
        <x:v>0</x:v>
      </x:c>
      <x:c r="K85" s="32" t="n">
        <x:v>0</x:v>
      </x:c>
      <x:c r="L85" s="32" t="n">
        <x:v>0</x:v>
      </x:c>
      <x:c r="M85" s="32" t="n">
        <x:v>0</x:v>
      </x:c>
      <x:c r="N85" s="34" t="n">
        <x:f>K85/SUM($K$2:$K$85)</x:f>
        <x:v>0</x:v>
      </x:c>
      <x:c r="O85" s="35" t="n">
        <x:f>RANK(K85,$K$2:$K$85,0)+COUNTIF($K$2:K85,K85)-1</x:f>
        <x:v>84</x:v>
      </x:c>
    </x:row>
  </x:sheetData>
  <x:conditionalFormatting sqref="H2:H85">
    <x:cfRule type="cellIs" dxfId="0" priority="1" operator="lessThan">
      <x:formula>0.9</x:formula>
    </x:cfRule>
  </x:conditionalFormatting>
  <x:pageMargins left="0.7" right="0.7" top="0.75" bottom="0.75" header="0.3" footer="0.3"/>
  <x:drawing xmlns:r="http://schemas.openxmlformats.org/officeDocument/2006/relationships" r:id="R03cdb99301414a71"/>
  <x:tableParts count="1">
    <x:tablePart xmlns:r="http://schemas.openxmlformats.org/officeDocument/2006/relationships" r:id="Re31136e86b384f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42" hidden="0" customWidth="1"/>
  </x:cols>
  <x:sheetData>
    <x:row r="1" ht="32" customHeight="1">
      <x:c r="A1" s="30" t="str">
        <x:v>unit_id</x:v>
      </x:c>
      <x:c r="B1" s="30" t="str">
        <x:v>check</x:v>
      </x:c>
      <x:c r="C1" s="30" t="str">
        <x:v>value</x:v>
      </x:c>
      <x:c r="D1" s="30" t="str">
        <x:v>unit</x:v>
      </x:c>
    </x:row>
    <x:row r="2" ht="18" customHeight="1">
      <x:c r="A2" s="25" t="str">
        <x:v>HS_018</x:v>
      </x:c>
      <x:c r="B2" s="25" t="str">
        <x:v>raw_filtered_tonnes</x:v>
      </x:c>
      <x:c r="C2" s="25" t="n">
        <x:v>0</x:v>
      </x:c>
      <x:c r="D2" s="25" t="str">
        <x:v>tonnes</x:v>
      </x:c>
    </x:row>
    <x:row r="3" ht="18" customHeight="1">
      <x:c r="A3" s="25" t="str">
        <x:v>HS_018</x:v>
      </x:c>
      <x:c r="B3" s="25" t="str">
        <x:v>species_catch_tonnes</x:v>
      </x:c>
      <x:c r="C3" s="25" t="n">
        <x:v>0</x:v>
      </x:c>
      <x:c r="D3" s="25" t="str">
        <x:v>tonnes</x:v>
      </x:c>
    </x:row>
    <x:row r="4" ht="18" customHeight="1">
      <x:c r="A4" s="25" t="str">
        <x:v>HS_018</x:v>
      </x:c>
      <x:c r="B4" s="25" t="str">
        <x:v>catch_difference_tonnes</x:v>
      </x:c>
      <x:c r="C4" s="25" t="n">
        <x:v>0</x:v>
      </x:c>
      <x:c r="D4" s="25" t="str">
        <x:v>tonnes</x:v>
      </x:c>
    </x:row>
    <x:row r="5" ht="18" customHeight="1">
      <x:c r="A5" s="25" t="str">
        <x:v>HS_018</x:v>
      </x:c>
      <x:c r="B5" s="25" t="str">
        <x:v>catch_reconciled</x:v>
      </x:c>
      <x:c r="C5" s="36" t="b">
        <x:v>1</x:v>
      </x:c>
      <x:c r="D5" s="25" t="str">
        <x:v>boolean</x:v>
      </x:c>
    </x:row>
    <x:row r="6" ht="18" customHeight="1">
      <x:c r="A6" s="25" t="str">
        <x:v>HS_018</x:v>
      </x:c>
      <x:c r="B6" s="25" t="str">
        <x:v>matched_catch_tonnes</x:v>
      </x:c>
      <x:c r="C6" s="25" t="n">
        <x:v>0</x:v>
      </x:c>
      <x:c r="D6" s="25" t="str">
        <x:v>tonnes</x:v>
      </x:c>
    </x:row>
    <x:row r="7" ht="18" customHeight="1">
      <x:c r="A7" s="25" t="str">
        <x:v>HS_018</x:v>
      </x:c>
      <x:c r="B7" s="25" t="str">
        <x:v>catch_coverage_fraction</x:v>
      </x:c>
      <x:c r="C7" s="25" t="str"/>
      <x:c r="D7" s="25" t="str">
        <x:v>fraction</x:v>
      </x:c>
    </x:row>
    <x:row r="8" ht="18" customHeight="1">
      <x:c r="A8" s="25" t="str">
        <x:v>HS_018</x:v>
      </x:c>
      <x:c r="B8" s="25" t="str">
        <x:v>taxa_count</x:v>
      </x:c>
      <x:c r="C8" s="25" t="n">
        <x:v>0</x:v>
      </x:c>
      <x:c r="D8" s="25" t="str">
        <x:v>count</x:v>
      </x:c>
    </x:row>
    <x:row r="9" ht="18" customHeight="1">
      <x:c r="A9" s="25" t="str">
        <x:v>HS_018</x:v>
      </x:c>
      <x:c r="B9" s="25" t="str">
        <x:v>matched_taxa_count</x:v>
      </x:c>
      <x:c r="C9" s="25" t="n">
        <x:v>0</x:v>
      </x:c>
      <x:c r="D9" s="25" t="str">
        <x:v>count</x:v>
      </x:c>
    </x:row>
    <x:row r="10" ht="18" customHeight="1">
      <x:c r="A10" s="25" t="str">
        <x:v>HS_018</x:v>
      </x:c>
      <x:c r="B10" s="25" t="str">
        <x:v>unmatched_taxa_count</x:v>
      </x:c>
      <x:c r="C10" s="25" t="n">
        <x:v>0</x:v>
      </x:c>
      <x:c r="D10" s="25" t="str">
        <x:v>count</x:v>
      </x:c>
    </x:row>
    <x:row r="11" ht="18" customHeight="1">
      <x:c r="A11" s="25" t="str">
        <x:v>HS_018</x:v>
      </x:c>
      <x:c r="B11" s="25" t="str">
        <x:v>species_ppr</x:v>
      </x:c>
      <x:c r="C11" s="25" t="n">
        <x:v>0</x:v>
      </x:c>
      <x:c r="D11" s="25" t="str">
        <x:v>tonnes_primary_production_equivalent</x:v>
      </x:c>
    </x:row>
    <x:row r="12" ht="18" customHeight="1">
      <x:c r="A12" s="25" t="str">
        <x:v>HS_018</x:v>
      </x:c>
      <x:c r="B12" s="25" t="str">
        <x:v>commercial_ppr</x:v>
      </x:c>
      <x:c r="C12" s="25" t="n">
        <x:v>0</x:v>
      </x:c>
      <x:c r="D12" s="25" t="str">
        <x:v>tonnes_primary_production_equivalent</x:v>
      </x:c>
    </x:row>
    <x:row r="13" ht="18" customHeight="1">
      <x:c r="A13" s="25" t="str">
        <x:v>HS_018</x:v>
      </x:c>
      <x:c r="B13" s="25" t="str">
        <x:v>functional_ppr</x:v>
      </x:c>
      <x:c r="C13" s="25" t="n">
        <x:v>0</x:v>
      </x:c>
      <x:c r="D13" s="25" t="str">
        <x:v>tonnes_primary_production_equivalent</x:v>
      </x:c>
    </x:row>
    <x:row r="14" ht="18" customHeight="1">
      <x:c r="A14" s="25" t="str">
        <x:v>HS_018</x:v>
      </x:c>
      <x:c r="B14" s="25" t="str">
        <x:v>commercial_ppr_difference</x:v>
      </x:c>
      <x:c r="C14" s="25" t="n">
        <x:v>0</x:v>
      </x:c>
      <x:c r="D14" s="25" t="str">
        <x:v>tonnes_primary_production_equivalent</x:v>
      </x:c>
    </x:row>
    <x:row r="15" ht="18" customHeight="1">
      <x:c r="A15" s="25" t="str">
        <x:v>HS_018</x:v>
      </x:c>
      <x:c r="B15" s="25" t="str">
        <x:v>functional_ppr_difference</x:v>
      </x:c>
      <x:c r="C15" s="25" t="n">
        <x:v>0</x:v>
      </x:c>
      <x:c r="D15" s="25" t="str">
        <x:v>tonnes_primary_production_equivalent</x:v>
      </x:c>
    </x:row>
    <x:row r="16" ht="18" customHeight="1">
      <x:c r="A16" s="25" t="str">
        <x:v>HS_021</x:v>
      </x:c>
      <x:c r="B16" s="25" t="str">
        <x:v>raw_filtered_tonnes</x:v>
      </x:c>
      <x:c r="C16" s="25" t="n">
        <x:v>87745.0994728874</x:v>
      </x:c>
      <x:c r="D16" s="25" t="str">
        <x:v>tonnes</x:v>
      </x:c>
    </x:row>
    <x:row r="17" ht="18" customHeight="1">
      <x:c r="A17" s="25" t="str">
        <x:v>HS_021</x:v>
      </x:c>
      <x:c r="B17" s="25" t="str">
        <x:v>species_catch_tonnes</x:v>
      </x:c>
      <x:c r="C17" s="25" t="n">
        <x:v>87745.0994728874</x:v>
      </x:c>
      <x:c r="D17" s="25" t="str">
        <x:v>tonnes</x:v>
      </x:c>
    </x:row>
    <x:row r="18" ht="18" customHeight="1">
      <x:c r="A18" s="25" t="str">
        <x:v>HS_021</x:v>
      </x:c>
      <x:c r="B18" s="25" t="str">
        <x:v>catch_difference_tonnes</x:v>
      </x:c>
      <x:c r="C18" s="25" t="n">
        <x:v>0</x:v>
      </x:c>
      <x:c r="D18" s="25" t="str">
        <x:v>tonnes</x:v>
      </x:c>
    </x:row>
    <x:row r="19" ht="18" customHeight="1">
      <x:c r="A19" s="25" t="str">
        <x:v>HS_021</x:v>
      </x:c>
      <x:c r="B19" s="25" t="str">
        <x:v>catch_reconciled</x:v>
      </x:c>
      <x:c r="C19" s="36" t="b">
        <x:v>1</x:v>
      </x:c>
      <x:c r="D19" s="25" t="str">
        <x:v>boolean</x:v>
      </x:c>
    </x:row>
    <x:row r="20" ht="18" customHeight="1">
      <x:c r="A20" s="25" t="str">
        <x:v>HS_021</x:v>
      </x:c>
      <x:c r="B20" s="25" t="str">
        <x:v>matched_catch_tonnes</x:v>
      </x:c>
      <x:c r="C20" s="25" t="n">
        <x:v>87745.0994728874</x:v>
      </x:c>
      <x:c r="D20" s="25" t="str">
        <x:v>tonnes</x:v>
      </x:c>
    </x:row>
    <x:row r="21" ht="18" customHeight="1">
      <x:c r="A21" s="25" t="str">
        <x:v>HS_021</x:v>
      </x:c>
      <x:c r="B21" s="25" t="str">
        <x:v>catch_coverage_fraction</x:v>
      </x:c>
      <x:c r="C21" s="25" t="n">
        <x:v>1</x:v>
      </x:c>
      <x:c r="D21" s="25" t="str">
        <x:v>fraction</x:v>
      </x:c>
    </x:row>
    <x:row r="22" ht="18" customHeight="1">
      <x:c r="A22" s="25" t="str">
        <x:v>HS_021</x:v>
      </x:c>
      <x:c r="B22" s="25" t="str">
        <x:v>taxa_count</x:v>
      </x:c>
      <x:c r="C22" s="25" t="n">
        <x:v>67</x:v>
      </x:c>
      <x:c r="D22" s="25" t="str">
        <x:v>count</x:v>
      </x:c>
    </x:row>
    <x:row r="23" ht="18" customHeight="1">
      <x:c r="A23" s="25" t="str">
        <x:v>HS_021</x:v>
      </x:c>
      <x:c r="B23" s="25" t="str">
        <x:v>matched_taxa_count</x:v>
      </x:c>
      <x:c r="C23" s="25" t="n">
        <x:v>67</x:v>
      </x:c>
      <x:c r="D23" s="25" t="str">
        <x:v>count</x:v>
      </x:c>
    </x:row>
    <x:row r="24" ht="18" customHeight="1">
      <x:c r="A24" s="25" t="str">
        <x:v>HS_021</x:v>
      </x:c>
      <x:c r="B24" s="25" t="str">
        <x:v>unmatched_taxa_count</x:v>
      </x:c>
      <x:c r="C24" s="25" t="n">
        <x:v>0</x:v>
      </x:c>
      <x:c r="D24" s="25" t="str">
        <x:v>count</x:v>
      </x:c>
    </x:row>
    <x:row r="25" ht="18" customHeight="1">
      <x:c r="A25" s="25" t="str">
        <x:v>HS_021</x:v>
      </x:c>
      <x:c r="B25" s="25" t="str">
        <x:v>species_ppr</x:v>
      </x:c>
      <x:c r="C25" s="25" t="n">
        <x:v>101551846.3748264</x:v>
      </x:c>
      <x:c r="D25" s="25" t="str">
        <x:v>tonnes_primary_production_equivalent</x:v>
      </x:c>
    </x:row>
    <x:row r="26" ht="18" customHeight="1">
      <x:c r="A26" s="25" t="str">
        <x:v>HS_021</x:v>
      </x:c>
      <x:c r="B26" s="25" t="str">
        <x:v>commercial_ppr</x:v>
      </x:c>
      <x:c r="C26" s="25" t="n">
        <x:v>94575783.00091098</x:v>
      </x:c>
      <x:c r="D26" s="25" t="str">
        <x:v>tonnes_primary_production_equivalent</x:v>
      </x:c>
    </x:row>
    <x:row r="27" ht="18" customHeight="1">
      <x:c r="A27" s="25" t="str">
        <x:v>HS_021</x:v>
      </x:c>
      <x:c r="B27" s="25" t="str">
        <x:v>functional_ppr</x:v>
      </x:c>
      <x:c r="C27" s="25" t="n">
        <x:v>94079149.74054004</x:v>
      </x:c>
      <x:c r="D27" s="25" t="str">
        <x:v>tonnes_primary_production_equivalent</x:v>
      </x:c>
    </x:row>
    <x:row r="28" ht="18" customHeight="1">
      <x:c r="A28" s="25" t="str">
        <x:v>HS_021</x:v>
      </x:c>
      <x:c r="B28" s="25" t="str">
        <x:v>commercial_ppr_difference</x:v>
      </x:c>
      <x:c r="C28" s="25" t="n">
        <x:v>-6976063.373915419</x:v>
      </x:c>
      <x:c r="D28" s="25" t="str">
        <x:v>tonnes_primary_production_equivalent</x:v>
      </x:c>
    </x:row>
    <x:row r="29" ht="18" customHeight="1">
      <x:c r="A29" s="25" t="str">
        <x:v>HS_021</x:v>
      </x:c>
      <x:c r="B29" s="25" t="str">
        <x:v>functional_ppr_difference</x:v>
      </x:c>
      <x:c r="C29" s="25" t="n">
        <x:v>-7472696.634286359</x:v>
      </x:c>
      <x:c r="D29" s="25" t="str">
        <x:v>tonnes_primary_production_equivalent</x:v>
      </x:c>
    </x:row>
    <x:row r="30" ht="18" customHeight="1">
      <x:c r="A30" s="25" t="str">
        <x:v>HS_027</x:v>
      </x:c>
      <x:c r="B30" s="25" t="str">
        <x:v>raw_filtered_tonnes</x:v>
      </x:c>
      <x:c r="C30" s="25" t="n">
        <x:v>734932.2904610422</x:v>
      </x:c>
      <x:c r="D30" s="25" t="str">
        <x:v>tonnes</x:v>
      </x:c>
    </x:row>
    <x:row r="31" ht="18" customHeight="1">
      <x:c r="A31" s="25" t="str">
        <x:v>HS_027</x:v>
      </x:c>
      <x:c r="B31" s="25" t="str">
        <x:v>species_catch_tonnes</x:v>
      </x:c>
      <x:c r="C31" s="25" t="n">
        <x:v>734932.290461042</x:v>
      </x:c>
      <x:c r="D31" s="25" t="str">
        <x:v>tonnes</x:v>
      </x:c>
    </x:row>
    <x:row r="32" ht="18" customHeight="1">
      <x:c r="A32" s="25" t="str">
        <x:v>HS_027</x:v>
      </x:c>
      <x:c r="B32" s="25" t="str">
        <x:v>catch_difference_tonnes</x:v>
      </x:c>
      <x:c r="C32" s="25" t="n">
        <x:v>-2.3283064365386963e-10</x:v>
      </x:c>
      <x:c r="D32" s="25" t="str">
        <x:v>tonnes</x:v>
      </x:c>
    </x:row>
    <x:row r="33" ht="18" customHeight="1">
      <x:c r="A33" s="25" t="str">
        <x:v>HS_027</x:v>
      </x:c>
      <x:c r="B33" s="25" t="str">
        <x:v>catch_reconciled</x:v>
      </x:c>
      <x:c r="C33" s="36" t="b">
        <x:v>1</x:v>
      </x:c>
      <x:c r="D33" s="25" t="str">
        <x:v>boolean</x:v>
      </x:c>
    </x:row>
    <x:row r="34" ht="18" customHeight="1">
      <x:c r="A34" s="25" t="str">
        <x:v>HS_027</x:v>
      </x:c>
      <x:c r="B34" s="25" t="str">
        <x:v>matched_catch_tonnes</x:v>
      </x:c>
      <x:c r="C34" s="25" t="n">
        <x:v>734932.290461042</x:v>
      </x:c>
      <x:c r="D34" s="25" t="str">
        <x:v>tonnes</x:v>
      </x:c>
    </x:row>
    <x:row r="35" ht="18" customHeight="1">
      <x:c r="A35" s="25" t="str">
        <x:v>HS_027</x:v>
      </x:c>
      <x:c r="B35" s="25" t="str">
        <x:v>catch_coverage_fraction</x:v>
      </x:c>
      <x:c r="C35" s="25" t="n">
        <x:v>1</x:v>
      </x:c>
      <x:c r="D35" s="25" t="str">
        <x:v>fraction</x:v>
      </x:c>
    </x:row>
    <x:row r="36" ht="18" customHeight="1">
      <x:c r="A36" s="25" t="str">
        <x:v>HS_027</x:v>
      </x:c>
      <x:c r="B36" s="25" t="str">
        <x:v>taxa_count</x:v>
      </x:c>
      <x:c r="C36" s="25" t="n">
        <x:v>131</x:v>
      </x:c>
      <x:c r="D36" s="25" t="str">
        <x:v>count</x:v>
      </x:c>
    </x:row>
    <x:row r="37" ht="18" customHeight="1">
      <x:c r="A37" s="25" t="str">
        <x:v>HS_027</x:v>
      </x:c>
      <x:c r="B37" s="25" t="str">
        <x:v>matched_taxa_count</x:v>
      </x:c>
      <x:c r="C37" s="25" t="n">
        <x:v>131</x:v>
      </x:c>
      <x:c r="D37" s="25" t="str">
        <x:v>count</x:v>
      </x:c>
    </x:row>
    <x:row r="38" ht="18" customHeight="1">
      <x:c r="A38" s="25" t="str">
        <x:v>HS_027</x:v>
      </x:c>
      <x:c r="B38" s="25" t="str">
        <x:v>unmatched_taxa_count</x:v>
      </x:c>
      <x:c r="C38" s="25" t="n">
        <x:v>0</x:v>
      </x:c>
      <x:c r="D38" s="25" t="str">
        <x:v>count</x:v>
      </x:c>
    </x:row>
    <x:row r="39" ht="18" customHeight="1">
      <x:c r="A39" s="25" t="str">
        <x:v>HS_027</x:v>
      </x:c>
      <x:c r="B39" s="25" t="str">
        <x:v>species_ppr</x:v>
      </x:c>
      <x:c r="C39" s="25" t="n">
        <x:v>192111009.49801588</x:v>
      </x:c>
      <x:c r="D39" s="25" t="str">
        <x:v>tonnes_primary_production_equivalent</x:v>
      </x:c>
    </x:row>
    <x:row r="40" ht="18" customHeight="1">
      <x:c r="A40" s="25" t="str">
        <x:v>HS_027</x:v>
      </x:c>
      <x:c r="B40" s="25" t="str">
        <x:v>commercial_ppr</x:v>
      </x:c>
      <x:c r="C40" s="25" t="n">
        <x:v>190119918.21647057</x:v>
      </x:c>
      <x:c r="D40" s="25" t="str">
        <x:v>tonnes_primary_production_equivalent</x:v>
      </x:c>
    </x:row>
    <x:row r="41" ht="18" customHeight="1">
      <x:c r="A41" s="25" t="str">
        <x:v>HS_027</x:v>
      </x:c>
      <x:c r="B41" s="25" t="str">
        <x:v>functional_ppr</x:v>
      </x:c>
      <x:c r="C41" s="25" t="n">
        <x:v>191769855.84918004</x:v>
      </x:c>
      <x:c r="D41" s="25" t="str">
        <x:v>tonnes_primary_production_equivalent</x:v>
      </x:c>
    </x:row>
    <x:row r="42" ht="18" customHeight="1">
      <x:c r="A42" s="25" t="str">
        <x:v>HS_027</x:v>
      </x:c>
      <x:c r="B42" s="25" t="str">
        <x:v>commercial_ppr_difference</x:v>
      </x:c>
      <x:c r="C42" s="25" t="n">
        <x:v>-1991091.2815453112</x:v>
      </x:c>
      <x:c r="D42" s="25" t="str">
        <x:v>tonnes_primary_production_equivalent</x:v>
      </x:c>
    </x:row>
    <x:row r="43" ht="18" customHeight="1">
      <x:c r="A43" s="25" t="str">
        <x:v>HS_027</x:v>
      </x:c>
      <x:c r="B43" s="25" t="str">
        <x:v>functional_ppr_difference</x:v>
      </x:c>
      <x:c r="C43" s="25" t="n">
        <x:v>-341153.64883583784</x:v>
      </x:c>
      <x:c r="D43" s="25" t="str">
        <x:v>tonnes_primary_production_equivalent</x:v>
      </x:c>
    </x:row>
    <x:row r="44" ht="18" customHeight="1">
      <x:c r="A44" s="25" t="str">
        <x:v>HS_031</x:v>
      </x:c>
      <x:c r="B44" s="25" t="str">
        <x:v>raw_filtered_tonnes</x:v>
      </x:c>
      <x:c r="C44" s="25" t="n">
        <x:v>16859.0112032287</x:v>
      </x:c>
      <x:c r="D44" s="25" t="str">
        <x:v>tonnes</x:v>
      </x:c>
    </x:row>
    <x:row r="45" ht="18" customHeight="1">
      <x:c r="A45" s="25" t="str">
        <x:v>HS_031</x:v>
      </x:c>
      <x:c r="B45" s="25" t="str">
        <x:v>species_catch_tonnes</x:v>
      </x:c>
      <x:c r="C45" s="25" t="n">
        <x:v>16859.0112032287</x:v>
      </x:c>
      <x:c r="D45" s="25" t="str">
        <x:v>tonnes</x:v>
      </x:c>
    </x:row>
    <x:row r="46" ht="18" customHeight="1">
      <x:c r="A46" s="25" t="str">
        <x:v>HS_031</x:v>
      </x:c>
      <x:c r="B46" s="25" t="str">
        <x:v>catch_difference_tonnes</x:v>
      </x:c>
      <x:c r="C46" s="25" t="n">
        <x:v>0</x:v>
      </x:c>
      <x:c r="D46" s="25" t="str">
        <x:v>tonnes</x:v>
      </x:c>
    </x:row>
    <x:row r="47" ht="18" customHeight="1">
      <x:c r="A47" s="25" t="str">
        <x:v>HS_031</x:v>
      </x:c>
      <x:c r="B47" s="25" t="str">
        <x:v>catch_reconciled</x:v>
      </x:c>
      <x:c r="C47" s="36" t="b">
        <x:v>1</x:v>
      </x:c>
      <x:c r="D47" s="25" t="str">
        <x:v>boolean</x:v>
      </x:c>
    </x:row>
    <x:row r="48" ht="18" customHeight="1">
      <x:c r="A48" s="25" t="str">
        <x:v>HS_031</x:v>
      </x:c>
      <x:c r="B48" s="25" t="str">
        <x:v>matched_catch_tonnes</x:v>
      </x:c>
      <x:c r="C48" s="25" t="n">
        <x:v>16859.0112032287</x:v>
      </x:c>
      <x:c r="D48" s="25" t="str">
        <x:v>tonnes</x:v>
      </x:c>
    </x:row>
    <x:row r="49" ht="18" customHeight="1">
      <x:c r="A49" s="25" t="str">
        <x:v>HS_031</x:v>
      </x:c>
      <x:c r="B49" s="25" t="str">
        <x:v>catch_coverage_fraction</x:v>
      </x:c>
      <x:c r="C49" s="25" t="n">
        <x:v>1</x:v>
      </x:c>
      <x:c r="D49" s="25" t="str">
        <x:v>fraction</x:v>
      </x:c>
    </x:row>
    <x:row r="50" ht="18" customHeight="1">
      <x:c r="A50" s="25" t="str">
        <x:v>HS_031</x:v>
      </x:c>
      <x:c r="B50" s="25" t="str">
        <x:v>taxa_count</x:v>
      </x:c>
      <x:c r="C50" s="25" t="n">
        <x:v>32</x:v>
      </x:c>
      <x:c r="D50" s="25" t="str">
        <x:v>count</x:v>
      </x:c>
    </x:row>
    <x:row r="51" ht="18" customHeight="1">
      <x:c r="A51" s="25" t="str">
        <x:v>HS_031</x:v>
      </x:c>
      <x:c r="B51" s="25" t="str">
        <x:v>matched_taxa_count</x:v>
      </x:c>
      <x:c r="C51" s="25" t="n">
        <x:v>32</x:v>
      </x:c>
      <x:c r="D51" s="25" t="str">
        <x:v>count</x:v>
      </x:c>
    </x:row>
    <x:row r="52" ht="18" customHeight="1">
      <x:c r="A52" s="25" t="str">
        <x:v>HS_031</x:v>
      </x:c>
      <x:c r="B52" s="25" t="str">
        <x:v>unmatched_taxa_count</x:v>
      </x:c>
      <x:c r="C52" s="25" t="n">
        <x:v>0</x:v>
      </x:c>
      <x:c r="D52" s="25" t="str">
        <x:v>count</x:v>
      </x:c>
    </x:row>
    <x:row r="53" ht="18" customHeight="1">
      <x:c r="A53" s="25" t="str">
        <x:v>HS_031</x:v>
      </x:c>
      <x:c r="B53" s="25" t="str">
        <x:v>species_ppr</x:v>
      </x:c>
      <x:c r="C53" s="25" t="n">
        <x:v>32845718.432304144</x:v>
      </x:c>
      <x:c r="D53" s="25" t="str">
        <x:v>tonnes_primary_production_equivalent</x:v>
      </x:c>
    </x:row>
    <x:row r="54" ht="18" customHeight="1">
      <x:c r="A54" s="25" t="str">
        <x:v>HS_031</x:v>
      </x:c>
      <x:c r="B54" s="25" t="str">
        <x:v>commercial_ppr</x:v>
      </x:c>
      <x:c r="C54" s="25" t="n">
        <x:v>32332686.35082694</x:v>
      </x:c>
      <x:c r="D54" s="25" t="str">
        <x:v>tonnes_primary_production_equivalent</x:v>
      </x:c>
    </x:row>
    <x:row r="55" ht="18" customHeight="1">
      <x:c r="A55" s="25" t="str">
        <x:v>HS_031</x:v>
      </x:c>
      <x:c r="B55" s="25" t="str">
        <x:v>functional_ppr</x:v>
      </x:c>
      <x:c r="C55" s="25" t="n">
        <x:v>32085747.063295085</x:v>
      </x:c>
      <x:c r="D55" s="25" t="str">
        <x:v>tonnes_primary_production_equivalent</x:v>
      </x:c>
    </x:row>
    <x:row r="56" ht="18" customHeight="1">
      <x:c r="A56" s="25" t="str">
        <x:v>HS_031</x:v>
      </x:c>
      <x:c r="B56" s="25" t="str">
        <x:v>commercial_ppr_difference</x:v>
      </x:c>
      <x:c r="C56" s="25" t="n">
        <x:v>-513032.0814772025</x:v>
      </x:c>
      <x:c r="D56" s="25" t="str">
        <x:v>tonnes_primary_production_equivalent</x:v>
      </x:c>
    </x:row>
    <x:row r="57" ht="18" customHeight="1">
      <x:c r="A57" s="25" t="str">
        <x:v>HS_031</x:v>
      </x:c>
      <x:c r="B57" s="25" t="str">
        <x:v>functional_ppr_difference</x:v>
      </x:c>
      <x:c r="C57" s="25" t="n">
        <x:v>-759971.3690090589</x:v>
      </x:c>
      <x:c r="D57" s="25" t="str">
        <x:v>tonnes_primary_production_equivalent</x:v>
      </x:c>
    </x:row>
    <x:row r="58" ht="18" customHeight="1">
      <x:c r="A58" s="25" t="str">
        <x:v>HS_034</x:v>
      </x:c>
      <x:c r="B58" s="25" t="str">
        <x:v>raw_filtered_tonnes</x:v>
      </x:c>
      <x:c r="C58" s="25" t="n">
        <x:v>235319.4552726861</x:v>
      </x:c>
      <x:c r="D58" s="25" t="str">
        <x:v>tonnes</x:v>
      </x:c>
    </x:row>
    <x:row r="59" ht="18" customHeight="1">
      <x:c r="A59" s="25" t="str">
        <x:v>HS_034</x:v>
      </x:c>
      <x:c r="B59" s="25" t="str">
        <x:v>species_catch_tonnes</x:v>
      </x:c>
      <x:c r="C59" s="25" t="n">
        <x:v>235319.45527268611</x:v>
      </x:c>
      <x:c r="D59" s="25" t="str">
        <x:v>tonnes</x:v>
      </x:c>
    </x:row>
    <x:row r="60" ht="18" customHeight="1">
      <x:c r="A60" s="25" t="str">
        <x:v>HS_034</x:v>
      </x:c>
      <x:c r="B60" s="25" t="str">
        <x:v>catch_difference_tonnes</x:v>
      </x:c>
      <x:c r="C60" s="25" t="n">
        <x:v>2.9103830456733704e-11</x:v>
      </x:c>
      <x:c r="D60" s="25" t="str">
        <x:v>tonnes</x:v>
      </x:c>
    </x:row>
    <x:row r="61" ht="18" customHeight="1">
      <x:c r="A61" s="25" t="str">
        <x:v>HS_034</x:v>
      </x:c>
      <x:c r="B61" s="25" t="str">
        <x:v>catch_reconciled</x:v>
      </x:c>
      <x:c r="C61" s="36" t="b">
        <x:v>1</x:v>
      </x:c>
      <x:c r="D61" s="25" t="str">
        <x:v>boolean</x:v>
      </x:c>
    </x:row>
    <x:row r="62" ht="18" customHeight="1">
      <x:c r="A62" s="25" t="str">
        <x:v>HS_034</x:v>
      </x:c>
      <x:c r="B62" s="25" t="str">
        <x:v>matched_catch_tonnes</x:v>
      </x:c>
      <x:c r="C62" s="25" t="n">
        <x:v>235319.45527268611</x:v>
      </x:c>
      <x:c r="D62" s="25" t="str">
        <x:v>tonnes</x:v>
      </x:c>
    </x:row>
    <x:row r="63" ht="18" customHeight="1">
      <x:c r="A63" s="25" t="str">
        <x:v>HS_034</x:v>
      </x:c>
      <x:c r="B63" s="25" t="str">
        <x:v>catch_coverage_fraction</x:v>
      </x:c>
      <x:c r="C63" s="25" t="n">
        <x:v>1</x:v>
      </x:c>
      <x:c r="D63" s="25" t="str">
        <x:v>fraction</x:v>
      </x:c>
    </x:row>
    <x:row r="64" ht="18" customHeight="1">
      <x:c r="A64" s="25" t="str">
        <x:v>HS_034</x:v>
      </x:c>
      <x:c r="B64" s="25" t="str">
        <x:v>taxa_count</x:v>
      </x:c>
      <x:c r="C64" s="25" t="n">
        <x:v>37</x:v>
      </x:c>
      <x:c r="D64" s="25" t="str">
        <x:v>count</x:v>
      </x:c>
    </x:row>
    <x:row r="65" ht="18" customHeight="1">
      <x:c r="A65" s="25" t="str">
        <x:v>HS_034</x:v>
      </x:c>
      <x:c r="B65" s="25" t="str">
        <x:v>matched_taxa_count</x:v>
      </x:c>
      <x:c r="C65" s="25" t="n">
        <x:v>37</x:v>
      </x:c>
      <x:c r="D65" s="25" t="str">
        <x:v>count</x:v>
      </x:c>
    </x:row>
    <x:row r="66" ht="18" customHeight="1">
      <x:c r="A66" s="25" t="str">
        <x:v>HS_034</x:v>
      </x:c>
      <x:c r="B66" s="25" t="str">
        <x:v>unmatched_taxa_count</x:v>
      </x:c>
      <x:c r="C66" s="25" t="n">
        <x:v>0</x:v>
      </x:c>
      <x:c r="D66" s="25" t="str">
        <x:v>count</x:v>
      </x:c>
    </x:row>
    <x:row r="67" ht="18" customHeight="1">
      <x:c r="A67" s="25" t="str">
        <x:v>HS_034</x:v>
      </x:c>
      <x:c r="B67" s="25" t="str">
        <x:v>species_ppr</x:v>
      </x:c>
      <x:c r="C67" s="25" t="n">
        <x:v>580150840.1289461</x:v>
      </x:c>
      <x:c r="D67" s="25" t="str">
        <x:v>tonnes_primary_production_equivalent</x:v>
      </x:c>
    </x:row>
    <x:row r="68" ht="18" customHeight="1">
      <x:c r="A68" s="25" t="str">
        <x:v>HS_034</x:v>
      </x:c>
      <x:c r="B68" s="25" t="str">
        <x:v>commercial_ppr</x:v>
      </x:c>
      <x:c r="C68" s="25" t="n">
        <x:v>577913963.9606429</x:v>
      </x:c>
      <x:c r="D68" s="25" t="str">
        <x:v>tonnes_primary_production_equivalent</x:v>
      </x:c>
    </x:row>
    <x:row r="69" ht="18" customHeight="1">
      <x:c r="A69" s="25" t="str">
        <x:v>HS_034</x:v>
      </x:c>
      <x:c r="B69" s="25" t="str">
        <x:v>functional_ppr</x:v>
      </x:c>
      <x:c r="C69" s="25" t="n">
        <x:v>573709660.5593073</x:v>
      </x:c>
      <x:c r="D69" s="25" t="str">
        <x:v>tonnes_primary_production_equivalent</x:v>
      </x:c>
    </x:row>
    <x:row r="70" ht="18" customHeight="1">
      <x:c r="A70" s="25" t="str">
        <x:v>HS_034</x:v>
      </x:c>
      <x:c r="B70" s="25" t="str">
        <x:v>commercial_ppr_difference</x:v>
      </x:c>
      <x:c r="C70" s="25" t="n">
        <x:v>-2236876.168303132</x:v>
      </x:c>
      <x:c r="D70" s="25" t="str">
        <x:v>tonnes_primary_production_equivalent</x:v>
      </x:c>
    </x:row>
    <x:row r="71" ht="18" customHeight="1">
      <x:c r="A71" s="25" t="str">
        <x:v>HS_034</x:v>
      </x:c>
      <x:c r="B71" s="25" t="str">
        <x:v>functional_ppr_difference</x:v>
      </x:c>
      <x:c r="C71" s="25" t="n">
        <x:v>-6441179.569638729</x:v>
      </x:c>
      <x:c r="D71" s="25" t="str">
        <x:v>tonnes_primary_production_equivalent</x:v>
      </x:c>
    </x:row>
    <x:row r="72" ht="18" customHeight="1">
      <x:c r="A72" s="25" t="str">
        <x:v>HS_041</x:v>
      </x:c>
      <x:c r="B72" s="25" t="str">
        <x:v>raw_filtered_tonnes</x:v>
      </x:c>
      <x:c r="C72" s="25" t="n">
        <x:v>62238.3652132951</x:v>
      </x:c>
      <x:c r="D72" s="25" t="str">
        <x:v>tonnes</x:v>
      </x:c>
    </x:row>
    <x:row r="73" ht="18" customHeight="1">
      <x:c r="A73" s="25" t="str">
        <x:v>HS_041</x:v>
      </x:c>
      <x:c r="B73" s="25" t="str">
        <x:v>species_catch_tonnes</x:v>
      </x:c>
      <x:c r="C73" s="25" t="n">
        <x:v>62238.365213295096</x:v>
      </x:c>
      <x:c r="D73" s="25" t="str">
        <x:v>tonnes</x:v>
      </x:c>
    </x:row>
    <x:row r="74" ht="18" customHeight="1">
      <x:c r="A74" s="25" t="str">
        <x:v>HS_041</x:v>
      </x:c>
      <x:c r="B74" s="25" t="str">
        <x:v>catch_difference_tonnes</x:v>
      </x:c>
      <x:c r="C74" s="25" t="n">
        <x:v>-7.275957614183426e-12</x:v>
      </x:c>
      <x:c r="D74" s="25" t="str">
        <x:v>tonnes</x:v>
      </x:c>
    </x:row>
    <x:row r="75" ht="18" customHeight="1">
      <x:c r="A75" s="25" t="str">
        <x:v>HS_041</x:v>
      </x:c>
      <x:c r="B75" s="25" t="str">
        <x:v>catch_reconciled</x:v>
      </x:c>
      <x:c r="C75" s="36" t="b">
        <x:v>1</x:v>
      </x:c>
      <x:c r="D75" s="25" t="str">
        <x:v>boolean</x:v>
      </x:c>
    </x:row>
    <x:row r="76" ht="18" customHeight="1">
      <x:c r="A76" s="25" t="str">
        <x:v>HS_041</x:v>
      </x:c>
      <x:c r="B76" s="25" t="str">
        <x:v>matched_catch_tonnes</x:v>
      </x:c>
      <x:c r="C76" s="25" t="n">
        <x:v>62238.365213295096</x:v>
      </x:c>
      <x:c r="D76" s="25" t="str">
        <x:v>tonnes</x:v>
      </x:c>
    </x:row>
    <x:row r="77" ht="18" customHeight="1">
      <x:c r="A77" s="25" t="str">
        <x:v>HS_041</x:v>
      </x:c>
      <x:c r="B77" s="25" t="str">
        <x:v>catch_coverage_fraction</x:v>
      </x:c>
      <x:c r="C77" s="25" t="n">
        <x:v>1</x:v>
      </x:c>
      <x:c r="D77" s="25" t="str">
        <x:v>fraction</x:v>
      </x:c>
    </x:row>
    <x:row r="78" ht="18" customHeight="1">
      <x:c r="A78" s="25" t="str">
        <x:v>HS_041</x:v>
      </x:c>
      <x:c r="B78" s="25" t="str">
        <x:v>taxa_count</x:v>
      </x:c>
      <x:c r="C78" s="25" t="n">
        <x:v>33</x:v>
      </x:c>
      <x:c r="D78" s="25" t="str">
        <x:v>count</x:v>
      </x:c>
    </x:row>
    <x:row r="79" ht="18" customHeight="1">
      <x:c r="A79" s="25" t="str">
        <x:v>HS_041</x:v>
      </x:c>
      <x:c r="B79" s="25" t="str">
        <x:v>matched_taxa_count</x:v>
      </x:c>
      <x:c r="C79" s="25" t="n">
        <x:v>33</x:v>
      </x:c>
      <x:c r="D79" s="25" t="str">
        <x:v>count</x:v>
      </x:c>
    </x:row>
    <x:row r="80" ht="18" customHeight="1">
      <x:c r="A80" s="25" t="str">
        <x:v>HS_041</x:v>
      </x:c>
      <x:c r="B80" s="25" t="str">
        <x:v>unmatched_taxa_count</x:v>
      </x:c>
      <x:c r="C80" s="25" t="n">
        <x:v>0</x:v>
      </x:c>
      <x:c r="D80" s="25" t="str">
        <x:v>count</x:v>
      </x:c>
    </x:row>
    <x:row r="81" ht="18" customHeight="1">
      <x:c r="A81" s="25" t="str">
        <x:v>HS_041</x:v>
      </x:c>
      <x:c r="B81" s="25" t="str">
        <x:v>species_ppr</x:v>
      </x:c>
      <x:c r="C81" s="25" t="n">
        <x:v>149349456.4630281</x:v>
      </x:c>
      <x:c r="D81" s="25" t="str">
        <x:v>tonnes_primary_production_equivalent</x:v>
      </x:c>
    </x:row>
    <x:row r="82" ht="18" customHeight="1">
      <x:c r="A82" s="25" t="str">
        <x:v>HS_041</x:v>
      </x:c>
      <x:c r="B82" s="25" t="str">
        <x:v>commercial_ppr</x:v>
      </x:c>
      <x:c r="C82" s="25" t="n">
        <x:v>147948022.15720508</x:v>
      </x:c>
      <x:c r="D82" s="25" t="str">
        <x:v>tonnes_primary_production_equivalent</x:v>
      </x:c>
    </x:row>
    <x:row r="83" ht="18" customHeight="1">
      <x:c r="A83" s="25" t="str">
        <x:v>HS_041</x:v>
      </x:c>
      <x:c r="B83" s="25" t="str">
        <x:v>functional_ppr</x:v>
      </x:c>
      <x:c r="C83" s="25" t="n">
        <x:v>147484387.13170964</x:v>
      </x:c>
      <x:c r="D83" s="25" t="str">
        <x:v>tonnes_primary_production_equivalent</x:v>
      </x:c>
    </x:row>
    <x:row r="84" ht="18" customHeight="1">
      <x:c r="A84" s="25" t="str">
        <x:v>HS_041</x:v>
      </x:c>
      <x:c r="B84" s="25" t="str">
        <x:v>commercial_ppr_difference</x:v>
      </x:c>
      <x:c r="C84" s="25" t="n">
        <x:v>-1401434.305823028</x:v>
      </x:c>
      <x:c r="D84" s="25" t="str">
        <x:v>tonnes_primary_production_equivalent</x:v>
      </x:c>
    </x:row>
    <x:row r="85" ht="18" customHeight="1">
      <x:c r="A85" s="25" t="str">
        <x:v>HS_041</x:v>
      </x:c>
      <x:c r="B85" s="25" t="str">
        <x:v>functional_ppr_difference</x:v>
      </x:c>
      <x:c r="C85" s="25" t="n">
        <x:v>-1865069.3313184679</x:v>
      </x:c>
      <x:c r="D85" s="25" t="str">
        <x:v>tonnes_primary_production_equivalent</x:v>
      </x:c>
    </x:row>
    <x:row r="86" ht="18" customHeight="1">
      <x:c r="A86" s="25" t="str">
        <x:v>HS_047</x:v>
      </x:c>
      <x:c r="B86" s="25" t="str">
        <x:v>raw_filtered_tonnes</x:v>
      </x:c>
      <x:c r="C86" s="25" t="n">
        <x:v>41830.7267805337</x:v>
      </x:c>
      <x:c r="D86" s="25" t="str">
        <x:v>tonnes</x:v>
      </x:c>
    </x:row>
    <x:row r="87" ht="18" customHeight="1">
      <x:c r="A87" s="25" t="str">
        <x:v>HS_047</x:v>
      </x:c>
      <x:c r="B87" s="25" t="str">
        <x:v>species_catch_tonnes</x:v>
      </x:c>
      <x:c r="C87" s="25" t="n">
        <x:v>41830.7267805337</x:v>
      </x:c>
      <x:c r="D87" s="25" t="str">
        <x:v>tonnes</x:v>
      </x:c>
    </x:row>
    <x:row r="88" ht="18" customHeight="1">
      <x:c r="A88" s="25" t="str">
        <x:v>HS_047</x:v>
      </x:c>
      <x:c r="B88" s="25" t="str">
        <x:v>catch_difference_tonnes</x:v>
      </x:c>
      <x:c r="C88" s="25" t="n">
        <x:v>0</x:v>
      </x:c>
      <x:c r="D88" s="25" t="str">
        <x:v>tonnes</x:v>
      </x:c>
    </x:row>
    <x:row r="89" ht="18" customHeight="1">
      <x:c r="A89" s="25" t="str">
        <x:v>HS_047</x:v>
      </x:c>
      <x:c r="B89" s="25" t="str">
        <x:v>catch_reconciled</x:v>
      </x:c>
      <x:c r="C89" s="36" t="b">
        <x:v>1</x:v>
      </x:c>
      <x:c r="D89" s="25" t="str">
        <x:v>boolean</x:v>
      </x:c>
    </x:row>
    <x:row r="90" ht="18" customHeight="1">
      <x:c r="A90" s="25" t="str">
        <x:v>HS_047</x:v>
      </x:c>
      <x:c r="B90" s="25" t="str">
        <x:v>matched_catch_tonnes</x:v>
      </x:c>
      <x:c r="C90" s="25" t="n">
        <x:v>41830.7267805337</x:v>
      </x:c>
      <x:c r="D90" s="25" t="str">
        <x:v>tonnes</x:v>
      </x:c>
    </x:row>
    <x:row r="91" ht="18" customHeight="1">
      <x:c r="A91" s="25" t="str">
        <x:v>HS_047</x:v>
      </x:c>
      <x:c r="B91" s="25" t="str">
        <x:v>catch_coverage_fraction</x:v>
      </x:c>
      <x:c r="C91" s="25" t="n">
        <x:v>1</x:v>
      </x:c>
      <x:c r="D91" s="25" t="str">
        <x:v>fraction</x:v>
      </x:c>
    </x:row>
    <x:row r="92" ht="18" customHeight="1">
      <x:c r="A92" s="25" t="str">
        <x:v>HS_047</x:v>
      </x:c>
      <x:c r="B92" s="25" t="str">
        <x:v>taxa_count</x:v>
      </x:c>
      <x:c r="C92" s="25" t="n">
        <x:v>35</x:v>
      </x:c>
      <x:c r="D92" s="25" t="str">
        <x:v>count</x:v>
      </x:c>
    </x:row>
    <x:row r="93" ht="18" customHeight="1">
      <x:c r="A93" s="25" t="str">
        <x:v>HS_047</x:v>
      </x:c>
      <x:c r="B93" s="25" t="str">
        <x:v>matched_taxa_count</x:v>
      </x:c>
      <x:c r="C93" s="25" t="n">
        <x:v>35</x:v>
      </x:c>
      <x:c r="D93" s="25" t="str">
        <x:v>count</x:v>
      </x:c>
    </x:row>
    <x:row r="94" ht="18" customHeight="1">
      <x:c r="A94" s="25" t="str">
        <x:v>HS_047</x:v>
      </x:c>
      <x:c r="B94" s="25" t="str">
        <x:v>unmatched_taxa_count</x:v>
      </x:c>
      <x:c r="C94" s="25" t="n">
        <x:v>0</x:v>
      </x:c>
      <x:c r="D94" s="25" t="str">
        <x:v>count</x:v>
      </x:c>
    </x:row>
    <x:row r="95" ht="18" customHeight="1">
      <x:c r="A95" s="25" t="str">
        <x:v>HS_047</x:v>
      </x:c>
      <x:c r="B95" s="25" t="str">
        <x:v>species_ppr</x:v>
      </x:c>
      <x:c r="C95" s="25" t="n">
        <x:v>87861469.42037457</x:v>
      </x:c>
      <x:c r="D95" s="25" t="str">
        <x:v>tonnes_primary_production_equivalent</x:v>
      </x:c>
    </x:row>
    <x:row r="96" ht="18" customHeight="1">
      <x:c r="A96" s="25" t="str">
        <x:v>HS_047</x:v>
      </x:c>
      <x:c r="B96" s="25" t="str">
        <x:v>commercial_ppr</x:v>
      </x:c>
      <x:c r="C96" s="25" t="n">
        <x:v>81599560.34715328</x:v>
      </x:c>
      <x:c r="D96" s="25" t="str">
        <x:v>tonnes_primary_production_equivalent</x:v>
      </x:c>
    </x:row>
    <x:row r="97" ht="18" customHeight="1">
      <x:c r="A97" s="25" t="str">
        <x:v>HS_047</x:v>
      </x:c>
      <x:c r="B97" s="25" t="str">
        <x:v>functional_ppr</x:v>
      </x:c>
      <x:c r="C97" s="25" t="n">
        <x:v>81300520.57549798</x:v>
      </x:c>
      <x:c r="D97" s="25" t="str">
        <x:v>tonnes_primary_production_equivalent</x:v>
      </x:c>
    </x:row>
    <x:row r="98" ht="18" customHeight="1">
      <x:c r="A98" s="25" t="str">
        <x:v>HS_047</x:v>
      </x:c>
      <x:c r="B98" s="25" t="str">
        <x:v>commercial_ppr_difference</x:v>
      </x:c>
      <x:c r="C98" s="25" t="n">
        <x:v>-6261909.073221296</x:v>
      </x:c>
      <x:c r="D98" s="25" t="str">
        <x:v>tonnes_primary_production_equivalent</x:v>
      </x:c>
    </x:row>
    <x:row r="99" ht="18" customHeight="1">
      <x:c r="A99" s="25" t="str">
        <x:v>HS_047</x:v>
      </x:c>
      <x:c r="B99" s="25" t="str">
        <x:v>functional_ppr_difference</x:v>
      </x:c>
      <x:c r="C99" s="25" t="n">
        <x:v>-6560948.844876587</x:v>
      </x:c>
      <x:c r="D99" s="25" t="str">
        <x:v>tonnes_primary_production_equivalent</x:v>
      </x:c>
    </x:row>
    <x:row r="100" ht="18" customHeight="1">
      <x:c r="A100" s="25" t="str">
        <x:v>HS_048</x:v>
      </x:c>
      <x:c r="B100" s="25" t="str">
        <x:v>raw_filtered_tonnes</x:v>
      </x:c>
      <x:c r="C100" s="25" t="n">
        <x:v>154127.6154029508</x:v>
      </x:c>
      <x:c r="D100" s="25" t="str">
        <x:v>tonnes</x:v>
      </x:c>
    </x:row>
    <x:row r="101" ht="18" customHeight="1">
      <x:c r="A101" s="25" t="str">
        <x:v>HS_048</x:v>
      </x:c>
      <x:c r="B101" s="25" t="str">
        <x:v>species_catch_tonnes</x:v>
      </x:c>
      <x:c r="C101" s="25" t="n">
        <x:v>154127.61540295082</x:v>
      </x:c>
      <x:c r="D101" s="25" t="str">
        <x:v>tonnes</x:v>
      </x:c>
    </x:row>
    <x:row r="102" ht="18" customHeight="1">
      <x:c r="A102" s="25" t="str">
        <x:v>HS_048</x:v>
      </x:c>
      <x:c r="B102" s="25" t="str">
        <x:v>catch_difference_tonnes</x:v>
      </x:c>
      <x:c r="C102" s="25" t="n">
        <x:v>2.9103830456733704e-11</x:v>
      </x:c>
      <x:c r="D102" s="25" t="str">
        <x:v>tonnes</x:v>
      </x:c>
    </x:row>
    <x:row r="103" ht="18" customHeight="1">
      <x:c r="A103" s="25" t="str">
        <x:v>HS_048</x:v>
      </x:c>
      <x:c r="B103" s="25" t="str">
        <x:v>catch_reconciled</x:v>
      </x:c>
      <x:c r="C103" s="36" t="b">
        <x:v>1</x:v>
      </x:c>
      <x:c r="D103" s="25" t="str">
        <x:v>boolean</x:v>
      </x:c>
    </x:row>
    <x:row r="104" ht="18" customHeight="1">
      <x:c r="A104" s="25" t="str">
        <x:v>HS_048</x:v>
      </x:c>
      <x:c r="B104" s="25" t="str">
        <x:v>matched_catch_tonnes</x:v>
      </x:c>
      <x:c r="C104" s="25" t="n">
        <x:v>154127.61540295082</x:v>
      </x:c>
      <x:c r="D104" s="25" t="str">
        <x:v>tonnes</x:v>
      </x:c>
    </x:row>
    <x:row r="105" ht="18" customHeight="1">
      <x:c r="A105" s="25" t="str">
        <x:v>HS_048</x:v>
      </x:c>
      <x:c r="B105" s="25" t="str">
        <x:v>catch_coverage_fraction</x:v>
      </x:c>
      <x:c r="C105" s="25" t="n">
        <x:v>1</x:v>
      </x:c>
      <x:c r="D105" s="25" t="str">
        <x:v>fraction</x:v>
      </x:c>
    </x:row>
    <x:row r="106" ht="18" customHeight="1">
      <x:c r="A106" s="25" t="str">
        <x:v>HS_048</x:v>
      </x:c>
      <x:c r="B106" s="25" t="str">
        <x:v>taxa_count</x:v>
      </x:c>
      <x:c r="C106" s="25" t="n">
        <x:v>6</x:v>
      </x:c>
      <x:c r="D106" s="25" t="str">
        <x:v>count</x:v>
      </x:c>
    </x:row>
    <x:row r="107" ht="18" customHeight="1">
      <x:c r="A107" s="25" t="str">
        <x:v>HS_048</x:v>
      </x:c>
      <x:c r="B107" s="25" t="str">
        <x:v>matched_taxa_count</x:v>
      </x:c>
      <x:c r="C107" s="25" t="n">
        <x:v>6</x:v>
      </x:c>
      <x:c r="D107" s="25" t="str">
        <x:v>count</x:v>
      </x:c>
    </x:row>
    <x:row r="108" ht="18" customHeight="1">
      <x:c r="A108" s="25" t="str">
        <x:v>HS_048</x:v>
      </x:c>
      <x:c r="B108" s="25" t="str">
        <x:v>unmatched_taxa_count</x:v>
      </x:c>
      <x:c r="C108" s="25" t="n">
        <x:v>0</x:v>
      </x:c>
      <x:c r="D108" s="25" t="str">
        <x:v>count</x:v>
      </x:c>
    </x:row>
    <x:row r="109" ht="18" customHeight="1">
      <x:c r="A109" s="25" t="str">
        <x:v>HS_048</x:v>
      </x:c>
      <x:c r="B109" s="25" t="str">
        <x:v>species_ppr</x:v>
      </x:c>
      <x:c r="C109" s="25" t="n">
        <x:v>29368420.191220015</x:v>
      </x:c>
      <x:c r="D109" s="25" t="str">
        <x:v>tonnes_primary_production_equivalent</x:v>
      </x:c>
    </x:row>
    <x:row r="110" ht="18" customHeight="1">
      <x:c r="A110" s="25" t="str">
        <x:v>HS_048</x:v>
      </x:c>
      <x:c r="B110" s="25" t="str">
        <x:v>commercial_ppr</x:v>
      </x:c>
      <x:c r="C110" s="25" t="n">
        <x:v>29368419.84106065</x:v>
      </x:c>
      <x:c r="D110" s="25" t="str">
        <x:v>tonnes_primary_production_equivalent</x:v>
      </x:c>
    </x:row>
    <x:row r="111" ht="18" customHeight="1">
      <x:c r="A111" s="25" t="str">
        <x:v>HS_048</x:v>
      </x:c>
      <x:c r="B111" s="25" t="str">
        <x:v>functional_ppr</x:v>
      </x:c>
      <x:c r="C111" s="25" t="n">
        <x:v>29368420.191220015</x:v>
      </x:c>
      <x:c r="D111" s="25" t="str">
        <x:v>tonnes_primary_production_equivalent</x:v>
      </x:c>
    </x:row>
    <x:row r="112" ht="18" customHeight="1">
      <x:c r="A112" s="25" t="str">
        <x:v>HS_048</x:v>
      </x:c>
      <x:c r="B112" s="25" t="str">
        <x:v>commercial_ppr_difference</x:v>
      </x:c>
      <x:c r="C112" s="25" t="n">
        <x:v>-0.350159365683794</x:v>
      </x:c>
      <x:c r="D112" s="25" t="str">
        <x:v>tonnes_primary_production_equivalent</x:v>
      </x:c>
    </x:row>
    <x:row r="113" ht="18" customHeight="1">
      <x:c r="A113" s="25" t="str">
        <x:v>HS_048</x:v>
      </x:c>
      <x:c r="B113" s="25" t="str">
        <x:v>functional_ppr_difference</x:v>
      </x:c>
      <x:c r="C113" s="25" t="n">
        <x:v>0</x:v>
      </x:c>
      <x:c r="D113" s="25" t="str">
        <x:v>tonnes_primary_production_equivalent</x:v>
      </x:c>
    </x:row>
    <x:row r="114" ht="18" customHeight="1">
      <x:c r="A114" s="25" t="str">
        <x:v>HS_051</x:v>
      </x:c>
      <x:c r="B114" s="25" t="str">
        <x:v>raw_filtered_tonnes</x:v>
      </x:c>
      <x:c r="C114" s="25" t="n">
        <x:v>377854.0083285441</x:v>
      </x:c>
      <x:c r="D114" s="25" t="str">
        <x:v>tonnes</x:v>
      </x:c>
    </x:row>
    <x:row r="115" ht="18" customHeight="1">
      <x:c r="A115" s="25" t="str">
        <x:v>HS_051</x:v>
      </x:c>
      <x:c r="B115" s="25" t="str">
        <x:v>species_catch_tonnes</x:v>
      </x:c>
      <x:c r="C115" s="25" t="n">
        <x:v>377854.0083285441</x:v>
      </x:c>
      <x:c r="D115" s="25" t="str">
        <x:v>tonnes</x:v>
      </x:c>
    </x:row>
    <x:row r="116" ht="18" customHeight="1">
      <x:c r="A116" s="25" t="str">
        <x:v>HS_051</x:v>
      </x:c>
      <x:c r="B116" s="25" t="str">
        <x:v>catch_difference_tonnes</x:v>
      </x:c>
      <x:c r="C116" s="25" t="n">
        <x:v>0</x:v>
      </x:c>
      <x:c r="D116" s="25" t="str">
        <x:v>tonnes</x:v>
      </x:c>
    </x:row>
    <x:row r="117" ht="18" customHeight="1">
      <x:c r="A117" s="25" t="str">
        <x:v>HS_051</x:v>
      </x:c>
      <x:c r="B117" s="25" t="str">
        <x:v>catch_reconciled</x:v>
      </x:c>
      <x:c r="C117" s="36" t="b">
        <x:v>1</x:v>
      </x:c>
      <x:c r="D117" s="25" t="str">
        <x:v>boolean</x:v>
      </x:c>
    </x:row>
    <x:row r="118" ht="18" customHeight="1">
      <x:c r="A118" s="25" t="str">
        <x:v>HS_051</x:v>
      </x:c>
      <x:c r="B118" s="25" t="str">
        <x:v>matched_catch_tonnes</x:v>
      </x:c>
      <x:c r="C118" s="25" t="n">
        <x:v>377854.0083285441</x:v>
      </x:c>
      <x:c r="D118" s="25" t="str">
        <x:v>tonnes</x:v>
      </x:c>
    </x:row>
    <x:row r="119" ht="18" customHeight="1">
      <x:c r="A119" s="25" t="str">
        <x:v>HS_051</x:v>
      </x:c>
      <x:c r="B119" s="25" t="str">
        <x:v>catch_coverage_fraction</x:v>
      </x:c>
      <x:c r="C119" s="25" t="n">
        <x:v>1</x:v>
      </x:c>
      <x:c r="D119" s="25" t="str">
        <x:v>fraction</x:v>
      </x:c>
    </x:row>
    <x:row r="120" ht="18" customHeight="1">
      <x:c r="A120" s="25" t="str">
        <x:v>HS_051</x:v>
      </x:c>
      <x:c r="B120" s="25" t="str">
        <x:v>taxa_count</x:v>
      </x:c>
      <x:c r="C120" s="25" t="n">
        <x:v>36</x:v>
      </x:c>
      <x:c r="D120" s="25" t="str">
        <x:v>count</x:v>
      </x:c>
    </x:row>
    <x:row r="121" ht="18" customHeight="1">
      <x:c r="A121" s="25" t="str">
        <x:v>HS_051</x:v>
      </x:c>
      <x:c r="B121" s="25" t="str">
        <x:v>matched_taxa_count</x:v>
      </x:c>
      <x:c r="C121" s="25" t="n">
        <x:v>36</x:v>
      </x:c>
      <x:c r="D121" s="25" t="str">
        <x:v>count</x:v>
      </x:c>
    </x:row>
    <x:row r="122" ht="18" customHeight="1">
      <x:c r="A122" s="25" t="str">
        <x:v>HS_051</x:v>
      </x:c>
      <x:c r="B122" s="25" t="str">
        <x:v>unmatched_taxa_count</x:v>
      </x:c>
      <x:c r="C122" s="25" t="n">
        <x:v>0</x:v>
      </x:c>
      <x:c r="D122" s="25" t="str">
        <x:v>count</x:v>
      </x:c>
    </x:row>
    <x:row r="123" ht="18" customHeight="1">
      <x:c r="A123" s="25" t="str">
        <x:v>HS_051</x:v>
      </x:c>
      <x:c r="B123" s="25" t="str">
        <x:v>species_ppr</x:v>
      </x:c>
      <x:c r="C123" s="25" t="n">
        <x:v>907481876.8369483</x:v>
      </x:c>
      <x:c r="D123" s="25" t="str">
        <x:v>tonnes_primary_production_equivalent</x:v>
      </x:c>
    </x:row>
    <x:row r="124" ht="18" customHeight="1">
      <x:c r="A124" s="25" t="str">
        <x:v>HS_051</x:v>
      </x:c>
      <x:c r="B124" s="25" t="str">
        <x:v>commercial_ppr</x:v>
      </x:c>
      <x:c r="C124" s="25" t="n">
        <x:v>898130651.4662967</x:v>
      </x:c>
      <x:c r="D124" s="25" t="str">
        <x:v>tonnes_primary_production_equivalent</x:v>
      </x:c>
    </x:row>
    <x:row r="125" ht="18" customHeight="1">
      <x:c r="A125" s="25" t="str">
        <x:v>HS_051</x:v>
      </x:c>
      <x:c r="B125" s="25" t="str">
        <x:v>functional_ppr</x:v>
      </x:c>
      <x:c r="C125" s="25" t="n">
        <x:v>892837267.8459628</x:v>
      </x:c>
      <x:c r="D125" s="25" t="str">
        <x:v>tonnes_primary_production_equivalent</x:v>
      </x:c>
    </x:row>
    <x:row r="126" ht="18" customHeight="1">
      <x:c r="A126" s="25" t="str">
        <x:v>HS_051</x:v>
      </x:c>
      <x:c r="B126" s="25" t="str">
        <x:v>commercial_ppr_difference</x:v>
      </x:c>
      <x:c r="C126" s="25" t="n">
        <x:v>-9351225.370651603</x:v>
      </x:c>
      <x:c r="D126" s="25" t="str">
        <x:v>tonnes_primary_production_equivalent</x:v>
      </x:c>
    </x:row>
    <x:row r="127" ht="18" customHeight="1">
      <x:c r="A127" s="25" t="str">
        <x:v>HS_051</x:v>
      </x:c>
      <x:c r="B127" s="25" t="str">
        <x:v>functional_ppr_difference</x:v>
      </x:c>
      <x:c r="C127" s="25" t="n">
        <x:v>-14644608.990985513</x:v>
      </x:c>
      <x:c r="D127" s="25" t="str">
        <x:v>tonnes_primary_production_equivalent</x:v>
      </x:c>
    </x:row>
    <x:row r="128" ht="18" customHeight="1">
      <x:c r="A128" s="25" t="str">
        <x:v>HS_057</x:v>
      </x:c>
      <x:c r="B128" s="25" t="str">
        <x:v>raw_filtered_tonnes</x:v>
      </x:c>
      <x:c r="C128" s="25" t="n">
        <x:v>249459.5239463328</x:v>
      </x:c>
      <x:c r="D128" s="25" t="str">
        <x:v>tonnes</x:v>
      </x:c>
    </x:row>
    <x:row r="129" ht="18" customHeight="1">
      <x:c r="A129" s="25" t="str">
        <x:v>HS_057</x:v>
      </x:c>
      <x:c r="B129" s="25" t="str">
        <x:v>species_catch_tonnes</x:v>
      </x:c>
      <x:c r="C129" s="25" t="n">
        <x:v>249459.52394633277</x:v>
      </x:c>
      <x:c r="D129" s="25" t="str">
        <x:v>tonnes</x:v>
      </x:c>
    </x:row>
    <x:row r="130" ht="18" customHeight="1">
      <x:c r="A130" s="25" t="str">
        <x:v>HS_057</x:v>
      </x:c>
      <x:c r="B130" s="25" t="str">
        <x:v>catch_difference_tonnes</x:v>
      </x:c>
      <x:c r="C130" s="25" t="n">
        <x:v>-2.9103830456733704e-11</x:v>
      </x:c>
      <x:c r="D130" s="25" t="str">
        <x:v>tonnes</x:v>
      </x:c>
    </x:row>
    <x:row r="131" ht="18" customHeight="1">
      <x:c r="A131" s="25" t="str">
        <x:v>HS_057</x:v>
      </x:c>
      <x:c r="B131" s="25" t="str">
        <x:v>catch_reconciled</x:v>
      </x:c>
      <x:c r="C131" s="36" t="b">
        <x:v>1</x:v>
      </x:c>
      <x:c r="D131" s="25" t="str">
        <x:v>boolean</x:v>
      </x:c>
    </x:row>
    <x:row r="132" ht="18" customHeight="1">
      <x:c r="A132" s="25" t="str">
        <x:v>HS_057</x:v>
      </x:c>
      <x:c r="B132" s="25" t="str">
        <x:v>matched_catch_tonnes</x:v>
      </x:c>
      <x:c r="C132" s="25" t="n">
        <x:v>249459.52394633277</x:v>
      </x:c>
      <x:c r="D132" s="25" t="str">
        <x:v>tonnes</x:v>
      </x:c>
    </x:row>
    <x:row r="133" ht="18" customHeight="1">
      <x:c r="A133" s="25" t="str">
        <x:v>HS_057</x:v>
      </x:c>
      <x:c r="B133" s="25" t="str">
        <x:v>catch_coverage_fraction</x:v>
      </x:c>
      <x:c r="C133" s="25" t="n">
        <x:v>1</x:v>
      </x:c>
      <x:c r="D133" s="25" t="str">
        <x:v>fraction</x:v>
      </x:c>
    </x:row>
    <x:row r="134" ht="18" customHeight="1">
      <x:c r="A134" s="25" t="str">
        <x:v>HS_057</x:v>
      </x:c>
      <x:c r="B134" s="25" t="str">
        <x:v>taxa_count</x:v>
      </x:c>
      <x:c r="C134" s="25" t="n">
        <x:v>34</x:v>
      </x:c>
      <x:c r="D134" s="25" t="str">
        <x:v>count</x:v>
      </x:c>
    </x:row>
    <x:row r="135" ht="18" customHeight="1">
      <x:c r="A135" s="25" t="str">
        <x:v>HS_057</x:v>
      </x:c>
      <x:c r="B135" s="25" t="str">
        <x:v>matched_taxa_count</x:v>
      </x:c>
      <x:c r="C135" s="25" t="n">
        <x:v>34</x:v>
      </x:c>
      <x:c r="D135" s="25" t="str">
        <x:v>count</x:v>
      </x:c>
    </x:row>
    <x:row r="136" ht="18" customHeight="1">
      <x:c r="A136" s="25" t="str">
        <x:v>HS_057</x:v>
      </x:c>
      <x:c r="B136" s="25" t="str">
        <x:v>unmatched_taxa_count</x:v>
      </x:c>
      <x:c r="C136" s="25" t="n">
        <x:v>0</x:v>
      </x:c>
      <x:c r="D136" s="25" t="str">
        <x:v>count</x:v>
      </x:c>
    </x:row>
    <x:row r="137" ht="18" customHeight="1">
      <x:c r="A137" s="25" t="str">
        <x:v>HS_057</x:v>
      </x:c>
      <x:c r="B137" s="25" t="str">
        <x:v>species_ppr</x:v>
      </x:c>
      <x:c r="C137" s="25" t="n">
        <x:v>577352176.9718388</x:v>
      </x:c>
      <x:c r="D137" s="25" t="str">
        <x:v>tonnes_primary_production_equivalent</x:v>
      </x:c>
    </x:row>
    <x:row r="138" ht="18" customHeight="1">
      <x:c r="A138" s="25" t="str">
        <x:v>HS_057</x:v>
      </x:c>
      <x:c r="B138" s="25" t="str">
        <x:v>commercial_ppr</x:v>
      </x:c>
      <x:c r="C138" s="25" t="n">
        <x:v>561837233.6617491</x:v>
      </x:c>
      <x:c r="D138" s="25" t="str">
        <x:v>tonnes_primary_production_equivalent</x:v>
      </x:c>
    </x:row>
    <x:row r="139" ht="18" customHeight="1">
      <x:c r="A139" s="25" t="str">
        <x:v>HS_057</x:v>
      </x:c>
      <x:c r="B139" s="25" t="str">
        <x:v>functional_ppr</x:v>
      </x:c>
      <x:c r="C139" s="25" t="n">
        <x:v>561492847.4666706</x:v>
      </x:c>
      <x:c r="D139" s="25" t="str">
        <x:v>tonnes_primary_production_equivalent</x:v>
      </x:c>
    </x:row>
    <x:row r="140" ht="18" customHeight="1">
      <x:c r="A140" s="25" t="str">
        <x:v>HS_057</x:v>
      </x:c>
      <x:c r="B140" s="25" t="str">
        <x:v>commercial_ppr_difference</x:v>
      </x:c>
      <x:c r="C140" s="25" t="n">
        <x:v>-15514943.310089707</x:v>
      </x:c>
      <x:c r="D140" s="25" t="str">
        <x:v>tonnes_primary_production_equivalent</x:v>
      </x:c>
    </x:row>
    <x:row r="141" ht="18" customHeight="1">
      <x:c r="A141" s="25" t="str">
        <x:v>HS_057</x:v>
      </x:c>
      <x:c r="B141" s="25" t="str">
        <x:v>functional_ppr_difference</x:v>
      </x:c>
      <x:c r="C141" s="25" t="n">
        <x:v>-15859329.5051682</x:v>
      </x:c>
      <x:c r="D141" s="25" t="str">
        <x:v>tonnes_primary_production_equivalent</x:v>
      </x:c>
    </x:row>
    <x:row r="142" ht="18" customHeight="1">
      <x:c r="A142" s="25" t="str">
        <x:v>HS_058</x:v>
      </x:c>
      <x:c r="B142" s="25" t="str">
        <x:v>raw_filtered_tonnes</x:v>
      </x:c>
      <x:c r="C142" s="25" t="n">
        <x:v>1622.2799593135</x:v>
      </x:c>
      <x:c r="D142" s="25" t="str">
        <x:v>tonnes</x:v>
      </x:c>
    </x:row>
    <x:row r="143" ht="18" customHeight="1">
      <x:c r="A143" s="25" t="str">
        <x:v>HS_058</x:v>
      </x:c>
      <x:c r="B143" s="25" t="str">
        <x:v>species_catch_tonnes</x:v>
      </x:c>
      <x:c r="C143" s="25" t="n">
        <x:v>1622.2799593135003</x:v>
      </x:c>
      <x:c r="D143" s="25" t="str">
        <x:v>tonnes</x:v>
      </x:c>
    </x:row>
    <x:row r="144" ht="18" customHeight="1">
      <x:c r="A144" s="25" t="str">
        <x:v>HS_058</x:v>
      </x:c>
      <x:c r="B144" s="25" t="str">
        <x:v>catch_difference_tonnes</x:v>
      </x:c>
      <x:c r="C144" s="25" t="n">
        <x:v>2.2737367544323206e-13</x:v>
      </x:c>
      <x:c r="D144" s="25" t="str">
        <x:v>tonnes</x:v>
      </x:c>
    </x:row>
    <x:row r="145" ht="18" customHeight="1">
      <x:c r="A145" s="25" t="str">
        <x:v>HS_058</x:v>
      </x:c>
      <x:c r="B145" s="25" t="str">
        <x:v>catch_reconciled</x:v>
      </x:c>
      <x:c r="C145" s="36" t="b">
        <x:v>1</x:v>
      </x:c>
      <x:c r="D145" s="25" t="str">
        <x:v>boolean</x:v>
      </x:c>
    </x:row>
    <x:row r="146" ht="18" customHeight="1">
      <x:c r="A146" s="25" t="str">
        <x:v>HS_058</x:v>
      </x:c>
      <x:c r="B146" s="25" t="str">
        <x:v>matched_catch_tonnes</x:v>
      </x:c>
      <x:c r="C146" s="25" t="n">
        <x:v>1622.2799593135003</x:v>
      </x:c>
      <x:c r="D146" s="25" t="str">
        <x:v>tonnes</x:v>
      </x:c>
    </x:row>
    <x:row r="147" ht="18" customHeight="1">
      <x:c r="A147" s="25" t="str">
        <x:v>HS_058</x:v>
      </x:c>
      <x:c r="B147" s="25" t="str">
        <x:v>catch_coverage_fraction</x:v>
      </x:c>
      <x:c r="C147" s="25" t="n">
        <x:v>1</x:v>
      </x:c>
      <x:c r="D147" s="25" t="str">
        <x:v>fraction</x:v>
      </x:c>
    </x:row>
    <x:row r="148" ht="18" customHeight="1">
      <x:c r="A148" s="25" t="str">
        <x:v>HS_058</x:v>
      </x:c>
      <x:c r="B148" s="25" t="str">
        <x:v>taxa_count</x:v>
      </x:c>
      <x:c r="C148" s="25" t="n">
        <x:v>6</x:v>
      </x:c>
      <x:c r="D148" s="25" t="str">
        <x:v>count</x:v>
      </x:c>
    </x:row>
    <x:row r="149" ht="18" customHeight="1">
      <x:c r="A149" s="25" t="str">
        <x:v>HS_058</x:v>
      </x:c>
      <x:c r="B149" s="25" t="str">
        <x:v>matched_taxa_count</x:v>
      </x:c>
      <x:c r="C149" s="25" t="n">
        <x:v>6</x:v>
      </x:c>
      <x:c r="D149" s="25" t="str">
        <x:v>count</x:v>
      </x:c>
    </x:row>
    <x:row r="150" ht="18" customHeight="1">
      <x:c r="A150" s="25" t="str">
        <x:v>HS_058</x:v>
      </x:c>
      <x:c r="B150" s="25" t="str">
        <x:v>unmatched_taxa_count</x:v>
      </x:c>
      <x:c r="C150" s="25" t="n">
        <x:v>0</x:v>
      </x:c>
      <x:c r="D150" s="25" t="str">
        <x:v>count</x:v>
      </x:c>
    </x:row>
    <x:row r="151" ht="18" customHeight="1">
      <x:c r="A151" s="25" t="str">
        <x:v>HS_058</x:v>
      </x:c>
      <x:c r="B151" s="25" t="str">
        <x:v>species_ppr</x:v>
      </x:c>
      <x:c r="C151" s="25" t="n">
        <x:v>316826.047060139</x:v>
      </x:c>
      <x:c r="D151" s="25" t="str">
        <x:v>tonnes_primary_production_equivalent</x:v>
      </x:c>
    </x:row>
    <x:row r="152" ht="18" customHeight="1">
      <x:c r="A152" s="25" t="str">
        <x:v>HS_058</x:v>
      </x:c>
      <x:c r="B152" s="25" t="str">
        <x:v>commercial_ppr</x:v>
      </x:c>
      <x:c r="C152" s="25" t="n">
        <x:v>316302.392591317</x:v>
      </x:c>
      <x:c r="D152" s="25" t="str">
        <x:v>tonnes_primary_production_equivalent</x:v>
      </x:c>
    </x:row>
    <x:row r="153" ht="18" customHeight="1">
      <x:c r="A153" s="25" t="str">
        <x:v>HS_058</x:v>
      </x:c>
      <x:c r="B153" s="25" t="str">
        <x:v>functional_ppr</x:v>
      </x:c>
      <x:c r="C153" s="25" t="n">
        <x:v>316825.92653248494</x:v>
      </x:c>
      <x:c r="D153" s="25" t="str">
        <x:v>tonnes_primary_production_equivalent</x:v>
      </x:c>
    </x:row>
    <x:row r="154" ht="18" customHeight="1">
      <x:c r="A154" s="25" t="str">
        <x:v>HS_058</x:v>
      </x:c>
      <x:c r="B154" s="25" t="str">
        <x:v>commercial_ppr_difference</x:v>
      </x:c>
      <x:c r="C154" s="25" t="n">
        <x:v>-523.654468822002</x:v>
      </x:c>
      <x:c r="D154" s="25" t="str">
        <x:v>tonnes_primary_production_equivalent</x:v>
      </x:c>
    </x:row>
    <x:row r="155" ht="18" customHeight="1">
      <x:c r="A155" s="25" t="str">
        <x:v>HS_058</x:v>
      </x:c>
      <x:c r="B155" s="25" t="str">
        <x:v>functional_ppr_difference</x:v>
      </x:c>
      <x:c r="C155" s="25" t="n">
        <x:v>-0.12052765407133847</x:v>
      </x:c>
      <x:c r="D155" s="25" t="str">
        <x:v>tonnes_primary_production_equivalent</x:v>
      </x:c>
    </x:row>
    <x:row r="156" ht="18" customHeight="1">
      <x:c r="A156" s="25" t="str">
        <x:v>HS_061</x:v>
      </x:c>
      <x:c r="B156" s="25" t="str">
        <x:v>raw_filtered_tonnes</x:v>
      </x:c>
      <x:c r="C156" s="25" t="n">
        <x:v>132995.67933726677</x:v>
      </x:c>
      <x:c r="D156" s="25" t="str">
        <x:v>tonnes</x:v>
      </x:c>
    </x:row>
    <x:row r="157" ht="18" customHeight="1">
      <x:c r="A157" s="25" t="str">
        <x:v>HS_061</x:v>
      </x:c>
      <x:c r="B157" s="25" t="str">
        <x:v>species_catch_tonnes</x:v>
      </x:c>
      <x:c r="C157" s="25" t="n">
        <x:v>132995.67933726683</x:v>
      </x:c>
      <x:c r="D157" s="25" t="str">
        <x:v>tonnes</x:v>
      </x:c>
    </x:row>
    <x:row r="158" ht="18" customHeight="1">
      <x:c r="A158" s="25" t="str">
        <x:v>HS_061</x:v>
      </x:c>
      <x:c r="B158" s="25" t="str">
        <x:v>catch_difference_tonnes</x:v>
      </x:c>
      <x:c r="C158" s="25" t="n">
        <x:v>5.820766091346741e-11</x:v>
      </x:c>
      <x:c r="D158" s="25" t="str">
        <x:v>tonnes</x:v>
      </x:c>
    </x:row>
    <x:row r="159" ht="18" customHeight="1">
      <x:c r="A159" s="25" t="str">
        <x:v>HS_061</x:v>
      </x:c>
      <x:c r="B159" s="25" t="str">
        <x:v>catch_reconciled</x:v>
      </x:c>
      <x:c r="C159" s="36" t="b">
        <x:v>1</x:v>
      </x:c>
      <x:c r="D159" s="25" t="str">
        <x:v>boolean</x:v>
      </x:c>
    </x:row>
    <x:row r="160" ht="18" customHeight="1">
      <x:c r="A160" s="25" t="str">
        <x:v>HS_061</x:v>
      </x:c>
      <x:c r="B160" s="25" t="str">
        <x:v>matched_catch_tonnes</x:v>
      </x:c>
      <x:c r="C160" s="25" t="n">
        <x:v>132995.67933726683</x:v>
      </x:c>
      <x:c r="D160" s="25" t="str">
        <x:v>tonnes</x:v>
      </x:c>
    </x:row>
    <x:row r="161" ht="18" customHeight="1">
      <x:c r="A161" s="25" t="str">
        <x:v>HS_061</x:v>
      </x:c>
      <x:c r="B161" s="25" t="str">
        <x:v>catch_coverage_fraction</x:v>
      </x:c>
      <x:c r="C161" s="25" t="n">
        <x:v>1</x:v>
      </x:c>
      <x:c r="D161" s="25" t="str">
        <x:v>fraction</x:v>
      </x:c>
    </x:row>
    <x:row r="162" ht="18" customHeight="1">
      <x:c r="A162" s="25" t="str">
        <x:v>HS_061</x:v>
      </x:c>
      <x:c r="B162" s="25" t="str">
        <x:v>taxa_count</x:v>
      </x:c>
      <x:c r="C162" s="25" t="n">
        <x:v>21</x:v>
      </x:c>
      <x:c r="D162" s="25" t="str">
        <x:v>count</x:v>
      </x:c>
    </x:row>
    <x:row r="163" ht="18" customHeight="1">
      <x:c r="A163" s="25" t="str">
        <x:v>HS_061</x:v>
      </x:c>
      <x:c r="B163" s="25" t="str">
        <x:v>matched_taxa_count</x:v>
      </x:c>
      <x:c r="C163" s="25" t="n">
        <x:v>21</x:v>
      </x:c>
      <x:c r="D163" s="25" t="str">
        <x:v>count</x:v>
      </x:c>
    </x:row>
    <x:row r="164" ht="18" customHeight="1">
      <x:c r="A164" s="25" t="str">
        <x:v>HS_061</x:v>
      </x:c>
      <x:c r="B164" s="25" t="str">
        <x:v>unmatched_taxa_count</x:v>
      </x:c>
      <x:c r="C164" s="25" t="n">
        <x:v>0</x:v>
      </x:c>
      <x:c r="D164" s="25" t="str">
        <x:v>count</x:v>
      </x:c>
    </x:row>
    <x:row r="165" ht="18" customHeight="1">
      <x:c r="A165" s="25" t="str">
        <x:v>HS_061</x:v>
      </x:c>
      <x:c r="B165" s="25" t="str">
        <x:v>species_ppr</x:v>
      </x:c>
      <x:c r="C165" s="25" t="n">
        <x:v>284384862.0630329</x:v>
      </x:c>
      <x:c r="D165" s="25" t="str">
        <x:v>tonnes_primary_production_equivalent</x:v>
      </x:c>
    </x:row>
    <x:row r="166" ht="18" customHeight="1">
      <x:c r="A166" s="25" t="str">
        <x:v>HS_061</x:v>
      </x:c>
      <x:c r="B166" s="25" t="str">
        <x:v>commercial_ppr</x:v>
      </x:c>
      <x:c r="C166" s="25" t="n">
        <x:v>282590083.8142501</x:v>
      </x:c>
      <x:c r="D166" s="25" t="str">
        <x:v>tonnes_primary_production_equivalent</x:v>
      </x:c>
    </x:row>
    <x:row r="167" ht="18" customHeight="1">
      <x:c r="A167" s="25" t="str">
        <x:v>HS_061</x:v>
      </x:c>
      <x:c r="B167" s="25" t="str">
        <x:v>functional_ppr</x:v>
      </x:c>
      <x:c r="C167" s="25" t="n">
        <x:v>282258802.3773237</x:v>
      </x:c>
      <x:c r="D167" s="25" t="str">
        <x:v>tonnes_primary_production_equivalent</x:v>
      </x:c>
    </x:row>
    <x:row r="168" ht="18" customHeight="1">
      <x:c r="A168" s="25" t="str">
        <x:v>HS_061</x:v>
      </x:c>
      <x:c r="B168" s="25" t="str">
        <x:v>commercial_ppr_difference</x:v>
      </x:c>
      <x:c r="C168" s="25" t="n">
        <x:v>-1794778.2487828135</x:v>
      </x:c>
      <x:c r="D168" s="25" t="str">
        <x:v>tonnes_primary_production_equivalent</x:v>
      </x:c>
    </x:row>
    <x:row r="169" ht="18" customHeight="1">
      <x:c r="A169" s="25" t="str">
        <x:v>HS_061</x:v>
      </x:c>
      <x:c r="B169" s="25" t="str">
        <x:v>functional_ppr_difference</x:v>
      </x:c>
      <x:c r="C169" s="25" t="n">
        <x:v>-2126059.685709238</x:v>
      </x:c>
      <x:c r="D169" s="25" t="str">
        <x:v>tonnes_primary_production_equivalent</x:v>
      </x:c>
    </x:row>
    <x:row r="170" ht="18" customHeight="1">
      <x:c r="A170" s="25" t="str">
        <x:v>HS_067</x:v>
      </x:c>
      <x:c r="B170" s="25" t="str">
        <x:v>raw_filtered_tonnes</x:v>
      </x:c>
      <x:c r="C170" s="25" t="n">
        <x:v>402.2913954087</x:v>
      </x:c>
      <x:c r="D170" s="25" t="str">
        <x:v>tonnes</x:v>
      </x:c>
    </x:row>
    <x:row r="171" ht="18" customHeight="1">
      <x:c r="A171" s="25" t="str">
        <x:v>HS_067</x:v>
      </x:c>
      <x:c r="B171" s="25" t="str">
        <x:v>species_catch_tonnes</x:v>
      </x:c>
      <x:c r="C171" s="25" t="n">
        <x:v>402.29139540870005</x:v>
      </x:c>
      <x:c r="D171" s="25" t="str">
        <x:v>tonnes</x:v>
      </x:c>
    </x:row>
    <x:row r="172" ht="18" customHeight="1">
      <x:c r="A172" s="25" t="str">
        <x:v>HS_067</x:v>
      </x:c>
      <x:c r="B172" s="25" t="str">
        <x:v>catch_difference_tonnes</x:v>
      </x:c>
      <x:c r="C172" s="25" t="n">
        <x:v>5.684341886080802e-14</x:v>
      </x:c>
      <x:c r="D172" s="25" t="str">
        <x:v>tonnes</x:v>
      </x:c>
    </x:row>
    <x:row r="173" ht="18" customHeight="1">
      <x:c r="A173" s="25" t="str">
        <x:v>HS_067</x:v>
      </x:c>
      <x:c r="B173" s="25" t="str">
        <x:v>catch_reconciled</x:v>
      </x:c>
      <x:c r="C173" s="36" t="b">
        <x:v>1</x:v>
      </x:c>
      <x:c r="D173" s="25" t="str">
        <x:v>boolean</x:v>
      </x:c>
    </x:row>
    <x:row r="174" ht="18" customHeight="1">
      <x:c r="A174" s="25" t="str">
        <x:v>HS_067</x:v>
      </x:c>
      <x:c r="B174" s="25" t="str">
        <x:v>matched_catch_tonnes</x:v>
      </x:c>
      <x:c r="C174" s="25" t="n">
        <x:v>402.29139540870005</x:v>
      </x:c>
      <x:c r="D174" s="25" t="str">
        <x:v>tonnes</x:v>
      </x:c>
    </x:row>
    <x:row r="175" ht="18" customHeight="1">
      <x:c r="A175" s="25" t="str">
        <x:v>HS_067</x:v>
      </x:c>
      <x:c r="B175" s="25" t="str">
        <x:v>catch_coverage_fraction</x:v>
      </x:c>
      <x:c r="C175" s="25" t="n">
        <x:v>1</x:v>
      </x:c>
      <x:c r="D175" s="25" t="str">
        <x:v>fraction</x:v>
      </x:c>
    </x:row>
    <x:row r="176" ht="18" customHeight="1">
      <x:c r="A176" s="25" t="str">
        <x:v>HS_067</x:v>
      </x:c>
      <x:c r="B176" s="25" t="str">
        <x:v>taxa_count</x:v>
      </x:c>
      <x:c r="C176" s="25" t="n">
        <x:v>16</x:v>
      </x:c>
      <x:c r="D176" s="25" t="str">
        <x:v>count</x:v>
      </x:c>
    </x:row>
    <x:row r="177" ht="18" customHeight="1">
      <x:c r="A177" s="25" t="str">
        <x:v>HS_067</x:v>
      </x:c>
      <x:c r="B177" s="25" t="str">
        <x:v>matched_taxa_count</x:v>
      </x:c>
      <x:c r="C177" s="25" t="n">
        <x:v>16</x:v>
      </x:c>
      <x:c r="D177" s="25" t="str">
        <x:v>count</x:v>
      </x:c>
    </x:row>
    <x:row r="178" ht="18" customHeight="1">
      <x:c r="A178" s="25" t="str">
        <x:v>HS_067</x:v>
      </x:c>
      <x:c r="B178" s="25" t="str">
        <x:v>unmatched_taxa_count</x:v>
      </x:c>
      <x:c r="C178" s="25" t="n">
        <x:v>0</x:v>
      </x:c>
      <x:c r="D178" s="25" t="str">
        <x:v>count</x:v>
      </x:c>
    </x:row>
    <x:row r="179" ht="18" customHeight="1">
      <x:c r="A179" s="25" t="str">
        <x:v>HS_067</x:v>
      </x:c>
      <x:c r="B179" s="25" t="str">
        <x:v>species_ppr</x:v>
      </x:c>
      <x:c r="C179" s="25" t="n">
        <x:v>759816.5237174243</x:v>
      </x:c>
      <x:c r="D179" s="25" t="str">
        <x:v>tonnes_primary_production_equivalent</x:v>
      </x:c>
    </x:row>
    <x:row r="180" ht="18" customHeight="1">
      <x:c r="A180" s="25" t="str">
        <x:v>HS_067</x:v>
      </x:c>
      <x:c r="B180" s="25" t="str">
        <x:v>commercial_ppr</x:v>
      </x:c>
      <x:c r="C180" s="25" t="n">
        <x:v>741062.6904888835</x:v>
      </x:c>
      <x:c r="D180" s="25" t="str">
        <x:v>tonnes_primary_production_equivalent</x:v>
      </x:c>
    </x:row>
    <x:row r="181" ht="18" customHeight="1">
      <x:c r="A181" s="25" t="str">
        <x:v>HS_067</x:v>
      </x:c>
      <x:c r="B181" s="25" t="str">
        <x:v>functional_ppr</x:v>
      </x:c>
      <x:c r="C181" s="25" t="n">
        <x:v>736055.8992847266</x:v>
      </x:c>
      <x:c r="D181" s="25" t="str">
        <x:v>tonnes_primary_production_equivalent</x:v>
      </x:c>
    </x:row>
    <x:row r="182" ht="18" customHeight="1">
      <x:c r="A182" s="25" t="str">
        <x:v>HS_067</x:v>
      </x:c>
      <x:c r="B182" s="25" t="str">
        <x:v>commercial_ppr_difference</x:v>
      </x:c>
      <x:c r="C182" s="25" t="n">
        <x:v>-18753.833228540723</x:v>
      </x:c>
      <x:c r="D182" s="25" t="str">
        <x:v>tonnes_primary_production_equivalent</x:v>
      </x:c>
    </x:row>
    <x:row r="183" ht="18" customHeight="1">
      <x:c r="A183" s="25" t="str">
        <x:v>HS_067</x:v>
      </x:c>
      <x:c r="B183" s="25" t="str">
        <x:v>functional_ppr_difference</x:v>
      </x:c>
      <x:c r="C183" s="25" t="n">
        <x:v>-23760.62443269766</x:v>
      </x:c>
      <x:c r="D183" s="25" t="str">
        <x:v>tonnes_primary_production_equivalent</x:v>
      </x:c>
    </x:row>
    <x:row r="184" ht="18" customHeight="1">
      <x:c r="A184" s="25" t="str">
        <x:v>HS_071</x:v>
      </x:c>
      <x:c r="B184" s="25" t="str">
        <x:v>raw_filtered_tonnes</x:v>
      </x:c>
      <x:c r="C184" s="25" t="n">
        <x:v>571817.786555246</x:v>
      </x:c>
      <x:c r="D184" s="25" t="str">
        <x:v>tonnes</x:v>
      </x:c>
    </x:row>
    <x:row r="185" ht="18" customHeight="1">
      <x:c r="A185" s="25" t="str">
        <x:v>HS_071</x:v>
      </x:c>
      <x:c r="B185" s="25" t="str">
        <x:v>species_catch_tonnes</x:v>
      </x:c>
      <x:c r="C185" s="25" t="n">
        <x:v>571817.786555246</x:v>
      </x:c>
      <x:c r="D185" s="25" t="str">
        <x:v>tonnes</x:v>
      </x:c>
    </x:row>
    <x:row r="186" ht="18" customHeight="1">
      <x:c r="A186" s="25" t="str">
        <x:v>HS_071</x:v>
      </x:c>
      <x:c r="B186" s="25" t="str">
        <x:v>catch_difference_tonnes</x:v>
      </x:c>
      <x:c r="C186" s="25" t="n">
        <x:v>0</x:v>
      </x:c>
      <x:c r="D186" s="25" t="str">
        <x:v>tonnes</x:v>
      </x:c>
    </x:row>
    <x:row r="187" ht="18" customHeight="1">
      <x:c r="A187" s="25" t="str">
        <x:v>HS_071</x:v>
      </x:c>
      <x:c r="B187" s="25" t="str">
        <x:v>catch_reconciled</x:v>
      </x:c>
      <x:c r="C187" s="36" t="b">
        <x:v>1</x:v>
      </x:c>
      <x:c r="D187" s="25" t="str">
        <x:v>boolean</x:v>
      </x:c>
    </x:row>
    <x:row r="188" ht="18" customHeight="1">
      <x:c r="A188" s="25" t="str">
        <x:v>HS_071</x:v>
      </x:c>
      <x:c r="B188" s="25" t="str">
        <x:v>matched_catch_tonnes</x:v>
      </x:c>
      <x:c r="C188" s="25" t="n">
        <x:v>571817.786555246</x:v>
      </x:c>
      <x:c r="D188" s="25" t="str">
        <x:v>tonnes</x:v>
      </x:c>
    </x:row>
    <x:row r="189" ht="18" customHeight="1">
      <x:c r="A189" s="25" t="str">
        <x:v>HS_071</x:v>
      </x:c>
      <x:c r="B189" s="25" t="str">
        <x:v>catch_coverage_fraction</x:v>
      </x:c>
      <x:c r="C189" s="25" t="n">
        <x:v>1</x:v>
      </x:c>
      <x:c r="D189" s="25" t="str">
        <x:v>fraction</x:v>
      </x:c>
    </x:row>
    <x:row r="190" ht="18" customHeight="1">
      <x:c r="A190" s="25" t="str">
        <x:v>HS_071</x:v>
      </x:c>
      <x:c r="B190" s="25" t="str">
        <x:v>taxa_count</x:v>
      </x:c>
      <x:c r="C190" s="25" t="n">
        <x:v>23</x:v>
      </x:c>
      <x:c r="D190" s="25" t="str">
        <x:v>count</x:v>
      </x:c>
    </x:row>
    <x:row r="191" ht="18" customHeight="1">
      <x:c r="A191" s="25" t="str">
        <x:v>HS_071</x:v>
      </x:c>
      <x:c r="B191" s="25" t="str">
        <x:v>matched_taxa_count</x:v>
      </x:c>
      <x:c r="C191" s="25" t="n">
        <x:v>23</x:v>
      </x:c>
      <x:c r="D191" s="25" t="str">
        <x:v>count</x:v>
      </x:c>
    </x:row>
    <x:row r="192" ht="18" customHeight="1">
      <x:c r="A192" s="25" t="str">
        <x:v>HS_071</x:v>
      </x:c>
      <x:c r="B192" s="25" t="str">
        <x:v>unmatched_taxa_count</x:v>
      </x:c>
      <x:c r="C192" s="25" t="n">
        <x:v>0</x:v>
      </x:c>
      <x:c r="D192" s="25" t="str">
        <x:v>count</x:v>
      </x:c>
    </x:row>
    <x:row r="193" ht="18" customHeight="1">
      <x:c r="A193" s="25" t="str">
        <x:v>HS_071</x:v>
      </x:c>
      <x:c r="B193" s="25" t="str">
        <x:v>species_ppr</x:v>
      </x:c>
      <x:c r="C193" s="25" t="n">
        <x:v>1482147259.8171525</x:v>
      </x:c>
      <x:c r="D193" s="25" t="str">
        <x:v>tonnes_primary_production_equivalent</x:v>
      </x:c>
    </x:row>
    <x:row r="194" ht="18" customHeight="1">
      <x:c r="A194" s="25" t="str">
        <x:v>HS_071</x:v>
      </x:c>
      <x:c r="B194" s="25" t="str">
        <x:v>commercial_ppr</x:v>
      </x:c>
      <x:c r="C194" s="25" t="n">
        <x:v>1476697755.8816364</x:v>
      </x:c>
      <x:c r="D194" s="25" t="str">
        <x:v>tonnes_primary_production_equivalent</x:v>
      </x:c>
    </x:row>
    <x:row r="195" ht="18" customHeight="1">
      <x:c r="A195" s="25" t="str">
        <x:v>HS_071</x:v>
      </x:c>
      <x:c r="B195" s="25" t="str">
        <x:v>functional_ppr</x:v>
      </x:c>
      <x:c r="C195" s="25" t="n">
        <x:v>1474269044.8780706</x:v>
      </x:c>
      <x:c r="D195" s="25" t="str">
        <x:v>tonnes_primary_production_equivalent</x:v>
      </x:c>
    </x:row>
    <x:row r="196" ht="18" customHeight="1">
      <x:c r="A196" s="25" t="str">
        <x:v>HS_071</x:v>
      </x:c>
      <x:c r="B196" s="25" t="str">
        <x:v>commercial_ppr_difference</x:v>
      </x:c>
      <x:c r="C196" s="25" t="n">
        <x:v>-5449503.935516119</x:v>
      </x:c>
      <x:c r="D196" s="25" t="str">
        <x:v>tonnes_primary_production_equivalent</x:v>
      </x:c>
    </x:row>
    <x:row r="197" ht="18" customHeight="1">
      <x:c r="A197" s="25" t="str">
        <x:v>HS_071</x:v>
      </x:c>
      <x:c r="B197" s="25" t="str">
        <x:v>functional_ppr_difference</x:v>
      </x:c>
      <x:c r="C197" s="25" t="n">
        <x:v>-7878214.939081907</x:v>
      </x:c>
      <x:c r="D197" s="25" t="str">
        <x:v>tonnes_primary_production_equivalent</x:v>
      </x:c>
    </x:row>
    <x:row r="198" ht="18" customHeight="1">
      <x:c r="A198" s="25" t="str">
        <x:v>HS_077</x:v>
      </x:c>
      <x:c r="B198" s="25" t="str">
        <x:v>raw_filtered_tonnes</x:v>
      </x:c>
      <x:c r="C198" s="25" t="n">
        <x:v>860671.2076084926</x:v>
      </x:c>
      <x:c r="D198" s="25" t="str">
        <x:v>tonnes</x:v>
      </x:c>
    </x:row>
    <x:row r="199" ht="18" customHeight="1">
      <x:c r="A199" s="25" t="str">
        <x:v>HS_077</x:v>
      </x:c>
      <x:c r="B199" s="25" t="str">
        <x:v>species_catch_tonnes</x:v>
      </x:c>
      <x:c r="C199" s="25" t="n">
        <x:v>860671.2076084926</x:v>
      </x:c>
      <x:c r="D199" s="25" t="str">
        <x:v>tonnes</x:v>
      </x:c>
    </x:row>
    <x:row r="200" ht="18" customHeight="1">
      <x:c r="A200" s="25" t="str">
        <x:v>HS_077</x:v>
      </x:c>
      <x:c r="B200" s="25" t="str">
        <x:v>catch_difference_tonnes</x:v>
      </x:c>
      <x:c r="C200" s="25" t="n">
        <x:v>0</x:v>
      </x:c>
      <x:c r="D200" s="25" t="str">
        <x:v>tonnes</x:v>
      </x:c>
    </x:row>
    <x:row r="201" ht="18" customHeight="1">
      <x:c r="A201" s="25" t="str">
        <x:v>HS_077</x:v>
      </x:c>
      <x:c r="B201" s="25" t="str">
        <x:v>catch_reconciled</x:v>
      </x:c>
      <x:c r="C201" s="36" t="b">
        <x:v>1</x:v>
      </x:c>
      <x:c r="D201" s="25" t="str">
        <x:v>boolean</x:v>
      </x:c>
    </x:row>
    <x:row r="202" ht="18" customHeight="1">
      <x:c r="A202" s="25" t="str">
        <x:v>HS_077</x:v>
      </x:c>
      <x:c r="B202" s="25" t="str">
        <x:v>matched_catch_tonnes</x:v>
      </x:c>
      <x:c r="C202" s="25" t="n">
        <x:v>860671.2076084926</x:v>
      </x:c>
      <x:c r="D202" s="25" t="str">
        <x:v>tonnes</x:v>
      </x:c>
    </x:row>
    <x:row r="203" ht="18" customHeight="1">
      <x:c r="A203" s="25" t="str">
        <x:v>HS_077</x:v>
      </x:c>
      <x:c r="B203" s="25" t="str">
        <x:v>catch_coverage_fraction</x:v>
      </x:c>
      <x:c r="C203" s="25" t="n">
        <x:v>1</x:v>
      </x:c>
      <x:c r="D203" s="25" t="str">
        <x:v>fraction</x:v>
      </x:c>
    </x:row>
    <x:row r="204" ht="18" customHeight="1">
      <x:c r="A204" s="25" t="str">
        <x:v>HS_077</x:v>
      </x:c>
      <x:c r="B204" s="25" t="str">
        <x:v>taxa_count</x:v>
      </x:c>
      <x:c r="C204" s="25" t="n">
        <x:v>26</x:v>
      </x:c>
      <x:c r="D204" s="25" t="str">
        <x:v>count</x:v>
      </x:c>
    </x:row>
    <x:row r="205" ht="18" customHeight="1">
      <x:c r="A205" s="25" t="str">
        <x:v>HS_077</x:v>
      </x:c>
      <x:c r="B205" s="25" t="str">
        <x:v>matched_taxa_count</x:v>
      </x:c>
      <x:c r="C205" s="25" t="n">
        <x:v>26</x:v>
      </x:c>
      <x:c r="D205" s="25" t="str">
        <x:v>count</x:v>
      </x:c>
    </x:row>
    <x:row r="206" ht="18" customHeight="1">
      <x:c r="A206" s="25" t="str">
        <x:v>HS_077</x:v>
      </x:c>
      <x:c r="B206" s="25" t="str">
        <x:v>unmatched_taxa_count</x:v>
      </x:c>
      <x:c r="C206" s="25" t="n">
        <x:v>0</x:v>
      </x:c>
      <x:c r="D206" s="25" t="str">
        <x:v>count</x:v>
      </x:c>
    </x:row>
    <x:row r="207" ht="18" customHeight="1">
      <x:c r="A207" s="25" t="str">
        <x:v>HS_077</x:v>
      </x:c>
      <x:c r="B207" s="25" t="str">
        <x:v>species_ppr</x:v>
      </x:c>
      <x:c r="C207" s="25" t="n">
        <x:v>2196179346.027695</x:v>
      </x:c>
      <x:c r="D207" s="25" t="str">
        <x:v>tonnes_primary_production_equivalent</x:v>
      </x:c>
    </x:row>
    <x:row r="208" ht="18" customHeight="1">
      <x:c r="A208" s="25" t="str">
        <x:v>HS_077</x:v>
      </x:c>
      <x:c r="B208" s="25" t="str">
        <x:v>commercial_ppr</x:v>
      </x:c>
      <x:c r="C208" s="25" t="n">
        <x:v>2177549454.5469604</x:v>
      </x:c>
      <x:c r="D208" s="25" t="str">
        <x:v>tonnes_primary_production_equivalent</x:v>
      </x:c>
    </x:row>
    <x:row r="209" ht="18" customHeight="1">
      <x:c r="A209" s="25" t="str">
        <x:v>HS_077</x:v>
      </x:c>
      <x:c r="B209" s="25" t="str">
        <x:v>functional_ppr</x:v>
      </x:c>
      <x:c r="C209" s="25" t="n">
        <x:v>2170818471.3741584</x:v>
      </x:c>
      <x:c r="D209" s="25" t="str">
        <x:v>tonnes_primary_production_equivalent</x:v>
      </x:c>
    </x:row>
    <x:row r="210" ht="18" customHeight="1">
      <x:c r="A210" s="25" t="str">
        <x:v>HS_077</x:v>
      </x:c>
      <x:c r="B210" s="25" t="str">
        <x:v>commercial_ppr_difference</x:v>
      </x:c>
      <x:c r="C210" s="25" t="n">
        <x:v>-18629891.480734825</x:v>
      </x:c>
      <x:c r="D210" s="25" t="str">
        <x:v>tonnes_primary_production_equivalent</x:v>
      </x:c>
    </x:row>
    <x:row r="211" ht="18" customHeight="1">
      <x:c r="A211" s="25" t="str">
        <x:v>HS_077</x:v>
      </x:c>
      <x:c r="B211" s="25" t="str">
        <x:v>functional_ppr_difference</x:v>
      </x:c>
      <x:c r="C211" s="25" t="n">
        <x:v>-25360874.653536797</x:v>
      </x:c>
      <x:c r="D211" s="25" t="str">
        <x:v>tonnes_primary_production_equivalent</x:v>
      </x:c>
    </x:row>
    <x:row r="212" ht="18" customHeight="1">
      <x:c r="A212" s="25" t="str">
        <x:v>HS_081</x:v>
      </x:c>
      <x:c r="B212" s="25" t="str">
        <x:v>raw_filtered_tonnes</x:v>
      </x:c>
      <x:c r="C212" s="25" t="n">
        <x:v>45252.4668227171</x:v>
      </x:c>
      <x:c r="D212" s="25" t="str">
        <x:v>tonnes</x:v>
      </x:c>
    </x:row>
    <x:row r="213" ht="18" customHeight="1">
      <x:c r="A213" s="25" t="str">
        <x:v>HS_081</x:v>
      </x:c>
      <x:c r="B213" s="25" t="str">
        <x:v>species_catch_tonnes</x:v>
      </x:c>
      <x:c r="C213" s="25" t="n">
        <x:v>45252.466822717106</x:v>
      </x:c>
      <x:c r="D213" s="25" t="str">
        <x:v>tonnes</x:v>
      </x:c>
    </x:row>
    <x:row r="214" ht="18" customHeight="1">
      <x:c r="A214" s="25" t="str">
        <x:v>HS_081</x:v>
      </x:c>
      <x:c r="B214" s="25" t="str">
        <x:v>catch_difference_tonnes</x:v>
      </x:c>
      <x:c r="C214" s="25" t="n">
        <x:v>7.275957614183426e-12</x:v>
      </x:c>
      <x:c r="D214" s="25" t="str">
        <x:v>tonnes</x:v>
      </x:c>
    </x:row>
    <x:row r="215" ht="18" customHeight="1">
      <x:c r="A215" s="25" t="str">
        <x:v>HS_081</x:v>
      </x:c>
      <x:c r="B215" s="25" t="str">
        <x:v>catch_reconciled</x:v>
      </x:c>
      <x:c r="C215" s="36" t="b">
        <x:v>1</x:v>
      </x:c>
      <x:c r="D215" s="25" t="str">
        <x:v>boolean</x:v>
      </x:c>
    </x:row>
    <x:row r="216" ht="18" customHeight="1">
      <x:c r="A216" s="25" t="str">
        <x:v>HS_081</x:v>
      </x:c>
      <x:c r="B216" s="25" t="str">
        <x:v>matched_catch_tonnes</x:v>
      </x:c>
      <x:c r="C216" s="25" t="n">
        <x:v>45252.466822717106</x:v>
      </x:c>
      <x:c r="D216" s="25" t="str">
        <x:v>tonnes</x:v>
      </x:c>
    </x:row>
    <x:row r="217" ht="18" customHeight="1">
      <x:c r="A217" s="25" t="str">
        <x:v>HS_081</x:v>
      </x:c>
      <x:c r="B217" s="25" t="str">
        <x:v>catch_coverage_fraction</x:v>
      </x:c>
      <x:c r="C217" s="25" t="n">
        <x:v>1</x:v>
      </x:c>
      <x:c r="D217" s="25" t="str">
        <x:v>fraction</x:v>
      </x:c>
    </x:row>
    <x:row r="218" ht="18" customHeight="1">
      <x:c r="A218" s="25" t="str">
        <x:v>HS_081</x:v>
      </x:c>
      <x:c r="B218" s="25" t="str">
        <x:v>taxa_count</x:v>
      </x:c>
      <x:c r="C218" s="25" t="n">
        <x:v>27</x:v>
      </x:c>
      <x:c r="D218" s="25" t="str">
        <x:v>count</x:v>
      </x:c>
    </x:row>
    <x:row r="219" ht="18" customHeight="1">
      <x:c r="A219" s="25" t="str">
        <x:v>HS_081</x:v>
      </x:c>
      <x:c r="B219" s="25" t="str">
        <x:v>matched_taxa_count</x:v>
      </x:c>
      <x:c r="C219" s="25" t="n">
        <x:v>27</x:v>
      </x:c>
      <x:c r="D219" s="25" t="str">
        <x:v>count</x:v>
      </x:c>
    </x:row>
    <x:row r="220" ht="18" customHeight="1">
      <x:c r="A220" s="25" t="str">
        <x:v>HS_081</x:v>
      </x:c>
      <x:c r="B220" s="25" t="str">
        <x:v>unmatched_taxa_count</x:v>
      </x:c>
      <x:c r="C220" s="25" t="n">
        <x:v>0</x:v>
      </x:c>
      <x:c r="D220" s="25" t="str">
        <x:v>count</x:v>
      </x:c>
    </x:row>
    <x:row r="221" ht="18" customHeight="1">
      <x:c r="A221" s="25" t="str">
        <x:v>HS_081</x:v>
      </x:c>
      <x:c r="B221" s="25" t="str">
        <x:v>species_ppr</x:v>
      </x:c>
      <x:c r="C221" s="25" t="n">
        <x:v>91386286.47267893</x:v>
      </x:c>
      <x:c r="D221" s="25" t="str">
        <x:v>tonnes_primary_production_equivalent</x:v>
      </x:c>
    </x:row>
    <x:row r="222" ht="18" customHeight="1">
      <x:c r="A222" s="25" t="str">
        <x:v>HS_081</x:v>
      </x:c>
      <x:c r="B222" s="25" t="str">
        <x:v>commercial_ppr</x:v>
      </x:c>
      <x:c r="C222" s="25" t="n">
        <x:v>87435123.8002821</x:v>
      </x:c>
      <x:c r="D222" s="25" t="str">
        <x:v>tonnes_primary_production_equivalent</x:v>
      </x:c>
    </x:row>
    <x:row r="223" ht="18" customHeight="1">
      <x:c r="A223" s="25" t="str">
        <x:v>HS_081</x:v>
      </x:c>
      <x:c r="B223" s="25" t="str">
        <x:v>functional_ppr</x:v>
      </x:c>
      <x:c r="C223" s="25" t="n">
        <x:v>86872298.1778867</x:v>
      </x:c>
      <x:c r="D223" s="25" t="str">
        <x:v>tonnes_primary_production_equivalent</x:v>
      </x:c>
    </x:row>
    <x:row r="224" ht="18" customHeight="1">
      <x:c r="A224" s="25" t="str">
        <x:v>HS_081</x:v>
      </x:c>
      <x:c r="B224" s="25" t="str">
        <x:v>commercial_ppr_difference</x:v>
      </x:c>
      <x:c r="C224" s="25" t="n">
        <x:v>-3951162.6723968238</x:v>
      </x:c>
      <x:c r="D224" s="25" t="str">
        <x:v>tonnes_primary_production_equivalent</x:v>
      </x:c>
    </x:row>
    <x:row r="225" ht="18" customHeight="1">
      <x:c r="A225" s="25" t="str">
        <x:v>HS_081</x:v>
      </x:c>
      <x:c r="B225" s="25" t="str">
        <x:v>functional_ppr_difference</x:v>
      </x:c>
      <x:c r="C225" s="25" t="n">
        <x:v>-4513988.294792235</x:v>
      </x:c>
      <x:c r="D225" s="25" t="str">
        <x:v>tonnes_primary_production_equivalent</x:v>
      </x:c>
    </x:row>
    <x:row r="226" ht="18" customHeight="1">
      <x:c r="A226" s="25" t="str">
        <x:v>HS_087</x:v>
      </x:c>
      <x:c r="B226" s="25" t="str">
        <x:v>raw_filtered_tonnes</x:v>
      </x:c>
      <x:c r="C226" s="25" t="n">
        <x:v>245882.4176735426</x:v>
      </x:c>
      <x:c r="D226" s="25" t="str">
        <x:v>tonnes</x:v>
      </x:c>
    </x:row>
    <x:row r="227" ht="18" customHeight="1">
      <x:c r="A227" s="25" t="str">
        <x:v>HS_087</x:v>
      </x:c>
      <x:c r="B227" s="25" t="str">
        <x:v>species_catch_tonnes</x:v>
      </x:c>
      <x:c r="C227" s="25" t="n">
        <x:v>245882.41767354257</x:v>
      </x:c>
      <x:c r="D227" s="25" t="str">
        <x:v>tonnes</x:v>
      </x:c>
    </x:row>
    <x:row r="228" ht="18" customHeight="1">
      <x:c r="A228" s="25" t="str">
        <x:v>HS_087</x:v>
      </x:c>
      <x:c r="B228" s="25" t="str">
        <x:v>catch_difference_tonnes</x:v>
      </x:c>
      <x:c r="C228" s="25" t="n">
        <x:v>-2.9103830456733704e-11</x:v>
      </x:c>
      <x:c r="D228" s="25" t="str">
        <x:v>tonnes</x:v>
      </x:c>
    </x:row>
    <x:row r="229" ht="18" customHeight="1">
      <x:c r="A229" s="25" t="str">
        <x:v>HS_087</x:v>
      </x:c>
      <x:c r="B229" s="25" t="str">
        <x:v>catch_reconciled</x:v>
      </x:c>
      <x:c r="C229" s="36" t="b">
        <x:v>1</x:v>
      </x:c>
      <x:c r="D229" s="25" t="str">
        <x:v>boolean</x:v>
      </x:c>
    </x:row>
    <x:row r="230" ht="18" customHeight="1">
      <x:c r="A230" s="25" t="str">
        <x:v>HS_087</x:v>
      </x:c>
      <x:c r="B230" s="25" t="str">
        <x:v>matched_catch_tonnes</x:v>
      </x:c>
      <x:c r="C230" s="25" t="n">
        <x:v>245882.41767354257</x:v>
      </x:c>
      <x:c r="D230" s="25" t="str">
        <x:v>tonnes</x:v>
      </x:c>
    </x:row>
    <x:row r="231" ht="18" customHeight="1">
      <x:c r="A231" s="25" t="str">
        <x:v>HS_087</x:v>
      </x:c>
      <x:c r="B231" s="25" t="str">
        <x:v>catch_coverage_fraction</x:v>
      </x:c>
      <x:c r="C231" s="25" t="n">
        <x:v>1</x:v>
      </x:c>
      <x:c r="D231" s="25" t="str">
        <x:v>fraction</x:v>
      </x:c>
    </x:row>
    <x:row r="232" ht="18" customHeight="1">
      <x:c r="A232" s="25" t="str">
        <x:v>HS_087</x:v>
      </x:c>
      <x:c r="B232" s="25" t="str">
        <x:v>taxa_count</x:v>
      </x:c>
      <x:c r="C232" s="25" t="n">
        <x:v>25</x:v>
      </x:c>
      <x:c r="D232" s="25" t="str">
        <x:v>count</x:v>
      </x:c>
    </x:row>
    <x:row r="233" ht="18" customHeight="1">
      <x:c r="A233" s="25" t="str">
        <x:v>HS_087</x:v>
      </x:c>
      <x:c r="B233" s="25" t="str">
        <x:v>matched_taxa_count</x:v>
      </x:c>
      <x:c r="C233" s="25" t="n">
        <x:v>25</x:v>
      </x:c>
      <x:c r="D233" s="25" t="str">
        <x:v>count</x:v>
      </x:c>
    </x:row>
    <x:row r="234" ht="18" customHeight="1">
      <x:c r="A234" s="25" t="str">
        <x:v>HS_087</x:v>
      </x:c>
      <x:c r="B234" s="25" t="str">
        <x:v>unmatched_taxa_count</x:v>
      </x:c>
      <x:c r="C234" s="25" t="n">
        <x:v>0</x:v>
      </x:c>
      <x:c r="D234" s="25" t="str">
        <x:v>count</x:v>
      </x:c>
    </x:row>
    <x:row r="235" ht="18" customHeight="1">
      <x:c r="A235" s="25" t="str">
        <x:v>HS_087</x:v>
      </x:c>
      <x:c r="B235" s="25" t="str">
        <x:v>species_ppr</x:v>
      </x:c>
      <x:c r="C235" s="25" t="n">
        <x:v>657270846.1435144</x:v>
      </x:c>
      <x:c r="D235" s="25" t="str">
        <x:v>tonnes_primary_production_equivalent</x:v>
      </x:c>
    </x:row>
    <x:row r="236" ht="18" customHeight="1">
      <x:c r="A236" s="25" t="str">
        <x:v>HS_087</x:v>
      </x:c>
      <x:c r="B236" s="25" t="str">
        <x:v>commercial_ppr</x:v>
      </x:c>
      <x:c r="C236" s="25" t="n">
        <x:v>654505526.6641706</x:v>
      </x:c>
      <x:c r="D236" s="25" t="str">
        <x:v>tonnes_primary_production_equivalent</x:v>
      </x:c>
    </x:row>
    <x:row r="237" ht="18" customHeight="1">
      <x:c r="A237" s="25" t="str">
        <x:v>HS_087</x:v>
      </x:c>
      <x:c r="B237" s="25" t="str">
        <x:v>functional_ppr</x:v>
      </x:c>
      <x:c r="C237" s="25" t="n">
        <x:v>653973496.1491203</x:v>
      </x:c>
      <x:c r="D237" s="25" t="str">
        <x:v>tonnes_primary_production_equivalent</x:v>
      </x:c>
    </x:row>
    <x:row r="238" ht="18" customHeight="1">
      <x:c r="A238" s="25" t="str">
        <x:v>HS_087</x:v>
      </x:c>
      <x:c r="B238" s="25" t="str">
        <x:v>commercial_ppr_difference</x:v>
      </x:c>
      <x:c r="C238" s="25" t="n">
        <x:v>-2765319.479343772</x:v>
      </x:c>
      <x:c r="D238" s="25" t="str">
        <x:v>tonnes_primary_production_equivalent</x:v>
      </x:c>
    </x:row>
    <x:row r="239" ht="18" customHeight="1">
      <x:c r="A239" s="25" t="str">
        <x:v>HS_087</x:v>
      </x:c>
      <x:c r="B239" s="25" t="str">
        <x:v>functional_ppr_difference</x:v>
      </x:c>
      <x:c r="C239" s="25" t="n">
        <x:v>-3297349.994394064</x:v>
      </x:c>
      <x:c r="D239" s="25" t="str">
        <x:v>tonnes_primary_production_equivalent</x:v>
      </x:c>
    </x:row>
    <x:row r="240" ht="18" customHeight="1">
      <x:c r="A240" s="25" t="str">
        <x:v>HS_088</x:v>
      </x:c>
      <x:c r="B240" s="25" t="str">
        <x:v>raw_filtered_tonnes</x:v>
      </x:c>
      <x:c r="C240" s="25" t="n">
        <x:v>3559.327863</x:v>
      </x:c>
      <x:c r="D240" s="25" t="str">
        <x:v>tonnes</x:v>
      </x:c>
    </x:row>
    <x:row r="241" ht="18" customHeight="1">
      <x:c r="A241" s="25" t="str">
        <x:v>HS_088</x:v>
      </x:c>
      <x:c r="B241" s="25" t="str">
        <x:v>species_catch_tonnes</x:v>
      </x:c>
      <x:c r="C241" s="25" t="n">
        <x:v>3559.327863</x:v>
      </x:c>
      <x:c r="D241" s="25" t="str">
        <x:v>tonnes</x:v>
      </x:c>
    </x:row>
    <x:row r="242" ht="18" customHeight="1">
      <x:c r="A242" s="25" t="str">
        <x:v>HS_088</x:v>
      </x:c>
      <x:c r="B242" s="25" t="str">
        <x:v>catch_difference_tonnes</x:v>
      </x:c>
      <x:c r="C242" s="25" t="n">
        <x:v>0</x:v>
      </x:c>
      <x:c r="D242" s="25" t="str">
        <x:v>tonnes</x:v>
      </x:c>
    </x:row>
    <x:row r="243" ht="18" customHeight="1">
      <x:c r="A243" s="25" t="str">
        <x:v>HS_088</x:v>
      </x:c>
      <x:c r="B243" s="25" t="str">
        <x:v>catch_reconciled</x:v>
      </x:c>
      <x:c r="C243" s="36" t="b">
        <x:v>1</x:v>
      </x:c>
      <x:c r="D243" s="25" t="str">
        <x:v>boolean</x:v>
      </x:c>
    </x:row>
    <x:row r="244" ht="18" customHeight="1">
      <x:c r="A244" s="25" t="str">
        <x:v>HS_088</x:v>
      </x:c>
      <x:c r="B244" s="25" t="str">
        <x:v>matched_catch_tonnes</x:v>
      </x:c>
      <x:c r="C244" s="25" t="n">
        <x:v>3559.327863</x:v>
      </x:c>
      <x:c r="D244" s="25" t="str">
        <x:v>tonnes</x:v>
      </x:c>
    </x:row>
    <x:row r="245" ht="18" customHeight="1">
      <x:c r="A245" s="25" t="str">
        <x:v>HS_088</x:v>
      </x:c>
      <x:c r="B245" s="25" t="str">
        <x:v>catch_coverage_fraction</x:v>
      </x:c>
      <x:c r="C245" s="25" t="n">
        <x:v>1</x:v>
      </x:c>
      <x:c r="D245" s="25" t="str">
        <x:v>fraction</x:v>
      </x:c>
    </x:row>
    <x:row r="246" ht="18" customHeight="1">
      <x:c r="A246" s="25" t="str">
        <x:v>HS_088</x:v>
      </x:c>
      <x:c r="B246" s="25" t="str">
        <x:v>taxa_count</x:v>
      </x:c>
      <x:c r="C246" s="25" t="n">
        <x:v>32</x:v>
      </x:c>
      <x:c r="D246" s="25" t="str">
        <x:v>count</x:v>
      </x:c>
    </x:row>
    <x:row r="247" ht="18" customHeight="1">
      <x:c r="A247" s="25" t="str">
        <x:v>HS_088</x:v>
      </x:c>
      <x:c r="B247" s="25" t="str">
        <x:v>matched_taxa_count</x:v>
      </x:c>
      <x:c r="C247" s="25" t="n">
        <x:v>32</x:v>
      </x:c>
      <x:c r="D247" s="25" t="str">
        <x:v>count</x:v>
      </x:c>
    </x:row>
    <x:row r="248" ht="18" customHeight="1">
      <x:c r="A248" s="25" t="str">
        <x:v>HS_088</x:v>
      </x:c>
      <x:c r="B248" s="25" t="str">
        <x:v>unmatched_taxa_count</x:v>
      </x:c>
      <x:c r="C248" s="25" t="n">
        <x:v>0</x:v>
      </x:c>
      <x:c r="D248" s="25" t="str">
        <x:v>count</x:v>
      </x:c>
    </x:row>
    <x:row r="249" ht="18" customHeight="1">
      <x:c r="A249" s="25" t="str">
        <x:v>HS_088</x:v>
      </x:c>
      <x:c r="B249" s="25" t="str">
        <x:v>species_ppr</x:v>
      </x:c>
      <x:c r="C249" s="25" t="n">
        <x:v>5471586.54715935</x:v>
      </x:c>
      <x:c r="D249" s="25" t="str">
        <x:v>tonnes_primary_production_equivalent</x:v>
      </x:c>
    </x:row>
    <x:row r="250" ht="18" customHeight="1">
      <x:c r="A250" s="25" t="str">
        <x:v>HS_088</x:v>
      </x:c>
      <x:c r="B250" s="25" t="str">
        <x:v>commercial_ppr</x:v>
      </x:c>
      <x:c r="C250" s="25" t="n">
        <x:v>5441171.091395552</x:v>
      </x:c>
      <x:c r="D250" s="25" t="str">
        <x:v>tonnes_primary_production_equivalent</x:v>
      </x:c>
    </x:row>
    <x:row r="251" ht="18" customHeight="1">
      <x:c r="A251" s="25" t="str">
        <x:v>HS_088</x:v>
      </x:c>
      <x:c r="B251" s="25" t="str">
        <x:v>functional_ppr</x:v>
      </x:c>
      <x:c r="C251" s="25" t="n">
        <x:v>5471351.988849449</x:v>
      </x:c>
      <x:c r="D251" s="25" t="str">
        <x:v>tonnes_primary_production_equivalent</x:v>
      </x:c>
    </x:row>
    <x:row r="252" ht="18" customHeight="1">
      <x:c r="A252" s="25" t="str">
        <x:v>HS_088</x:v>
      </x:c>
      <x:c r="B252" s="25" t="str">
        <x:v>commercial_ppr_difference</x:v>
      </x:c>
      <x:c r="C252" s="25" t="n">
        <x:v>-30415.455763797276</x:v>
      </x:c>
      <x:c r="D252" s="25" t="str">
        <x:v>tonnes_primary_production_equivalent</x:v>
      </x:c>
    </x:row>
    <x:row r="253" ht="18" customHeight="1">
      <x:c r="A253" s="25" t="str">
        <x:v>HS_088</x:v>
      </x:c>
      <x:c r="B253" s="25" t="str">
        <x:v>functional_ppr_difference</x:v>
      </x:c>
      <x:c r="C253" s="25" t="n">
        <x:v>-234.5583099005744</x:v>
      </x:c>
      <x:c r="D253" s="25" t="str">
        <x:v>tonnes_primary_production_equivalent</x:v>
      </x:c>
    </x:row>
    <x:row r="254" ht="18" customHeight="1">
      <x:c r="A254" s="25" t="str">
        <x:v>LME_001</x:v>
      </x:c>
      <x:c r="B254" s="25" t="str">
        <x:v>raw_filtered_tonnes</x:v>
      </x:c>
      <x:c r="C254" s="25" t="n">
        <x:v>1300999.7714510455</x:v>
      </x:c>
      <x:c r="D254" s="25" t="str">
        <x:v>tonnes</x:v>
      </x:c>
    </x:row>
    <x:row r="255" ht="18" customHeight="1">
      <x:c r="A255" s="25" t="str">
        <x:v>LME_001</x:v>
      </x:c>
      <x:c r="B255" s="25" t="str">
        <x:v>species_catch_tonnes</x:v>
      </x:c>
      <x:c r="C255" s="25" t="n">
        <x:v>1300999.7714510453</x:v>
      </x:c>
      <x:c r="D255" s="25" t="str">
        <x:v>tonnes</x:v>
      </x:c>
    </x:row>
    <x:row r="256" ht="18" customHeight="1">
      <x:c r="A256" s="25" t="str">
        <x:v>LME_001</x:v>
      </x:c>
      <x:c r="B256" s="25" t="str">
        <x:v>catch_difference_tonnes</x:v>
      </x:c>
      <x:c r="C256" s="25" t="n">
        <x:v>-2.3283064365386963e-10</x:v>
      </x:c>
      <x:c r="D256" s="25" t="str">
        <x:v>tonnes</x:v>
      </x:c>
    </x:row>
    <x:row r="257" ht="18" customHeight="1">
      <x:c r="A257" s="25" t="str">
        <x:v>LME_001</x:v>
      </x:c>
      <x:c r="B257" s="25" t="str">
        <x:v>catch_reconciled</x:v>
      </x:c>
      <x:c r="C257" s="36" t="b">
        <x:v>1</x:v>
      </x:c>
      <x:c r="D257" s="25" t="str">
        <x:v>boolean</x:v>
      </x:c>
    </x:row>
    <x:row r="258" ht="18" customHeight="1">
      <x:c r="A258" s="25" t="str">
        <x:v>LME_001</x:v>
      </x:c>
      <x:c r="B258" s="25" t="str">
        <x:v>matched_catch_tonnes</x:v>
      </x:c>
      <x:c r="C258" s="25" t="n">
        <x:v>1300999.7714510453</x:v>
      </x:c>
      <x:c r="D258" s="25" t="str">
        <x:v>tonnes</x:v>
      </x:c>
    </x:row>
    <x:row r="259" ht="18" customHeight="1">
      <x:c r="A259" s="25" t="str">
        <x:v>LME_001</x:v>
      </x:c>
      <x:c r="B259" s="25" t="str">
        <x:v>catch_coverage_fraction</x:v>
      </x:c>
      <x:c r="C259" s="25" t="n">
        <x:v>1</x:v>
      </x:c>
      <x:c r="D259" s="25" t="str">
        <x:v>fraction</x:v>
      </x:c>
    </x:row>
    <x:row r="260" ht="18" customHeight="1">
      <x:c r="A260" s="25" t="str">
        <x:v>LME_001</x:v>
      </x:c>
      <x:c r="B260" s="25" t="str">
        <x:v>taxa_count</x:v>
      </x:c>
      <x:c r="C260" s="25" t="n">
        <x:v>73</x:v>
      </x:c>
      <x:c r="D260" s="25" t="str">
        <x:v>count</x:v>
      </x:c>
    </x:row>
    <x:row r="261" ht="18" customHeight="1">
      <x:c r="A261" s="25" t="str">
        <x:v>LME_001</x:v>
      </x:c>
      <x:c r="B261" s="25" t="str">
        <x:v>matched_taxa_count</x:v>
      </x:c>
      <x:c r="C261" s="25" t="n">
        <x:v>73</x:v>
      </x:c>
      <x:c r="D261" s="25" t="str">
        <x:v>count</x:v>
      </x:c>
    </x:row>
    <x:row r="262" ht="18" customHeight="1">
      <x:c r="A262" s="25" t="str">
        <x:v>LME_001</x:v>
      </x:c>
      <x:c r="B262" s="25" t="str">
        <x:v>unmatched_taxa_count</x:v>
      </x:c>
      <x:c r="C262" s="25" t="n">
        <x:v>0</x:v>
      </x:c>
      <x:c r="D262" s="25" t="str">
        <x:v>count</x:v>
      </x:c>
    </x:row>
    <x:row r="263" ht="18" customHeight="1">
      <x:c r="A263" s="25" t="str">
        <x:v>LME_001</x:v>
      </x:c>
      <x:c r="B263" s="25" t="str">
        <x:v>species_ppr</x:v>
      </x:c>
      <x:c r="C263" s="25" t="n">
        <x:v>816435933.9124104</x:v>
      </x:c>
      <x:c r="D263" s="25" t="str">
        <x:v>tonnes_primary_production_equivalent</x:v>
      </x:c>
    </x:row>
    <x:row r="264" ht="18" customHeight="1">
      <x:c r="A264" s="25" t="str">
        <x:v>LME_001</x:v>
      </x:c>
      <x:c r="B264" s="25" t="str">
        <x:v>commercial_ppr</x:v>
      </x:c>
      <x:c r="C264" s="25" t="n">
        <x:v>651544945.5261025</x:v>
      </x:c>
      <x:c r="D264" s="25" t="str">
        <x:v>tonnes_primary_production_equivalent</x:v>
      </x:c>
    </x:row>
    <x:row r="265" ht="18" customHeight="1">
      <x:c r="A265" s="25" t="str">
        <x:v>LME_001</x:v>
      </x:c>
      <x:c r="B265" s="25" t="str">
        <x:v>functional_ppr</x:v>
      </x:c>
      <x:c r="C265" s="25" t="n">
        <x:v>689600284.1461229</x:v>
      </x:c>
      <x:c r="D265" s="25" t="str">
        <x:v>tonnes_primary_production_equivalent</x:v>
      </x:c>
    </x:row>
    <x:row r="266" ht="18" customHeight="1">
      <x:c r="A266" s="25" t="str">
        <x:v>LME_001</x:v>
      </x:c>
      <x:c r="B266" s="25" t="str">
        <x:v>commercial_ppr_difference</x:v>
      </x:c>
      <x:c r="C266" s="25" t="n">
        <x:v>-164890988.38630784</x:v>
      </x:c>
      <x:c r="D266" s="25" t="str">
        <x:v>tonnes_primary_production_equivalent</x:v>
      </x:c>
    </x:row>
    <x:row r="267" ht="18" customHeight="1">
      <x:c r="A267" s="25" t="str">
        <x:v>LME_001</x:v>
      </x:c>
      <x:c r="B267" s="25" t="str">
        <x:v>functional_ppr_difference</x:v>
      </x:c>
      <x:c r="C267" s="25" t="n">
        <x:v>-126835649.76628745</x:v>
      </x:c>
      <x:c r="D267" s="25" t="str">
        <x:v>tonnes_primary_production_equivalent</x:v>
      </x:c>
    </x:row>
    <x:row r="268" ht="18" customHeight="1">
      <x:c r="A268" s="25" t="str">
        <x:v>LME_002</x:v>
      </x:c>
      <x:c r="B268" s="25" t="str">
        <x:v>raw_filtered_tonnes</x:v>
      </x:c>
      <x:c r="C268" s="25" t="n">
        <x:v>1102866.6258441233</x:v>
      </x:c>
      <x:c r="D268" s="25" t="str">
        <x:v>tonnes</x:v>
      </x:c>
    </x:row>
    <x:row r="269" ht="18" customHeight="1">
      <x:c r="A269" s="25" t="str">
        <x:v>LME_002</x:v>
      </x:c>
      <x:c r="B269" s="25" t="str">
        <x:v>species_catch_tonnes</x:v>
      </x:c>
      <x:c r="C269" s="25" t="n">
        <x:v>1102866.6258441233</x:v>
      </x:c>
      <x:c r="D269" s="25" t="str">
        <x:v>tonnes</x:v>
      </x:c>
    </x:row>
    <x:row r="270" ht="18" customHeight="1">
      <x:c r="A270" s="25" t="str">
        <x:v>LME_002</x:v>
      </x:c>
      <x:c r="B270" s="25" t="str">
        <x:v>catch_difference_tonnes</x:v>
      </x:c>
      <x:c r="C270" s="25" t="n">
        <x:v>0</x:v>
      </x:c>
      <x:c r="D270" s="25" t="str">
        <x:v>tonnes</x:v>
      </x:c>
    </x:row>
    <x:row r="271" ht="18" customHeight="1">
      <x:c r="A271" s="25" t="str">
        <x:v>LME_002</x:v>
      </x:c>
      <x:c r="B271" s="25" t="str">
        <x:v>catch_reconciled</x:v>
      </x:c>
      <x:c r="C271" s="36" t="b">
        <x:v>1</x:v>
      </x:c>
      <x:c r="D271" s="25" t="str">
        <x:v>boolean</x:v>
      </x:c>
    </x:row>
    <x:row r="272" ht="18" customHeight="1">
      <x:c r="A272" s="25" t="str">
        <x:v>LME_002</x:v>
      </x:c>
      <x:c r="B272" s="25" t="str">
        <x:v>matched_catch_tonnes</x:v>
      </x:c>
      <x:c r="C272" s="25" t="n">
        <x:v>1102866.6258441233</x:v>
      </x:c>
      <x:c r="D272" s="25" t="str">
        <x:v>tonnes</x:v>
      </x:c>
    </x:row>
    <x:row r="273" ht="18" customHeight="1">
      <x:c r="A273" s="25" t="str">
        <x:v>LME_002</x:v>
      </x:c>
      <x:c r="B273" s="25" t="str">
        <x:v>catch_coverage_fraction</x:v>
      </x:c>
      <x:c r="C273" s="25" t="n">
        <x:v>1</x:v>
      </x:c>
      <x:c r="D273" s="25" t="str">
        <x:v>fraction</x:v>
      </x:c>
    </x:row>
    <x:row r="274" ht="18" customHeight="1">
      <x:c r="A274" s="25" t="str">
        <x:v>LME_002</x:v>
      </x:c>
      <x:c r="B274" s="25" t="str">
        <x:v>taxa_count</x:v>
      </x:c>
      <x:c r="C274" s="25" t="n">
        <x:v>170</x:v>
      </x:c>
      <x:c r="D274" s="25" t="str">
        <x:v>count</x:v>
      </x:c>
    </x:row>
    <x:row r="275" ht="18" customHeight="1">
      <x:c r="A275" s="25" t="str">
        <x:v>LME_002</x:v>
      </x:c>
      <x:c r="B275" s="25" t="str">
        <x:v>matched_taxa_count</x:v>
      </x:c>
      <x:c r="C275" s="25" t="n">
        <x:v>170</x:v>
      </x:c>
      <x:c r="D275" s="25" t="str">
        <x:v>count</x:v>
      </x:c>
    </x:row>
    <x:row r="276" ht="18" customHeight="1">
      <x:c r="A276" s="25" t="str">
        <x:v>LME_002</x:v>
      </x:c>
      <x:c r="B276" s="25" t="str">
        <x:v>unmatched_taxa_count</x:v>
      </x:c>
      <x:c r="C276" s="25" t="n">
        <x:v>0</x:v>
      </x:c>
      <x:c r="D276" s="25" t="str">
        <x:v>count</x:v>
      </x:c>
    </x:row>
    <x:row r="277" ht="18" customHeight="1">
      <x:c r="A277" s="25" t="str">
        <x:v>LME_002</x:v>
      </x:c>
      <x:c r="B277" s="25" t="str">
        <x:v>species_ppr</x:v>
      </x:c>
      <x:c r="C277" s="25" t="n">
        <x:v>967218747.5530663</x:v>
      </x:c>
      <x:c r="D277" s="25" t="str">
        <x:v>tonnes_primary_production_equivalent</x:v>
      </x:c>
    </x:row>
    <x:row r="278" ht="18" customHeight="1">
      <x:c r="A278" s="25" t="str">
        <x:v>LME_002</x:v>
      </x:c>
      <x:c r="B278" s="25" t="str">
        <x:v>commercial_ppr</x:v>
      </x:c>
      <x:c r="C278" s="25" t="n">
        <x:v>688947934.142388</x:v>
      </x:c>
      <x:c r="D278" s="25" t="str">
        <x:v>tonnes_primary_production_equivalent</x:v>
      </x:c>
    </x:row>
    <x:row r="279" ht="18" customHeight="1">
      <x:c r="A279" s="25" t="str">
        <x:v>LME_002</x:v>
      </x:c>
      <x:c r="B279" s="25" t="str">
        <x:v>functional_ppr</x:v>
      </x:c>
      <x:c r="C279" s="25" t="n">
        <x:v>696280979.0165482</x:v>
      </x:c>
      <x:c r="D279" s="25" t="str">
        <x:v>tonnes_primary_production_equivalent</x:v>
      </x:c>
    </x:row>
    <x:row r="280" ht="18" customHeight="1">
      <x:c r="A280" s="25" t="str">
        <x:v>LME_002</x:v>
      </x:c>
      <x:c r="B280" s="25" t="str">
        <x:v>commercial_ppr_difference</x:v>
      </x:c>
      <x:c r="C280" s="25" t="n">
        <x:v>-278270813.41067827</x:v>
      </x:c>
      <x:c r="D280" s="25" t="str">
        <x:v>tonnes_primary_production_equivalent</x:v>
      </x:c>
    </x:row>
    <x:row r="281" ht="18" customHeight="1">
      <x:c r="A281" s="25" t="str">
        <x:v>LME_002</x:v>
      </x:c>
      <x:c r="B281" s="25" t="str">
        <x:v>functional_ppr_difference</x:v>
      </x:c>
      <x:c r="C281" s="25" t="n">
        <x:v>-270937768.5365181</x:v>
      </x:c>
      <x:c r="D281" s="25" t="str">
        <x:v>tonnes_primary_production_equivalent</x:v>
      </x:c>
    </x:row>
    <x:row r="282" ht="18" customHeight="1">
      <x:c r="A282" s="25" t="str">
        <x:v>LME_003</x:v>
      </x:c>
      <x:c r="B282" s="25" t="str">
        <x:v>raw_filtered_tonnes</x:v>
      </x:c>
      <x:c r="C282" s="25" t="n">
        <x:v>1037537.6190575529</x:v>
      </x:c>
      <x:c r="D282" s="25" t="str">
        <x:v>tonnes</x:v>
      </x:c>
    </x:row>
    <x:row r="283" ht="18" customHeight="1">
      <x:c r="A283" s="25" t="str">
        <x:v>LME_003</x:v>
      </x:c>
      <x:c r="B283" s="25" t="str">
        <x:v>species_catch_tonnes</x:v>
      </x:c>
      <x:c r="C283" s="25" t="n">
        <x:v>1037537.6190575529</x:v>
      </x:c>
      <x:c r="D283" s="25" t="str">
        <x:v>tonnes</x:v>
      </x:c>
    </x:row>
    <x:row r="284" ht="18" customHeight="1">
      <x:c r="A284" s="25" t="str">
        <x:v>LME_003</x:v>
      </x:c>
      <x:c r="B284" s="25" t="str">
        <x:v>catch_difference_tonnes</x:v>
      </x:c>
      <x:c r="C284" s="25" t="n">
        <x:v>0</x:v>
      </x:c>
      <x:c r="D284" s="25" t="str">
        <x:v>tonnes</x:v>
      </x:c>
    </x:row>
    <x:row r="285" ht="18" customHeight="1">
      <x:c r="A285" s="25" t="str">
        <x:v>LME_003</x:v>
      </x:c>
      <x:c r="B285" s="25" t="str">
        <x:v>catch_reconciled</x:v>
      </x:c>
      <x:c r="C285" s="36" t="b">
        <x:v>1</x:v>
      </x:c>
      <x:c r="D285" s="25" t="str">
        <x:v>boolean</x:v>
      </x:c>
    </x:row>
    <x:row r="286" ht="18" customHeight="1">
      <x:c r="A286" s="25" t="str">
        <x:v>LME_003</x:v>
      </x:c>
      <x:c r="B286" s="25" t="str">
        <x:v>matched_catch_tonnes</x:v>
      </x:c>
      <x:c r="C286" s="25" t="n">
        <x:v>1037537.6190575529</x:v>
      </x:c>
      <x:c r="D286" s="25" t="str">
        <x:v>tonnes</x:v>
      </x:c>
    </x:row>
    <x:row r="287" ht="18" customHeight="1">
      <x:c r="A287" s="25" t="str">
        <x:v>LME_003</x:v>
      </x:c>
      <x:c r="B287" s="25" t="str">
        <x:v>catch_coverage_fraction</x:v>
      </x:c>
      <x:c r="C287" s="25" t="n">
        <x:v>1</x:v>
      </x:c>
      <x:c r="D287" s="25" t="str">
        <x:v>fraction</x:v>
      </x:c>
    </x:row>
    <x:row r="288" ht="18" customHeight="1">
      <x:c r="A288" s="25" t="str">
        <x:v>LME_003</x:v>
      </x:c>
      <x:c r="B288" s="25" t="str">
        <x:v>taxa_count</x:v>
      </x:c>
      <x:c r="C288" s="25" t="n">
        <x:v>277</x:v>
      </x:c>
      <x:c r="D288" s="25" t="str">
        <x:v>count</x:v>
      </x:c>
    </x:row>
    <x:row r="289" ht="18" customHeight="1">
      <x:c r="A289" s="25" t="str">
        <x:v>LME_003</x:v>
      </x:c>
      <x:c r="B289" s="25" t="str">
        <x:v>matched_taxa_count</x:v>
      </x:c>
      <x:c r="C289" s="25" t="n">
        <x:v>277</x:v>
      </x:c>
      <x:c r="D289" s="25" t="str">
        <x:v>count</x:v>
      </x:c>
    </x:row>
    <x:row r="290" ht="18" customHeight="1">
      <x:c r="A290" s="25" t="str">
        <x:v>LME_003</x:v>
      </x:c>
      <x:c r="B290" s="25" t="str">
        <x:v>unmatched_taxa_count</x:v>
      </x:c>
      <x:c r="C290" s="25" t="n">
        <x:v>0</x:v>
      </x:c>
      <x:c r="D290" s="25" t="str">
        <x:v>count</x:v>
      </x:c>
    </x:row>
    <x:row r="291" ht="18" customHeight="1">
      <x:c r="A291" s="25" t="str">
        <x:v>LME_003</x:v>
      </x:c>
      <x:c r="B291" s="25" t="str">
        <x:v>species_ppr</x:v>
      </x:c>
      <x:c r="C291" s="25" t="n">
        <x:v>1028923753.7644161</x:v>
      </x:c>
      <x:c r="D291" s="25" t="str">
        <x:v>tonnes_primary_production_equivalent</x:v>
      </x:c>
    </x:row>
    <x:row r="292" ht="18" customHeight="1">
      <x:c r="A292" s="25" t="str">
        <x:v>LME_003</x:v>
      </x:c>
      <x:c r="B292" s="25" t="str">
        <x:v>commercial_ppr</x:v>
      </x:c>
      <x:c r="C292" s="25" t="n">
        <x:v>948325445.2391397</x:v>
      </x:c>
      <x:c r="D292" s="25" t="str">
        <x:v>tonnes_primary_production_equivalent</x:v>
      </x:c>
    </x:row>
    <x:row r="293" ht="18" customHeight="1">
      <x:c r="A293" s="25" t="str">
        <x:v>LME_003</x:v>
      </x:c>
      <x:c r="B293" s="25" t="str">
        <x:v>functional_ppr</x:v>
      </x:c>
      <x:c r="C293" s="25" t="n">
        <x:v>956158720.3224782</x:v>
      </x:c>
      <x:c r="D293" s="25" t="str">
        <x:v>tonnes_primary_production_equivalent</x:v>
      </x:c>
    </x:row>
    <x:row r="294" ht="18" customHeight="1">
      <x:c r="A294" s="25" t="str">
        <x:v>LME_003</x:v>
      </x:c>
      <x:c r="B294" s="25" t="str">
        <x:v>commercial_ppr_difference</x:v>
      </x:c>
      <x:c r="C294" s="25" t="n">
        <x:v>-80598308.52527642</x:v>
      </x:c>
      <x:c r="D294" s="25" t="str">
        <x:v>tonnes_primary_production_equivalent</x:v>
      </x:c>
    </x:row>
    <x:row r="295" ht="18" customHeight="1">
      <x:c r="A295" s="25" t="str">
        <x:v>LME_003</x:v>
      </x:c>
      <x:c r="B295" s="25" t="str">
        <x:v>functional_ppr_difference</x:v>
      </x:c>
      <x:c r="C295" s="25" t="n">
        <x:v>-72765033.44193792</x:v>
      </x:c>
      <x:c r="D295" s="25" t="str">
        <x:v>tonnes_primary_production_equivalent</x:v>
      </x:c>
    </x:row>
    <x:row r="296" ht="18" customHeight="1">
      <x:c r="A296" s="25" t="str">
        <x:v>LME_004</x:v>
      </x:c>
      <x:c r="B296" s="25" t="str">
        <x:v>raw_filtered_tonnes</x:v>
      </x:c>
      <x:c r="C296" s="25" t="n">
        <x:v>664877.8552277526</x:v>
      </x:c>
      <x:c r="D296" s="25" t="str">
        <x:v>tonnes</x:v>
      </x:c>
    </x:row>
    <x:row r="297" ht="18" customHeight="1">
      <x:c r="A297" s="25" t="str">
        <x:v>LME_004</x:v>
      </x:c>
      <x:c r="B297" s="25" t="str">
        <x:v>species_catch_tonnes</x:v>
      </x:c>
      <x:c r="C297" s="25" t="n">
        <x:v>664877.8552277525</x:v>
      </x:c>
      <x:c r="D297" s="25" t="str">
        <x:v>tonnes</x:v>
      </x:c>
    </x:row>
    <x:row r="298" ht="18" customHeight="1">
      <x:c r="A298" s="25" t="str">
        <x:v>LME_004</x:v>
      </x:c>
      <x:c r="B298" s="25" t="str">
        <x:v>catch_difference_tonnes</x:v>
      </x:c>
      <x:c r="C298" s="25" t="n">
        <x:v>-1.1641532182693481e-10</x:v>
      </x:c>
      <x:c r="D298" s="25" t="str">
        <x:v>tonnes</x:v>
      </x:c>
    </x:row>
    <x:row r="299" ht="18" customHeight="1">
      <x:c r="A299" s="25" t="str">
        <x:v>LME_004</x:v>
      </x:c>
      <x:c r="B299" s="25" t="str">
        <x:v>catch_reconciled</x:v>
      </x:c>
      <x:c r="C299" s="36" t="b">
        <x:v>1</x:v>
      </x:c>
      <x:c r="D299" s="25" t="str">
        <x:v>boolean</x:v>
      </x:c>
    </x:row>
    <x:row r="300" ht="18" customHeight="1">
      <x:c r="A300" s="25" t="str">
        <x:v>LME_004</x:v>
      </x:c>
      <x:c r="B300" s="25" t="str">
        <x:v>matched_catch_tonnes</x:v>
      </x:c>
      <x:c r="C300" s="25" t="n">
        <x:v>664877.8552277525</x:v>
      </x:c>
      <x:c r="D300" s="25" t="str">
        <x:v>tonnes</x:v>
      </x:c>
    </x:row>
    <x:row r="301" ht="18" customHeight="1">
      <x:c r="A301" s="25" t="str">
        <x:v>LME_004</x:v>
      </x:c>
      <x:c r="B301" s="25" t="str">
        <x:v>catch_coverage_fraction</x:v>
      </x:c>
      <x:c r="C301" s="25" t="n">
        <x:v>1</x:v>
      </x:c>
      <x:c r="D301" s="25" t="str">
        <x:v>fraction</x:v>
      </x:c>
    </x:row>
    <x:row r="302" ht="18" customHeight="1">
      <x:c r="A302" s="25" t="str">
        <x:v>LME_004</x:v>
      </x:c>
      <x:c r="B302" s="25" t="str">
        <x:v>taxa_count</x:v>
      </x:c>
      <x:c r="C302" s="25" t="n">
        <x:v>129</x:v>
      </x:c>
      <x:c r="D302" s="25" t="str">
        <x:v>count</x:v>
      </x:c>
    </x:row>
    <x:row r="303" ht="18" customHeight="1">
      <x:c r="A303" s="25" t="str">
        <x:v>LME_004</x:v>
      </x:c>
      <x:c r="B303" s="25" t="str">
        <x:v>matched_taxa_count</x:v>
      </x:c>
      <x:c r="C303" s="25" t="n">
        <x:v>129</x:v>
      </x:c>
      <x:c r="D303" s="25" t="str">
        <x:v>count</x:v>
      </x:c>
    </x:row>
    <x:row r="304" ht="18" customHeight="1">
      <x:c r="A304" s="25" t="str">
        <x:v>LME_004</x:v>
      </x:c>
      <x:c r="B304" s="25" t="str">
        <x:v>unmatched_taxa_count</x:v>
      </x:c>
      <x:c r="C304" s="25" t="n">
        <x:v>0</x:v>
      </x:c>
      <x:c r="D304" s="25" t="str">
        <x:v>count</x:v>
      </x:c>
    </x:row>
    <x:row r="305" ht="18" customHeight="1">
      <x:c r="A305" s="25" t="str">
        <x:v>LME_004</x:v>
      </x:c>
      <x:c r="B305" s="25" t="str">
        <x:v>species_ppr</x:v>
      </x:c>
      <x:c r="C305" s="25" t="n">
        <x:v>254257319.8187799</x:v>
      </x:c>
      <x:c r="D305" s="25" t="str">
        <x:v>tonnes_primary_production_equivalent</x:v>
      </x:c>
    </x:row>
    <x:row r="306" ht="18" customHeight="1">
      <x:c r="A306" s="25" t="str">
        <x:v>LME_004</x:v>
      </x:c>
      <x:c r="B306" s="25" t="str">
        <x:v>commercial_ppr</x:v>
      </x:c>
      <x:c r="C306" s="25" t="n">
        <x:v>187669905.16739705</x:v>
      </x:c>
      <x:c r="D306" s="25" t="str">
        <x:v>tonnes_primary_production_equivalent</x:v>
      </x:c>
    </x:row>
    <x:row r="307" ht="18" customHeight="1">
      <x:c r="A307" s="25" t="str">
        <x:v>LME_004</x:v>
      </x:c>
      <x:c r="B307" s="25" t="str">
        <x:v>functional_ppr</x:v>
      </x:c>
      <x:c r="C307" s="25" t="n">
        <x:v>193115605.2914297</x:v>
      </x:c>
      <x:c r="D307" s="25" t="str">
        <x:v>tonnes_primary_production_equivalent</x:v>
      </x:c>
    </x:row>
    <x:row r="308" ht="18" customHeight="1">
      <x:c r="A308" s="25" t="str">
        <x:v>LME_004</x:v>
      </x:c>
      <x:c r="B308" s="25" t="str">
        <x:v>commercial_ppr_difference</x:v>
      </x:c>
      <x:c r="C308" s="25" t="n">
        <x:v>-66587414.65138283</x:v>
      </x:c>
      <x:c r="D308" s="25" t="str">
        <x:v>tonnes_primary_production_equivalent</x:v>
      </x:c>
    </x:row>
    <x:row r="309" ht="18" customHeight="1">
      <x:c r="A309" s="25" t="str">
        <x:v>LME_004</x:v>
      </x:c>
      <x:c r="B309" s="25" t="str">
        <x:v>functional_ppr_difference</x:v>
      </x:c>
      <x:c r="C309" s="25" t="n">
        <x:v>-61141714.52735019</x:v>
      </x:c>
      <x:c r="D309" s="25" t="str">
        <x:v>tonnes_primary_production_equivalent</x:v>
      </x:c>
    </x:row>
    <x:row r="310" ht="18" customHeight="1">
      <x:c r="A310" s="25" t="str">
        <x:v>LME_005</x:v>
      </x:c>
      <x:c r="B310" s="25" t="str">
        <x:v>raw_filtered_tonnes</x:v>
      </x:c>
      <x:c r="C310" s="25" t="n">
        <x:v>1549275.8254257175</x:v>
      </x:c>
      <x:c r="D310" s="25" t="str">
        <x:v>tonnes</x:v>
      </x:c>
    </x:row>
    <x:row r="311" ht="18" customHeight="1">
      <x:c r="A311" s="25" t="str">
        <x:v>LME_005</x:v>
      </x:c>
      <x:c r="B311" s="25" t="str">
        <x:v>species_catch_tonnes</x:v>
      </x:c>
      <x:c r="C311" s="25" t="n">
        <x:v>1549275.8254257175</x:v>
      </x:c>
      <x:c r="D311" s="25" t="str">
        <x:v>tonnes</x:v>
      </x:c>
    </x:row>
    <x:row r="312" ht="18" customHeight="1">
      <x:c r="A312" s="25" t="str">
        <x:v>LME_005</x:v>
      </x:c>
      <x:c r="B312" s="25" t="str">
        <x:v>catch_difference_tonnes</x:v>
      </x:c>
      <x:c r="C312" s="25" t="n">
        <x:v>0</x:v>
      </x:c>
      <x:c r="D312" s="25" t="str">
        <x:v>tonnes</x:v>
      </x:c>
    </x:row>
    <x:row r="313" ht="18" customHeight="1">
      <x:c r="A313" s="25" t="str">
        <x:v>LME_005</x:v>
      </x:c>
      <x:c r="B313" s="25" t="str">
        <x:v>catch_reconciled</x:v>
      </x:c>
      <x:c r="C313" s="36" t="b">
        <x:v>1</x:v>
      </x:c>
      <x:c r="D313" s="25" t="str">
        <x:v>boolean</x:v>
      </x:c>
    </x:row>
    <x:row r="314" ht="18" customHeight="1">
      <x:c r="A314" s="25" t="str">
        <x:v>LME_005</x:v>
      </x:c>
      <x:c r="B314" s="25" t="str">
        <x:v>matched_catch_tonnes</x:v>
      </x:c>
      <x:c r="C314" s="25" t="n">
        <x:v>1549275.8254257175</x:v>
      </x:c>
      <x:c r="D314" s="25" t="str">
        <x:v>tonnes</x:v>
      </x:c>
    </x:row>
    <x:row r="315" ht="18" customHeight="1">
      <x:c r="A315" s="25" t="str">
        <x:v>LME_005</x:v>
      </x:c>
      <x:c r="B315" s="25" t="str">
        <x:v>catch_coverage_fraction</x:v>
      </x:c>
      <x:c r="C315" s="25" t="n">
        <x:v>1</x:v>
      </x:c>
      <x:c r="D315" s="25" t="str">
        <x:v>fraction</x:v>
      </x:c>
    </x:row>
    <x:row r="316" ht="18" customHeight="1">
      <x:c r="A316" s="25" t="str">
        <x:v>LME_005</x:v>
      </x:c>
      <x:c r="B316" s="25" t="str">
        <x:v>taxa_count</x:v>
      </x:c>
      <x:c r="C316" s="25" t="n">
        <x:v>418</x:v>
      </x:c>
      <x:c r="D316" s="25" t="str">
        <x:v>count</x:v>
      </x:c>
    </x:row>
    <x:row r="317" ht="18" customHeight="1">
      <x:c r="A317" s="25" t="str">
        <x:v>LME_005</x:v>
      </x:c>
      <x:c r="B317" s="25" t="str">
        <x:v>matched_taxa_count</x:v>
      </x:c>
      <x:c r="C317" s="25" t="n">
        <x:v>418</x:v>
      </x:c>
      <x:c r="D317" s="25" t="str">
        <x:v>count</x:v>
      </x:c>
    </x:row>
    <x:row r="318" ht="18" customHeight="1">
      <x:c r="A318" s="25" t="str">
        <x:v>LME_005</x:v>
      </x:c>
      <x:c r="B318" s="25" t="str">
        <x:v>unmatched_taxa_count</x:v>
      </x:c>
      <x:c r="C318" s="25" t="n">
        <x:v>0</x:v>
      </x:c>
      <x:c r="D318" s="25" t="str">
        <x:v>count</x:v>
      </x:c>
    </x:row>
    <x:row r="319" ht="18" customHeight="1">
      <x:c r="A319" s="25" t="str">
        <x:v>LME_005</x:v>
      </x:c>
      <x:c r="B319" s="25" t="str">
        <x:v>species_ppr</x:v>
      </x:c>
      <x:c r="C319" s="25" t="n">
        <x:v>558361747.8475869</x:v>
      </x:c>
      <x:c r="D319" s="25" t="str">
        <x:v>tonnes_primary_production_equivalent</x:v>
      </x:c>
    </x:row>
    <x:row r="320" ht="18" customHeight="1">
      <x:c r="A320" s="25" t="str">
        <x:v>LME_005</x:v>
      </x:c>
      <x:c r="B320" s="25" t="str">
        <x:v>commercial_ppr</x:v>
      </x:c>
      <x:c r="C320" s="25" t="n">
        <x:v>352850227.10518026</x:v>
      </x:c>
      <x:c r="D320" s="25" t="str">
        <x:v>tonnes_primary_production_equivalent</x:v>
      </x:c>
    </x:row>
    <x:row r="321" ht="18" customHeight="1">
      <x:c r="A321" s="25" t="str">
        <x:v>LME_005</x:v>
      </x:c>
      <x:c r="B321" s="25" t="str">
        <x:v>functional_ppr</x:v>
      </x:c>
      <x:c r="C321" s="25" t="n">
        <x:v>421891503.66125906</x:v>
      </x:c>
      <x:c r="D321" s="25" t="str">
        <x:v>tonnes_primary_production_equivalent</x:v>
      </x:c>
    </x:row>
    <x:row r="322" ht="18" customHeight="1">
      <x:c r="A322" s="25" t="str">
        <x:v>LME_005</x:v>
      </x:c>
      <x:c r="B322" s="25" t="str">
        <x:v>commercial_ppr_difference</x:v>
      </x:c>
      <x:c r="C322" s="25" t="n">
        <x:v>-205511520.7424066</x:v>
      </x:c>
      <x:c r="D322" s="25" t="str">
        <x:v>tonnes_primary_production_equivalent</x:v>
      </x:c>
    </x:row>
    <x:row r="323" ht="18" customHeight="1">
      <x:c r="A323" s="25" t="str">
        <x:v>LME_005</x:v>
      </x:c>
      <x:c r="B323" s="25" t="str">
        <x:v>functional_ppr_difference</x:v>
      </x:c>
      <x:c r="C323" s="25" t="n">
        <x:v>-136470244.18632782</x:v>
      </x:c>
      <x:c r="D323" s="25" t="str">
        <x:v>tonnes_primary_production_equivalent</x:v>
      </x:c>
    </x:row>
    <x:row r="324" ht="18" customHeight="1">
      <x:c r="A324" s="25" t="str">
        <x:v>LME_006</x:v>
      </x:c>
      <x:c r="B324" s="25" t="str">
        <x:v>raw_filtered_tonnes</x:v>
      </x:c>
      <x:c r="C324" s="25" t="n">
        <x:v>115599.57003481101</x:v>
      </x:c>
      <x:c r="D324" s="25" t="str">
        <x:v>tonnes</x:v>
      </x:c>
    </x:row>
    <x:row r="325" ht="18" customHeight="1">
      <x:c r="A325" s="25" t="str">
        <x:v>LME_006</x:v>
      </x:c>
      <x:c r="B325" s="25" t="str">
        <x:v>species_catch_tonnes</x:v>
      </x:c>
      <x:c r="C325" s="25" t="n">
        <x:v>115599.570034811</x:v>
      </x:c>
      <x:c r="D325" s="25" t="str">
        <x:v>tonnes</x:v>
      </x:c>
    </x:row>
    <x:row r="326" ht="18" customHeight="1">
      <x:c r="A326" s="25" t="str">
        <x:v>LME_006</x:v>
      </x:c>
      <x:c r="B326" s="25" t="str">
        <x:v>catch_difference_tonnes</x:v>
      </x:c>
      <x:c r="C326" s="25" t="n">
        <x:v>-1.4551915228366852e-11</x:v>
      </x:c>
      <x:c r="D326" s="25" t="str">
        <x:v>tonnes</x:v>
      </x:c>
    </x:row>
    <x:row r="327" ht="18" customHeight="1">
      <x:c r="A327" s="25" t="str">
        <x:v>LME_006</x:v>
      </x:c>
      <x:c r="B327" s="25" t="str">
        <x:v>catch_reconciled</x:v>
      </x:c>
      <x:c r="C327" s="36" t="b">
        <x:v>1</x:v>
      </x:c>
      <x:c r="D327" s="25" t="str">
        <x:v>boolean</x:v>
      </x:c>
    </x:row>
    <x:row r="328" ht="18" customHeight="1">
      <x:c r="A328" s="25" t="str">
        <x:v>LME_006</x:v>
      </x:c>
      <x:c r="B328" s="25" t="str">
        <x:v>matched_catch_tonnes</x:v>
      </x:c>
      <x:c r="C328" s="25" t="n">
        <x:v>115599.570034811</x:v>
      </x:c>
      <x:c r="D328" s="25" t="str">
        <x:v>tonnes</x:v>
      </x:c>
    </x:row>
    <x:row r="329" ht="18" customHeight="1">
      <x:c r="A329" s="25" t="str">
        <x:v>LME_006</x:v>
      </x:c>
      <x:c r="B329" s="25" t="str">
        <x:v>catch_coverage_fraction</x:v>
      </x:c>
      <x:c r="C329" s="25" t="n">
        <x:v>1</x:v>
      </x:c>
      <x:c r="D329" s="25" t="str">
        <x:v>fraction</x:v>
      </x:c>
    </x:row>
    <x:row r="330" ht="18" customHeight="1">
      <x:c r="A330" s="25" t="str">
        <x:v>LME_006</x:v>
      </x:c>
      <x:c r="B330" s="25" t="str">
        <x:v>taxa_count</x:v>
      </x:c>
      <x:c r="C330" s="25" t="n">
        <x:v>283</x:v>
      </x:c>
      <x:c r="D330" s="25" t="str">
        <x:v>count</x:v>
      </x:c>
    </x:row>
    <x:row r="331" ht="18" customHeight="1">
      <x:c r="A331" s="25" t="str">
        <x:v>LME_006</x:v>
      </x:c>
      <x:c r="B331" s="25" t="str">
        <x:v>matched_taxa_count</x:v>
      </x:c>
      <x:c r="C331" s="25" t="n">
        <x:v>283</x:v>
      </x:c>
      <x:c r="D331" s="25" t="str">
        <x:v>count</x:v>
      </x:c>
    </x:row>
    <x:row r="332" ht="18" customHeight="1">
      <x:c r="A332" s="25" t="str">
        <x:v>LME_006</x:v>
      </x:c>
      <x:c r="B332" s="25" t="str">
        <x:v>unmatched_taxa_count</x:v>
      </x:c>
      <x:c r="C332" s="25" t="n">
        <x:v>0</x:v>
      </x:c>
      <x:c r="D332" s="25" t="str">
        <x:v>count</x:v>
      </x:c>
    </x:row>
    <x:row r="333" ht="18" customHeight="1">
      <x:c r="A333" s="25" t="str">
        <x:v>LME_006</x:v>
      </x:c>
      <x:c r="B333" s="25" t="str">
        <x:v>species_ppr</x:v>
      </x:c>
      <x:c r="C333" s="25" t="n">
        <x:v>104438774.10426635</x:v>
      </x:c>
      <x:c r="D333" s="25" t="str">
        <x:v>tonnes_primary_production_equivalent</x:v>
      </x:c>
    </x:row>
    <x:row r="334" ht="18" customHeight="1">
      <x:c r="A334" s="25" t="str">
        <x:v>LME_006</x:v>
      </x:c>
      <x:c r="B334" s="25" t="str">
        <x:v>commercial_ppr</x:v>
      </x:c>
      <x:c r="C334" s="25" t="n">
        <x:v>65622920.65646398</x:v>
      </x:c>
      <x:c r="D334" s="25" t="str">
        <x:v>tonnes_primary_production_equivalent</x:v>
      </x:c>
    </x:row>
    <x:row r="335" ht="18" customHeight="1">
      <x:c r="A335" s="25" t="str">
        <x:v>LME_006</x:v>
      </x:c>
      <x:c r="B335" s="25" t="str">
        <x:v>functional_ppr</x:v>
      </x:c>
      <x:c r="C335" s="25" t="n">
        <x:v>91125601.58560155</x:v>
      </x:c>
      <x:c r="D335" s="25" t="str">
        <x:v>tonnes_primary_production_equivalent</x:v>
      </x:c>
    </x:row>
    <x:row r="336" ht="18" customHeight="1">
      <x:c r="A336" s="25" t="str">
        <x:v>LME_006</x:v>
      </x:c>
      <x:c r="B336" s="25" t="str">
        <x:v>commercial_ppr_difference</x:v>
      </x:c>
      <x:c r="C336" s="25" t="n">
        <x:v>-38815853.447802365</x:v>
      </x:c>
      <x:c r="D336" s="25" t="str">
        <x:v>tonnes_primary_production_equivalent</x:v>
      </x:c>
    </x:row>
    <x:row r="337" ht="18" customHeight="1">
      <x:c r="A337" s="25" t="str">
        <x:v>LME_006</x:v>
      </x:c>
      <x:c r="B337" s="25" t="str">
        <x:v>functional_ppr_difference</x:v>
      </x:c>
      <x:c r="C337" s="25" t="n">
        <x:v>-13313172.518664792</x:v>
      </x:c>
      <x:c r="D337" s="25" t="str">
        <x:v>tonnes_primary_production_equivalent</x:v>
      </x:c>
    </x:row>
    <x:row r="338" ht="18" customHeight="1">
      <x:c r="A338" s="25" t="str">
        <x:v>LME_007</x:v>
      </x:c>
      <x:c r="B338" s="25" t="str">
        <x:v>raw_filtered_tonnes</x:v>
      </x:c>
      <x:c r="C338" s="25" t="n">
        <x:v>700878.7473042158</x:v>
      </x:c>
      <x:c r="D338" s="25" t="str">
        <x:v>tonnes</x:v>
      </x:c>
    </x:row>
    <x:row r="339" ht="18" customHeight="1">
      <x:c r="A339" s="25" t="str">
        <x:v>LME_007</x:v>
      </x:c>
      <x:c r="B339" s="25" t="str">
        <x:v>species_catch_tonnes</x:v>
      </x:c>
      <x:c r="C339" s="25" t="n">
        <x:v>700878.7473042159</x:v>
      </x:c>
      <x:c r="D339" s="25" t="str">
        <x:v>tonnes</x:v>
      </x:c>
    </x:row>
    <x:row r="340" ht="18" customHeight="1">
      <x:c r="A340" s="25" t="str">
        <x:v>LME_007</x:v>
      </x:c>
      <x:c r="B340" s="25" t="str">
        <x:v>catch_difference_tonnes</x:v>
      </x:c>
      <x:c r="C340" s="25" t="n">
        <x:v>1.1641532182693481e-10</x:v>
      </x:c>
      <x:c r="D340" s="25" t="str">
        <x:v>tonnes</x:v>
      </x:c>
    </x:row>
    <x:row r="341" ht="18" customHeight="1">
      <x:c r="A341" s="25" t="str">
        <x:v>LME_007</x:v>
      </x:c>
      <x:c r="B341" s="25" t="str">
        <x:v>catch_reconciled</x:v>
      </x:c>
      <x:c r="C341" s="36" t="b">
        <x:v>1</x:v>
      </x:c>
      <x:c r="D341" s="25" t="str">
        <x:v>boolean</x:v>
      </x:c>
    </x:row>
    <x:row r="342" ht="18" customHeight="1">
      <x:c r="A342" s="25" t="str">
        <x:v>LME_007</x:v>
      </x:c>
      <x:c r="B342" s="25" t="str">
        <x:v>matched_catch_tonnes</x:v>
      </x:c>
      <x:c r="C342" s="25" t="n">
        <x:v>700878.7473042159</x:v>
      </x:c>
      <x:c r="D342" s="25" t="str">
        <x:v>tonnes</x:v>
      </x:c>
    </x:row>
    <x:row r="343" ht="18" customHeight="1">
      <x:c r="A343" s="25" t="str">
        <x:v>LME_007</x:v>
      </x:c>
      <x:c r="B343" s="25" t="str">
        <x:v>catch_coverage_fraction</x:v>
      </x:c>
      <x:c r="C343" s="25" t="n">
        <x:v>1</x:v>
      </x:c>
      <x:c r="D343" s="25" t="str">
        <x:v>fraction</x:v>
      </x:c>
    </x:row>
    <x:row r="344" ht="18" customHeight="1">
      <x:c r="A344" s="25" t="str">
        <x:v>LME_007</x:v>
      </x:c>
      <x:c r="B344" s="25" t="str">
        <x:v>taxa_count</x:v>
      </x:c>
      <x:c r="C344" s="25" t="n">
        <x:v>232</x:v>
      </x:c>
      <x:c r="D344" s="25" t="str">
        <x:v>count</x:v>
      </x:c>
    </x:row>
    <x:row r="345" ht="18" customHeight="1">
      <x:c r="A345" s="25" t="str">
        <x:v>LME_007</x:v>
      </x:c>
      <x:c r="B345" s="25" t="str">
        <x:v>matched_taxa_count</x:v>
      </x:c>
      <x:c r="C345" s="25" t="n">
        <x:v>232</x:v>
      </x:c>
      <x:c r="D345" s="25" t="str">
        <x:v>count</x:v>
      </x:c>
    </x:row>
    <x:row r="346" ht="18" customHeight="1">
      <x:c r="A346" s="25" t="str">
        <x:v>LME_007</x:v>
      </x:c>
      <x:c r="B346" s="25" t="str">
        <x:v>unmatched_taxa_count</x:v>
      </x:c>
      <x:c r="C346" s="25" t="n">
        <x:v>0</x:v>
      </x:c>
      <x:c r="D346" s="25" t="str">
        <x:v>count</x:v>
      </x:c>
    </x:row>
    <x:row r="347" ht="18" customHeight="1">
      <x:c r="A347" s="25" t="str">
        <x:v>LME_007</x:v>
      </x:c>
      <x:c r="B347" s="25" t="str">
        <x:v>species_ppr</x:v>
      </x:c>
      <x:c r="C347" s="25" t="n">
        <x:v>432863601.07882154</x:v>
      </x:c>
      <x:c r="D347" s="25" t="str">
        <x:v>tonnes_primary_production_equivalent</x:v>
      </x:c>
    </x:row>
    <x:row r="348" ht="18" customHeight="1">
      <x:c r="A348" s="25" t="str">
        <x:v>LME_007</x:v>
      </x:c>
      <x:c r="B348" s="25" t="str">
        <x:v>commercial_ppr</x:v>
      </x:c>
      <x:c r="C348" s="25" t="n">
        <x:v>318789633.10278773</x:v>
      </x:c>
      <x:c r="D348" s="25" t="str">
        <x:v>tonnes_primary_production_equivalent</x:v>
      </x:c>
    </x:row>
    <x:row r="349" ht="18" customHeight="1">
      <x:c r="A349" s="25" t="str">
        <x:v>LME_007</x:v>
      </x:c>
      <x:c r="B349" s="25" t="str">
        <x:v>functional_ppr</x:v>
      </x:c>
      <x:c r="C349" s="25" t="n">
        <x:v>363980234.12803376</x:v>
      </x:c>
      <x:c r="D349" s="25" t="str">
        <x:v>tonnes_primary_production_equivalent</x:v>
      </x:c>
    </x:row>
    <x:row r="350" ht="18" customHeight="1">
      <x:c r="A350" s="25" t="str">
        <x:v>LME_007</x:v>
      </x:c>
      <x:c r="B350" s="25" t="str">
        <x:v>commercial_ppr_difference</x:v>
      </x:c>
      <x:c r="C350" s="25" t="n">
        <x:v>-114073967.9760338</x:v>
      </x:c>
      <x:c r="D350" s="25" t="str">
        <x:v>tonnes_primary_production_equivalent</x:v>
      </x:c>
    </x:row>
    <x:row r="351" ht="18" customHeight="1">
      <x:c r="A351" s="25" t="str">
        <x:v>LME_007</x:v>
      </x:c>
      <x:c r="B351" s="25" t="str">
        <x:v>functional_ppr_difference</x:v>
      </x:c>
      <x:c r="C351" s="25" t="n">
        <x:v>-68883366.95078778</x:v>
      </x:c>
      <x:c r="D351" s="25" t="str">
        <x:v>tonnes_primary_production_equivalent</x:v>
      </x:c>
    </x:row>
    <x:row r="352" ht="18" customHeight="1">
      <x:c r="A352" s="25" t="str">
        <x:v>LME_008</x:v>
      </x:c>
      <x:c r="B352" s="25" t="str">
        <x:v>raw_filtered_tonnes</x:v>
      </x:c>
      <x:c r="C352" s="25" t="n">
        <x:v>148680.2607308072</x:v>
      </x:c>
      <x:c r="D352" s="25" t="str">
        <x:v>tonnes</x:v>
      </x:c>
    </x:row>
    <x:row r="353" ht="18" customHeight="1">
      <x:c r="A353" s="25" t="str">
        <x:v>LME_008</x:v>
      </x:c>
      <x:c r="B353" s="25" t="str">
        <x:v>species_catch_tonnes</x:v>
      </x:c>
      <x:c r="C353" s="25" t="n">
        <x:v>148680.26073080715</x:v>
      </x:c>
      <x:c r="D353" s="25" t="str">
        <x:v>tonnes</x:v>
      </x:c>
    </x:row>
    <x:row r="354" ht="18" customHeight="1">
      <x:c r="A354" s="25" t="str">
        <x:v>LME_008</x:v>
      </x:c>
      <x:c r="B354" s="25" t="str">
        <x:v>catch_difference_tonnes</x:v>
      </x:c>
      <x:c r="C354" s="25" t="n">
        <x:v>-5.820766091346741e-11</x:v>
      </x:c>
      <x:c r="D354" s="25" t="str">
        <x:v>tonnes</x:v>
      </x:c>
    </x:row>
    <x:row r="355" ht="18" customHeight="1">
      <x:c r="A355" s="25" t="str">
        <x:v>LME_008</x:v>
      </x:c>
      <x:c r="B355" s="25" t="str">
        <x:v>catch_reconciled</x:v>
      </x:c>
      <x:c r="C355" s="36" t="b">
        <x:v>1</x:v>
      </x:c>
      <x:c r="D355" s="25" t="str">
        <x:v>boolean</x:v>
      </x:c>
    </x:row>
    <x:row r="356" ht="18" customHeight="1">
      <x:c r="A356" s="25" t="str">
        <x:v>LME_008</x:v>
      </x:c>
      <x:c r="B356" s="25" t="str">
        <x:v>matched_catch_tonnes</x:v>
      </x:c>
      <x:c r="C356" s="25" t="n">
        <x:v>148680.26073080715</x:v>
      </x:c>
      <x:c r="D356" s="25" t="str">
        <x:v>tonnes</x:v>
      </x:c>
    </x:row>
    <x:row r="357" ht="18" customHeight="1">
      <x:c r="A357" s="25" t="str">
        <x:v>LME_008</x:v>
      </x:c>
      <x:c r="B357" s="25" t="str">
        <x:v>catch_coverage_fraction</x:v>
      </x:c>
      <x:c r="C357" s="25" t="n">
        <x:v>1</x:v>
      </x:c>
      <x:c r="D357" s="25" t="str">
        <x:v>fraction</x:v>
      </x:c>
    </x:row>
    <x:row r="358" ht="18" customHeight="1">
      <x:c r="A358" s="25" t="str">
        <x:v>LME_008</x:v>
      </x:c>
      <x:c r="B358" s="25" t="str">
        <x:v>taxa_count</x:v>
      </x:c>
      <x:c r="C358" s="25" t="n">
        <x:v>92</x:v>
      </x:c>
      <x:c r="D358" s="25" t="str">
        <x:v>count</x:v>
      </x:c>
    </x:row>
    <x:row r="359" ht="18" customHeight="1">
      <x:c r="A359" s="25" t="str">
        <x:v>LME_008</x:v>
      </x:c>
      <x:c r="B359" s="25" t="str">
        <x:v>matched_taxa_count</x:v>
      </x:c>
      <x:c r="C359" s="25" t="n">
        <x:v>92</x:v>
      </x:c>
      <x:c r="D359" s="25" t="str">
        <x:v>count</x:v>
      </x:c>
    </x:row>
    <x:row r="360" ht="18" customHeight="1">
      <x:c r="A360" s="25" t="str">
        <x:v>LME_008</x:v>
      </x:c>
      <x:c r="B360" s="25" t="str">
        <x:v>unmatched_taxa_count</x:v>
      </x:c>
      <x:c r="C360" s="25" t="n">
        <x:v>0</x:v>
      </x:c>
      <x:c r="D360" s="25" t="str">
        <x:v>count</x:v>
      </x:c>
    </x:row>
    <x:row r="361" ht="18" customHeight="1">
      <x:c r="A361" s="25" t="str">
        <x:v>LME_008</x:v>
      </x:c>
      <x:c r="B361" s="25" t="str">
        <x:v>species_ppr</x:v>
      </x:c>
      <x:c r="C361" s="25" t="n">
        <x:v>75212513.43069898</x:v>
      </x:c>
      <x:c r="D361" s="25" t="str">
        <x:v>tonnes_primary_production_equivalent</x:v>
      </x:c>
    </x:row>
    <x:row r="362" ht="18" customHeight="1">
      <x:c r="A362" s="25" t="str">
        <x:v>LME_008</x:v>
      </x:c>
      <x:c r="B362" s="25" t="str">
        <x:v>commercial_ppr</x:v>
      </x:c>
      <x:c r="C362" s="25" t="n">
        <x:v>64517927.31064559</x:v>
      </x:c>
      <x:c r="D362" s="25" t="str">
        <x:v>tonnes_primary_production_equivalent</x:v>
      </x:c>
    </x:row>
    <x:row r="363" ht="18" customHeight="1">
      <x:c r="A363" s="25" t="str">
        <x:v>LME_008</x:v>
      </x:c>
      <x:c r="B363" s="25" t="str">
        <x:v>functional_ppr</x:v>
      </x:c>
      <x:c r="C363" s="25" t="n">
        <x:v>61782823.81142751</x:v>
      </x:c>
      <x:c r="D363" s="25" t="str">
        <x:v>tonnes_primary_production_equivalent</x:v>
      </x:c>
    </x:row>
    <x:row r="364" ht="18" customHeight="1">
      <x:c r="A364" s="25" t="str">
        <x:v>LME_008</x:v>
      </x:c>
      <x:c r="B364" s="25" t="str">
        <x:v>commercial_ppr_difference</x:v>
      </x:c>
      <x:c r="C364" s="25" t="n">
        <x:v>-10694586.120053388</x:v>
      </x:c>
      <x:c r="D364" s="25" t="str">
        <x:v>tonnes_primary_production_equivalent</x:v>
      </x:c>
    </x:row>
    <x:row r="365" ht="18" customHeight="1">
      <x:c r="A365" s="25" t="str">
        <x:v>LME_008</x:v>
      </x:c>
      <x:c r="B365" s="25" t="str">
        <x:v>functional_ppr_difference</x:v>
      </x:c>
      <x:c r="C365" s="25" t="n">
        <x:v>-13429689.619271465</x:v>
      </x:c>
      <x:c r="D365" s="25" t="str">
        <x:v>tonnes_primary_production_equivalent</x:v>
      </x:c>
    </x:row>
    <x:row r="366" ht="18" customHeight="1">
      <x:c r="A366" s="25" t="str">
        <x:v>LME_009</x:v>
      </x:c>
      <x:c r="B366" s="25" t="str">
        <x:v>raw_filtered_tonnes</x:v>
      </x:c>
      <x:c r="C366" s="25" t="n">
        <x:v>506689.99406100804</x:v>
      </x:c>
      <x:c r="D366" s="25" t="str">
        <x:v>tonnes</x:v>
      </x:c>
    </x:row>
    <x:row r="367" ht="18" customHeight="1">
      <x:c r="A367" s="25" t="str">
        <x:v>LME_009</x:v>
      </x:c>
      <x:c r="B367" s="25" t="str">
        <x:v>species_catch_tonnes</x:v>
      </x:c>
      <x:c r="C367" s="25" t="n">
        <x:v>506689.99406100786</x:v>
      </x:c>
      <x:c r="D367" s="25" t="str">
        <x:v>tonnes</x:v>
      </x:c>
    </x:row>
    <x:row r="368" ht="18" customHeight="1">
      <x:c r="A368" s="25" t="str">
        <x:v>LME_009</x:v>
      </x:c>
      <x:c r="B368" s="25" t="str">
        <x:v>catch_difference_tonnes</x:v>
      </x:c>
      <x:c r="C368" s="25" t="n">
        <x:v>-1.7462298274040222e-10</x:v>
      </x:c>
      <x:c r="D368" s="25" t="str">
        <x:v>tonnes</x:v>
      </x:c>
    </x:row>
    <x:row r="369" ht="18" customHeight="1">
      <x:c r="A369" s="25" t="str">
        <x:v>LME_009</x:v>
      </x:c>
      <x:c r="B369" s="25" t="str">
        <x:v>catch_reconciled</x:v>
      </x:c>
      <x:c r="C369" s="36" t="b">
        <x:v>1</x:v>
      </x:c>
      <x:c r="D369" s="25" t="str">
        <x:v>boolean</x:v>
      </x:c>
    </x:row>
    <x:row r="370" ht="18" customHeight="1">
      <x:c r="A370" s="25" t="str">
        <x:v>LME_009</x:v>
      </x:c>
      <x:c r="B370" s="25" t="str">
        <x:v>matched_catch_tonnes</x:v>
      </x:c>
      <x:c r="C370" s="25" t="n">
        <x:v>506689.99406100786</x:v>
      </x:c>
      <x:c r="D370" s="25" t="str">
        <x:v>tonnes</x:v>
      </x:c>
    </x:row>
    <x:row r="371" ht="18" customHeight="1">
      <x:c r="A371" s="25" t="str">
        <x:v>LME_009</x:v>
      </x:c>
      <x:c r="B371" s="25" t="str">
        <x:v>catch_coverage_fraction</x:v>
      </x:c>
      <x:c r="C371" s="25" t="n">
        <x:v>1</x:v>
      </x:c>
      <x:c r="D371" s="25" t="str">
        <x:v>fraction</x:v>
      </x:c>
    </x:row>
    <x:row r="372" ht="18" customHeight="1">
      <x:c r="A372" s="25" t="str">
        <x:v>LME_009</x:v>
      </x:c>
      <x:c r="B372" s="25" t="str">
        <x:v>taxa_count</x:v>
      </x:c>
      <x:c r="C372" s="25" t="n">
        <x:v>111</x:v>
      </x:c>
      <x:c r="D372" s="25" t="str">
        <x:v>count</x:v>
      </x:c>
    </x:row>
    <x:row r="373" ht="18" customHeight="1">
      <x:c r="A373" s="25" t="str">
        <x:v>LME_009</x:v>
      </x:c>
      <x:c r="B373" s="25" t="str">
        <x:v>matched_taxa_count</x:v>
      </x:c>
      <x:c r="C373" s="25" t="n">
        <x:v>111</x:v>
      </x:c>
      <x:c r="D373" s="25" t="str">
        <x:v>count</x:v>
      </x:c>
    </x:row>
    <x:row r="374" ht="18" customHeight="1">
      <x:c r="A374" s="25" t="str">
        <x:v>LME_009</x:v>
      </x:c>
      <x:c r="B374" s="25" t="str">
        <x:v>unmatched_taxa_count</x:v>
      </x:c>
      <x:c r="C374" s="25" t="n">
        <x:v>0</x:v>
      </x:c>
      <x:c r="D374" s="25" t="str">
        <x:v>count</x:v>
      </x:c>
    </x:row>
    <x:row r="375" ht="18" customHeight="1">
      <x:c r="A375" s="25" t="str">
        <x:v>LME_009</x:v>
      </x:c>
      <x:c r="B375" s="25" t="str">
        <x:v>species_ppr</x:v>
      </x:c>
      <x:c r="C375" s="25" t="n">
        <x:v>272326949.81673676</x:v>
      </x:c>
      <x:c r="D375" s="25" t="str">
        <x:v>tonnes_primary_production_equivalent</x:v>
      </x:c>
    </x:row>
    <x:row r="376" ht="18" customHeight="1">
      <x:c r="A376" s="25" t="str">
        <x:v>LME_009</x:v>
      </x:c>
      <x:c r="B376" s="25" t="str">
        <x:v>commercial_ppr</x:v>
      </x:c>
      <x:c r="C376" s="25" t="n">
        <x:v>222909537.7389832</x:v>
      </x:c>
      <x:c r="D376" s="25" t="str">
        <x:v>tonnes_primary_production_equivalent</x:v>
      </x:c>
    </x:row>
    <x:row r="377" ht="18" customHeight="1">
      <x:c r="A377" s="25" t="str">
        <x:v>LME_009</x:v>
      </x:c>
      <x:c r="B377" s="25" t="str">
        <x:v>functional_ppr</x:v>
      </x:c>
      <x:c r="C377" s="25" t="n">
        <x:v>248795200.32622927</x:v>
      </x:c>
      <x:c r="D377" s="25" t="str">
        <x:v>tonnes_primary_production_equivalent</x:v>
      </x:c>
    </x:row>
    <x:row r="378" ht="18" customHeight="1">
      <x:c r="A378" s="25" t="str">
        <x:v>LME_009</x:v>
      </x:c>
      <x:c r="B378" s="25" t="str">
        <x:v>commercial_ppr_difference</x:v>
      </x:c>
      <x:c r="C378" s="25" t="n">
        <x:v>-49417412.077753544</x:v>
      </x:c>
      <x:c r="D378" s="25" t="str">
        <x:v>tonnes_primary_production_equivalent</x:v>
      </x:c>
    </x:row>
    <x:row r="379" ht="18" customHeight="1">
      <x:c r="A379" s="25" t="str">
        <x:v>LME_009</x:v>
      </x:c>
      <x:c r="B379" s="25" t="str">
        <x:v>functional_ppr_difference</x:v>
      </x:c>
      <x:c r="C379" s="25" t="n">
        <x:v>-23531749.490507483</x:v>
      </x:c>
      <x:c r="D379" s="25" t="str">
        <x:v>tonnes_primary_production_equivalent</x:v>
      </x:c>
    </x:row>
    <x:row r="380" ht="18" customHeight="1">
      <x:c r="A380" s="25" t="str">
        <x:v>LME_010</x:v>
      </x:c>
      <x:c r="B380" s="25" t="str">
        <x:v>raw_filtered_tonnes</x:v>
      </x:c>
      <x:c r="C380" s="25" t="n">
        <x:v>21171.953396398498</x:v>
      </x:c>
      <x:c r="D380" s="25" t="str">
        <x:v>tonnes</x:v>
      </x:c>
    </x:row>
    <x:row r="381" ht="18" customHeight="1">
      <x:c r="A381" s="25" t="str">
        <x:v>LME_010</x:v>
      </x:c>
      <x:c r="B381" s="25" t="str">
        <x:v>species_catch_tonnes</x:v>
      </x:c>
      <x:c r="C381" s="25" t="n">
        <x:v>21171.9533963985</x:v>
      </x:c>
      <x:c r="D381" s="25" t="str">
        <x:v>tonnes</x:v>
      </x:c>
    </x:row>
    <x:row r="382" ht="18" customHeight="1">
      <x:c r="A382" s="25" t="str">
        <x:v>LME_010</x:v>
      </x:c>
      <x:c r="B382" s="25" t="str">
        <x:v>catch_difference_tonnes</x:v>
      </x:c>
      <x:c r="C382" s="25" t="n">
        <x:v>3.637978807091713e-12</x:v>
      </x:c>
      <x:c r="D382" s="25" t="str">
        <x:v>tonnes</x:v>
      </x:c>
    </x:row>
    <x:row r="383" ht="18" customHeight="1">
      <x:c r="A383" s="25" t="str">
        <x:v>LME_010</x:v>
      </x:c>
      <x:c r="B383" s="25" t="str">
        <x:v>catch_reconciled</x:v>
      </x:c>
      <x:c r="C383" s="36" t="b">
        <x:v>1</x:v>
      </x:c>
      <x:c r="D383" s="25" t="str">
        <x:v>boolean</x:v>
      </x:c>
    </x:row>
    <x:row r="384" ht="18" customHeight="1">
      <x:c r="A384" s="25" t="str">
        <x:v>LME_010</x:v>
      </x:c>
      <x:c r="B384" s="25" t="str">
        <x:v>matched_catch_tonnes</x:v>
      </x:c>
      <x:c r="C384" s="25" t="n">
        <x:v>21171.9533963985</x:v>
      </x:c>
      <x:c r="D384" s="25" t="str">
        <x:v>tonnes</x:v>
      </x:c>
    </x:row>
    <x:row r="385" ht="18" customHeight="1">
      <x:c r="A385" s="25" t="str">
        <x:v>LME_010</x:v>
      </x:c>
      <x:c r="B385" s="25" t="str">
        <x:v>catch_coverage_fraction</x:v>
      </x:c>
      <x:c r="C385" s="25" t="n">
        <x:v>1</x:v>
      </x:c>
      <x:c r="D385" s="25" t="str">
        <x:v>fraction</x:v>
      </x:c>
    </x:row>
    <x:row r="386" ht="18" customHeight="1">
      <x:c r="A386" s="25" t="str">
        <x:v>LME_010</x:v>
      </x:c>
      <x:c r="B386" s="25" t="str">
        <x:v>taxa_count</x:v>
      </x:c>
      <x:c r="C386" s="25" t="n">
        <x:v>140</x:v>
      </x:c>
      <x:c r="D386" s="25" t="str">
        <x:v>count</x:v>
      </x:c>
    </x:row>
    <x:row r="387" ht="18" customHeight="1">
      <x:c r="A387" s="25" t="str">
        <x:v>LME_010</x:v>
      </x:c>
      <x:c r="B387" s="25" t="str">
        <x:v>matched_taxa_count</x:v>
      </x:c>
      <x:c r="C387" s="25" t="n">
        <x:v>140</x:v>
      </x:c>
      <x:c r="D387" s="25" t="str">
        <x:v>count</x:v>
      </x:c>
    </x:row>
    <x:row r="388" ht="18" customHeight="1">
      <x:c r="A388" s="25" t="str">
        <x:v>LME_010</x:v>
      </x:c>
      <x:c r="B388" s="25" t="str">
        <x:v>unmatched_taxa_count</x:v>
      </x:c>
      <x:c r="C388" s="25" t="n">
        <x:v>0</x:v>
      </x:c>
      <x:c r="D388" s="25" t="str">
        <x:v>count</x:v>
      </x:c>
    </x:row>
    <x:row r="389" ht="18" customHeight="1">
      <x:c r="A389" s="25" t="str">
        <x:v>LME_010</x:v>
      </x:c>
      <x:c r="B389" s="25" t="str">
        <x:v>species_ppr</x:v>
      </x:c>
      <x:c r="C389" s="25" t="n">
        <x:v>44813494.47199182</x:v>
      </x:c>
      <x:c r="D389" s="25" t="str">
        <x:v>tonnes_primary_production_equivalent</x:v>
      </x:c>
    </x:row>
    <x:row r="390" ht="18" customHeight="1">
      <x:c r="A390" s="25" t="str">
        <x:v>LME_010</x:v>
      </x:c>
      <x:c r="B390" s="25" t="str">
        <x:v>commercial_ppr</x:v>
      </x:c>
      <x:c r="C390" s="25" t="n">
        <x:v>40663775.27641271</x:v>
      </x:c>
      <x:c r="D390" s="25" t="str">
        <x:v>tonnes_primary_production_equivalent</x:v>
      </x:c>
    </x:row>
    <x:row r="391" ht="18" customHeight="1">
      <x:c r="A391" s="25" t="str">
        <x:v>LME_010</x:v>
      </x:c>
      <x:c r="B391" s="25" t="str">
        <x:v>functional_ppr</x:v>
      </x:c>
      <x:c r="C391" s="25" t="n">
        <x:v>43231826.719544135</x:v>
      </x:c>
      <x:c r="D391" s="25" t="str">
        <x:v>tonnes_primary_production_equivalent</x:v>
      </x:c>
    </x:row>
    <x:row r="392" ht="18" customHeight="1">
      <x:c r="A392" s="25" t="str">
        <x:v>LME_010</x:v>
      </x:c>
      <x:c r="B392" s="25" t="str">
        <x:v>commercial_ppr_difference</x:v>
      </x:c>
      <x:c r="C392" s="25" t="n">
        <x:v>-4149719.1955791116</x:v>
      </x:c>
      <x:c r="D392" s="25" t="str">
        <x:v>tonnes_primary_production_equivalent</x:v>
      </x:c>
    </x:row>
    <x:row r="393" ht="18" customHeight="1">
      <x:c r="A393" s="25" t="str">
        <x:v>LME_010</x:v>
      </x:c>
      <x:c r="B393" s="25" t="str">
        <x:v>functional_ppr_difference</x:v>
      </x:c>
      <x:c r="C393" s="25" t="n">
        <x:v>-1581667.752447687</x:v>
      </x:c>
      <x:c r="D393" s="25" t="str">
        <x:v>tonnes_primary_production_equivalent</x:v>
      </x:c>
    </x:row>
    <x:row r="394" ht="18" customHeight="1">
      <x:c r="A394" s="25" t="str">
        <x:v>LME_011</x:v>
      </x:c>
      <x:c r="B394" s="25" t="str">
        <x:v>raw_filtered_tonnes</x:v>
      </x:c>
      <x:c r="C394" s="25" t="n">
        <x:v>1587670.7135199134</x:v>
      </x:c>
      <x:c r="D394" s="25" t="str">
        <x:v>tonnes</x:v>
      </x:c>
    </x:row>
    <x:row r="395" ht="18" customHeight="1">
      <x:c r="A395" s="25" t="str">
        <x:v>LME_011</x:v>
      </x:c>
      <x:c r="B395" s="25" t="str">
        <x:v>species_catch_tonnes</x:v>
      </x:c>
      <x:c r="C395" s="25" t="n">
        <x:v>1587670.713519913</x:v>
      </x:c>
      <x:c r="D395" s="25" t="str">
        <x:v>tonnes</x:v>
      </x:c>
    </x:row>
    <x:row r="396" ht="18" customHeight="1">
      <x:c r="A396" s="25" t="str">
        <x:v>LME_011</x:v>
      </x:c>
      <x:c r="B396" s="25" t="str">
        <x:v>catch_difference_tonnes</x:v>
      </x:c>
      <x:c r="C396" s="25" t="n">
        <x:v>-4.656612873077393e-10</x:v>
      </x:c>
      <x:c r="D396" s="25" t="str">
        <x:v>tonnes</x:v>
      </x:c>
    </x:row>
    <x:row r="397" ht="18" customHeight="1">
      <x:c r="A397" s="25" t="str">
        <x:v>LME_011</x:v>
      </x:c>
      <x:c r="B397" s="25" t="str">
        <x:v>catch_reconciled</x:v>
      </x:c>
      <x:c r="C397" s="36" t="b">
        <x:v>1</x:v>
      </x:c>
      <x:c r="D397" s="25" t="str">
        <x:v>boolean</x:v>
      </x:c>
    </x:row>
    <x:row r="398" ht="18" customHeight="1">
      <x:c r="A398" s="25" t="str">
        <x:v>LME_011</x:v>
      </x:c>
      <x:c r="B398" s="25" t="str">
        <x:v>matched_catch_tonnes</x:v>
      </x:c>
      <x:c r="C398" s="25" t="n">
        <x:v>1587670.713519913</x:v>
      </x:c>
      <x:c r="D398" s="25" t="str">
        <x:v>tonnes</x:v>
      </x:c>
    </x:row>
    <x:row r="399" ht="18" customHeight="1">
      <x:c r="A399" s="25" t="str">
        <x:v>LME_011</x:v>
      </x:c>
      <x:c r="B399" s="25" t="str">
        <x:v>catch_coverage_fraction</x:v>
      </x:c>
      <x:c r="C399" s="25" t="n">
        <x:v>1</x:v>
      </x:c>
      <x:c r="D399" s="25" t="str">
        <x:v>fraction</x:v>
      </x:c>
    </x:row>
    <x:row r="400" ht="18" customHeight="1">
      <x:c r="A400" s="25" t="str">
        <x:v>LME_011</x:v>
      </x:c>
      <x:c r="B400" s="25" t="str">
        <x:v>taxa_count</x:v>
      </x:c>
      <x:c r="C400" s="25" t="n">
        <x:v>270</x:v>
      </x:c>
      <x:c r="D400" s="25" t="str">
        <x:v>count</x:v>
      </x:c>
    </x:row>
    <x:row r="401" ht="18" customHeight="1">
      <x:c r="A401" s="25" t="str">
        <x:v>LME_011</x:v>
      </x:c>
      <x:c r="B401" s="25" t="str">
        <x:v>matched_taxa_count</x:v>
      </x:c>
      <x:c r="C401" s="25" t="n">
        <x:v>270</x:v>
      </x:c>
      <x:c r="D401" s="25" t="str">
        <x:v>count</x:v>
      </x:c>
    </x:row>
    <x:row r="402" ht="18" customHeight="1">
      <x:c r="A402" s="25" t="str">
        <x:v>LME_011</x:v>
      </x:c>
      <x:c r="B402" s="25" t="str">
        <x:v>unmatched_taxa_count</x:v>
      </x:c>
      <x:c r="C402" s="25" t="n">
        <x:v>0</x:v>
      </x:c>
      <x:c r="D402" s="25" t="str">
        <x:v>count</x:v>
      </x:c>
    </x:row>
    <x:row r="403" ht="18" customHeight="1">
      <x:c r="A403" s="25" t="str">
        <x:v>LME_011</x:v>
      </x:c>
      <x:c r="B403" s="25" t="str">
        <x:v>species_ppr</x:v>
      </x:c>
      <x:c r="C403" s="25" t="n">
        <x:v>748768977.2026196</x:v>
      </x:c>
      <x:c r="D403" s="25" t="str">
        <x:v>tonnes_primary_production_equivalent</x:v>
      </x:c>
    </x:row>
    <x:row r="404" ht="18" customHeight="1">
      <x:c r="A404" s="25" t="str">
        <x:v>LME_011</x:v>
      </x:c>
      <x:c r="B404" s="25" t="str">
        <x:v>commercial_ppr</x:v>
      </x:c>
      <x:c r="C404" s="25" t="n">
        <x:v>571582336.2211993</x:v>
      </x:c>
      <x:c r="D404" s="25" t="str">
        <x:v>tonnes_primary_production_equivalent</x:v>
      </x:c>
    </x:row>
    <x:row r="405" ht="18" customHeight="1">
      <x:c r="A405" s="25" t="str">
        <x:v>LME_011</x:v>
      </x:c>
      <x:c r="B405" s="25" t="str">
        <x:v>functional_ppr</x:v>
      </x:c>
      <x:c r="C405" s="25" t="n">
        <x:v>616011177.0694925</x:v>
      </x:c>
      <x:c r="D405" s="25" t="str">
        <x:v>tonnes_primary_production_equivalent</x:v>
      </x:c>
    </x:row>
    <x:row r="406" ht="18" customHeight="1">
      <x:c r="A406" s="25" t="str">
        <x:v>LME_011</x:v>
      </x:c>
      <x:c r="B406" s="25" t="str">
        <x:v>commercial_ppr_difference</x:v>
      </x:c>
      <x:c r="C406" s="25" t="n">
        <x:v>-177186640.98142028</x:v>
      </x:c>
      <x:c r="D406" s="25" t="str">
        <x:v>tonnes_primary_production_equivalent</x:v>
      </x:c>
    </x:row>
    <x:row r="407" ht="18" customHeight="1">
      <x:c r="A407" s="25" t="str">
        <x:v>LME_011</x:v>
      </x:c>
      <x:c r="B407" s="25" t="str">
        <x:v>functional_ppr_difference</x:v>
      </x:c>
      <x:c r="C407" s="25" t="n">
        <x:v>-132757800.1331271</x:v>
      </x:c>
      <x:c r="D407" s="25" t="str">
        <x:v>tonnes_primary_production_equivalent</x:v>
      </x:c>
    </x:row>
    <x:row r="408" ht="18" customHeight="1">
      <x:c r="A408" s="25" t="str">
        <x:v>LME_012</x:v>
      </x:c>
      <x:c r="B408" s="25" t="str">
        <x:v>raw_filtered_tonnes</x:v>
      </x:c>
      <x:c r="C408" s="25" t="n">
        <x:v>625707.9632201534</x:v>
      </x:c>
      <x:c r="D408" s="25" t="str">
        <x:v>tonnes</x:v>
      </x:c>
    </x:row>
    <x:row r="409" ht="18" customHeight="1">
      <x:c r="A409" s="25" t="str">
        <x:v>LME_012</x:v>
      </x:c>
      <x:c r="B409" s="25" t="str">
        <x:v>species_catch_tonnes</x:v>
      </x:c>
      <x:c r="C409" s="25" t="n">
        <x:v>625707.9632201534</x:v>
      </x:c>
      <x:c r="D409" s="25" t="str">
        <x:v>tonnes</x:v>
      </x:c>
    </x:row>
    <x:row r="410" ht="18" customHeight="1">
      <x:c r="A410" s="25" t="str">
        <x:v>LME_012</x:v>
      </x:c>
      <x:c r="B410" s="25" t="str">
        <x:v>catch_difference_tonnes</x:v>
      </x:c>
      <x:c r="C410" s="25" t="n">
        <x:v>0</x:v>
      </x:c>
      <x:c r="D410" s="25" t="str">
        <x:v>tonnes</x:v>
      </x:c>
    </x:row>
    <x:row r="411" ht="18" customHeight="1">
      <x:c r="A411" s="25" t="str">
        <x:v>LME_012</x:v>
      </x:c>
      <x:c r="B411" s="25" t="str">
        <x:v>catch_reconciled</x:v>
      </x:c>
      <x:c r="C411" s="36" t="b">
        <x:v>1</x:v>
      </x:c>
      <x:c r="D411" s="25" t="str">
        <x:v>boolean</x:v>
      </x:c>
    </x:row>
    <x:row r="412" ht="18" customHeight="1">
      <x:c r="A412" s="25" t="str">
        <x:v>LME_012</x:v>
      </x:c>
      <x:c r="B412" s="25" t="str">
        <x:v>matched_catch_tonnes</x:v>
      </x:c>
      <x:c r="C412" s="25" t="n">
        <x:v>625707.9632201534</x:v>
      </x:c>
      <x:c r="D412" s="25" t="str">
        <x:v>tonnes</x:v>
      </x:c>
    </x:row>
    <x:row r="413" ht="18" customHeight="1">
      <x:c r="A413" s="25" t="str">
        <x:v>LME_012</x:v>
      </x:c>
      <x:c r="B413" s="25" t="str">
        <x:v>catch_coverage_fraction</x:v>
      </x:c>
      <x:c r="C413" s="25" t="n">
        <x:v>1</x:v>
      </x:c>
      <x:c r="D413" s="25" t="str">
        <x:v>fraction</x:v>
      </x:c>
    </x:row>
    <x:row r="414" ht="18" customHeight="1">
      <x:c r="A414" s="25" t="str">
        <x:v>LME_012</x:v>
      </x:c>
      <x:c r="B414" s="25" t="str">
        <x:v>taxa_count</x:v>
      </x:c>
      <x:c r="C414" s="25" t="n">
        <x:v>507</x:v>
      </x:c>
      <x:c r="D414" s="25" t="str">
        <x:v>count</x:v>
      </x:c>
    </x:row>
    <x:row r="415" ht="18" customHeight="1">
      <x:c r="A415" s="25" t="str">
        <x:v>LME_012</x:v>
      </x:c>
      <x:c r="B415" s="25" t="str">
        <x:v>matched_taxa_count</x:v>
      </x:c>
      <x:c r="C415" s="25" t="n">
        <x:v>507</x:v>
      </x:c>
      <x:c r="D415" s="25" t="str">
        <x:v>count</x:v>
      </x:c>
    </x:row>
    <x:row r="416" ht="18" customHeight="1">
      <x:c r="A416" s="25" t="str">
        <x:v>LME_012</x:v>
      </x:c>
      <x:c r="B416" s="25" t="str">
        <x:v>unmatched_taxa_count</x:v>
      </x:c>
      <x:c r="C416" s="25" t="n">
        <x:v>0</x:v>
      </x:c>
      <x:c r="D416" s="25" t="str">
        <x:v>count</x:v>
      </x:c>
    </x:row>
    <x:row r="417" ht="18" customHeight="1">
      <x:c r="A417" s="25" t="str">
        <x:v>LME_012</x:v>
      </x:c>
      <x:c r="B417" s="25" t="str">
        <x:v>species_ppr</x:v>
      </x:c>
      <x:c r="C417" s="25" t="n">
        <x:v>398459551.5651003</x:v>
      </x:c>
      <x:c r="D417" s="25" t="str">
        <x:v>tonnes_primary_production_equivalent</x:v>
      </x:c>
    </x:row>
    <x:row r="418" ht="18" customHeight="1">
      <x:c r="A418" s="25" t="str">
        <x:v>LME_012</x:v>
      </x:c>
      <x:c r="B418" s="25" t="str">
        <x:v>commercial_ppr</x:v>
      </x:c>
      <x:c r="C418" s="25" t="n">
        <x:v>269270898.9438963</x:v>
      </x:c>
      <x:c r="D418" s="25" t="str">
        <x:v>tonnes_primary_production_equivalent</x:v>
      </x:c>
    </x:row>
    <x:row r="419" ht="18" customHeight="1">
      <x:c r="A419" s="25" t="str">
        <x:v>LME_012</x:v>
      </x:c>
      <x:c r="B419" s="25" t="str">
        <x:v>functional_ppr</x:v>
      </x:c>
      <x:c r="C419" s="25" t="n">
        <x:v>318302383.71405965</x:v>
      </x:c>
      <x:c r="D419" s="25" t="str">
        <x:v>tonnes_primary_production_equivalent</x:v>
      </x:c>
    </x:row>
    <x:row r="420" ht="18" customHeight="1">
      <x:c r="A420" s="25" t="str">
        <x:v>LME_012</x:v>
      </x:c>
      <x:c r="B420" s="25" t="str">
        <x:v>commercial_ppr_difference</x:v>
      </x:c>
      <x:c r="C420" s="25" t="n">
        <x:v>-129188652.62120402</x:v>
      </x:c>
      <x:c r="D420" s="25" t="str">
        <x:v>tonnes_primary_production_equivalent</x:v>
      </x:c>
    </x:row>
    <x:row r="421" ht="18" customHeight="1">
      <x:c r="A421" s="25" t="str">
        <x:v>LME_012</x:v>
      </x:c>
      <x:c r="B421" s="25" t="str">
        <x:v>functional_ppr_difference</x:v>
      </x:c>
      <x:c r="C421" s="25" t="n">
        <x:v>-80157167.85104066</x:v>
      </x:c>
      <x:c r="D421" s="25" t="str">
        <x:v>tonnes_primary_production_equivalent</x:v>
      </x:c>
    </x:row>
    <x:row r="422" ht="18" customHeight="1">
      <x:c r="A422" s="25" t="str">
        <x:v>LME_013</x:v>
      </x:c>
      <x:c r="B422" s="25" t="str">
        <x:v>raw_filtered_tonnes</x:v>
      </x:c>
      <x:c r="C422" s="25" t="n">
        <x:v>7390380.680601614</x:v>
      </x:c>
      <x:c r="D422" s="25" t="str">
        <x:v>tonnes</x:v>
      </x:c>
    </x:row>
    <x:row r="423" ht="18" customHeight="1">
      <x:c r="A423" s="25" t="str">
        <x:v>LME_013</x:v>
      </x:c>
      <x:c r="B423" s="25" t="str">
        <x:v>species_catch_tonnes</x:v>
      </x:c>
      <x:c r="C423" s="25" t="n">
        <x:v>7390380.680601614</x:v>
      </x:c>
      <x:c r="D423" s="25" t="str">
        <x:v>tonnes</x:v>
      </x:c>
    </x:row>
    <x:row r="424" ht="18" customHeight="1">
      <x:c r="A424" s="25" t="str">
        <x:v>LME_013</x:v>
      </x:c>
      <x:c r="B424" s="25" t="str">
        <x:v>catch_difference_tonnes</x:v>
      </x:c>
      <x:c r="C424" s="25" t="n">
        <x:v>0</x:v>
      </x:c>
      <x:c r="D424" s="25" t="str">
        <x:v>tonnes</x:v>
      </x:c>
    </x:row>
    <x:row r="425" ht="18" customHeight="1">
      <x:c r="A425" s="25" t="str">
        <x:v>LME_013</x:v>
      </x:c>
      <x:c r="B425" s="25" t="str">
        <x:v>catch_reconciled</x:v>
      </x:c>
      <x:c r="C425" s="36" t="b">
        <x:v>1</x:v>
      </x:c>
      <x:c r="D425" s="25" t="str">
        <x:v>boolean</x:v>
      </x:c>
    </x:row>
    <x:row r="426" ht="18" customHeight="1">
      <x:c r="A426" s="25" t="str">
        <x:v>LME_013</x:v>
      </x:c>
      <x:c r="B426" s="25" t="str">
        <x:v>matched_catch_tonnes</x:v>
      </x:c>
      <x:c r="C426" s="25" t="n">
        <x:v>7390380.680601614</x:v>
      </x:c>
      <x:c r="D426" s="25" t="str">
        <x:v>tonnes</x:v>
      </x:c>
    </x:row>
    <x:row r="427" ht="18" customHeight="1">
      <x:c r="A427" s="25" t="str">
        <x:v>LME_013</x:v>
      </x:c>
      <x:c r="B427" s="25" t="str">
        <x:v>catch_coverage_fraction</x:v>
      </x:c>
      <x:c r="C427" s="25" t="n">
        <x:v>1</x:v>
      </x:c>
      <x:c r="D427" s="25" t="str">
        <x:v>fraction</x:v>
      </x:c>
    </x:row>
    <x:row r="428" ht="18" customHeight="1">
      <x:c r="A428" s="25" t="str">
        <x:v>LME_013</x:v>
      </x:c>
      <x:c r="B428" s="25" t="str">
        <x:v>taxa_count</x:v>
      </x:c>
      <x:c r="C428" s="25" t="n">
        <x:v>184</x:v>
      </x:c>
      <x:c r="D428" s="25" t="str">
        <x:v>count</x:v>
      </x:c>
    </x:row>
    <x:row r="429" ht="18" customHeight="1">
      <x:c r="A429" s="25" t="str">
        <x:v>LME_013</x:v>
      </x:c>
      <x:c r="B429" s="25" t="str">
        <x:v>matched_taxa_count</x:v>
      </x:c>
      <x:c r="C429" s="25" t="n">
        <x:v>184</x:v>
      </x:c>
      <x:c r="D429" s="25" t="str">
        <x:v>count</x:v>
      </x:c>
    </x:row>
    <x:row r="430" ht="18" customHeight="1">
      <x:c r="A430" s="25" t="str">
        <x:v>LME_013</x:v>
      </x:c>
      <x:c r="B430" s="25" t="str">
        <x:v>unmatched_taxa_count</x:v>
      </x:c>
      <x:c r="C430" s="25" t="n">
        <x:v>0</x:v>
      </x:c>
      <x:c r="D430" s="25" t="str">
        <x:v>count</x:v>
      </x:c>
    </x:row>
    <x:row r="431" ht="18" customHeight="1">
      <x:c r="A431" s="25" t="str">
        <x:v>LME_013</x:v>
      </x:c>
      <x:c r="B431" s="25" t="str">
        <x:v>species_ppr</x:v>
      </x:c>
      <x:c r="C431" s="25" t="n">
        <x:v>2612052520.1434836</x:v>
      </x:c>
      <x:c r="D431" s="25" t="str">
        <x:v>tonnes_primary_production_equivalent</x:v>
      </x:c>
    </x:row>
    <x:row r="432" ht="18" customHeight="1">
      <x:c r="A432" s="25" t="str">
        <x:v>LME_013</x:v>
      </x:c>
      <x:c r="B432" s="25" t="str">
        <x:v>commercial_ppr</x:v>
      </x:c>
      <x:c r="C432" s="25" t="n">
        <x:v>2058671336.4057274</x:v>
      </x:c>
      <x:c r="D432" s="25" t="str">
        <x:v>tonnes_primary_production_equivalent</x:v>
      </x:c>
    </x:row>
    <x:row r="433" ht="18" customHeight="1">
      <x:c r="A433" s="25" t="str">
        <x:v>LME_013</x:v>
      </x:c>
      <x:c r="B433" s="25" t="str">
        <x:v>functional_ppr</x:v>
      </x:c>
      <x:c r="C433" s="25" t="n">
        <x:v>2239918376.137161</x:v>
      </x:c>
      <x:c r="D433" s="25" t="str">
        <x:v>tonnes_primary_production_equivalent</x:v>
      </x:c>
    </x:row>
    <x:row r="434" ht="18" customHeight="1">
      <x:c r="A434" s="25" t="str">
        <x:v>LME_013</x:v>
      </x:c>
      <x:c r="B434" s="25" t="str">
        <x:v>commercial_ppr_difference</x:v>
      </x:c>
      <x:c r="C434" s="25" t="n">
        <x:v>-553381183.7377563</x:v>
      </x:c>
      <x:c r="D434" s="25" t="str">
        <x:v>tonnes_primary_production_equivalent</x:v>
      </x:c>
    </x:row>
    <x:row r="435" ht="18" customHeight="1">
      <x:c r="A435" s="25" t="str">
        <x:v>LME_013</x:v>
      </x:c>
      <x:c r="B435" s="25" t="str">
        <x:v>functional_ppr_difference</x:v>
      </x:c>
      <x:c r="C435" s="25" t="n">
        <x:v>-372134144.00632286</x:v>
      </x:c>
      <x:c r="D435" s="25" t="str">
        <x:v>tonnes_primary_production_equivalent</x:v>
      </x:c>
    </x:row>
    <x:row r="436" ht="18" customHeight="1">
      <x:c r="A436" s="25" t="str">
        <x:v>LME_014</x:v>
      </x:c>
      <x:c r="B436" s="25" t="str">
        <x:v>raw_filtered_tonnes</x:v>
      </x:c>
      <x:c r="C436" s="25" t="n">
        <x:v>1589890.9385366845</x:v>
      </x:c>
      <x:c r="D436" s="25" t="str">
        <x:v>tonnes</x:v>
      </x:c>
    </x:row>
    <x:row r="437" ht="18" customHeight="1">
      <x:c r="A437" s="25" t="str">
        <x:v>LME_014</x:v>
      </x:c>
      <x:c r="B437" s="25" t="str">
        <x:v>species_catch_tonnes</x:v>
      </x:c>
      <x:c r="C437" s="25" t="n">
        <x:v>1589890.9385366847</x:v>
      </x:c>
      <x:c r="D437" s="25" t="str">
        <x:v>tonnes</x:v>
      </x:c>
    </x:row>
    <x:row r="438" ht="18" customHeight="1">
      <x:c r="A438" s="25" t="str">
        <x:v>LME_014</x:v>
      </x:c>
      <x:c r="B438" s="25" t="str">
        <x:v>catch_difference_tonnes</x:v>
      </x:c>
      <x:c r="C438" s="25" t="n">
        <x:v>2.3283064365386963e-10</x:v>
      </x:c>
      <x:c r="D438" s="25" t="str">
        <x:v>tonnes</x:v>
      </x:c>
    </x:row>
    <x:row r="439" ht="18" customHeight="1">
      <x:c r="A439" s="25" t="str">
        <x:v>LME_014</x:v>
      </x:c>
      <x:c r="B439" s="25" t="str">
        <x:v>catch_reconciled</x:v>
      </x:c>
      <x:c r="C439" s="36" t="b">
        <x:v>1</x:v>
      </x:c>
      <x:c r="D439" s="25" t="str">
        <x:v>boolean</x:v>
      </x:c>
    </x:row>
    <x:row r="440" ht="18" customHeight="1">
      <x:c r="A440" s="25" t="str">
        <x:v>LME_014</x:v>
      </x:c>
      <x:c r="B440" s="25" t="str">
        <x:v>matched_catch_tonnes</x:v>
      </x:c>
      <x:c r="C440" s="25" t="n">
        <x:v>1589890.9385366847</x:v>
      </x:c>
      <x:c r="D440" s="25" t="str">
        <x:v>tonnes</x:v>
      </x:c>
    </x:row>
    <x:row r="441" ht="18" customHeight="1">
      <x:c r="A441" s="25" t="str">
        <x:v>LME_014</x:v>
      </x:c>
      <x:c r="B441" s="25" t="str">
        <x:v>catch_coverage_fraction</x:v>
      </x:c>
      <x:c r="C441" s="25" t="n">
        <x:v>1</x:v>
      </x:c>
      <x:c r="D441" s="25" t="str">
        <x:v>fraction</x:v>
      </x:c>
    </x:row>
    <x:row r="442" ht="18" customHeight="1">
      <x:c r="A442" s="25" t="str">
        <x:v>LME_014</x:v>
      </x:c>
      <x:c r="B442" s="25" t="str">
        <x:v>taxa_count</x:v>
      </x:c>
      <x:c r="C442" s="25" t="n">
        <x:v>195</x:v>
      </x:c>
      <x:c r="D442" s="25" t="str">
        <x:v>count</x:v>
      </x:c>
    </x:row>
    <x:row r="443" ht="18" customHeight="1">
      <x:c r="A443" s="25" t="str">
        <x:v>LME_014</x:v>
      </x:c>
      <x:c r="B443" s="25" t="str">
        <x:v>matched_taxa_count</x:v>
      </x:c>
      <x:c r="C443" s="25" t="n">
        <x:v>195</x:v>
      </x:c>
      <x:c r="D443" s="25" t="str">
        <x:v>count</x:v>
      </x:c>
    </x:row>
    <x:row r="444" ht="18" customHeight="1">
      <x:c r="A444" s="25" t="str">
        <x:v>LME_014</x:v>
      </x:c>
      <x:c r="B444" s="25" t="str">
        <x:v>unmatched_taxa_count</x:v>
      </x:c>
      <x:c r="C444" s="25" t="n">
        <x:v>0</x:v>
      </x:c>
      <x:c r="D444" s="25" t="str">
        <x:v>count</x:v>
      </x:c>
    </x:row>
    <x:row r="445" ht="18" customHeight="1">
      <x:c r="A445" s="25" t="str">
        <x:v>LME_014</x:v>
      </x:c>
      <x:c r="B445" s="25" t="str">
        <x:v>species_ppr</x:v>
      </x:c>
      <x:c r="C445" s="25" t="n">
        <x:v>1391657718.08254</x:v>
      </x:c>
      <x:c r="D445" s="25" t="str">
        <x:v>tonnes_primary_production_equivalent</x:v>
      </x:c>
    </x:row>
    <x:row r="446" ht="18" customHeight="1">
      <x:c r="A446" s="25" t="str">
        <x:v>LME_014</x:v>
      </x:c>
      <x:c r="B446" s="25" t="str">
        <x:v>commercial_ppr</x:v>
      </x:c>
      <x:c r="C446" s="25" t="n">
        <x:v>1272373321.7534766</x:v>
      </x:c>
      <x:c r="D446" s="25" t="str">
        <x:v>tonnes_primary_production_equivalent</x:v>
      </x:c>
    </x:row>
    <x:row r="447" ht="18" customHeight="1">
      <x:c r="A447" s="25" t="str">
        <x:v>LME_014</x:v>
      </x:c>
      <x:c r="B447" s="25" t="str">
        <x:v>functional_ppr</x:v>
      </x:c>
      <x:c r="C447" s="25" t="n">
        <x:v>1310989991.8158207</x:v>
      </x:c>
      <x:c r="D447" s="25" t="str">
        <x:v>tonnes_primary_production_equivalent</x:v>
      </x:c>
    </x:row>
    <x:row r="448" ht="18" customHeight="1">
      <x:c r="A448" s="25" t="str">
        <x:v>LME_014</x:v>
      </x:c>
      <x:c r="B448" s="25" t="str">
        <x:v>commercial_ppr_difference</x:v>
      </x:c>
      <x:c r="C448" s="25" t="n">
        <x:v>-119284396.32906342</x:v>
      </x:c>
      <x:c r="D448" s="25" t="str">
        <x:v>tonnes_primary_production_equivalent</x:v>
      </x:c>
    </x:row>
    <x:row r="449" ht="18" customHeight="1">
      <x:c r="A449" s="25" t="str">
        <x:v>LME_014</x:v>
      </x:c>
      <x:c r="B449" s="25" t="str">
        <x:v>functional_ppr_difference</x:v>
      </x:c>
      <x:c r="C449" s="25" t="n">
        <x:v>-80667726.26671934</x:v>
      </x:c>
      <x:c r="D449" s="25" t="str">
        <x:v>tonnes_primary_production_equivalent</x:v>
      </x:c>
    </x:row>
    <x:row r="450" ht="18" customHeight="1">
      <x:c r="A450" s="25" t="str">
        <x:v>LME_015</x:v>
      </x:c>
      <x:c r="B450" s="25" t="str">
        <x:v>raw_filtered_tonnes</x:v>
      </x:c>
      <x:c r="C450" s="25" t="n">
        <x:v>292432.0999772061</x:v>
      </x:c>
      <x:c r="D450" s="25" t="str">
        <x:v>tonnes</x:v>
      </x:c>
    </x:row>
    <x:row r="451" ht="18" customHeight="1">
      <x:c r="A451" s="25" t="str">
        <x:v>LME_015</x:v>
      </x:c>
      <x:c r="B451" s="25" t="str">
        <x:v>species_catch_tonnes</x:v>
      </x:c>
      <x:c r="C451" s="25" t="n">
        <x:v>292432.0999772061</x:v>
      </x:c>
      <x:c r="D451" s="25" t="str">
        <x:v>tonnes</x:v>
      </x:c>
    </x:row>
    <x:row r="452" ht="18" customHeight="1">
      <x:c r="A452" s="25" t="str">
        <x:v>LME_015</x:v>
      </x:c>
      <x:c r="B452" s="25" t="str">
        <x:v>catch_difference_tonnes</x:v>
      </x:c>
      <x:c r="C452" s="25" t="n">
        <x:v>0</x:v>
      </x:c>
      <x:c r="D452" s="25" t="str">
        <x:v>tonnes</x:v>
      </x:c>
    </x:row>
    <x:row r="453" ht="18" customHeight="1">
      <x:c r="A453" s="25" t="str">
        <x:v>LME_015</x:v>
      </x:c>
      <x:c r="B453" s="25" t="str">
        <x:v>catch_reconciled</x:v>
      </x:c>
      <x:c r="C453" s="36" t="b">
        <x:v>1</x:v>
      </x:c>
      <x:c r="D453" s="25" t="str">
        <x:v>boolean</x:v>
      </x:c>
    </x:row>
    <x:row r="454" ht="18" customHeight="1">
      <x:c r="A454" s="25" t="str">
        <x:v>LME_015</x:v>
      </x:c>
      <x:c r="B454" s="25" t="str">
        <x:v>matched_catch_tonnes</x:v>
      </x:c>
      <x:c r="C454" s="25" t="n">
        <x:v>292432.0999772061</x:v>
      </x:c>
      <x:c r="D454" s="25" t="str">
        <x:v>tonnes</x:v>
      </x:c>
    </x:row>
    <x:row r="455" ht="18" customHeight="1">
      <x:c r="A455" s="25" t="str">
        <x:v>LME_015</x:v>
      </x:c>
      <x:c r="B455" s="25" t="str">
        <x:v>catch_coverage_fraction</x:v>
      </x:c>
      <x:c r="C455" s="25" t="n">
        <x:v>1</x:v>
      </x:c>
      <x:c r="D455" s="25" t="str">
        <x:v>fraction</x:v>
      </x:c>
    </x:row>
    <x:row r="456" ht="18" customHeight="1">
      <x:c r="A456" s="25" t="str">
        <x:v>LME_015</x:v>
      </x:c>
      <x:c r="B456" s="25" t="str">
        <x:v>taxa_count</x:v>
      </x:c>
      <x:c r="C456" s="25" t="n">
        <x:v>264</x:v>
      </x:c>
      <x:c r="D456" s="25" t="str">
        <x:v>count</x:v>
      </x:c>
    </x:row>
    <x:row r="457" ht="18" customHeight="1">
      <x:c r="A457" s="25" t="str">
        <x:v>LME_015</x:v>
      </x:c>
      <x:c r="B457" s="25" t="str">
        <x:v>matched_taxa_count</x:v>
      </x:c>
      <x:c r="C457" s="25" t="n">
        <x:v>264</x:v>
      </x:c>
      <x:c r="D457" s="25" t="str">
        <x:v>count</x:v>
      </x:c>
    </x:row>
    <x:row r="458" ht="18" customHeight="1">
      <x:c r="A458" s="25" t="str">
        <x:v>LME_015</x:v>
      </x:c>
      <x:c r="B458" s="25" t="str">
        <x:v>unmatched_taxa_count</x:v>
      </x:c>
      <x:c r="C458" s="25" t="n">
        <x:v>0</x:v>
      </x:c>
      <x:c r="D458" s="25" t="str">
        <x:v>count</x:v>
      </x:c>
    </x:row>
    <x:row r="459" ht="18" customHeight="1">
      <x:c r="A459" s="25" t="str">
        <x:v>LME_015</x:v>
      </x:c>
      <x:c r="B459" s="25" t="str">
        <x:v>species_ppr</x:v>
      </x:c>
      <x:c r="C459" s="25" t="n">
        <x:v>226590038.89243433</x:v>
      </x:c>
      <x:c r="D459" s="25" t="str">
        <x:v>tonnes_primary_production_equivalent</x:v>
      </x:c>
    </x:row>
    <x:row r="460" ht="18" customHeight="1">
      <x:c r="A460" s="25" t="str">
        <x:v>LME_015</x:v>
      </x:c>
      <x:c r="B460" s="25" t="str">
        <x:v>commercial_ppr</x:v>
      </x:c>
      <x:c r="C460" s="25" t="n">
        <x:v>177610722.1212687</x:v>
      </x:c>
      <x:c r="D460" s="25" t="str">
        <x:v>tonnes_primary_production_equivalent</x:v>
      </x:c>
    </x:row>
    <x:row r="461" ht="18" customHeight="1">
      <x:c r="A461" s="25" t="str">
        <x:v>LME_015</x:v>
      </x:c>
      <x:c r="B461" s="25" t="str">
        <x:v>functional_ppr</x:v>
      </x:c>
      <x:c r="C461" s="25" t="n">
        <x:v>192161835.32496005</x:v>
      </x:c>
      <x:c r="D461" s="25" t="str">
        <x:v>tonnes_primary_production_equivalent</x:v>
      </x:c>
    </x:row>
    <x:row r="462" ht="18" customHeight="1">
      <x:c r="A462" s="25" t="str">
        <x:v>LME_015</x:v>
      </x:c>
      <x:c r="B462" s="25" t="str">
        <x:v>commercial_ppr_difference</x:v>
      </x:c>
      <x:c r="C462" s="25" t="n">
        <x:v>-48979316.77116564</x:v>
      </x:c>
      <x:c r="D462" s="25" t="str">
        <x:v>tonnes_primary_production_equivalent</x:v>
      </x:c>
    </x:row>
    <x:row r="463" ht="18" customHeight="1">
      <x:c r="A463" s="25" t="str">
        <x:v>LME_015</x:v>
      </x:c>
      <x:c r="B463" s="25" t="str">
        <x:v>functional_ppr_difference</x:v>
      </x:c>
      <x:c r="C463" s="25" t="n">
        <x:v>-34428203.567474276</x:v>
      </x:c>
      <x:c r="D463" s="25" t="str">
        <x:v>tonnes_primary_production_equivalent</x:v>
      </x:c>
    </x:row>
    <x:row r="464" ht="18" customHeight="1">
      <x:c r="A464" s="25" t="str">
        <x:v>LME_016</x:v>
      </x:c>
      <x:c r="B464" s="25" t="str">
        <x:v>raw_filtered_tonnes</x:v>
      </x:c>
      <x:c r="C464" s="25" t="n">
        <x:v>306003.2887419415</x:v>
      </x:c>
      <x:c r="D464" s="25" t="str">
        <x:v>tonnes</x:v>
      </x:c>
    </x:row>
    <x:row r="465" ht="18" customHeight="1">
      <x:c r="A465" s="25" t="str">
        <x:v>LME_016</x:v>
      </x:c>
      <x:c r="B465" s="25" t="str">
        <x:v>species_catch_tonnes</x:v>
      </x:c>
      <x:c r="C465" s="25" t="n">
        <x:v>306003.2887419415</x:v>
      </x:c>
      <x:c r="D465" s="25" t="str">
        <x:v>tonnes</x:v>
      </x:c>
    </x:row>
    <x:row r="466" ht="18" customHeight="1">
      <x:c r="A466" s="25" t="str">
        <x:v>LME_016</x:v>
      </x:c>
      <x:c r="B466" s="25" t="str">
        <x:v>catch_difference_tonnes</x:v>
      </x:c>
      <x:c r="C466" s="25" t="n">
        <x:v>0</x:v>
      </x:c>
      <x:c r="D466" s="25" t="str">
        <x:v>tonnes</x:v>
      </x:c>
    </x:row>
    <x:row r="467" ht="18" customHeight="1">
      <x:c r="A467" s="25" t="str">
        <x:v>LME_016</x:v>
      </x:c>
      <x:c r="B467" s="25" t="str">
        <x:v>catch_reconciled</x:v>
      </x:c>
      <x:c r="C467" s="36" t="b">
        <x:v>1</x:v>
      </x:c>
      <x:c r="D467" s="25" t="str">
        <x:v>boolean</x:v>
      </x:c>
    </x:row>
    <x:row r="468" ht="18" customHeight="1">
      <x:c r="A468" s="25" t="str">
        <x:v>LME_016</x:v>
      </x:c>
      <x:c r="B468" s="25" t="str">
        <x:v>matched_catch_tonnes</x:v>
      </x:c>
      <x:c r="C468" s="25" t="n">
        <x:v>306003.2887419415</x:v>
      </x:c>
      <x:c r="D468" s="25" t="str">
        <x:v>tonnes</x:v>
      </x:c>
    </x:row>
    <x:row r="469" ht="18" customHeight="1">
      <x:c r="A469" s="25" t="str">
        <x:v>LME_016</x:v>
      </x:c>
      <x:c r="B469" s="25" t="str">
        <x:v>catch_coverage_fraction</x:v>
      </x:c>
      <x:c r="C469" s="25" t="n">
        <x:v>1</x:v>
      </x:c>
      <x:c r="D469" s="25" t="str">
        <x:v>fraction</x:v>
      </x:c>
    </x:row>
    <x:row r="470" ht="18" customHeight="1">
      <x:c r="A470" s="25" t="str">
        <x:v>LME_016</x:v>
      </x:c>
      <x:c r="B470" s="25" t="str">
        <x:v>taxa_count</x:v>
      </x:c>
      <x:c r="C470" s="25" t="n">
        <x:v>254</x:v>
      </x:c>
      <x:c r="D470" s="25" t="str">
        <x:v>count</x:v>
      </x:c>
    </x:row>
    <x:row r="471" ht="18" customHeight="1">
      <x:c r="A471" s="25" t="str">
        <x:v>LME_016</x:v>
      </x:c>
      <x:c r="B471" s="25" t="str">
        <x:v>matched_taxa_count</x:v>
      </x:c>
      <x:c r="C471" s="25" t="n">
        <x:v>254</x:v>
      </x:c>
      <x:c r="D471" s="25" t="str">
        <x:v>count</x:v>
      </x:c>
    </x:row>
    <x:row r="472" ht="18" customHeight="1">
      <x:c r="A472" s="25" t="str">
        <x:v>LME_016</x:v>
      </x:c>
      <x:c r="B472" s="25" t="str">
        <x:v>unmatched_taxa_count</x:v>
      </x:c>
      <x:c r="C472" s="25" t="n">
        <x:v>0</x:v>
      </x:c>
      <x:c r="D472" s="25" t="str">
        <x:v>count</x:v>
      </x:c>
    </x:row>
    <x:row r="473" ht="18" customHeight="1">
      <x:c r="A473" s="25" t="str">
        <x:v>LME_016</x:v>
      </x:c>
      <x:c r="B473" s="25" t="str">
        <x:v>species_ppr</x:v>
      </x:c>
      <x:c r="C473" s="25" t="n">
        <x:v>201658143.7250421</x:v>
      </x:c>
      <x:c r="D473" s="25" t="str">
        <x:v>tonnes_primary_production_equivalent</x:v>
      </x:c>
    </x:row>
    <x:row r="474" ht="18" customHeight="1">
      <x:c r="A474" s="25" t="str">
        <x:v>LME_016</x:v>
      </x:c>
      <x:c r="B474" s="25" t="str">
        <x:v>commercial_ppr</x:v>
      </x:c>
      <x:c r="C474" s="25" t="n">
        <x:v>132379802.06755418</x:v>
      </x:c>
      <x:c r="D474" s="25" t="str">
        <x:v>tonnes_primary_production_equivalent</x:v>
      </x:c>
    </x:row>
    <x:row r="475" ht="18" customHeight="1">
      <x:c r="A475" s="25" t="str">
        <x:v>LME_016</x:v>
      </x:c>
      <x:c r="B475" s="25" t="str">
        <x:v>functional_ppr</x:v>
      </x:c>
      <x:c r="C475" s="25" t="n">
        <x:v>154874390.16322204</x:v>
      </x:c>
      <x:c r="D475" s="25" t="str">
        <x:v>tonnes_primary_production_equivalent</x:v>
      </x:c>
    </x:row>
    <x:row r="476" ht="18" customHeight="1">
      <x:c r="A476" s="25" t="str">
        <x:v>LME_016</x:v>
      </x:c>
      <x:c r="B476" s="25" t="str">
        <x:v>commercial_ppr_difference</x:v>
      </x:c>
      <x:c r="C476" s="25" t="n">
        <x:v>-69278341.65748793</x:v>
      </x:c>
      <x:c r="D476" s="25" t="str">
        <x:v>tonnes_primary_production_equivalent</x:v>
      </x:c>
    </x:row>
    <x:row r="477" ht="18" customHeight="1">
      <x:c r="A477" s="25" t="str">
        <x:v>LME_016</x:v>
      </x:c>
      <x:c r="B477" s="25" t="str">
        <x:v>functional_ppr_difference</x:v>
      </x:c>
      <x:c r="C477" s="25" t="n">
        <x:v>-46783753.56182006</x:v>
      </x:c>
      <x:c r="D477" s="25" t="str">
        <x:v>tonnes_primary_production_equivalent</x:v>
      </x:c>
    </x:row>
    <x:row r="478" ht="18" customHeight="1">
      <x:c r="A478" s="25" t="str">
        <x:v>LME_017</x:v>
      </x:c>
      <x:c r="B478" s="25" t="str">
        <x:v>raw_filtered_tonnes</x:v>
      </x:c>
      <x:c r="C478" s="25" t="n">
        <x:v>453226.0308527972</x:v>
      </x:c>
      <x:c r="D478" s="25" t="str">
        <x:v>tonnes</x:v>
      </x:c>
    </x:row>
    <x:row r="479" ht="18" customHeight="1">
      <x:c r="A479" s="25" t="str">
        <x:v>LME_017</x:v>
      </x:c>
      <x:c r="B479" s="25" t="str">
        <x:v>species_catch_tonnes</x:v>
      </x:c>
      <x:c r="C479" s="25" t="n">
        <x:v>453226.03085279715</x:v>
      </x:c>
      <x:c r="D479" s="25" t="str">
        <x:v>tonnes</x:v>
      </x:c>
    </x:row>
    <x:row r="480" ht="18" customHeight="1">
      <x:c r="A480" s="25" t="str">
        <x:v>LME_017</x:v>
      </x:c>
      <x:c r="B480" s="25" t="str">
        <x:v>catch_difference_tonnes</x:v>
      </x:c>
      <x:c r="C480" s="25" t="n">
        <x:v>-5.820766091346741e-11</x:v>
      </x:c>
      <x:c r="D480" s="25" t="str">
        <x:v>tonnes</x:v>
      </x:c>
    </x:row>
    <x:row r="481" ht="18" customHeight="1">
      <x:c r="A481" s="25" t="str">
        <x:v>LME_017</x:v>
      </x:c>
      <x:c r="B481" s="25" t="str">
        <x:v>catch_reconciled</x:v>
      </x:c>
      <x:c r="C481" s="36" t="b">
        <x:v>1</x:v>
      </x:c>
      <x:c r="D481" s="25" t="str">
        <x:v>boolean</x:v>
      </x:c>
    </x:row>
    <x:row r="482" ht="18" customHeight="1">
      <x:c r="A482" s="25" t="str">
        <x:v>LME_017</x:v>
      </x:c>
      <x:c r="B482" s="25" t="str">
        <x:v>matched_catch_tonnes</x:v>
      </x:c>
      <x:c r="C482" s="25" t="n">
        <x:v>453226.03085279715</x:v>
      </x:c>
      <x:c r="D482" s="25" t="str">
        <x:v>tonnes</x:v>
      </x:c>
    </x:row>
    <x:row r="483" ht="18" customHeight="1">
      <x:c r="A483" s="25" t="str">
        <x:v>LME_017</x:v>
      </x:c>
      <x:c r="B483" s="25" t="str">
        <x:v>catch_coverage_fraction</x:v>
      </x:c>
      <x:c r="C483" s="25" t="n">
        <x:v>1</x:v>
      </x:c>
      <x:c r="D483" s="25" t="str">
        <x:v>fraction</x:v>
      </x:c>
    </x:row>
    <x:row r="484" ht="18" customHeight="1">
      <x:c r="A484" s="25" t="str">
        <x:v>LME_017</x:v>
      </x:c>
      <x:c r="B484" s="25" t="str">
        <x:v>taxa_count</x:v>
      </x:c>
      <x:c r="C484" s="25" t="n">
        <x:v>311</x:v>
      </x:c>
      <x:c r="D484" s="25" t="str">
        <x:v>count</x:v>
      </x:c>
    </x:row>
    <x:row r="485" ht="18" customHeight="1">
      <x:c r="A485" s="25" t="str">
        <x:v>LME_017</x:v>
      </x:c>
      <x:c r="B485" s="25" t="str">
        <x:v>matched_taxa_count</x:v>
      </x:c>
      <x:c r="C485" s="25" t="n">
        <x:v>311</x:v>
      </x:c>
      <x:c r="D485" s="25" t="str">
        <x:v>count</x:v>
      </x:c>
    </x:row>
    <x:row r="486" ht="18" customHeight="1">
      <x:c r="A486" s="25" t="str">
        <x:v>LME_017</x:v>
      </x:c>
      <x:c r="B486" s="25" t="str">
        <x:v>unmatched_taxa_count</x:v>
      </x:c>
      <x:c r="C486" s="25" t="n">
        <x:v>0</x:v>
      </x:c>
      <x:c r="D486" s="25" t="str">
        <x:v>count</x:v>
      </x:c>
    </x:row>
    <x:row r="487" ht="18" customHeight="1">
      <x:c r="A487" s="25" t="str">
        <x:v>LME_017</x:v>
      </x:c>
      <x:c r="B487" s="25" t="str">
        <x:v>species_ppr</x:v>
      </x:c>
      <x:c r="C487" s="25" t="n">
        <x:v>292573328.34463125</x:v>
      </x:c>
      <x:c r="D487" s="25" t="str">
        <x:v>tonnes_primary_production_equivalent</x:v>
      </x:c>
    </x:row>
    <x:row r="488" ht="18" customHeight="1">
      <x:c r="A488" s="25" t="str">
        <x:v>LME_017</x:v>
      </x:c>
      <x:c r="B488" s="25" t="str">
        <x:v>commercial_ppr</x:v>
      </x:c>
      <x:c r="C488" s="25" t="n">
        <x:v>189166998.1074495</x:v>
      </x:c>
      <x:c r="D488" s="25" t="str">
        <x:v>tonnes_primary_production_equivalent</x:v>
      </x:c>
    </x:row>
    <x:row r="489" ht="18" customHeight="1">
      <x:c r="A489" s="25" t="str">
        <x:v>LME_017</x:v>
      </x:c>
      <x:c r="B489" s="25" t="str">
        <x:v>functional_ppr</x:v>
      </x:c>
      <x:c r="C489" s="25" t="n">
        <x:v>222989340.40241998</x:v>
      </x:c>
      <x:c r="D489" s="25" t="str">
        <x:v>tonnes_primary_production_equivalent</x:v>
      </x:c>
    </x:row>
    <x:row r="490" ht="18" customHeight="1">
      <x:c r="A490" s="25" t="str">
        <x:v>LME_017</x:v>
      </x:c>
      <x:c r="B490" s="25" t="str">
        <x:v>commercial_ppr_difference</x:v>
      </x:c>
      <x:c r="C490" s="25" t="n">
        <x:v>-103406330.23718175</x:v>
      </x:c>
      <x:c r="D490" s="25" t="str">
        <x:v>tonnes_primary_production_equivalent</x:v>
      </x:c>
    </x:row>
    <x:row r="491" ht="18" customHeight="1">
      <x:c r="A491" s="25" t="str">
        <x:v>LME_017</x:v>
      </x:c>
      <x:c r="B491" s="25" t="str">
        <x:v>functional_ppr_difference</x:v>
      </x:c>
      <x:c r="C491" s="25" t="n">
        <x:v>-69583987.94221127</x:v>
      </x:c>
      <x:c r="D491" s="25" t="str">
        <x:v>tonnes_primary_production_equivalent</x:v>
      </x:c>
    </x:row>
    <x:row r="492" ht="18" customHeight="1">
      <x:c r="A492" s="25" t="str">
        <x:v>LME_018</x:v>
      </x:c>
      <x:c r="B492" s="25" t="str">
        <x:v>raw_filtered_tonnes</x:v>
      </x:c>
      <x:c r="C492" s="25" t="n">
        <x:v>219045.6241691814</x:v>
      </x:c>
      <x:c r="D492" s="25" t="str">
        <x:v>tonnes</x:v>
      </x:c>
    </x:row>
    <x:row r="493" ht="18" customHeight="1">
      <x:c r="A493" s="25" t="str">
        <x:v>LME_018</x:v>
      </x:c>
      <x:c r="B493" s="25" t="str">
        <x:v>species_catch_tonnes</x:v>
      </x:c>
      <x:c r="C493" s="25" t="n">
        <x:v>219045.62416918142</x:v>
      </x:c>
      <x:c r="D493" s="25" t="str">
        <x:v>tonnes</x:v>
      </x:c>
    </x:row>
    <x:row r="494" ht="18" customHeight="1">
      <x:c r="A494" s="25" t="str">
        <x:v>LME_018</x:v>
      </x:c>
      <x:c r="B494" s="25" t="str">
        <x:v>catch_difference_tonnes</x:v>
      </x:c>
      <x:c r="C494" s="25" t="n">
        <x:v>2.9103830456733704e-11</x:v>
      </x:c>
      <x:c r="D494" s="25" t="str">
        <x:v>tonnes</x:v>
      </x:c>
    </x:row>
    <x:row r="495" ht="18" customHeight="1">
      <x:c r="A495" s="25" t="str">
        <x:v>LME_018</x:v>
      </x:c>
      <x:c r="B495" s="25" t="str">
        <x:v>catch_reconciled</x:v>
      </x:c>
      <x:c r="C495" s="36" t="b">
        <x:v>1</x:v>
      </x:c>
      <x:c r="D495" s="25" t="str">
        <x:v>boolean</x:v>
      </x:c>
    </x:row>
    <x:row r="496" ht="18" customHeight="1">
      <x:c r="A496" s="25" t="str">
        <x:v>LME_018</x:v>
      </x:c>
      <x:c r="B496" s="25" t="str">
        <x:v>matched_catch_tonnes</x:v>
      </x:c>
      <x:c r="C496" s="25" t="n">
        <x:v>219045.62416918142</x:v>
      </x:c>
      <x:c r="D496" s="25" t="str">
        <x:v>tonnes</x:v>
      </x:c>
    </x:row>
    <x:row r="497" ht="18" customHeight="1">
      <x:c r="A497" s="25" t="str">
        <x:v>LME_018</x:v>
      </x:c>
      <x:c r="B497" s="25" t="str">
        <x:v>catch_coverage_fraction</x:v>
      </x:c>
      <x:c r="C497" s="25" t="n">
        <x:v>1</x:v>
      </x:c>
      <x:c r="D497" s="25" t="str">
        <x:v>fraction</x:v>
      </x:c>
    </x:row>
    <x:row r="498" ht="18" customHeight="1">
      <x:c r="A498" s="25" t="str">
        <x:v>LME_018</x:v>
      </x:c>
      <x:c r="B498" s="25" t="str">
        <x:v>taxa_count</x:v>
      </x:c>
      <x:c r="C498" s="25" t="n">
        <x:v>61</x:v>
      </x:c>
      <x:c r="D498" s="25" t="str">
        <x:v>count</x:v>
      </x:c>
    </x:row>
    <x:row r="499" ht="18" customHeight="1">
      <x:c r="A499" s="25" t="str">
        <x:v>LME_018</x:v>
      </x:c>
      <x:c r="B499" s="25" t="str">
        <x:v>matched_taxa_count</x:v>
      </x:c>
      <x:c r="C499" s="25" t="n">
        <x:v>61</x:v>
      </x:c>
      <x:c r="D499" s="25" t="str">
        <x:v>count</x:v>
      </x:c>
    </x:row>
    <x:row r="500" ht="18" customHeight="1">
      <x:c r="A500" s="25" t="str">
        <x:v>LME_018</x:v>
      </x:c>
      <x:c r="B500" s="25" t="str">
        <x:v>unmatched_taxa_count</x:v>
      </x:c>
      <x:c r="C500" s="25" t="n">
        <x:v>0</x:v>
      </x:c>
      <x:c r="D500" s="25" t="str">
        <x:v>count</x:v>
      </x:c>
    </x:row>
    <x:row r="501" ht="18" customHeight="1">
      <x:c r="A501" s="25" t="str">
        <x:v>LME_018</x:v>
      </x:c>
      <x:c r="B501" s="25" t="str">
        <x:v>species_ppr</x:v>
      </x:c>
      <x:c r="C501" s="25" t="n">
        <x:v>208696707.97660503</x:v>
      </x:c>
      <x:c r="D501" s="25" t="str">
        <x:v>tonnes_primary_production_equivalent</x:v>
      </x:c>
    </x:row>
    <x:row r="502" ht="18" customHeight="1">
      <x:c r="A502" s="25" t="str">
        <x:v>LME_018</x:v>
      </x:c>
      <x:c r="B502" s="25" t="str">
        <x:v>commercial_ppr</x:v>
      </x:c>
      <x:c r="C502" s="25" t="n">
        <x:v>207626199.11109316</x:v>
      </x:c>
      <x:c r="D502" s="25" t="str">
        <x:v>tonnes_primary_production_equivalent</x:v>
      </x:c>
    </x:row>
    <x:row r="503" ht="18" customHeight="1">
      <x:c r="A503" s="25" t="str">
        <x:v>LME_018</x:v>
      </x:c>
      <x:c r="B503" s="25" t="str">
        <x:v>functional_ppr</x:v>
      </x:c>
      <x:c r="C503" s="25" t="n">
        <x:v>208407100.77841595</x:v>
      </x:c>
      <x:c r="D503" s="25" t="str">
        <x:v>tonnes_primary_production_equivalent</x:v>
      </x:c>
    </x:row>
    <x:row r="504" ht="18" customHeight="1">
      <x:c r="A504" s="25" t="str">
        <x:v>LME_018</x:v>
      </x:c>
      <x:c r="B504" s="25" t="str">
        <x:v>commercial_ppr_difference</x:v>
      </x:c>
      <x:c r="C504" s="25" t="n">
        <x:v>-1070508.8655118644</x:v>
      </x:c>
      <x:c r="D504" s="25" t="str">
        <x:v>tonnes_primary_production_equivalent</x:v>
      </x:c>
    </x:row>
    <x:row r="505" ht="18" customHeight="1">
      <x:c r="A505" s="25" t="str">
        <x:v>LME_018</x:v>
      </x:c>
      <x:c r="B505" s="25" t="str">
        <x:v>functional_ppr_difference</x:v>
      </x:c>
      <x:c r="C505" s="25" t="n">
        <x:v>-289607.19818907976</x:v>
      </x:c>
      <x:c r="D505" s="25" t="str">
        <x:v>tonnes_primary_production_equivalent</x:v>
      </x:c>
    </x:row>
    <x:row r="506" ht="18" customHeight="1">
      <x:c r="A506" s="25" t="str">
        <x:v>LME_019</x:v>
      </x:c>
      <x:c r="B506" s="25" t="str">
        <x:v>raw_filtered_tonnes</x:v>
      </x:c>
      <x:c r="C506" s="25" t="n">
        <x:v>87093.82357372019</x:v>
      </x:c>
      <x:c r="D506" s="25" t="str">
        <x:v>tonnes</x:v>
      </x:c>
    </x:row>
    <x:row r="507" ht="18" customHeight="1">
      <x:c r="A507" s="25" t="str">
        <x:v>LME_019</x:v>
      </x:c>
      <x:c r="B507" s="25" t="str">
        <x:v>species_catch_tonnes</x:v>
      </x:c>
      <x:c r="C507" s="25" t="n">
        <x:v>87093.8235737202</x:v>
      </x:c>
      <x:c r="D507" s="25" t="str">
        <x:v>tonnes</x:v>
      </x:c>
    </x:row>
    <x:row r="508" ht="18" customHeight="1">
      <x:c r="A508" s="25" t="str">
        <x:v>LME_019</x:v>
      </x:c>
      <x:c r="B508" s="25" t="str">
        <x:v>catch_difference_tonnes</x:v>
      </x:c>
      <x:c r="C508" s="25" t="n">
        <x:v>1.4551915228366852e-11</x:v>
      </x:c>
      <x:c r="D508" s="25" t="str">
        <x:v>tonnes</x:v>
      </x:c>
    </x:row>
    <x:row r="509" ht="18" customHeight="1">
      <x:c r="A509" s="25" t="str">
        <x:v>LME_019</x:v>
      </x:c>
      <x:c r="B509" s="25" t="str">
        <x:v>catch_reconciled</x:v>
      </x:c>
      <x:c r="C509" s="36" t="b">
        <x:v>1</x:v>
      </x:c>
      <x:c r="D509" s="25" t="str">
        <x:v>boolean</x:v>
      </x:c>
    </x:row>
    <x:row r="510" ht="18" customHeight="1">
      <x:c r="A510" s="25" t="str">
        <x:v>LME_019</x:v>
      </x:c>
      <x:c r="B510" s="25" t="str">
        <x:v>matched_catch_tonnes</x:v>
      </x:c>
      <x:c r="C510" s="25" t="n">
        <x:v>87093.8235737202</x:v>
      </x:c>
      <x:c r="D510" s="25" t="str">
        <x:v>tonnes</x:v>
      </x:c>
    </x:row>
    <x:row r="511" ht="18" customHeight="1">
      <x:c r="A511" s="25" t="str">
        <x:v>LME_019</x:v>
      </x:c>
      <x:c r="B511" s="25" t="str">
        <x:v>catch_coverage_fraction</x:v>
      </x:c>
      <x:c r="C511" s="25" t="n">
        <x:v>1</x:v>
      </x:c>
      <x:c r="D511" s="25" t="str">
        <x:v>fraction</x:v>
      </x:c>
    </x:row>
    <x:row r="512" ht="18" customHeight="1">
      <x:c r="A512" s="25" t="str">
        <x:v>LME_019</x:v>
      </x:c>
      <x:c r="B512" s="25" t="str">
        <x:v>taxa_count</x:v>
      </x:c>
      <x:c r="C512" s="25" t="n">
        <x:v>64</x:v>
      </x:c>
      <x:c r="D512" s="25" t="str">
        <x:v>count</x:v>
      </x:c>
    </x:row>
    <x:row r="513" ht="18" customHeight="1">
      <x:c r="A513" s="25" t="str">
        <x:v>LME_019</x:v>
      </x:c>
      <x:c r="B513" s="25" t="str">
        <x:v>matched_taxa_count</x:v>
      </x:c>
      <x:c r="C513" s="25" t="n">
        <x:v>64</x:v>
      </x:c>
      <x:c r="D513" s="25" t="str">
        <x:v>count</x:v>
      </x:c>
    </x:row>
    <x:row r="514" ht="18" customHeight="1">
      <x:c r="A514" s="25" t="str">
        <x:v>LME_019</x:v>
      </x:c>
      <x:c r="B514" s="25" t="str">
        <x:v>unmatched_taxa_count</x:v>
      </x:c>
      <x:c r="C514" s="25" t="n">
        <x:v>0</x:v>
      </x:c>
      <x:c r="D514" s="25" t="str">
        <x:v>count</x:v>
      </x:c>
    </x:row>
    <x:row r="515" ht="18" customHeight="1">
      <x:c r="A515" s="25" t="str">
        <x:v>LME_019</x:v>
      </x:c>
      <x:c r="B515" s="25" t="str">
        <x:v>species_ppr</x:v>
      </x:c>
      <x:c r="C515" s="25" t="n">
        <x:v>76279788.78654897</x:v>
      </x:c>
      <x:c r="D515" s="25" t="str">
        <x:v>tonnes_primary_production_equivalent</x:v>
      </x:c>
    </x:row>
    <x:row r="516" ht="18" customHeight="1">
      <x:c r="A516" s="25" t="str">
        <x:v>LME_019</x:v>
      </x:c>
      <x:c r="B516" s="25" t="str">
        <x:v>commercial_ppr</x:v>
      </x:c>
      <x:c r="C516" s="25" t="n">
        <x:v>74591467.5388397</x:v>
      </x:c>
      <x:c r="D516" s="25" t="str">
        <x:v>tonnes_primary_production_equivalent</x:v>
      </x:c>
    </x:row>
    <x:row r="517" ht="18" customHeight="1">
      <x:c r="A517" s="25" t="str">
        <x:v>LME_019</x:v>
      </x:c>
      <x:c r="B517" s="25" t="str">
        <x:v>functional_ppr</x:v>
      </x:c>
      <x:c r="C517" s="25" t="n">
        <x:v>75872029.19055331</x:v>
      </x:c>
      <x:c r="D517" s="25" t="str">
        <x:v>tonnes_primary_production_equivalent</x:v>
      </x:c>
    </x:row>
    <x:row r="518" ht="18" customHeight="1">
      <x:c r="A518" s="25" t="str">
        <x:v>LME_019</x:v>
      </x:c>
      <x:c r="B518" s="25" t="str">
        <x:v>commercial_ppr_difference</x:v>
      </x:c>
      <x:c r="C518" s="25" t="n">
        <x:v>-1688321.2477092743</x:v>
      </x:c>
      <x:c r="D518" s="25" t="str">
        <x:v>tonnes_primary_production_equivalent</x:v>
      </x:c>
    </x:row>
    <x:row r="519" ht="18" customHeight="1">
      <x:c r="A519" s="25" t="str">
        <x:v>LME_019</x:v>
      </x:c>
      <x:c r="B519" s="25" t="str">
        <x:v>functional_ppr_difference</x:v>
      </x:c>
      <x:c r="C519" s="25" t="n">
        <x:v>-407759.5959956646</x:v>
      </x:c>
      <x:c r="D519" s="25" t="str">
        <x:v>tonnes_primary_production_equivalent</x:v>
      </x:c>
    </x:row>
    <x:row r="520" ht="18" customHeight="1">
      <x:c r="A520" s="25" t="str">
        <x:v>LME_020</x:v>
      </x:c>
      <x:c r="B520" s="25" t="str">
        <x:v>raw_filtered_tonnes</x:v>
      </x:c>
      <x:c r="C520" s="25" t="n">
        <x:v>675569.0179631643</x:v>
      </x:c>
      <x:c r="D520" s="25" t="str">
        <x:v>tonnes</x:v>
      </x:c>
    </x:row>
    <x:row r="521" ht="18" customHeight="1">
      <x:c r="A521" s="25" t="str">
        <x:v>LME_020</x:v>
      </x:c>
      <x:c r="B521" s="25" t="str">
        <x:v>species_catch_tonnes</x:v>
      </x:c>
      <x:c r="C521" s="25" t="n">
        <x:v>675569.0179631643</x:v>
      </x:c>
      <x:c r="D521" s="25" t="str">
        <x:v>tonnes</x:v>
      </x:c>
    </x:row>
    <x:row r="522" ht="18" customHeight="1">
      <x:c r="A522" s="25" t="str">
        <x:v>LME_020</x:v>
      </x:c>
      <x:c r="B522" s="25" t="str">
        <x:v>catch_difference_tonnes</x:v>
      </x:c>
      <x:c r="C522" s="25" t="n">
        <x:v>0</x:v>
      </x:c>
      <x:c r="D522" s="25" t="str">
        <x:v>tonnes</x:v>
      </x:c>
    </x:row>
    <x:row r="523" ht="18" customHeight="1">
      <x:c r="A523" s="25" t="str">
        <x:v>LME_020</x:v>
      </x:c>
      <x:c r="B523" s="25" t="str">
        <x:v>catch_reconciled</x:v>
      </x:c>
      <x:c r="C523" s="36" t="b">
        <x:v>1</x:v>
      </x:c>
      <x:c r="D523" s="25" t="str">
        <x:v>boolean</x:v>
      </x:c>
    </x:row>
    <x:row r="524" ht="18" customHeight="1">
      <x:c r="A524" s="25" t="str">
        <x:v>LME_020</x:v>
      </x:c>
      <x:c r="B524" s="25" t="str">
        <x:v>matched_catch_tonnes</x:v>
      </x:c>
      <x:c r="C524" s="25" t="n">
        <x:v>675569.0179631643</x:v>
      </x:c>
      <x:c r="D524" s="25" t="str">
        <x:v>tonnes</x:v>
      </x:c>
    </x:row>
    <x:row r="525" ht="18" customHeight="1">
      <x:c r="A525" s="25" t="str">
        <x:v>LME_020</x:v>
      </x:c>
      <x:c r="B525" s="25" t="str">
        <x:v>catch_coverage_fraction</x:v>
      </x:c>
      <x:c r="C525" s="25" t="n">
        <x:v>1</x:v>
      </x:c>
      <x:c r="D525" s="25" t="str">
        <x:v>fraction</x:v>
      </x:c>
    </x:row>
    <x:row r="526" ht="18" customHeight="1">
      <x:c r="A526" s="25" t="str">
        <x:v>LME_020</x:v>
      </x:c>
      <x:c r="B526" s="25" t="str">
        <x:v>taxa_count</x:v>
      </x:c>
      <x:c r="C526" s="25" t="n">
        <x:v>138</x:v>
      </x:c>
      <x:c r="D526" s="25" t="str">
        <x:v>count</x:v>
      </x:c>
    </x:row>
    <x:row r="527" ht="18" customHeight="1">
      <x:c r="A527" s="25" t="str">
        <x:v>LME_020</x:v>
      </x:c>
      <x:c r="B527" s="25" t="str">
        <x:v>matched_taxa_count</x:v>
      </x:c>
      <x:c r="C527" s="25" t="n">
        <x:v>138</x:v>
      </x:c>
      <x:c r="D527" s="25" t="str">
        <x:v>count</x:v>
      </x:c>
    </x:row>
    <x:row r="528" ht="18" customHeight="1">
      <x:c r="A528" s="25" t="str">
        <x:v>LME_020</x:v>
      </x:c>
      <x:c r="B528" s="25" t="str">
        <x:v>unmatched_taxa_count</x:v>
      </x:c>
      <x:c r="C528" s="25" t="n">
        <x:v>0</x:v>
      </x:c>
      <x:c r="D528" s="25" t="str">
        <x:v>count</x:v>
      </x:c>
    </x:row>
    <x:row r="529" ht="18" customHeight="1">
      <x:c r="A529" s="25" t="str">
        <x:v>LME_020</x:v>
      </x:c>
      <x:c r="B529" s="25" t="str">
        <x:v>species_ppr</x:v>
      </x:c>
      <x:c r="C529" s="25" t="n">
        <x:v>661277433.8131701</x:v>
      </x:c>
      <x:c r="D529" s="25" t="str">
        <x:v>tonnes_primary_production_equivalent</x:v>
      </x:c>
    </x:row>
    <x:row r="530" ht="18" customHeight="1">
      <x:c r="A530" s="25" t="str">
        <x:v>LME_020</x:v>
      </x:c>
      <x:c r="B530" s="25" t="str">
        <x:v>commercial_ppr</x:v>
      </x:c>
      <x:c r="C530" s="25" t="n">
        <x:v>631761250.3934948</x:v>
      </x:c>
      <x:c r="D530" s="25" t="str">
        <x:v>tonnes_primary_production_equivalent</x:v>
      </x:c>
    </x:row>
    <x:row r="531" ht="18" customHeight="1">
      <x:c r="A531" s="25" t="str">
        <x:v>LME_020</x:v>
      </x:c>
      <x:c r="B531" s="25" t="str">
        <x:v>functional_ppr</x:v>
      </x:c>
      <x:c r="C531" s="25" t="n">
        <x:v>611750577.6098361</x:v>
      </x:c>
      <x:c r="D531" s="25" t="str">
        <x:v>tonnes_primary_production_equivalent</x:v>
      </x:c>
    </x:row>
    <x:row r="532" ht="18" customHeight="1">
      <x:c r="A532" s="25" t="str">
        <x:v>LME_020</x:v>
      </x:c>
      <x:c r="B532" s="25" t="str">
        <x:v>commercial_ppr_difference</x:v>
      </x:c>
      <x:c r="C532" s="25" t="n">
        <x:v>-29516183.41967523</x:v>
      </x:c>
      <x:c r="D532" s="25" t="str">
        <x:v>tonnes_primary_production_equivalent</x:v>
      </x:c>
    </x:row>
    <x:row r="533" ht="18" customHeight="1">
      <x:c r="A533" s="25" t="str">
        <x:v>LME_020</x:v>
      </x:c>
      <x:c r="B533" s="25" t="str">
        <x:v>functional_ppr_difference</x:v>
      </x:c>
      <x:c r="C533" s="25" t="n">
        <x:v>-49526856.203333974</x:v>
      </x:c>
      <x:c r="D533" s="25" t="str">
        <x:v>tonnes_primary_production_equivalent</x:v>
      </x:c>
    </x:row>
    <x:row r="534" ht="18" customHeight="1">
      <x:c r="A534" s="25" t="str">
        <x:v>LME_021</x:v>
      </x:c>
      <x:c r="B534" s="25" t="str">
        <x:v>raw_filtered_tonnes</x:v>
      </x:c>
      <x:c r="C534" s="25" t="n">
        <x:v>707251.5165434973</x:v>
      </x:c>
      <x:c r="D534" s="25" t="str">
        <x:v>tonnes</x:v>
      </x:c>
    </x:row>
    <x:row r="535" ht="18" customHeight="1">
      <x:c r="A535" s="25" t="str">
        <x:v>LME_021</x:v>
      </x:c>
      <x:c r="B535" s="25" t="str">
        <x:v>species_catch_tonnes</x:v>
      </x:c>
      <x:c r="C535" s="25" t="n">
        <x:v>707251.5165434971</x:v>
      </x:c>
      <x:c r="D535" s="25" t="str">
        <x:v>tonnes</x:v>
      </x:c>
    </x:row>
    <x:row r="536" ht="18" customHeight="1">
      <x:c r="A536" s="25" t="str">
        <x:v>LME_021</x:v>
      </x:c>
      <x:c r="B536" s="25" t="str">
        <x:v>catch_difference_tonnes</x:v>
      </x:c>
      <x:c r="C536" s="25" t="n">
        <x:v>-2.3283064365386963e-10</x:v>
      </x:c>
      <x:c r="D536" s="25" t="str">
        <x:v>tonnes</x:v>
      </x:c>
    </x:row>
    <x:row r="537" ht="18" customHeight="1">
      <x:c r="A537" s="25" t="str">
        <x:v>LME_021</x:v>
      </x:c>
      <x:c r="B537" s="25" t="str">
        <x:v>catch_reconciled</x:v>
      </x:c>
      <x:c r="C537" s="36" t="b">
        <x:v>1</x:v>
      </x:c>
      <x:c r="D537" s="25" t="str">
        <x:v>boolean</x:v>
      </x:c>
    </x:row>
    <x:row r="538" ht="18" customHeight="1">
      <x:c r="A538" s="25" t="str">
        <x:v>LME_021</x:v>
      </x:c>
      <x:c r="B538" s="25" t="str">
        <x:v>matched_catch_tonnes</x:v>
      </x:c>
      <x:c r="C538" s="25" t="n">
        <x:v>707251.5165434971</x:v>
      </x:c>
      <x:c r="D538" s="25" t="str">
        <x:v>tonnes</x:v>
      </x:c>
    </x:row>
    <x:row r="539" ht="18" customHeight="1">
      <x:c r="A539" s="25" t="str">
        <x:v>LME_021</x:v>
      </x:c>
      <x:c r="B539" s="25" t="str">
        <x:v>catch_coverage_fraction</x:v>
      </x:c>
      <x:c r="C539" s="25" t="n">
        <x:v>1</x:v>
      </x:c>
      <x:c r="D539" s="25" t="str">
        <x:v>fraction</x:v>
      </x:c>
    </x:row>
    <x:row r="540" ht="18" customHeight="1">
      <x:c r="A540" s="25" t="str">
        <x:v>LME_021</x:v>
      </x:c>
      <x:c r="B540" s="25" t="str">
        <x:v>taxa_count</x:v>
      </x:c>
      <x:c r="C540" s="25" t="n">
        <x:v>162</x:v>
      </x:c>
      <x:c r="D540" s="25" t="str">
        <x:v>count</x:v>
      </x:c>
    </x:row>
    <x:row r="541" ht="18" customHeight="1">
      <x:c r="A541" s="25" t="str">
        <x:v>LME_021</x:v>
      </x:c>
      <x:c r="B541" s="25" t="str">
        <x:v>matched_taxa_count</x:v>
      </x:c>
      <x:c r="C541" s="25" t="n">
        <x:v>162</x:v>
      </x:c>
      <x:c r="D541" s="25" t="str">
        <x:v>count</x:v>
      </x:c>
    </x:row>
    <x:row r="542" ht="18" customHeight="1">
      <x:c r="A542" s="25" t="str">
        <x:v>LME_021</x:v>
      </x:c>
      <x:c r="B542" s="25" t="str">
        <x:v>unmatched_taxa_count</x:v>
      </x:c>
      <x:c r="C542" s="25" t="n">
        <x:v>0</x:v>
      </x:c>
      <x:c r="D542" s="25" t="str">
        <x:v>count</x:v>
      </x:c>
    </x:row>
    <x:row r="543" ht="18" customHeight="1">
      <x:c r="A543" s="25" t="str">
        <x:v>LME_021</x:v>
      </x:c>
      <x:c r="B543" s="25" t="str">
        <x:v>species_ppr</x:v>
      </x:c>
      <x:c r="C543" s="25" t="n">
        <x:v>338234665.9022903</x:v>
      </x:c>
      <x:c r="D543" s="25" t="str">
        <x:v>tonnes_primary_production_equivalent</x:v>
      </x:c>
    </x:row>
    <x:row r="544" ht="18" customHeight="1">
      <x:c r="A544" s="25" t="str">
        <x:v>LME_021</x:v>
      </x:c>
      <x:c r="B544" s="25" t="str">
        <x:v>commercial_ppr</x:v>
      </x:c>
      <x:c r="C544" s="25" t="n">
        <x:v>335085397.39012265</x:v>
      </x:c>
      <x:c r="D544" s="25" t="str">
        <x:v>tonnes_primary_production_equivalent</x:v>
      </x:c>
    </x:row>
    <x:row r="545" ht="18" customHeight="1">
      <x:c r="A545" s="25" t="str">
        <x:v>LME_021</x:v>
      </x:c>
      <x:c r="B545" s="25" t="str">
        <x:v>functional_ppr</x:v>
      </x:c>
      <x:c r="C545" s="25" t="n">
        <x:v>329594728.18682873</x:v>
      </x:c>
      <x:c r="D545" s="25" t="str">
        <x:v>tonnes_primary_production_equivalent</x:v>
      </x:c>
    </x:row>
    <x:row r="546" ht="18" customHeight="1">
      <x:c r="A546" s="25" t="str">
        <x:v>LME_021</x:v>
      </x:c>
      <x:c r="B546" s="25" t="str">
        <x:v>commercial_ppr_difference</x:v>
      </x:c>
      <x:c r="C546" s="25" t="n">
        <x:v>-3149268.5121676326</x:v>
      </x:c>
      <x:c r="D546" s="25" t="str">
        <x:v>tonnes_primary_production_equivalent</x:v>
      </x:c>
    </x:row>
    <x:row r="547" ht="18" customHeight="1">
      <x:c r="A547" s="25" t="str">
        <x:v>LME_021</x:v>
      </x:c>
      <x:c r="B547" s="25" t="str">
        <x:v>functional_ppr_difference</x:v>
      </x:c>
      <x:c r="C547" s="25" t="n">
        <x:v>-8639937.715461552</x:v>
      </x:c>
      <x:c r="D547" s="25" t="str">
        <x:v>tonnes_primary_production_equivalent</x:v>
      </x:c>
    </x:row>
    <x:row r="548" ht="18" customHeight="1">
      <x:c r="A548" s="25" t="str">
        <x:v>LME_022</x:v>
      </x:c>
      <x:c r="B548" s="25" t="str">
        <x:v>raw_filtered_tonnes</x:v>
      </x:c>
      <x:c r="C548" s="25" t="n">
        <x:v>2717260.6982051707</x:v>
      </x:c>
      <x:c r="D548" s="25" t="str">
        <x:v>tonnes</x:v>
      </x:c>
    </x:row>
    <x:row r="549" ht="18" customHeight="1">
      <x:c r="A549" s="25" t="str">
        <x:v>LME_022</x:v>
      </x:c>
      <x:c r="B549" s="25" t="str">
        <x:v>species_catch_tonnes</x:v>
      </x:c>
      <x:c r="C549" s="25" t="n">
        <x:v>2717260.698205171</x:v>
      </x:c>
      <x:c r="D549" s="25" t="str">
        <x:v>tonnes</x:v>
      </x:c>
    </x:row>
    <x:row r="550" ht="18" customHeight="1">
      <x:c r="A550" s="25" t="str">
        <x:v>LME_022</x:v>
      </x:c>
      <x:c r="B550" s="25" t="str">
        <x:v>catch_difference_tonnes</x:v>
      </x:c>
      <x:c r="C550" s="25" t="n">
        <x:v>4.656612873077393e-10</x:v>
      </x:c>
      <x:c r="D550" s="25" t="str">
        <x:v>tonnes</x:v>
      </x:c>
    </x:row>
    <x:row r="551" ht="18" customHeight="1">
      <x:c r="A551" s="25" t="str">
        <x:v>LME_022</x:v>
      </x:c>
      <x:c r="B551" s="25" t="str">
        <x:v>catch_reconciled</x:v>
      </x:c>
      <x:c r="C551" s="36" t="b">
        <x:v>1</x:v>
      </x:c>
      <x:c r="D551" s="25" t="str">
        <x:v>boolean</x:v>
      </x:c>
    </x:row>
    <x:row r="552" ht="18" customHeight="1">
      <x:c r="A552" s="25" t="str">
        <x:v>LME_022</x:v>
      </x:c>
      <x:c r="B552" s="25" t="str">
        <x:v>matched_catch_tonnes</x:v>
      </x:c>
      <x:c r="C552" s="25" t="n">
        <x:v>2717260.698205171</x:v>
      </x:c>
      <x:c r="D552" s="25" t="str">
        <x:v>tonnes</x:v>
      </x:c>
    </x:row>
    <x:row r="553" ht="18" customHeight="1">
      <x:c r="A553" s="25" t="str">
        <x:v>LME_022</x:v>
      </x:c>
      <x:c r="B553" s="25" t="str">
        <x:v>catch_coverage_fraction</x:v>
      </x:c>
      <x:c r="C553" s="25" t="n">
        <x:v>1</x:v>
      </x:c>
      <x:c r="D553" s="25" t="str">
        <x:v>fraction</x:v>
      </x:c>
    </x:row>
    <x:row r="554" ht="18" customHeight="1">
      <x:c r="A554" s="25" t="str">
        <x:v>LME_022</x:v>
      </x:c>
      <x:c r="B554" s="25" t="str">
        <x:v>taxa_count</x:v>
      </x:c>
      <x:c r="C554" s="25" t="n">
        <x:v>312</x:v>
      </x:c>
      <x:c r="D554" s="25" t="str">
        <x:v>count</x:v>
      </x:c>
    </x:row>
    <x:row r="555" ht="18" customHeight="1">
      <x:c r="A555" s="25" t="str">
        <x:v>LME_022</x:v>
      </x:c>
      <x:c r="B555" s="25" t="str">
        <x:v>matched_taxa_count</x:v>
      </x:c>
      <x:c r="C555" s="25" t="n">
        <x:v>312</x:v>
      </x:c>
      <x:c r="D555" s="25" t="str">
        <x:v>count</x:v>
      </x:c>
    </x:row>
    <x:row r="556" ht="18" customHeight="1">
      <x:c r="A556" s="25" t="str">
        <x:v>LME_022</x:v>
      </x:c>
      <x:c r="B556" s="25" t="str">
        <x:v>unmatched_taxa_count</x:v>
      </x:c>
      <x:c r="C556" s="25" t="n">
        <x:v>0</x:v>
      </x:c>
      <x:c r="D556" s="25" t="str">
        <x:v>count</x:v>
      </x:c>
    </x:row>
    <x:row r="557" ht="18" customHeight="1">
      <x:c r="A557" s="25" t="str">
        <x:v>LME_022</x:v>
      </x:c>
      <x:c r="B557" s="25" t="str">
        <x:v>species_ppr</x:v>
      </x:c>
      <x:c r="C557" s="25" t="n">
        <x:v>1700184787.4627526</x:v>
      </x:c>
      <x:c r="D557" s="25" t="str">
        <x:v>tonnes_primary_production_equivalent</x:v>
      </x:c>
    </x:row>
    <x:row r="558" ht="18" customHeight="1">
      <x:c r="A558" s="25" t="str">
        <x:v>LME_022</x:v>
      </x:c>
      <x:c r="B558" s="25" t="str">
        <x:v>commercial_ppr</x:v>
      </x:c>
      <x:c r="C558" s="25" t="n">
        <x:v>1461271647.0493312</x:v>
      </x:c>
      <x:c r="D558" s="25" t="str">
        <x:v>tonnes_primary_production_equivalent</x:v>
      </x:c>
    </x:row>
    <x:row r="559" ht="18" customHeight="1">
      <x:c r="A559" s="25" t="str">
        <x:v>LME_022</x:v>
      </x:c>
      <x:c r="B559" s="25" t="str">
        <x:v>functional_ppr</x:v>
      </x:c>
      <x:c r="C559" s="25" t="n">
        <x:v>1529129228.171731</x:v>
      </x:c>
      <x:c r="D559" s="25" t="str">
        <x:v>tonnes_primary_production_equivalent</x:v>
      </x:c>
    </x:row>
    <x:row r="560" ht="18" customHeight="1">
      <x:c r="A560" s="25" t="str">
        <x:v>LME_022</x:v>
      </x:c>
      <x:c r="B560" s="25" t="str">
        <x:v>commercial_ppr_difference</x:v>
      </x:c>
      <x:c r="C560" s="25" t="n">
        <x:v>-238913140.4134214</x:v>
      </x:c>
      <x:c r="D560" s="25" t="str">
        <x:v>tonnes_primary_production_equivalent</x:v>
      </x:c>
    </x:row>
    <x:row r="561" ht="18" customHeight="1">
      <x:c r="A561" s="25" t="str">
        <x:v>LME_022</x:v>
      </x:c>
      <x:c r="B561" s="25" t="str">
        <x:v>functional_ppr_difference</x:v>
      </x:c>
      <x:c r="C561" s="25" t="n">
        <x:v>-171055559.2910216</x:v>
      </x:c>
      <x:c r="D561" s="25" t="str">
        <x:v>tonnes_primary_production_equivalent</x:v>
      </x:c>
    </x:row>
    <x:row r="562" ht="18" customHeight="1">
      <x:c r="A562" s="25" t="str">
        <x:v>LME_023</x:v>
      </x:c>
      <x:c r="B562" s="25" t="str">
        <x:v>raw_filtered_tonnes</x:v>
      </x:c>
      <x:c r="C562" s="25" t="n">
        <x:v>937172.6469930056</x:v>
      </x:c>
      <x:c r="D562" s="25" t="str">
        <x:v>tonnes</x:v>
      </x:c>
    </x:row>
    <x:row r="563" ht="18" customHeight="1">
      <x:c r="A563" s="25" t="str">
        <x:v>LME_023</x:v>
      </x:c>
      <x:c r="B563" s="25" t="str">
        <x:v>species_catch_tonnes</x:v>
      </x:c>
      <x:c r="C563" s="25" t="n">
        <x:v>937172.6469930055</x:v>
      </x:c>
      <x:c r="D563" s="25" t="str">
        <x:v>tonnes</x:v>
      </x:c>
    </x:row>
    <x:row r="564" ht="18" customHeight="1">
      <x:c r="A564" s="25" t="str">
        <x:v>LME_023</x:v>
      </x:c>
      <x:c r="B564" s="25" t="str">
        <x:v>catch_difference_tonnes</x:v>
      </x:c>
      <x:c r="C564" s="25" t="n">
        <x:v>-1.1641532182693481e-10</x:v>
      </x:c>
      <x:c r="D564" s="25" t="str">
        <x:v>tonnes</x:v>
      </x:c>
    </x:row>
    <x:row r="565" ht="18" customHeight="1">
      <x:c r="A565" s="25" t="str">
        <x:v>LME_023</x:v>
      </x:c>
      <x:c r="B565" s="25" t="str">
        <x:v>catch_reconciled</x:v>
      </x:c>
      <x:c r="C565" s="36" t="b">
        <x:v>1</x:v>
      </x:c>
      <x:c r="D565" s="25" t="str">
        <x:v>boolean</x:v>
      </x:c>
    </x:row>
    <x:row r="566" ht="18" customHeight="1">
      <x:c r="A566" s="25" t="str">
        <x:v>LME_023</x:v>
      </x:c>
      <x:c r="B566" s="25" t="str">
        <x:v>matched_catch_tonnes</x:v>
      </x:c>
      <x:c r="C566" s="25" t="n">
        <x:v>937172.6469930055</x:v>
      </x:c>
      <x:c r="D566" s="25" t="str">
        <x:v>tonnes</x:v>
      </x:c>
    </x:row>
    <x:row r="567" ht="18" customHeight="1">
      <x:c r="A567" s="25" t="str">
        <x:v>LME_023</x:v>
      </x:c>
      <x:c r="B567" s="25" t="str">
        <x:v>catch_coverage_fraction</x:v>
      </x:c>
      <x:c r="C567" s="25" t="n">
        <x:v>1</x:v>
      </x:c>
      <x:c r="D567" s="25" t="str">
        <x:v>fraction</x:v>
      </x:c>
    </x:row>
    <x:row r="568" ht="18" customHeight="1">
      <x:c r="A568" s="25" t="str">
        <x:v>LME_023</x:v>
      </x:c>
      <x:c r="B568" s="25" t="str">
        <x:v>taxa_count</x:v>
      </x:c>
      <x:c r="C568" s="25" t="n">
        <x:v>117</x:v>
      </x:c>
      <x:c r="D568" s="25" t="str">
        <x:v>count</x:v>
      </x:c>
    </x:row>
    <x:row r="569" ht="18" customHeight="1">
      <x:c r="A569" s="25" t="str">
        <x:v>LME_023</x:v>
      </x:c>
      <x:c r="B569" s="25" t="str">
        <x:v>matched_taxa_count</x:v>
      </x:c>
      <x:c r="C569" s="25" t="n">
        <x:v>117</x:v>
      </x:c>
      <x:c r="D569" s="25" t="str">
        <x:v>count</x:v>
      </x:c>
    </x:row>
    <x:row r="570" ht="18" customHeight="1">
      <x:c r="A570" s="25" t="str">
        <x:v>LME_023</x:v>
      </x:c>
      <x:c r="B570" s="25" t="str">
        <x:v>unmatched_taxa_count</x:v>
      </x:c>
      <x:c r="C570" s="25" t="n">
        <x:v>0</x:v>
      </x:c>
      <x:c r="D570" s="25" t="str">
        <x:v>count</x:v>
      </x:c>
    </x:row>
    <x:row r="571" ht="18" customHeight="1">
      <x:c r="A571" s="25" t="str">
        <x:v>LME_023</x:v>
      </x:c>
      <x:c r="B571" s="25" t="str">
        <x:v>species_ppr</x:v>
      </x:c>
      <x:c r="C571" s="25" t="n">
        <x:v>250346631.37596366</x:v>
      </x:c>
      <x:c r="D571" s="25" t="str">
        <x:v>tonnes_primary_production_equivalent</x:v>
      </x:c>
    </x:row>
    <x:row r="572" ht="18" customHeight="1">
      <x:c r="A572" s="25" t="str">
        <x:v>LME_023</x:v>
      </x:c>
      <x:c r="B572" s="25" t="str">
        <x:v>commercial_ppr</x:v>
      </x:c>
      <x:c r="C572" s="25" t="n">
        <x:v>225670148.64899933</x:v>
      </x:c>
      <x:c r="D572" s="25" t="str">
        <x:v>tonnes_primary_production_equivalent</x:v>
      </x:c>
    </x:row>
    <x:row r="573" ht="18" customHeight="1">
      <x:c r="A573" s="25" t="str">
        <x:v>LME_023</x:v>
      </x:c>
      <x:c r="B573" s="25" t="str">
        <x:v>functional_ppr</x:v>
      </x:c>
      <x:c r="C573" s="25" t="n">
        <x:v>229959848.8100546</x:v>
      </x:c>
      <x:c r="D573" s="25" t="str">
        <x:v>tonnes_primary_production_equivalent</x:v>
      </x:c>
    </x:row>
    <x:row r="574" ht="18" customHeight="1">
      <x:c r="A574" s="25" t="str">
        <x:v>LME_023</x:v>
      </x:c>
      <x:c r="B574" s="25" t="str">
        <x:v>commercial_ppr_difference</x:v>
      </x:c>
      <x:c r="C574" s="25" t="n">
        <x:v>-24676482.726964325</x:v>
      </x:c>
      <x:c r="D574" s="25" t="str">
        <x:v>tonnes_primary_production_equivalent</x:v>
      </x:c>
    </x:row>
    <x:row r="575" ht="18" customHeight="1">
      <x:c r="A575" s="25" t="str">
        <x:v>LME_023</x:v>
      </x:c>
      <x:c r="B575" s="25" t="str">
        <x:v>functional_ppr_difference</x:v>
      </x:c>
      <x:c r="C575" s="25" t="n">
        <x:v>-20386782.565909058</x:v>
      </x:c>
      <x:c r="D575" s="25" t="str">
        <x:v>tonnes_primary_production_equivalent</x:v>
      </x:c>
    </x:row>
    <x:row r="576" ht="18" customHeight="1">
      <x:c r="A576" s="25" t="str">
        <x:v>LME_024</x:v>
      </x:c>
      <x:c r="B576" s="25" t="str">
        <x:v>raw_filtered_tonnes</x:v>
      </x:c>
      <x:c r="C576" s="25" t="n">
        <x:v>1139679.567089067</x:v>
      </x:c>
      <x:c r="D576" s="25" t="str">
        <x:v>tonnes</x:v>
      </x:c>
    </x:row>
    <x:row r="577" ht="18" customHeight="1">
      <x:c r="A577" s="25" t="str">
        <x:v>LME_024</x:v>
      </x:c>
      <x:c r="B577" s="25" t="str">
        <x:v>species_catch_tonnes</x:v>
      </x:c>
      <x:c r="C577" s="25" t="n">
        <x:v>1139679.567089067</x:v>
      </x:c>
      <x:c r="D577" s="25" t="str">
        <x:v>tonnes</x:v>
      </x:c>
    </x:row>
    <x:row r="578" ht="18" customHeight="1">
      <x:c r="A578" s="25" t="str">
        <x:v>LME_024</x:v>
      </x:c>
      <x:c r="B578" s="25" t="str">
        <x:v>catch_difference_tonnes</x:v>
      </x:c>
      <x:c r="C578" s="25" t="n">
        <x:v>0</x:v>
      </x:c>
      <x:c r="D578" s="25" t="str">
        <x:v>tonnes</x:v>
      </x:c>
    </x:row>
    <x:row r="579" ht="18" customHeight="1">
      <x:c r="A579" s="25" t="str">
        <x:v>LME_024</x:v>
      </x:c>
      <x:c r="B579" s="25" t="str">
        <x:v>catch_reconciled</x:v>
      </x:c>
      <x:c r="C579" s="36" t="b">
        <x:v>1</x:v>
      </x:c>
      <x:c r="D579" s="25" t="str">
        <x:v>boolean</x:v>
      </x:c>
    </x:row>
    <x:row r="580" ht="18" customHeight="1">
      <x:c r="A580" s="25" t="str">
        <x:v>LME_024</x:v>
      </x:c>
      <x:c r="B580" s="25" t="str">
        <x:v>matched_catch_tonnes</x:v>
      </x:c>
      <x:c r="C580" s="25" t="n">
        <x:v>1139679.567089067</x:v>
      </x:c>
      <x:c r="D580" s="25" t="str">
        <x:v>tonnes</x:v>
      </x:c>
    </x:row>
    <x:row r="581" ht="18" customHeight="1">
      <x:c r="A581" s="25" t="str">
        <x:v>LME_024</x:v>
      </x:c>
      <x:c r="B581" s="25" t="str">
        <x:v>catch_coverage_fraction</x:v>
      </x:c>
      <x:c r="C581" s="25" t="n">
        <x:v>1</x:v>
      </x:c>
      <x:c r="D581" s="25" t="str">
        <x:v>fraction</x:v>
      </x:c>
    </x:row>
    <x:row r="582" ht="18" customHeight="1">
      <x:c r="A582" s="25" t="str">
        <x:v>LME_024</x:v>
      </x:c>
      <x:c r="B582" s="25" t="str">
        <x:v>taxa_count</x:v>
      </x:c>
      <x:c r="C582" s="25" t="n">
        <x:v>383</x:v>
      </x:c>
      <x:c r="D582" s="25" t="str">
        <x:v>count</x:v>
      </x:c>
    </x:row>
    <x:row r="583" ht="18" customHeight="1">
      <x:c r="A583" s="25" t="str">
        <x:v>LME_024</x:v>
      </x:c>
      <x:c r="B583" s="25" t="str">
        <x:v>matched_taxa_count</x:v>
      </x:c>
      <x:c r="C583" s="25" t="n">
        <x:v>383</x:v>
      </x:c>
      <x:c r="D583" s="25" t="str">
        <x:v>count</x:v>
      </x:c>
    </x:row>
    <x:row r="584" ht="18" customHeight="1">
      <x:c r="A584" s="25" t="str">
        <x:v>LME_024</x:v>
      </x:c>
      <x:c r="B584" s="25" t="str">
        <x:v>unmatched_taxa_count</x:v>
      </x:c>
      <x:c r="C584" s="25" t="n">
        <x:v>0</x:v>
      </x:c>
      <x:c r="D584" s="25" t="str">
        <x:v>count</x:v>
      </x:c>
    </x:row>
    <x:row r="585" ht="18" customHeight="1">
      <x:c r="A585" s="25" t="str">
        <x:v>LME_024</x:v>
      </x:c>
      <x:c r="B585" s="25" t="str">
        <x:v>species_ppr</x:v>
      </x:c>
      <x:c r="C585" s="25" t="n">
        <x:v>1010255322.1765621</x:v>
      </x:c>
      <x:c r="D585" s="25" t="str">
        <x:v>tonnes_primary_production_equivalent</x:v>
      </x:c>
    </x:row>
    <x:row r="586" ht="18" customHeight="1">
      <x:c r="A586" s="25" t="str">
        <x:v>LME_024</x:v>
      </x:c>
      <x:c r="B586" s="25" t="str">
        <x:v>commercial_ppr</x:v>
      </x:c>
      <x:c r="C586" s="25" t="n">
        <x:v>875614821.1777916</x:v>
      </x:c>
      <x:c r="D586" s="25" t="str">
        <x:v>tonnes_primary_production_equivalent</x:v>
      </x:c>
    </x:row>
    <x:row r="587" ht="18" customHeight="1">
      <x:c r="A587" s="25" t="str">
        <x:v>LME_024</x:v>
      </x:c>
      <x:c r="B587" s="25" t="str">
        <x:v>functional_ppr</x:v>
      </x:c>
      <x:c r="C587" s="25" t="n">
        <x:v>905533467.1732023</x:v>
      </x:c>
      <x:c r="D587" s="25" t="str">
        <x:v>tonnes_primary_production_equivalent</x:v>
      </x:c>
    </x:row>
    <x:row r="588" ht="18" customHeight="1">
      <x:c r="A588" s="25" t="str">
        <x:v>LME_024</x:v>
      </x:c>
      <x:c r="B588" s="25" t="str">
        <x:v>commercial_ppr_difference</x:v>
      </x:c>
      <x:c r="C588" s="25" t="n">
        <x:v>-134640500.99877048</x:v>
      </x:c>
      <x:c r="D588" s="25" t="str">
        <x:v>tonnes_primary_production_equivalent</x:v>
      </x:c>
    </x:row>
    <x:row r="589" ht="18" customHeight="1">
      <x:c r="A589" s="25" t="str">
        <x:v>LME_024</x:v>
      </x:c>
      <x:c r="B589" s="25" t="str">
        <x:v>functional_ppr_difference</x:v>
      </x:c>
      <x:c r="C589" s="25" t="n">
        <x:v>-104721855.0033598</x:v>
      </x:c>
      <x:c r="D589" s="25" t="str">
        <x:v>tonnes_primary_production_equivalent</x:v>
      </x:c>
    </x:row>
    <x:row r="590" ht="18" customHeight="1">
      <x:c r="A590" s="25" t="str">
        <x:v>LME_025</x:v>
      </x:c>
      <x:c r="B590" s="25" t="str">
        <x:v>raw_filtered_tonnes</x:v>
      </x:c>
      <x:c r="C590" s="25" t="n">
        <x:v>429516.3330948258</x:v>
      </x:c>
      <x:c r="D590" s="25" t="str">
        <x:v>tonnes</x:v>
      </x:c>
    </x:row>
    <x:row r="591" ht="18" customHeight="1">
      <x:c r="A591" s="25" t="str">
        <x:v>LME_025</x:v>
      </x:c>
      <x:c r="B591" s="25" t="str">
        <x:v>species_catch_tonnes</x:v>
      </x:c>
      <x:c r="C591" s="25" t="n">
        <x:v>429516.3330948258</x:v>
      </x:c>
      <x:c r="D591" s="25" t="str">
        <x:v>tonnes</x:v>
      </x:c>
    </x:row>
    <x:row r="592" ht="18" customHeight="1">
      <x:c r="A592" s="25" t="str">
        <x:v>LME_025</x:v>
      </x:c>
      <x:c r="B592" s="25" t="str">
        <x:v>catch_difference_tonnes</x:v>
      </x:c>
      <x:c r="C592" s="25" t="n">
        <x:v>0</x:v>
      </x:c>
      <x:c r="D592" s="25" t="str">
        <x:v>tonnes</x:v>
      </x:c>
    </x:row>
    <x:row r="593" ht="18" customHeight="1">
      <x:c r="A593" s="25" t="str">
        <x:v>LME_025</x:v>
      </x:c>
      <x:c r="B593" s="25" t="str">
        <x:v>catch_reconciled</x:v>
      </x:c>
      <x:c r="C593" s="36" t="b">
        <x:v>1</x:v>
      </x:c>
      <x:c r="D593" s="25" t="str">
        <x:v>boolean</x:v>
      </x:c>
    </x:row>
    <x:row r="594" ht="18" customHeight="1">
      <x:c r="A594" s="25" t="str">
        <x:v>LME_025</x:v>
      </x:c>
      <x:c r="B594" s="25" t="str">
        <x:v>matched_catch_tonnes</x:v>
      </x:c>
      <x:c r="C594" s="25" t="n">
        <x:v>429516.3330948258</x:v>
      </x:c>
      <x:c r="D594" s="25" t="str">
        <x:v>tonnes</x:v>
      </x:c>
    </x:row>
    <x:row r="595" ht="18" customHeight="1">
      <x:c r="A595" s="25" t="str">
        <x:v>LME_025</x:v>
      </x:c>
      <x:c r="B595" s="25" t="str">
        <x:v>catch_coverage_fraction</x:v>
      </x:c>
      <x:c r="C595" s="25" t="n">
        <x:v>1</x:v>
      </x:c>
      <x:c r="D595" s="25" t="str">
        <x:v>fraction</x:v>
      </x:c>
    </x:row>
    <x:row r="596" ht="18" customHeight="1">
      <x:c r="A596" s="25" t="str">
        <x:v>LME_025</x:v>
      </x:c>
      <x:c r="B596" s="25" t="str">
        <x:v>taxa_count</x:v>
      </x:c>
      <x:c r="C596" s="25" t="n">
        <x:v>432</x:v>
      </x:c>
      <x:c r="D596" s="25" t="str">
        <x:v>count</x:v>
      </x:c>
    </x:row>
    <x:row r="597" ht="18" customHeight="1">
      <x:c r="A597" s="25" t="str">
        <x:v>LME_025</x:v>
      </x:c>
      <x:c r="B597" s="25" t="str">
        <x:v>matched_taxa_count</x:v>
      </x:c>
      <x:c r="C597" s="25" t="n">
        <x:v>432</x:v>
      </x:c>
      <x:c r="D597" s="25" t="str">
        <x:v>count</x:v>
      </x:c>
    </x:row>
    <x:row r="598" ht="18" customHeight="1">
      <x:c r="A598" s="25" t="str">
        <x:v>LME_025</x:v>
      </x:c>
      <x:c r="B598" s="25" t="str">
        <x:v>unmatched_taxa_count</x:v>
      </x:c>
      <x:c r="C598" s="25" t="n">
        <x:v>0</x:v>
      </x:c>
      <x:c r="D598" s="25" t="str">
        <x:v>count</x:v>
      </x:c>
    </x:row>
    <x:row r="599" ht="18" customHeight="1">
      <x:c r="A599" s="25" t="str">
        <x:v>LME_025</x:v>
      </x:c>
      <x:c r="B599" s="25" t="str">
        <x:v>species_ppr</x:v>
      </x:c>
      <x:c r="C599" s="25" t="n">
        <x:v>350502389.2247894</x:v>
      </x:c>
      <x:c r="D599" s="25" t="str">
        <x:v>tonnes_primary_production_equivalent</x:v>
      </x:c>
    </x:row>
    <x:row r="600" ht="18" customHeight="1">
      <x:c r="A600" s="25" t="str">
        <x:v>LME_025</x:v>
      </x:c>
      <x:c r="B600" s="25" t="str">
        <x:v>commercial_ppr</x:v>
      </x:c>
      <x:c r="C600" s="25" t="n">
        <x:v>290052892.74702895</x:v>
      </x:c>
      <x:c r="D600" s="25" t="str">
        <x:v>tonnes_primary_production_equivalent</x:v>
      </x:c>
    </x:row>
    <x:row r="601" ht="18" customHeight="1">
      <x:c r="A601" s="25" t="str">
        <x:v>LME_025</x:v>
      </x:c>
      <x:c r="B601" s="25" t="str">
        <x:v>functional_ppr</x:v>
      </x:c>
      <x:c r="C601" s="25" t="n">
        <x:v>317576506.32073075</x:v>
      </x:c>
      <x:c r="D601" s="25" t="str">
        <x:v>tonnes_primary_production_equivalent</x:v>
      </x:c>
    </x:row>
    <x:row r="602" ht="18" customHeight="1">
      <x:c r="A602" s="25" t="str">
        <x:v>LME_025</x:v>
      </x:c>
      <x:c r="B602" s="25" t="str">
        <x:v>commercial_ppr_difference</x:v>
      </x:c>
      <x:c r="C602" s="25" t="n">
        <x:v>-60449496.477760434</x:v>
      </x:c>
      <x:c r="D602" s="25" t="str">
        <x:v>tonnes_primary_production_equivalent</x:v>
      </x:c>
    </x:row>
    <x:row r="603" ht="18" customHeight="1">
      <x:c r="A603" s="25" t="str">
        <x:v>LME_025</x:v>
      </x:c>
      <x:c r="B603" s="25" t="str">
        <x:v>functional_ppr_difference</x:v>
      </x:c>
      <x:c r="C603" s="25" t="n">
        <x:v>-32925882.904058635</x:v>
      </x:c>
      <x:c r="D603" s="25" t="str">
        <x:v>tonnes_primary_production_equivalent</x:v>
      </x:c>
    </x:row>
    <x:row r="604" ht="18" customHeight="1">
      <x:c r="A604" s="25" t="str">
        <x:v>LME_026</x:v>
      </x:c>
      <x:c r="B604" s="25" t="str">
        <x:v>raw_filtered_tonnes</x:v>
      </x:c>
      <x:c r="C604" s="25" t="n">
        <x:v>1487741.6269238535</x:v>
      </x:c>
      <x:c r="D604" s="25" t="str">
        <x:v>tonnes</x:v>
      </x:c>
    </x:row>
    <x:row r="605" ht="18" customHeight="1">
      <x:c r="A605" s="25" t="str">
        <x:v>LME_026</x:v>
      </x:c>
      <x:c r="B605" s="25" t="str">
        <x:v>species_catch_tonnes</x:v>
      </x:c>
      <x:c r="C605" s="25" t="n">
        <x:v>1487741.6269238535</x:v>
      </x:c>
      <x:c r="D605" s="25" t="str">
        <x:v>tonnes</x:v>
      </x:c>
    </x:row>
    <x:row r="606" ht="18" customHeight="1">
      <x:c r="A606" s="25" t="str">
        <x:v>LME_026</x:v>
      </x:c>
      <x:c r="B606" s="25" t="str">
        <x:v>catch_difference_tonnes</x:v>
      </x:c>
      <x:c r="C606" s="25" t="n">
        <x:v>0</x:v>
      </x:c>
      <x:c r="D606" s="25" t="str">
        <x:v>tonnes</x:v>
      </x:c>
    </x:row>
    <x:row r="607" ht="18" customHeight="1">
      <x:c r="A607" s="25" t="str">
        <x:v>LME_026</x:v>
      </x:c>
      <x:c r="B607" s="25" t="str">
        <x:v>catch_reconciled</x:v>
      </x:c>
      <x:c r="C607" s="36" t="b">
        <x:v>1</x:v>
      </x:c>
      <x:c r="D607" s="25" t="str">
        <x:v>boolean</x:v>
      </x:c>
    </x:row>
    <x:row r="608" ht="18" customHeight="1">
      <x:c r="A608" s="25" t="str">
        <x:v>LME_026</x:v>
      </x:c>
      <x:c r="B608" s="25" t="str">
        <x:v>matched_catch_tonnes</x:v>
      </x:c>
      <x:c r="C608" s="25" t="n">
        <x:v>1487741.6269238535</x:v>
      </x:c>
      <x:c r="D608" s="25" t="str">
        <x:v>tonnes</x:v>
      </x:c>
    </x:row>
    <x:row r="609" ht="18" customHeight="1">
      <x:c r="A609" s="25" t="str">
        <x:v>LME_026</x:v>
      </x:c>
      <x:c r="B609" s="25" t="str">
        <x:v>catch_coverage_fraction</x:v>
      </x:c>
      <x:c r="C609" s="25" t="n">
        <x:v>1</x:v>
      </x:c>
      <x:c r="D609" s="25" t="str">
        <x:v>fraction</x:v>
      </x:c>
    </x:row>
    <x:row r="610" ht="18" customHeight="1">
      <x:c r="A610" s="25" t="str">
        <x:v>LME_026</x:v>
      </x:c>
      <x:c r="B610" s="25" t="str">
        <x:v>taxa_count</x:v>
      </x:c>
      <x:c r="C610" s="25" t="n">
        <x:v>482</x:v>
      </x:c>
      <x:c r="D610" s="25" t="str">
        <x:v>count</x:v>
      </x:c>
    </x:row>
    <x:row r="611" ht="18" customHeight="1">
      <x:c r="A611" s="25" t="str">
        <x:v>LME_026</x:v>
      </x:c>
      <x:c r="B611" s="25" t="str">
        <x:v>matched_taxa_count</x:v>
      </x:c>
      <x:c r="C611" s="25" t="n">
        <x:v>482</x:v>
      </x:c>
      <x:c r="D611" s="25" t="str">
        <x:v>count</x:v>
      </x:c>
    </x:row>
    <x:row r="612" ht="18" customHeight="1">
      <x:c r="A612" s="25" t="str">
        <x:v>LME_026</x:v>
      </x:c>
      <x:c r="B612" s="25" t="str">
        <x:v>unmatched_taxa_count</x:v>
      </x:c>
      <x:c r="C612" s="25" t="n">
        <x:v>0</x:v>
      </x:c>
      <x:c r="D612" s="25" t="str">
        <x:v>count</x:v>
      </x:c>
    </x:row>
    <x:row r="613" ht="18" customHeight="1">
      <x:c r="A613" s="25" t="str">
        <x:v>LME_026</x:v>
      </x:c>
      <x:c r="B613" s="25" t="str">
        <x:v>species_ppr</x:v>
      </x:c>
      <x:c r="C613" s="25" t="n">
        <x:v>1007915797.3835726</x:v>
      </x:c>
      <x:c r="D613" s="25" t="str">
        <x:v>tonnes_primary_production_equivalent</x:v>
      </x:c>
    </x:row>
    <x:row r="614" ht="18" customHeight="1">
      <x:c r="A614" s="25" t="str">
        <x:v>LME_026</x:v>
      </x:c>
      <x:c r="B614" s="25" t="str">
        <x:v>commercial_ppr</x:v>
      </x:c>
      <x:c r="C614" s="25" t="n">
        <x:v>777778177.4549513</x:v>
      </x:c>
      <x:c r="D614" s="25" t="str">
        <x:v>tonnes_primary_production_equivalent</x:v>
      </x:c>
    </x:row>
    <x:row r="615" ht="18" customHeight="1">
      <x:c r="A615" s="25" t="str">
        <x:v>LME_026</x:v>
      </x:c>
      <x:c r="B615" s="25" t="str">
        <x:v>functional_ppr</x:v>
      </x:c>
      <x:c r="C615" s="25" t="n">
        <x:v>818089702.4134529</x:v>
      </x:c>
      <x:c r="D615" s="25" t="str">
        <x:v>tonnes_primary_production_equivalent</x:v>
      </x:c>
    </x:row>
    <x:row r="616" ht="18" customHeight="1">
      <x:c r="A616" s="25" t="str">
        <x:v>LME_026</x:v>
      </x:c>
      <x:c r="B616" s="25" t="str">
        <x:v>commercial_ppr_difference</x:v>
      </x:c>
      <x:c r="C616" s="25" t="n">
        <x:v>-230137619.9286213</x:v>
      </x:c>
      <x:c r="D616" s="25" t="str">
        <x:v>tonnes_primary_production_equivalent</x:v>
      </x:c>
    </x:row>
    <x:row r="617" ht="18" customHeight="1">
      <x:c r="A617" s="25" t="str">
        <x:v>LME_026</x:v>
      </x:c>
      <x:c r="B617" s="25" t="str">
        <x:v>functional_ppr_difference</x:v>
      </x:c>
      <x:c r="C617" s="25" t="n">
        <x:v>-189826094.9701197</x:v>
      </x:c>
      <x:c r="D617" s="25" t="str">
        <x:v>tonnes_primary_production_equivalent</x:v>
      </x:c>
    </x:row>
    <x:row r="618" ht="18" customHeight="1">
      <x:c r="A618" s="25" t="str">
        <x:v>LME_027</x:v>
      </x:c>
      <x:c r="B618" s="25" t="str">
        <x:v>raw_filtered_tonnes</x:v>
      </x:c>
      <x:c r="C618" s="25" t="n">
        <x:v>5771015.257329413</x:v>
      </x:c>
      <x:c r="D618" s="25" t="str">
        <x:v>tonnes</x:v>
      </x:c>
    </x:row>
    <x:row r="619" ht="18" customHeight="1">
      <x:c r="A619" s="25" t="str">
        <x:v>LME_027</x:v>
      </x:c>
      <x:c r="B619" s="25" t="str">
        <x:v>species_catch_tonnes</x:v>
      </x:c>
      <x:c r="C619" s="25" t="n">
        <x:v>5771015.257329415</x:v>
      </x:c>
      <x:c r="D619" s="25" t="str">
        <x:v>tonnes</x:v>
      </x:c>
    </x:row>
    <x:row r="620" ht="18" customHeight="1">
      <x:c r="A620" s="25" t="str">
        <x:v>LME_027</x:v>
      </x:c>
      <x:c r="B620" s="25" t="str">
        <x:v>catch_difference_tonnes</x:v>
      </x:c>
      <x:c r="C620" s="25" t="n">
        <x:v>1.862645149230957e-9</x:v>
      </x:c>
      <x:c r="D620" s="25" t="str">
        <x:v>tonnes</x:v>
      </x:c>
    </x:row>
    <x:row r="621" ht="18" customHeight="1">
      <x:c r="A621" s="25" t="str">
        <x:v>LME_027</x:v>
      </x:c>
      <x:c r="B621" s="25" t="str">
        <x:v>catch_reconciled</x:v>
      </x:c>
      <x:c r="C621" s="36" t="b">
        <x:v>1</x:v>
      </x:c>
      <x:c r="D621" s="25" t="str">
        <x:v>boolean</x:v>
      </x:c>
    </x:row>
    <x:row r="622" ht="18" customHeight="1">
      <x:c r="A622" s="25" t="str">
        <x:v>LME_027</x:v>
      </x:c>
      <x:c r="B622" s="25" t="str">
        <x:v>matched_catch_tonnes</x:v>
      </x:c>
      <x:c r="C622" s="25" t="n">
        <x:v>5771015.257329415</x:v>
      </x:c>
      <x:c r="D622" s="25" t="str">
        <x:v>tonnes</x:v>
      </x:c>
    </x:row>
    <x:row r="623" ht="18" customHeight="1">
      <x:c r="A623" s="25" t="str">
        <x:v>LME_027</x:v>
      </x:c>
      <x:c r="B623" s="25" t="str">
        <x:v>catch_coverage_fraction</x:v>
      </x:c>
      <x:c r="C623" s="25" t="n">
        <x:v>1</x:v>
      </x:c>
      <x:c r="D623" s="25" t="str">
        <x:v>fraction</x:v>
      </x:c>
    </x:row>
    <x:row r="624" ht="18" customHeight="1">
      <x:c r="A624" s="25" t="str">
        <x:v>LME_027</x:v>
      </x:c>
      <x:c r="B624" s="25" t="str">
        <x:v>taxa_count</x:v>
      </x:c>
      <x:c r="C624" s="25" t="n">
        <x:v>412</x:v>
      </x:c>
      <x:c r="D624" s="25" t="str">
        <x:v>count</x:v>
      </x:c>
    </x:row>
    <x:row r="625" ht="18" customHeight="1">
      <x:c r="A625" s="25" t="str">
        <x:v>LME_027</x:v>
      </x:c>
      <x:c r="B625" s="25" t="str">
        <x:v>matched_taxa_count</x:v>
      </x:c>
      <x:c r="C625" s="25" t="n">
        <x:v>412</x:v>
      </x:c>
      <x:c r="D625" s="25" t="str">
        <x:v>count</x:v>
      </x:c>
    </x:row>
    <x:row r="626" ht="18" customHeight="1">
      <x:c r="A626" s="25" t="str">
        <x:v>LME_027</x:v>
      </x:c>
      <x:c r="B626" s="25" t="str">
        <x:v>unmatched_taxa_count</x:v>
      </x:c>
      <x:c r="C626" s="25" t="n">
        <x:v>0</x:v>
      </x:c>
      <x:c r="D626" s="25" t="str">
        <x:v>count</x:v>
      </x:c>
    </x:row>
    <x:row r="627" ht="18" customHeight="1">
      <x:c r="A627" s="25" t="str">
        <x:v>LME_027</x:v>
      </x:c>
      <x:c r="B627" s="25" t="str">
        <x:v>species_ppr</x:v>
      </x:c>
      <x:c r="C627" s="25" t="n">
        <x:v>2359485422.816173</x:v>
      </x:c>
      <x:c r="D627" s="25" t="str">
        <x:v>tonnes_primary_production_equivalent</x:v>
      </x:c>
    </x:row>
    <x:row r="628" ht="18" customHeight="1">
      <x:c r="A628" s="25" t="str">
        <x:v>LME_027</x:v>
      </x:c>
      <x:c r="B628" s="25" t="str">
        <x:v>commercial_ppr</x:v>
      </x:c>
      <x:c r="C628" s="25" t="n">
        <x:v>1988040059.996524</x:v>
      </x:c>
      <x:c r="D628" s="25" t="str">
        <x:v>tonnes_primary_production_equivalent</x:v>
      </x:c>
    </x:row>
    <x:row r="629" ht="18" customHeight="1">
      <x:c r="A629" s="25" t="str">
        <x:v>LME_027</x:v>
      </x:c>
      <x:c r="B629" s="25" t="str">
        <x:v>functional_ppr</x:v>
      </x:c>
      <x:c r="C629" s="25" t="n">
        <x:v>1932746132.292241</x:v>
      </x:c>
      <x:c r="D629" s="25" t="str">
        <x:v>tonnes_primary_production_equivalent</x:v>
      </x:c>
    </x:row>
    <x:row r="630" ht="18" customHeight="1">
      <x:c r="A630" s="25" t="str">
        <x:v>LME_027</x:v>
      </x:c>
      <x:c r="B630" s="25" t="str">
        <x:v>commercial_ppr_difference</x:v>
      </x:c>
      <x:c r="C630" s="25" t="n">
        <x:v>-371445362.819649</x:v>
      </x:c>
      <x:c r="D630" s="25" t="str">
        <x:v>tonnes_primary_production_equivalent</x:v>
      </x:c>
    </x:row>
    <x:row r="631" ht="18" customHeight="1">
      <x:c r="A631" s="25" t="str">
        <x:v>LME_027</x:v>
      </x:c>
      <x:c r="B631" s="25" t="str">
        <x:v>functional_ppr_difference</x:v>
      </x:c>
      <x:c r="C631" s="25" t="n">
        <x:v>-426739290.523932</x:v>
      </x:c>
      <x:c r="D631" s="25" t="str">
        <x:v>tonnes_primary_production_equivalent</x:v>
      </x:c>
    </x:row>
    <x:row r="632" ht="18" customHeight="1">
      <x:c r="A632" s="25" t="str">
        <x:v>LME_028</x:v>
      </x:c>
      <x:c r="B632" s="25" t="str">
        <x:v>raw_filtered_tonnes</x:v>
      </x:c>
      <x:c r="C632" s="25" t="n">
        <x:v>4469154.981144244</x:v>
      </x:c>
      <x:c r="D632" s="25" t="str">
        <x:v>tonnes</x:v>
      </x:c>
    </x:row>
    <x:row r="633" ht="18" customHeight="1">
      <x:c r="A633" s="25" t="str">
        <x:v>LME_028</x:v>
      </x:c>
      <x:c r="B633" s="25" t="str">
        <x:v>species_catch_tonnes</x:v>
      </x:c>
      <x:c r="C633" s="25" t="n">
        <x:v>4469154.981144243</x:v>
      </x:c>
      <x:c r="D633" s="25" t="str">
        <x:v>tonnes</x:v>
      </x:c>
    </x:row>
    <x:row r="634" ht="18" customHeight="1">
      <x:c r="A634" s="25" t="str">
        <x:v>LME_028</x:v>
      </x:c>
      <x:c r="B634" s="25" t="str">
        <x:v>catch_difference_tonnes</x:v>
      </x:c>
      <x:c r="C634" s="25" t="n">
        <x:v>-9.313225746154785e-10</x:v>
      </x:c>
      <x:c r="D634" s="25" t="str">
        <x:v>tonnes</x:v>
      </x:c>
    </x:row>
    <x:row r="635" ht="18" customHeight="1">
      <x:c r="A635" s="25" t="str">
        <x:v>LME_028</x:v>
      </x:c>
      <x:c r="B635" s="25" t="str">
        <x:v>catch_reconciled</x:v>
      </x:c>
      <x:c r="C635" s="36" t="b">
        <x:v>1</x:v>
      </x:c>
      <x:c r="D635" s="25" t="str">
        <x:v>boolean</x:v>
      </x:c>
    </x:row>
    <x:row r="636" ht="18" customHeight="1">
      <x:c r="A636" s="25" t="str">
        <x:v>LME_028</x:v>
      </x:c>
      <x:c r="B636" s="25" t="str">
        <x:v>matched_catch_tonnes</x:v>
      </x:c>
      <x:c r="C636" s="25" t="n">
        <x:v>4469154.981144243</x:v>
      </x:c>
      <x:c r="D636" s="25" t="str">
        <x:v>tonnes</x:v>
      </x:c>
    </x:row>
    <x:row r="637" ht="18" customHeight="1">
      <x:c r="A637" s="25" t="str">
        <x:v>LME_028</x:v>
      </x:c>
      <x:c r="B637" s="25" t="str">
        <x:v>catch_coverage_fraction</x:v>
      </x:c>
      <x:c r="C637" s="25" t="n">
        <x:v>1</x:v>
      </x:c>
      <x:c r="D637" s="25" t="str">
        <x:v>fraction</x:v>
      </x:c>
    </x:row>
    <x:row r="638" ht="18" customHeight="1">
      <x:c r="A638" s="25" t="str">
        <x:v>LME_028</x:v>
      </x:c>
      <x:c r="B638" s="25" t="str">
        <x:v>taxa_count</x:v>
      </x:c>
      <x:c r="C638" s="25" t="n">
        <x:v>325</x:v>
      </x:c>
      <x:c r="D638" s="25" t="str">
        <x:v>count</x:v>
      </x:c>
    </x:row>
    <x:row r="639" ht="18" customHeight="1">
      <x:c r="A639" s="25" t="str">
        <x:v>LME_028</x:v>
      </x:c>
      <x:c r="B639" s="25" t="str">
        <x:v>matched_taxa_count</x:v>
      </x:c>
      <x:c r="C639" s="25" t="n">
        <x:v>325</x:v>
      </x:c>
      <x:c r="D639" s="25" t="str">
        <x:v>count</x:v>
      </x:c>
    </x:row>
    <x:row r="640" ht="18" customHeight="1">
      <x:c r="A640" s="25" t="str">
        <x:v>LME_028</x:v>
      </x:c>
      <x:c r="B640" s="25" t="str">
        <x:v>unmatched_taxa_count</x:v>
      </x:c>
      <x:c r="C640" s="25" t="n">
        <x:v>0</x:v>
      </x:c>
      <x:c r="D640" s="25" t="str">
        <x:v>count</x:v>
      </x:c>
    </x:row>
    <x:row r="641" ht="18" customHeight="1">
      <x:c r="A641" s="25" t="str">
        <x:v>LME_028</x:v>
      </x:c>
      <x:c r="B641" s="25" t="str">
        <x:v>species_ppr</x:v>
      </x:c>
      <x:c r="C641" s="25" t="n">
        <x:v>2256398879.66561</x:v>
      </x:c>
      <x:c r="D641" s="25" t="str">
        <x:v>tonnes_primary_production_equivalent</x:v>
      </x:c>
    </x:row>
    <x:row r="642" ht="18" customHeight="1">
      <x:c r="A642" s="25" t="str">
        <x:v>LME_028</x:v>
      </x:c>
      <x:c r="B642" s="25" t="str">
        <x:v>commercial_ppr</x:v>
      </x:c>
      <x:c r="C642" s="25" t="n">
        <x:v>1724262907.9504876</x:v>
      </x:c>
      <x:c r="D642" s="25" t="str">
        <x:v>tonnes_primary_production_equivalent</x:v>
      </x:c>
    </x:row>
    <x:row r="643" ht="18" customHeight="1">
      <x:c r="A643" s="25" t="str">
        <x:v>LME_028</x:v>
      </x:c>
      <x:c r="B643" s="25" t="str">
        <x:v>functional_ppr</x:v>
      </x:c>
      <x:c r="C643" s="25" t="n">
        <x:v>1769169841.9924123</x:v>
      </x:c>
      <x:c r="D643" s="25" t="str">
        <x:v>tonnes_primary_production_equivalent</x:v>
      </x:c>
    </x:row>
    <x:row r="644" ht="18" customHeight="1">
      <x:c r="A644" s="25" t="str">
        <x:v>LME_028</x:v>
      </x:c>
      <x:c r="B644" s="25" t="str">
        <x:v>commercial_ppr_difference</x:v>
      </x:c>
      <x:c r="C644" s="25" t="n">
        <x:v>-532135971.7151222</x:v>
      </x:c>
      <x:c r="D644" s="25" t="str">
        <x:v>tonnes_primary_production_equivalent</x:v>
      </x:c>
    </x:row>
    <x:row r="645" ht="18" customHeight="1">
      <x:c r="A645" s="25" t="str">
        <x:v>LME_028</x:v>
      </x:c>
      <x:c r="B645" s="25" t="str">
        <x:v>functional_ppr_difference</x:v>
      </x:c>
      <x:c r="C645" s="25" t="n">
        <x:v>-487229037.6731975</x:v>
      </x:c>
      <x:c r="D645" s="25" t="str">
        <x:v>tonnes_primary_production_equivalent</x:v>
      </x:c>
    </x:row>
    <x:row r="646" ht="18" customHeight="1">
      <x:c r="A646" s="25" t="str">
        <x:v>LME_029</x:v>
      </x:c>
      <x:c r="B646" s="25" t="str">
        <x:v>raw_filtered_tonnes</x:v>
      </x:c>
      <x:c r="C646" s="25" t="n">
        <x:v>1592518.0818040827</x:v>
      </x:c>
      <x:c r="D646" s="25" t="str">
        <x:v>tonnes</x:v>
      </x:c>
    </x:row>
    <x:row r="647" ht="18" customHeight="1">
      <x:c r="A647" s="25" t="str">
        <x:v>LME_029</x:v>
      </x:c>
      <x:c r="B647" s="25" t="str">
        <x:v>species_catch_tonnes</x:v>
      </x:c>
      <x:c r="C647" s="25" t="n">
        <x:v>1592518.0818040825</x:v>
      </x:c>
      <x:c r="D647" s="25" t="str">
        <x:v>tonnes</x:v>
      </x:c>
    </x:row>
    <x:row r="648" ht="18" customHeight="1">
      <x:c r="A648" s="25" t="str">
        <x:v>LME_029</x:v>
      </x:c>
      <x:c r="B648" s="25" t="str">
        <x:v>catch_difference_tonnes</x:v>
      </x:c>
      <x:c r="C648" s="25" t="n">
        <x:v>-2.3283064365386963e-10</x:v>
      </x:c>
      <x:c r="D648" s="25" t="str">
        <x:v>tonnes</x:v>
      </x:c>
    </x:row>
    <x:row r="649" ht="18" customHeight="1">
      <x:c r="A649" s="25" t="str">
        <x:v>LME_029</x:v>
      </x:c>
      <x:c r="B649" s="25" t="str">
        <x:v>catch_reconciled</x:v>
      </x:c>
      <x:c r="C649" s="36" t="b">
        <x:v>1</x:v>
      </x:c>
      <x:c r="D649" s="25" t="str">
        <x:v>boolean</x:v>
      </x:c>
    </x:row>
    <x:row r="650" ht="18" customHeight="1">
      <x:c r="A650" s="25" t="str">
        <x:v>LME_029</x:v>
      </x:c>
      <x:c r="B650" s="25" t="str">
        <x:v>matched_catch_tonnes</x:v>
      </x:c>
      <x:c r="C650" s="25" t="n">
        <x:v>1592518.0818040825</x:v>
      </x:c>
      <x:c r="D650" s="25" t="str">
        <x:v>tonnes</x:v>
      </x:c>
    </x:row>
    <x:row r="651" ht="18" customHeight="1">
      <x:c r="A651" s="25" t="str">
        <x:v>LME_029</x:v>
      </x:c>
      <x:c r="B651" s="25" t="str">
        <x:v>catch_coverage_fraction</x:v>
      </x:c>
      <x:c r="C651" s="25" t="n">
        <x:v>1</x:v>
      </x:c>
      <x:c r="D651" s="25" t="str">
        <x:v>fraction</x:v>
      </x:c>
    </x:row>
    <x:row r="652" ht="18" customHeight="1">
      <x:c r="A652" s="25" t="str">
        <x:v>LME_029</x:v>
      </x:c>
      <x:c r="B652" s="25" t="str">
        <x:v>taxa_count</x:v>
      </x:c>
      <x:c r="C652" s="25" t="n">
        <x:v>147</x:v>
      </x:c>
      <x:c r="D652" s="25" t="str">
        <x:v>count</x:v>
      </x:c>
    </x:row>
    <x:row r="653" ht="18" customHeight="1">
      <x:c r="A653" s="25" t="str">
        <x:v>LME_029</x:v>
      </x:c>
      <x:c r="B653" s="25" t="str">
        <x:v>matched_taxa_count</x:v>
      </x:c>
      <x:c r="C653" s="25" t="n">
        <x:v>147</x:v>
      </x:c>
      <x:c r="D653" s="25" t="str">
        <x:v>count</x:v>
      </x:c>
    </x:row>
    <x:row r="654" ht="18" customHeight="1">
      <x:c r="A654" s="25" t="str">
        <x:v>LME_029</x:v>
      </x:c>
      <x:c r="B654" s="25" t="str">
        <x:v>unmatched_taxa_count</x:v>
      </x:c>
      <x:c r="C654" s="25" t="n">
        <x:v>0</x:v>
      </x:c>
      <x:c r="D654" s="25" t="str">
        <x:v>count</x:v>
      </x:c>
    </x:row>
    <x:row r="655" ht="18" customHeight="1">
      <x:c r="A655" s="25" t="str">
        <x:v>LME_029</x:v>
      </x:c>
      <x:c r="B655" s="25" t="str">
        <x:v>species_ppr</x:v>
      </x:c>
      <x:c r="C655" s="25" t="n">
        <x:v>997757338.2466873</x:v>
      </x:c>
      <x:c r="D655" s="25" t="str">
        <x:v>tonnes_primary_production_equivalent</x:v>
      </x:c>
    </x:row>
    <x:row r="656" ht="18" customHeight="1">
      <x:c r="A656" s="25" t="str">
        <x:v>LME_029</x:v>
      </x:c>
      <x:c r="B656" s="25" t="str">
        <x:v>commercial_ppr</x:v>
      </x:c>
      <x:c r="C656" s="25" t="n">
        <x:v>874219072.3241919</x:v>
      </x:c>
      <x:c r="D656" s="25" t="str">
        <x:v>tonnes_primary_production_equivalent</x:v>
      </x:c>
    </x:row>
    <x:row r="657" ht="18" customHeight="1">
      <x:c r="A657" s="25" t="str">
        <x:v>LME_029</x:v>
      </x:c>
      <x:c r="B657" s="25" t="str">
        <x:v>functional_ppr</x:v>
      </x:c>
      <x:c r="C657" s="25" t="n">
        <x:v>905698527.5872977</x:v>
      </x:c>
      <x:c r="D657" s="25" t="str">
        <x:v>tonnes_primary_production_equivalent</x:v>
      </x:c>
    </x:row>
    <x:row r="658" ht="18" customHeight="1">
      <x:c r="A658" s="25" t="str">
        <x:v>LME_029</x:v>
      </x:c>
      <x:c r="B658" s="25" t="str">
        <x:v>commercial_ppr_difference</x:v>
      </x:c>
      <x:c r="C658" s="25" t="n">
        <x:v>-123538265.92249537</x:v>
      </x:c>
      <x:c r="D658" s="25" t="str">
        <x:v>tonnes_primary_production_equivalent</x:v>
      </x:c>
    </x:row>
    <x:row r="659" ht="18" customHeight="1">
      <x:c r="A659" s="25" t="str">
        <x:v>LME_029</x:v>
      </x:c>
      <x:c r="B659" s="25" t="str">
        <x:v>functional_ppr_difference</x:v>
      </x:c>
      <x:c r="C659" s="25" t="n">
        <x:v>-92058810.65938962</x:v>
      </x:c>
      <x:c r="D659" s="25" t="str">
        <x:v>tonnes_primary_production_equivalent</x:v>
      </x:c>
    </x:row>
    <x:row r="660" ht="18" customHeight="1">
      <x:c r="A660" s="25" t="str">
        <x:v>LME_030</x:v>
      </x:c>
      <x:c r="B660" s="25" t="str">
        <x:v>raw_filtered_tonnes</x:v>
      </x:c>
      <x:c r="C660" s="25" t="n">
        <x:v>794215.4259763143</x:v>
      </x:c>
      <x:c r="D660" s="25" t="str">
        <x:v>tonnes</x:v>
      </x:c>
    </x:row>
    <x:row r="661" ht="18" customHeight="1">
      <x:c r="A661" s="25" t="str">
        <x:v>LME_030</x:v>
      </x:c>
      <x:c r="B661" s="25" t="str">
        <x:v>species_catch_tonnes</x:v>
      </x:c>
      <x:c r="C661" s="25" t="n">
        <x:v>794215.4259763142</x:v>
      </x:c>
      <x:c r="D661" s="25" t="str">
        <x:v>tonnes</x:v>
      </x:c>
    </x:row>
    <x:row r="662" ht="18" customHeight="1">
      <x:c r="A662" s="25" t="str">
        <x:v>LME_030</x:v>
      </x:c>
      <x:c r="B662" s="25" t="str">
        <x:v>catch_difference_tonnes</x:v>
      </x:c>
      <x:c r="C662" s="25" t="n">
        <x:v>-1.1641532182693481e-10</x:v>
      </x:c>
      <x:c r="D662" s="25" t="str">
        <x:v>tonnes</x:v>
      </x:c>
    </x:row>
    <x:row r="663" ht="18" customHeight="1">
      <x:c r="A663" s="25" t="str">
        <x:v>LME_030</x:v>
      </x:c>
      <x:c r="B663" s="25" t="str">
        <x:v>catch_reconciled</x:v>
      </x:c>
      <x:c r="C663" s="36" t="b">
        <x:v>1</x:v>
      </x:c>
      <x:c r="D663" s="25" t="str">
        <x:v>boolean</x:v>
      </x:c>
    </x:row>
    <x:row r="664" ht="18" customHeight="1">
      <x:c r="A664" s="25" t="str">
        <x:v>LME_030</x:v>
      </x:c>
      <x:c r="B664" s="25" t="str">
        <x:v>matched_catch_tonnes</x:v>
      </x:c>
      <x:c r="C664" s="25" t="n">
        <x:v>794215.4259763142</x:v>
      </x:c>
      <x:c r="D664" s="25" t="str">
        <x:v>tonnes</x:v>
      </x:c>
    </x:row>
    <x:row r="665" ht="18" customHeight="1">
      <x:c r="A665" s="25" t="str">
        <x:v>LME_030</x:v>
      </x:c>
      <x:c r="B665" s="25" t="str">
        <x:v>catch_coverage_fraction</x:v>
      </x:c>
      <x:c r="C665" s="25" t="n">
        <x:v>1</x:v>
      </x:c>
      <x:c r="D665" s="25" t="str">
        <x:v>fraction</x:v>
      </x:c>
    </x:row>
    <x:row r="666" ht="18" customHeight="1">
      <x:c r="A666" s="25" t="str">
        <x:v>LME_030</x:v>
      </x:c>
      <x:c r="B666" s="25" t="str">
        <x:v>taxa_count</x:v>
      </x:c>
      <x:c r="C666" s="25" t="n">
        <x:v>272</x:v>
      </x:c>
      <x:c r="D666" s="25" t="str">
        <x:v>count</x:v>
      </x:c>
    </x:row>
    <x:row r="667" ht="18" customHeight="1">
      <x:c r="A667" s="25" t="str">
        <x:v>LME_030</x:v>
      </x:c>
      <x:c r="B667" s="25" t="str">
        <x:v>matched_taxa_count</x:v>
      </x:c>
      <x:c r="C667" s="25" t="n">
        <x:v>272</x:v>
      </x:c>
      <x:c r="D667" s="25" t="str">
        <x:v>count</x:v>
      </x:c>
    </x:row>
    <x:row r="668" ht="18" customHeight="1">
      <x:c r="A668" s="25" t="str">
        <x:v>LME_030</x:v>
      </x:c>
      <x:c r="B668" s="25" t="str">
        <x:v>unmatched_taxa_count</x:v>
      </x:c>
      <x:c r="C668" s="25" t="n">
        <x:v>0</x:v>
      </x:c>
      <x:c r="D668" s="25" t="str">
        <x:v>count</x:v>
      </x:c>
    </x:row>
    <x:row r="669" ht="18" customHeight="1">
      <x:c r="A669" s="25" t="str">
        <x:v>LME_030</x:v>
      </x:c>
      <x:c r="B669" s="25" t="str">
        <x:v>species_ppr</x:v>
      </x:c>
      <x:c r="C669" s="25" t="n">
        <x:v>482169734.53988993</x:v>
      </x:c>
      <x:c r="D669" s="25" t="str">
        <x:v>tonnes_primary_production_equivalent</x:v>
      </x:c>
    </x:row>
    <x:row r="670" ht="18" customHeight="1">
      <x:c r="A670" s="25" t="str">
        <x:v>LME_030</x:v>
      </x:c>
      <x:c r="B670" s="25" t="str">
        <x:v>commercial_ppr</x:v>
      </x:c>
      <x:c r="C670" s="25" t="n">
        <x:v>371322087.27435106</x:v>
      </x:c>
      <x:c r="D670" s="25" t="str">
        <x:v>tonnes_primary_production_equivalent</x:v>
      </x:c>
    </x:row>
    <x:row r="671" ht="18" customHeight="1">
      <x:c r="A671" s="25" t="str">
        <x:v>LME_030</x:v>
      </x:c>
      <x:c r="B671" s="25" t="str">
        <x:v>functional_ppr</x:v>
      </x:c>
      <x:c r="C671" s="25" t="n">
        <x:v>404858007.0563225</x:v>
      </x:c>
      <x:c r="D671" s="25" t="str">
        <x:v>tonnes_primary_production_equivalent</x:v>
      </x:c>
    </x:row>
    <x:row r="672" ht="18" customHeight="1">
      <x:c r="A672" s="25" t="str">
        <x:v>LME_030</x:v>
      </x:c>
      <x:c r="B672" s="25" t="str">
        <x:v>commercial_ppr_difference</x:v>
      </x:c>
      <x:c r="C672" s="25" t="n">
        <x:v>-110847647.26553887</x:v>
      </x:c>
      <x:c r="D672" s="25" t="str">
        <x:v>tonnes_primary_production_equivalent</x:v>
      </x:c>
    </x:row>
    <x:row r="673" ht="18" customHeight="1">
      <x:c r="A673" s="25" t="str">
        <x:v>LME_030</x:v>
      </x:c>
      <x:c r="B673" s="25" t="str">
        <x:v>functional_ppr_difference</x:v>
      </x:c>
      <x:c r="C673" s="25" t="n">
        <x:v>-77311727.48356742</x:v>
      </x:c>
      <x:c r="D673" s="25" t="str">
        <x:v>tonnes_primary_production_equivalent</x:v>
      </x:c>
    </x:row>
    <x:row r="674" ht="18" customHeight="1">
      <x:c r="A674" s="25" t="str">
        <x:v>LME_031</x:v>
      </x:c>
      <x:c r="B674" s="25" t="str">
        <x:v>raw_filtered_tonnes</x:v>
      </x:c>
      <x:c r="C674" s="25" t="n">
        <x:v>237379.07863162042</x:v>
      </x:c>
      <x:c r="D674" s="25" t="str">
        <x:v>tonnes</x:v>
      </x:c>
    </x:row>
    <x:row r="675" ht="18" customHeight="1">
      <x:c r="A675" s="25" t="str">
        <x:v>LME_031</x:v>
      </x:c>
      <x:c r="B675" s="25" t="str">
        <x:v>species_catch_tonnes</x:v>
      </x:c>
      <x:c r="C675" s="25" t="n">
        <x:v>237379.07863162042</x:v>
      </x:c>
      <x:c r="D675" s="25" t="str">
        <x:v>tonnes</x:v>
      </x:c>
    </x:row>
    <x:row r="676" ht="18" customHeight="1">
      <x:c r="A676" s="25" t="str">
        <x:v>LME_031</x:v>
      </x:c>
      <x:c r="B676" s="25" t="str">
        <x:v>catch_difference_tonnes</x:v>
      </x:c>
      <x:c r="C676" s="25" t="n">
        <x:v>0</x:v>
      </x:c>
      <x:c r="D676" s="25" t="str">
        <x:v>tonnes</x:v>
      </x:c>
    </x:row>
    <x:row r="677" ht="18" customHeight="1">
      <x:c r="A677" s="25" t="str">
        <x:v>LME_031</x:v>
      </x:c>
      <x:c r="B677" s="25" t="str">
        <x:v>catch_reconciled</x:v>
      </x:c>
      <x:c r="C677" s="36" t="b">
        <x:v>1</x:v>
      </x:c>
      <x:c r="D677" s="25" t="str">
        <x:v>boolean</x:v>
      </x:c>
    </x:row>
    <x:row r="678" ht="18" customHeight="1">
      <x:c r="A678" s="25" t="str">
        <x:v>LME_031</x:v>
      </x:c>
      <x:c r="B678" s="25" t="str">
        <x:v>matched_catch_tonnes</x:v>
      </x:c>
      <x:c r="C678" s="25" t="n">
        <x:v>237379.07863162042</x:v>
      </x:c>
      <x:c r="D678" s="25" t="str">
        <x:v>tonnes</x:v>
      </x:c>
    </x:row>
    <x:row r="679" ht="18" customHeight="1">
      <x:c r="A679" s="25" t="str">
        <x:v>LME_031</x:v>
      </x:c>
      <x:c r="B679" s="25" t="str">
        <x:v>catch_coverage_fraction</x:v>
      </x:c>
      <x:c r="C679" s="25" t="n">
        <x:v>1</x:v>
      </x:c>
      <x:c r="D679" s="25" t="str">
        <x:v>fraction</x:v>
      </x:c>
    </x:row>
    <x:row r="680" ht="18" customHeight="1">
      <x:c r="A680" s="25" t="str">
        <x:v>LME_031</x:v>
      </x:c>
      <x:c r="B680" s="25" t="str">
        <x:v>taxa_count</x:v>
      </x:c>
      <x:c r="C680" s="25" t="n">
        <x:v>205</x:v>
      </x:c>
      <x:c r="D680" s="25" t="str">
        <x:v>count</x:v>
      </x:c>
    </x:row>
    <x:row r="681" ht="18" customHeight="1">
      <x:c r="A681" s="25" t="str">
        <x:v>LME_031</x:v>
      </x:c>
      <x:c r="B681" s="25" t="str">
        <x:v>matched_taxa_count</x:v>
      </x:c>
      <x:c r="C681" s="25" t="n">
        <x:v>205</x:v>
      </x:c>
      <x:c r="D681" s="25" t="str">
        <x:v>count</x:v>
      </x:c>
    </x:row>
    <x:row r="682" ht="18" customHeight="1">
      <x:c r="A682" s="25" t="str">
        <x:v>LME_031</x:v>
      </x:c>
      <x:c r="B682" s="25" t="str">
        <x:v>unmatched_taxa_count</x:v>
      </x:c>
      <x:c r="C682" s="25" t="n">
        <x:v>0</x:v>
      </x:c>
      <x:c r="D682" s="25" t="str">
        <x:v>count</x:v>
      </x:c>
    </x:row>
    <x:row r="683" ht="18" customHeight="1">
      <x:c r="A683" s="25" t="str">
        <x:v>LME_031</x:v>
      </x:c>
      <x:c r="B683" s="25" t="str">
        <x:v>species_ppr</x:v>
      </x:c>
      <x:c r="C683" s="25" t="n">
        <x:v>220033882.6044375</x:v>
      </x:c>
      <x:c r="D683" s="25" t="str">
        <x:v>tonnes_primary_production_equivalent</x:v>
      </x:c>
    </x:row>
    <x:row r="684" ht="18" customHeight="1">
      <x:c r="A684" s="25" t="str">
        <x:v>LME_031</x:v>
      </x:c>
      <x:c r="B684" s="25" t="str">
        <x:v>commercial_ppr</x:v>
      </x:c>
      <x:c r="C684" s="25" t="n">
        <x:v>156501852.68740436</x:v>
      </x:c>
      <x:c r="D684" s="25" t="str">
        <x:v>tonnes_primary_production_equivalent</x:v>
      </x:c>
    </x:row>
    <x:row r="685" ht="18" customHeight="1">
      <x:c r="A685" s="25" t="str">
        <x:v>LME_031</x:v>
      </x:c>
      <x:c r="B685" s="25" t="str">
        <x:v>functional_ppr</x:v>
      </x:c>
      <x:c r="C685" s="25" t="n">
        <x:v>180797899.8177598</x:v>
      </x:c>
      <x:c r="D685" s="25" t="str">
        <x:v>tonnes_primary_production_equivalent</x:v>
      </x:c>
    </x:row>
    <x:row r="686" ht="18" customHeight="1">
      <x:c r="A686" s="25" t="str">
        <x:v>LME_031</x:v>
      </x:c>
      <x:c r="B686" s="25" t="str">
        <x:v>commercial_ppr_difference</x:v>
      </x:c>
      <x:c r="C686" s="25" t="n">
        <x:v>-63532029.917033136</x:v>
      </x:c>
      <x:c r="D686" s="25" t="str">
        <x:v>tonnes_primary_production_equivalent</x:v>
      </x:c>
    </x:row>
    <x:row r="687" ht="18" customHeight="1">
      <x:c r="A687" s="25" t="str">
        <x:v>LME_031</x:v>
      </x:c>
      <x:c r="B687" s="25" t="str">
        <x:v>functional_ppr_difference</x:v>
      </x:c>
      <x:c r="C687" s="25" t="n">
        <x:v>-39235982.78667769</x:v>
      </x:c>
      <x:c r="D687" s="25" t="str">
        <x:v>tonnes_primary_production_equivalent</x:v>
      </x:c>
    </x:row>
    <x:row r="688" ht="18" customHeight="1">
      <x:c r="A688" s="25" t="str">
        <x:v>LME_032</x:v>
      </x:c>
      <x:c r="B688" s="25" t="str">
        <x:v>raw_filtered_tonnes</x:v>
      </x:c>
      <x:c r="C688" s="25" t="n">
        <x:v>5436428.793803818</x:v>
      </x:c>
      <x:c r="D688" s="25" t="str">
        <x:v>tonnes</x:v>
      </x:c>
    </x:row>
    <x:row r="689" ht="18" customHeight="1">
      <x:c r="A689" s="25" t="str">
        <x:v>LME_032</x:v>
      </x:c>
      <x:c r="B689" s="25" t="str">
        <x:v>species_catch_tonnes</x:v>
      </x:c>
      <x:c r="C689" s="25" t="n">
        <x:v>5436428.793803818</x:v>
      </x:c>
      <x:c r="D689" s="25" t="str">
        <x:v>tonnes</x:v>
      </x:c>
    </x:row>
    <x:row r="690" ht="18" customHeight="1">
      <x:c r="A690" s="25" t="str">
        <x:v>LME_032</x:v>
      </x:c>
      <x:c r="B690" s="25" t="str">
        <x:v>catch_difference_tonnes</x:v>
      </x:c>
      <x:c r="C690" s="25" t="n">
        <x:v>0</x:v>
      </x:c>
      <x:c r="D690" s="25" t="str">
        <x:v>tonnes</x:v>
      </x:c>
    </x:row>
    <x:row r="691" ht="18" customHeight="1">
      <x:c r="A691" s="25" t="str">
        <x:v>LME_032</x:v>
      </x:c>
      <x:c r="B691" s="25" t="str">
        <x:v>catch_reconciled</x:v>
      </x:c>
      <x:c r="C691" s="36" t="b">
        <x:v>1</x:v>
      </x:c>
      <x:c r="D691" s="25" t="str">
        <x:v>boolean</x:v>
      </x:c>
    </x:row>
    <x:row r="692" ht="18" customHeight="1">
      <x:c r="A692" s="25" t="str">
        <x:v>LME_032</x:v>
      </x:c>
      <x:c r="B692" s="25" t="str">
        <x:v>matched_catch_tonnes</x:v>
      </x:c>
      <x:c r="C692" s="25" t="n">
        <x:v>5436428.793803818</x:v>
      </x:c>
      <x:c r="D692" s="25" t="str">
        <x:v>tonnes</x:v>
      </x:c>
    </x:row>
    <x:row r="693" ht="18" customHeight="1">
      <x:c r="A693" s="25" t="str">
        <x:v>LME_032</x:v>
      </x:c>
      <x:c r="B693" s="25" t="str">
        <x:v>catch_coverage_fraction</x:v>
      </x:c>
      <x:c r="C693" s="25" t="n">
        <x:v>1</x:v>
      </x:c>
      <x:c r="D693" s="25" t="str">
        <x:v>fraction</x:v>
      </x:c>
    </x:row>
    <x:row r="694" ht="18" customHeight="1">
      <x:c r="A694" s="25" t="str">
        <x:v>LME_032</x:v>
      </x:c>
      <x:c r="B694" s="25" t="str">
        <x:v>taxa_count</x:v>
      </x:c>
      <x:c r="C694" s="25" t="n">
        <x:v>393</x:v>
      </x:c>
      <x:c r="D694" s="25" t="str">
        <x:v>count</x:v>
      </x:c>
    </x:row>
    <x:row r="695" ht="18" customHeight="1">
      <x:c r="A695" s="25" t="str">
        <x:v>LME_032</x:v>
      </x:c>
      <x:c r="B695" s="25" t="str">
        <x:v>matched_taxa_count</x:v>
      </x:c>
      <x:c r="C695" s="25" t="n">
        <x:v>393</x:v>
      </x:c>
      <x:c r="D695" s="25" t="str">
        <x:v>count</x:v>
      </x:c>
    </x:row>
    <x:row r="696" ht="18" customHeight="1">
      <x:c r="A696" s="25" t="str">
        <x:v>LME_032</x:v>
      </x:c>
      <x:c r="B696" s="25" t="str">
        <x:v>unmatched_taxa_count</x:v>
      </x:c>
      <x:c r="C696" s="25" t="n">
        <x:v>0</x:v>
      </x:c>
      <x:c r="D696" s="25" t="str">
        <x:v>count</x:v>
      </x:c>
    </x:row>
    <x:row r="697" ht="18" customHeight="1">
      <x:c r="A697" s="25" t="str">
        <x:v>LME_032</x:v>
      </x:c>
      <x:c r="B697" s="25" t="str">
        <x:v>species_ppr</x:v>
      </x:c>
      <x:c r="C697" s="25" t="n">
        <x:v>4734727053.1209135</x:v>
      </x:c>
      <x:c r="D697" s="25" t="str">
        <x:v>tonnes_primary_production_equivalent</x:v>
      </x:c>
    </x:row>
    <x:row r="698" ht="18" customHeight="1">
      <x:c r="A698" s="25" t="str">
        <x:v>LME_032</x:v>
      </x:c>
      <x:c r="B698" s="25" t="str">
        <x:v>commercial_ppr</x:v>
      </x:c>
      <x:c r="C698" s="25" t="n">
        <x:v>3513410168.9238224</x:v>
      </x:c>
      <x:c r="D698" s="25" t="str">
        <x:v>tonnes_primary_production_equivalent</x:v>
      </x:c>
    </x:row>
    <x:row r="699" ht="18" customHeight="1">
      <x:c r="A699" s="25" t="str">
        <x:v>LME_032</x:v>
      </x:c>
      <x:c r="B699" s="25" t="str">
        <x:v>functional_ppr</x:v>
      </x:c>
      <x:c r="C699" s="25" t="n">
        <x:v>3986670658.279414</x:v>
      </x:c>
      <x:c r="D699" s="25" t="str">
        <x:v>tonnes_primary_production_equivalent</x:v>
      </x:c>
    </x:row>
    <x:row r="700" ht="18" customHeight="1">
      <x:c r="A700" s="25" t="str">
        <x:v>LME_032</x:v>
      </x:c>
      <x:c r="B700" s="25" t="str">
        <x:v>commercial_ppr_difference</x:v>
      </x:c>
      <x:c r="C700" s="25" t="n">
        <x:v>-1221316884.197091</x:v>
      </x:c>
      <x:c r="D700" s="25" t="str">
        <x:v>tonnes_primary_production_equivalent</x:v>
      </x:c>
    </x:row>
    <x:row r="701" ht="18" customHeight="1">
      <x:c r="A701" s="25" t="str">
        <x:v>LME_032</x:v>
      </x:c>
      <x:c r="B701" s="25" t="str">
        <x:v>functional_ppr_difference</x:v>
      </x:c>
      <x:c r="C701" s="25" t="n">
        <x:v>-748056394.8414993</x:v>
      </x:c>
      <x:c r="D701" s="25" t="str">
        <x:v>tonnes_primary_production_equivalent</x:v>
      </x:c>
    </x:row>
    <x:row r="702" ht="18" customHeight="1">
      <x:c r="A702" s="25" t="str">
        <x:v>LME_033</x:v>
      </x:c>
      <x:c r="B702" s="25" t="str">
        <x:v>raw_filtered_tonnes</x:v>
      </x:c>
      <x:c r="C702" s="25" t="n">
        <x:v>147100.3417814472</x:v>
      </x:c>
      <x:c r="D702" s="25" t="str">
        <x:v>tonnes</x:v>
      </x:c>
    </x:row>
    <x:row r="703" ht="18" customHeight="1">
      <x:c r="A703" s="25" t="str">
        <x:v>LME_033</x:v>
      </x:c>
      <x:c r="B703" s="25" t="str">
        <x:v>species_catch_tonnes</x:v>
      </x:c>
      <x:c r="C703" s="25" t="n">
        <x:v>147100.3417814472</x:v>
      </x:c>
      <x:c r="D703" s="25" t="str">
        <x:v>tonnes</x:v>
      </x:c>
    </x:row>
    <x:row r="704" ht="18" customHeight="1">
      <x:c r="A704" s="25" t="str">
        <x:v>LME_033</x:v>
      </x:c>
      <x:c r="B704" s="25" t="str">
        <x:v>catch_difference_tonnes</x:v>
      </x:c>
      <x:c r="C704" s="25" t="n">
        <x:v>0</x:v>
      </x:c>
      <x:c r="D704" s="25" t="str">
        <x:v>tonnes</x:v>
      </x:c>
    </x:row>
    <x:row r="705" ht="18" customHeight="1">
      <x:c r="A705" s="25" t="str">
        <x:v>LME_033</x:v>
      </x:c>
      <x:c r="B705" s="25" t="str">
        <x:v>catch_reconciled</x:v>
      </x:c>
      <x:c r="C705" s="36" t="b">
        <x:v>1</x:v>
      </x:c>
      <x:c r="D705" s="25" t="str">
        <x:v>boolean</x:v>
      </x:c>
    </x:row>
    <x:row r="706" ht="18" customHeight="1">
      <x:c r="A706" s="25" t="str">
        <x:v>LME_033</x:v>
      </x:c>
      <x:c r="B706" s="25" t="str">
        <x:v>matched_catch_tonnes</x:v>
      </x:c>
      <x:c r="C706" s="25" t="n">
        <x:v>147100.3417814472</x:v>
      </x:c>
      <x:c r="D706" s="25" t="str">
        <x:v>tonnes</x:v>
      </x:c>
    </x:row>
    <x:row r="707" ht="18" customHeight="1">
      <x:c r="A707" s="25" t="str">
        <x:v>LME_033</x:v>
      </x:c>
      <x:c r="B707" s="25" t="str">
        <x:v>catch_coverage_fraction</x:v>
      </x:c>
      <x:c r="C707" s="25" t="n">
        <x:v>1</x:v>
      </x:c>
      <x:c r="D707" s="25" t="str">
        <x:v>fraction</x:v>
      </x:c>
    </x:row>
    <x:row r="708" ht="18" customHeight="1">
      <x:c r="A708" s="25" t="str">
        <x:v>LME_033</x:v>
      </x:c>
      <x:c r="B708" s="25" t="str">
        <x:v>taxa_count</x:v>
      </x:c>
      <x:c r="C708" s="25" t="n">
        <x:v>193</x:v>
      </x:c>
      <x:c r="D708" s="25" t="str">
        <x:v>count</x:v>
      </x:c>
    </x:row>
    <x:row r="709" ht="18" customHeight="1">
      <x:c r="A709" s="25" t="str">
        <x:v>LME_033</x:v>
      </x:c>
      <x:c r="B709" s="25" t="str">
        <x:v>matched_taxa_count</x:v>
      </x:c>
      <x:c r="C709" s="25" t="n">
        <x:v>193</x:v>
      </x:c>
      <x:c r="D709" s="25" t="str">
        <x:v>count</x:v>
      </x:c>
    </x:row>
    <x:row r="710" ht="18" customHeight="1">
      <x:c r="A710" s="25" t="str">
        <x:v>LME_033</x:v>
      </x:c>
      <x:c r="B710" s="25" t="str">
        <x:v>unmatched_taxa_count</x:v>
      </x:c>
      <x:c r="C710" s="25" t="n">
        <x:v>0</x:v>
      </x:c>
      <x:c r="D710" s="25" t="str">
        <x:v>count</x:v>
      </x:c>
    </x:row>
    <x:row r="711" ht="18" customHeight="1">
      <x:c r="A711" s="25" t="str">
        <x:v>LME_033</x:v>
      </x:c>
      <x:c r="B711" s="25" t="str">
        <x:v>species_ppr</x:v>
      </x:c>
      <x:c r="C711" s="25" t="n">
        <x:v>114071139.38229904</x:v>
      </x:c>
      <x:c r="D711" s="25" t="str">
        <x:v>tonnes_primary_production_equivalent</x:v>
      </x:c>
    </x:row>
    <x:row r="712" ht="18" customHeight="1">
      <x:c r="A712" s="25" t="str">
        <x:v>LME_033</x:v>
      </x:c>
      <x:c r="B712" s="25" t="str">
        <x:v>commercial_ppr</x:v>
      </x:c>
      <x:c r="C712" s="25" t="n">
        <x:v>74674605.88945664</x:v>
      </x:c>
      <x:c r="D712" s="25" t="str">
        <x:v>tonnes_primary_production_equivalent</x:v>
      </x:c>
    </x:row>
    <x:row r="713" ht="18" customHeight="1">
      <x:c r="A713" s="25" t="str">
        <x:v>LME_033</x:v>
      </x:c>
      <x:c r="B713" s="25" t="str">
        <x:v>functional_ppr</x:v>
      </x:c>
      <x:c r="C713" s="25" t="n">
        <x:v>87236027.58411431</x:v>
      </x:c>
      <x:c r="D713" s="25" t="str">
        <x:v>tonnes_primary_production_equivalent</x:v>
      </x:c>
    </x:row>
    <x:row r="714" ht="18" customHeight="1">
      <x:c r="A714" s="25" t="str">
        <x:v>LME_033</x:v>
      </x:c>
      <x:c r="B714" s="25" t="str">
        <x:v>commercial_ppr_difference</x:v>
      </x:c>
      <x:c r="C714" s="25" t="n">
        <x:v>-39396533.49284239</x:v>
      </x:c>
      <x:c r="D714" s="25" t="str">
        <x:v>tonnes_primary_production_equivalent</x:v>
      </x:c>
    </x:row>
    <x:row r="715" ht="18" customHeight="1">
      <x:c r="A715" s="25" t="str">
        <x:v>LME_033</x:v>
      </x:c>
      <x:c r="B715" s="25" t="str">
        <x:v>functional_ppr_difference</x:v>
      </x:c>
      <x:c r="C715" s="25" t="n">
        <x:v>-26835111.798184723</x:v>
      </x:c>
      <x:c r="D715" s="25" t="str">
        <x:v>tonnes_primary_production_equivalent</x:v>
      </x:c>
    </x:row>
    <x:row r="716" ht="18" customHeight="1">
      <x:c r="A716" s="25" t="str">
        <x:v>LME_034</x:v>
      </x:c>
      <x:c r="B716" s="25" t="str">
        <x:v>raw_filtered_tonnes</x:v>
      </x:c>
      <x:c r="C716" s="25" t="n">
        <x:v>6697725.785375867</x:v>
      </x:c>
      <x:c r="D716" s="25" t="str">
        <x:v>tonnes</x:v>
      </x:c>
    </x:row>
    <x:row r="717" ht="18" customHeight="1">
      <x:c r="A717" s="25" t="str">
        <x:v>LME_034</x:v>
      </x:c>
      <x:c r="B717" s="25" t="str">
        <x:v>species_catch_tonnes</x:v>
      </x:c>
      <x:c r="C717" s="25" t="n">
        <x:v>6697725.785375867</x:v>
      </x:c>
      <x:c r="D717" s="25" t="str">
        <x:v>tonnes</x:v>
      </x:c>
    </x:row>
    <x:row r="718" ht="18" customHeight="1">
      <x:c r="A718" s="25" t="str">
        <x:v>LME_034</x:v>
      </x:c>
      <x:c r="B718" s="25" t="str">
        <x:v>catch_difference_tonnes</x:v>
      </x:c>
      <x:c r="C718" s="25" t="n">
        <x:v>0</x:v>
      </x:c>
      <x:c r="D718" s="25" t="str">
        <x:v>tonnes</x:v>
      </x:c>
    </x:row>
    <x:row r="719" ht="18" customHeight="1">
      <x:c r="A719" s="25" t="str">
        <x:v>LME_034</x:v>
      </x:c>
      <x:c r="B719" s="25" t="str">
        <x:v>catch_reconciled</x:v>
      </x:c>
      <x:c r="C719" s="36" t="b">
        <x:v>1</x:v>
      </x:c>
      <x:c r="D719" s="25" t="str">
        <x:v>boolean</x:v>
      </x:c>
    </x:row>
    <x:row r="720" ht="18" customHeight="1">
      <x:c r="A720" s="25" t="str">
        <x:v>LME_034</x:v>
      </x:c>
      <x:c r="B720" s="25" t="str">
        <x:v>matched_catch_tonnes</x:v>
      </x:c>
      <x:c r="C720" s="25" t="n">
        <x:v>6697725.785375867</x:v>
      </x:c>
      <x:c r="D720" s="25" t="str">
        <x:v>tonnes</x:v>
      </x:c>
    </x:row>
    <x:row r="721" ht="18" customHeight="1">
      <x:c r="A721" s="25" t="str">
        <x:v>LME_034</x:v>
      </x:c>
      <x:c r="B721" s="25" t="str">
        <x:v>catch_coverage_fraction</x:v>
      </x:c>
      <x:c r="C721" s="25" t="n">
        <x:v>1</x:v>
      </x:c>
      <x:c r="D721" s="25" t="str">
        <x:v>fraction</x:v>
      </x:c>
    </x:row>
    <x:row r="722" ht="18" customHeight="1">
      <x:c r="A722" s="25" t="str">
        <x:v>LME_034</x:v>
      </x:c>
      <x:c r="B722" s="25" t="str">
        <x:v>taxa_count</x:v>
      </x:c>
      <x:c r="C722" s="25" t="n">
        <x:v>288</x:v>
      </x:c>
      <x:c r="D722" s="25" t="str">
        <x:v>count</x:v>
      </x:c>
    </x:row>
    <x:row r="723" ht="18" customHeight="1">
      <x:c r="A723" s="25" t="str">
        <x:v>LME_034</x:v>
      </x:c>
      <x:c r="B723" s="25" t="str">
        <x:v>matched_taxa_count</x:v>
      </x:c>
      <x:c r="C723" s="25" t="n">
        <x:v>288</x:v>
      </x:c>
      <x:c r="D723" s="25" t="str">
        <x:v>count</x:v>
      </x:c>
    </x:row>
    <x:row r="724" ht="18" customHeight="1">
      <x:c r="A724" s="25" t="str">
        <x:v>LME_034</x:v>
      </x:c>
      <x:c r="B724" s="25" t="str">
        <x:v>unmatched_taxa_count</x:v>
      </x:c>
      <x:c r="C724" s="25" t="n">
        <x:v>0</x:v>
      </x:c>
      <x:c r="D724" s="25" t="str">
        <x:v>count</x:v>
      </x:c>
    </x:row>
    <x:row r="725" ht="18" customHeight="1">
      <x:c r="A725" s="25" t="str">
        <x:v>LME_034</x:v>
      </x:c>
      <x:c r="B725" s="25" t="str">
        <x:v>species_ppr</x:v>
      </x:c>
      <x:c r="C725" s="25" t="n">
        <x:v>3525461853.606897</x:v>
      </x:c>
      <x:c r="D725" s="25" t="str">
        <x:v>tonnes_primary_production_equivalent</x:v>
      </x:c>
    </x:row>
    <x:row r="726" ht="18" customHeight="1">
      <x:c r="A726" s="25" t="str">
        <x:v>LME_034</x:v>
      </x:c>
      <x:c r="B726" s="25" t="str">
        <x:v>commercial_ppr</x:v>
      </x:c>
      <x:c r="C726" s="25" t="n">
        <x:v>2348434942.0634265</x:v>
      </x:c>
      <x:c r="D726" s="25" t="str">
        <x:v>tonnes_primary_production_equivalent</x:v>
      </x:c>
    </x:row>
    <x:row r="727" ht="18" customHeight="1">
      <x:c r="A727" s="25" t="str">
        <x:v>LME_034</x:v>
      </x:c>
      <x:c r="B727" s="25" t="str">
        <x:v>functional_ppr</x:v>
      </x:c>
      <x:c r="C727" s="25" t="n">
        <x:v>2527044613.979731</x:v>
      </x:c>
      <x:c r="D727" s="25" t="str">
        <x:v>tonnes_primary_production_equivalent</x:v>
      </x:c>
    </x:row>
    <x:row r="728" ht="18" customHeight="1">
      <x:c r="A728" s="25" t="str">
        <x:v>LME_034</x:v>
      </x:c>
      <x:c r="B728" s="25" t="str">
        <x:v>commercial_ppr_difference</x:v>
      </x:c>
      <x:c r="C728" s="25" t="n">
        <x:v>-1177026911.5434704</x:v>
      </x:c>
      <x:c r="D728" s="25" t="str">
        <x:v>tonnes_primary_production_equivalent</x:v>
      </x:c>
    </x:row>
    <x:row r="729" ht="18" customHeight="1">
      <x:c r="A729" s="25" t="str">
        <x:v>LME_034</x:v>
      </x:c>
      <x:c r="B729" s="25" t="str">
        <x:v>functional_ppr_difference</x:v>
      </x:c>
      <x:c r="C729" s="25" t="n">
        <x:v>-998417239.6271658</x:v>
      </x:c>
      <x:c r="D729" s="25" t="str">
        <x:v>tonnes_primary_production_equivalent</x:v>
      </x:c>
    </x:row>
    <x:row r="730" ht="18" customHeight="1">
      <x:c r="A730" s="25" t="str">
        <x:v>LME_035</x:v>
      </x:c>
      <x:c r="B730" s="25" t="str">
        <x:v>raw_filtered_tonnes</x:v>
      </x:c>
      <x:c r="C730" s="25" t="n">
        <x:v>2615825.056861822</x:v>
      </x:c>
      <x:c r="D730" s="25" t="str">
        <x:v>tonnes</x:v>
      </x:c>
    </x:row>
    <x:row r="731" ht="18" customHeight="1">
      <x:c r="A731" s="25" t="str">
        <x:v>LME_035</x:v>
      </x:c>
      <x:c r="B731" s="25" t="str">
        <x:v>species_catch_tonnes</x:v>
      </x:c>
      <x:c r="C731" s="25" t="n">
        <x:v>2615825.0568618225</x:v>
      </x:c>
      <x:c r="D731" s="25" t="str">
        <x:v>tonnes</x:v>
      </x:c>
    </x:row>
    <x:row r="732" ht="18" customHeight="1">
      <x:c r="A732" s="25" t="str">
        <x:v>LME_035</x:v>
      </x:c>
      <x:c r="B732" s="25" t="str">
        <x:v>catch_difference_tonnes</x:v>
      </x:c>
      <x:c r="C732" s="25" t="n">
        <x:v>4.656612873077393e-10</x:v>
      </x:c>
      <x:c r="D732" s="25" t="str">
        <x:v>tonnes</x:v>
      </x:c>
    </x:row>
    <x:row r="733" ht="18" customHeight="1">
      <x:c r="A733" s="25" t="str">
        <x:v>LME_035</x:v>
      </x:c>
      <x:c r="B733" s="25" t="str">
        <x:v>catch_reconciled</x:v>
      </x:c>
      <x:c r="C733" s="36" t="b">
        <x:v>1</x:v>
      </x:c>
      <x:c r="D733" s="25" t="str">
        <x:v>boolean</x:v>
      </x:c>
    </x:row>
    <x:row r="734" ht="18" customHeight="1">
      <x:c r="A734" s="25" t="str">
        <x:v>LME_035</x:v>
      </x:c>
      <x:c r="B734" s="25" t="str">
        <x:v>matched_catch_tonnes</x:v>
      </x:c>
      <x:c r="C734" s="25" t="n">
        <x:v>2615825.0568618225</x:v>
      </x:c>
      <x:c r="D734" s="25" t="str">
        <x:v>tonnes</x:v>
      </x:c>
    </x:row>
    <x:row r="735" ht="18" customHeight="1">
      <x:c r="A735" s="25" t="str">
        <x:v>LME_035</x:v>
      </x:c>
      <x:c r="B735" s="25" t="str">
        <x:v>catch_coverage_fraction</x:v>
      </x:c>
      <x:c r="C735" s="25" t="n">
        <x:v>1</x:v>
      </x:c>
      <x:c r="D735" s="25" t="str">
        <x:v>fraction</x:v>
      </x:c>
    </x:row>
    <x:row r="736" ht="18" customHeight="1">
      <x:c r="A736" s="25" t="str">
        <x:v>LME_035</x:v>
      </x:c>
      <x:c r="B736" s="25" t="str">
        <x:v>taxa_count</x:v>
      </x:c>
      <x:c r="C736" s="25" t="n">
        <x:v>214</x:v>
      </x:c>
      <x:c r="D736" s="25" t="str">
        <x:v>count</x:v>
      </x:c>
    </x:row>
    <x:row r="737" ht="18" customHeight="1">
      <x:c r="A737" s="25" t="str">
        <x:v>LME_035</x:v>
      </x:c>
      <x:c r="B737" s="25" t="str">
        <x:v>matched_taxa_count</x:v>
      </x:c>
      <x:c r="C737" s="25" t="n">
        <x:v>214</x:v>
      </x:c>
      <x:c r="D737" s="25" t="str">
        <x:v>count</x:v>
      </x:c>
    </x:row>
    <x:row r="738" ht="18" customHeight="1">
      <x:c r="A738" s="25" t="str">
        <x:v>LME_035</x:v>
      </x:c>
      <x:c r="B738" s="25" t="str">
        <x:v>unmatched_taxa_count</x:v>
      </x:c>
      <x:c r="C738" s="25" t="n">
        <x:v>0</x:v>
      </x:c>
      <x:c r="D738" s="25" t="str">
        <x:v>count</x:v>
      </x:c>
    </x:row>
    <x:row r="739" ht="18" customHeight="1">
      <x:c r="A739" s="25" t="str">
        <x:v>LME_035</x:v>
      </x:c>
      <x:c r="B739" s="25" t="str">
        <x:v>species_ppr</x:v>
      </x:c>
      <x:c r="C739" s="25" t="n">
        <x:v>1868893899.8381805</x:v>
      </x:c>
      <x:c r="D739" s="25" t="str">
        <x:v>tonnes_primary_production_equivalent</x:v>
      </x:c>
    </x:row>
    <x:row r="740" ht="18" customHeight="1">
      <x:c r="A740" s="25" t="str">
        <x:v>LME_035</x:v>
      </x:c>
      <x:c r="B740" s="25" t="str">
        <x:v>commercial_ppr</x:v>
      </x:c>
      <x:c r="C740" s="25" t="n">
        <x:v>1321291448.1609046</x:v>
      </x:c>
      <x:c r="D740" s="25" t="str">
        <x:v>tonnes_primary_production_equivalent</x:v>
      </x:c>
    </x:row>
    <x:row r="741" ht="18" customHeight="1">
      <x:c r="A741" s="25" t="str">
        <x:v>LME_035</x:v>
      </x:c>
      <x:c r="B741" s="25" t="str">
        <x:v>functional_ppr</x:v>
      </x:c>
      <x:c r="C741" s="25" t="n">
        <x:v>1470605570.760545</x:v>
      </x:c>
      <x:c r="D741" s="25" t="str">
        <x:v>tonnes_primary_production_equivalent</x:v>
      </x:c>
    </x:row>
    <x:row r="742" ht="18" customHeight="1">
      <x:c r="A742" s="25" t="str">
        <x:v>LME_035</x:v>
      </x:c>
      <x:c r="B742" s="25" t="str">
        <x:v>commercial_ppr_difference</x:v>
      </x:c>
      <x:c r="C742" s="25" t="n">
        <x:v>-547602451.6772759</x:v>
      </x:c>
      <x:c r="D742" s="25" t="str">
        <x:v>tonnes_primary_production_equivalent</x:v>
      </x:c>
    </x:row>
    <x:row r="743" ht="18" customHeight="1">
      <x:c r="A743" s="25" t="str">
        <x:v>LME_035</x:v>
      </x:c>
      <x:c r="B743" s="25" t="str">
        <x:v>functional_ppr_difference</x:v>
      </x:c>
      <x:c r="C743" s="25" t="n">
        <x:v>-398288329.0776355</x:v>
      </x:c>
      <x:c r="D743" s="25" t="str">
        <x:v>tonnes_primary_production_equivalent</x:v>
      </x:c>
    </x:row>
    <x:row r="744" ht="18" customHeight="1">
      <x:c r="A744" s="25" t="str">
        <x:v>LME_036</x:v>
      </x:c>
      <x:c r="B744" s="25" t="str">
        <x:v>raw_filtered_tonnes</x:v>
      </x:c>
      <x:c r="C744" s="25" t="n">
        <x:v>11101666.087778974</x:v>
      </x:c>
      <x:c r="D744" s="25" t="str">
        <x:v>tonnes</x:v>
      </x:c>
    </x:row>
    <x:row r="745" ht="18" customHeight="1">
      <x:c r="A745" s="25" t="str">
        <x:v>LME_036</x:v>
      </x:c>
      <x:c r="B745" s="25" t="str">
        <x:v>species_catch_tonnes</x:v>
      </x:c>
      <x:c r="C745" s="25" t="n">
        <x:v>11101666.087778974</x:v>
      </x:c>
      <x:c r="D745" s="25" t="str">
        <x:v>tonnes</x:v>
      </x:c>
    </x:row>
    <x:row r="746" ht="18" customHeight="1">
      <x:c r="A746" s="25" t="str">
        <x:v>LME_036</x:v>
      </x:c>
      <x:c r="B746" s="25" t="str">
        <x:v>catch_difference_tonnes</x:v>
      </x:c>
      <x:c r="C746" s="25" t="n">
        <x:v>0</x:v>
      </x:c>
      <x:c r="D746" s="25" t="str">
        <x:v>tonnes</x:v>
      </x:c>
    </x:row>
    <x:row r="747" ht="18" customHeight="1">
      <x:c r="A747" s="25" t="str">
        <x:v>LME_036</x:v>
      </x:c>
      <x:c r="B747" s="25" t="str">
        <x:v>catch_reconciled</x:v>
      </x:c>
      <x:c r="C747" s="36" t="b">
        <x:v>1</x:v>
      </x:c>
      <x:c r="D747" s="25" t="str">
        <x:v>boolean</x:v>
      </x:c>
    </x:row>
    <x:row r="748" ht="18" customHeight="1">
      <x:c r="A748" s="25" t="str">
        <x:v>LME_036</x:v>
      </x:c>
      <x:c r="B748" s="25" t="str">
        <x:v>matched_catch_tonnes</x:v>
      </x:c>
      <x:c r="C748" s="25" t="n">
        <x:v>11101666.087778974</x:v>
      </x:c>
      <x:c r="D748" s="25" t="str">
        <x:v>tonnes</x:v>
      </x:c>
    </x:row>
    <x:row r="749" ht="18" customHeight="1">
      <x:c r="A749" s="25" t="str">
        <x:v>LME_036</x:v>
      </x:c>
      <x:c r="B749" s="25" t="str">
        <x:v>catch_coverage_fraction</x:v>
      </x:c>
      <x:c r="C749" s="25" t="n">
        <x:v>1</x:v>
      </x:c>
      <x:c r="D749" s="25" t="str">
        <x:v>fraction</x:v>
      </x:c>
    </x:row>
    <x:row r="750" ht="18" customHeight="1">
      <x:c r="A750" s="25" t="str">
        <x:v>LME_036</x:v>
      </x:c>
      <x:c r="B750" s="25" t="str">
        <x:v>taxa_count</x:v>
      </x:c>
      <x:c r="C750" s="25" t="n">
        <x:v>340</x:v>
      </x:c>
      <x:c r="D750" s="25" t="str">
        <x:v>count</x:v>
      </x:c>
    </x:row>
    <x:row r="751" ht="18" customHeight="1">
      <x:c r="A751" s="25" t="str">
        <x:v>LME_036</x:v>
      </x:c>
      <x:c r="B751" s="25" t="str">
        <x:v>matched_taxa_count</x:v>
      </x:c>
      <x:c r="C751" s="25" t="n">
        <x:v>340</x:v>
      </x:c>
      <x:c r="D751" s="25" t="str">
        <x:v>count</x:v>
      </x:c>
    </x:row>
    <x:row r="752" ht="18" customHeight="1">
      <x:c r="A752" s="25" t="str">
        <x:v>LME_036</x:v>
      </x:c>
      <x:c r="B752" s="25" t="str">
        <x:v>unmatched_taxa_count</x:v>
      </x:c>
      <x:c r="C752" s="25" t="n">
        <x:v>0</x:v>
      </x:c>
      <x:c r="D752" s="25" t="str">
        <x:v>count</x:v>
      </x:c>
    </x:row>
    <x:row r="753" ht="18" customHeight="1">
      <x:c r="A753" s="25" t="str">
        <x:v>LME_036</x:v>
      </x:c>
      <x:c r="B753" s="25" t="str">
        <x:v>species_ppr</x:v>
      </x:c>
      <x:c r="C753" s="25" t="n">
        <x:v>8070990713.09262</x:v>
      </x:c>
      <x:c r="D753" s="25" t="str">
        <x:v>tonnes_primary_production_equivalent</x:v>
      </x:c>
    </x:row>
    <x:row r="754" ht="18" customHeight="1">
      <x:c r="A754" s="25" t="str">
        <x:v>LME_036</x:v>
      </x:c>
      <x:c r="B754" s="25" t="str">
        <x:v>commercial_ppr</x:v>
      </x:c>
      <x:c r="C754" s="25" t="n">
        <x:v>5121239748.801037</x:v>
      </x:c>
      <x:c r="D754" s="25" t="str">
        <x:v>tonnes_primary_production_equivalent</x:v>
      </x:c>
    </x:row>
    <x:row r="755" ht="18" customHeight="1">
      <x:c r="A755" s="25" t="str">
        <x:v>LME_036</x:v>
      </x:c>
      <x:c r="B755" s="25" t="str">
        <x:v>functional_ppr</x:v>
      </x:c>
      <x:c r="C755" s="25" t="n">
        <x:v>6177614152.066727</x:v>
      </x:c>
      <x:c r="D755" s="25" t="str">
        <x:v>tonnes_primary_production_equivalent</x:v>
      </x:c>
    </x:row>
    <x:row r="756" ht="18" customHeight="1">
      <x:c r="A756" s="25" t="str">
        <x:v>LME_036</x:v>
      </x:c>
      <x:c r="B756" s="25" t="str">
        <x:v>commercial_ppr_difference</x:v>
      </x:c>
      <x:c r="C756" s="25" t="n">
        <x:v>-2949750964.291583</x:v>
      </x:c>
      <x:c r="D756" s="25" t="str">
        <x:v>tonnes_primary_production_equivalent</x:v>
      </x:c>
    </x:row>
    <x:row r="757" ht="18" customHeight="1">
      <x:c r="A757" s="25" t="str">
        <x:v>LME_036</x:v>
      </x:c>
      <x:c r="B757" s="25" t="str">
        <x:v>functional_ppr_difference</x:v>
      </x:c>
      <x:c r="C757" s="25" t="n">
        <x:v>-1893376561.0258932</x:v>
      </x:c>
      <x:c r="D757" s="25" t="str">
        <x:v>tonnes_primary_production_equivalent</x:v>
      </x:c>
    </x:row>
    <x:row r="758" ht="18" customHeight="1">
      <x:c r="A758" s="25" t="str">
        <x:v>LME_037</x:v>
      </x:c>
      <x:c r="B758" s="25" t="str">
        <x:v>raw_filtered_tonnes</x:v>
      </x:c>
      <x:c r="C758" s="25" t="n">
        <x:v>1731971.9673227617</x:v>
      </x:c>
      <x:c r="D758" s="25" t="str">
        <x:v>tonnes</x:v>
      </x:c>
    </x:row>
    <x:row r="759" ht="18" customHeight="1">
      <x:c r="A759" s="25" t="str">
        <x:v>LME_037</x:v>
      </x:c>
      <x:c r="B759" s="25" t="str">
        <x:v>species_catch_tonnes</x:v>
      </x:c>
      <x:c r="C759" s="25" t="n">
        <x:v>1731971.9673227614</x:v>
      </x:c>
      <x:c r="D759" s="25" t="str">
        <x:v>tonnes</x:v>
      </x:c>
    </x:row>
    <x:row r="760" ht="18" customHeight="1">
      <x:c r="A760" s="25" t="str">
        <x:v>LME_037</x:v>
      </x:c>
      <x:c r="B760" s="25" t="str">
        <x:v>catch_difference_tonnes</x:v>
      </x:c>
      <x:c r="C760" s="25" t="n">
        <x:v>-2.3283064365386963e-10</x:v>
      </x:c>
      <x:c r="D760" s="25" t="str">
        <x:v>tonnes</x:v>
      </x:c>
    </x:row>
    <x:row r="761" ht="18" customHeight="1">
      <x:c r="A761" s="25" t="str">
        <x:v>LME_037</x:v>
      </x:c>
      <x:c r="B761" s="25" t="str">
        <x:v>catch_reconciled</x:v>
      </x:c>
      <x:c r="C761" s="36" t="b">
        <x:v>1</x:v>
      </x:c>
      <x:c r="D761" s="25" t="str">
        <x:v>boolean</x:v>
      </x:c>
    </x:row>
    <x:row r="762" ht="18" customHeight="1">
      <x:c r="A762" s="25" t="str">
        <x:v>LME_037</x:v>
      </x:c>
      <x:c r="B762" s="25" t="str">
        <x:v>matched_catch_tonnes</x:v>
      </x:c>
      <x:c r="C762" s="25" t="n">
        <x:v>1731971.9673227614</x:v>
      </x:c>
      <x:c r="D762" s="25" t="str">
        <x:v>tonnes</x:v>
      </x:c>
    </x:row>
    <x:row r="763" ht="18" customHeight="1">
      <x:c r="A763" s="25" t="str">
        <x:v>LME_037</x:v>
      </x:c>
      <x:c r="B763" s="25" t="str">
        <x:v>catch_coverage_fraction</x:v>
      </x:c>
      <x:c r="C763" s="25" t="n">
        <x:v>1</x:v>
      </x:c>
      <x:c r="D763" s="25" t="str">
        <x:v>fraction</x:v>
      </x:c>
    </x:row>
    <x:row r="764" ht="18" customHeight="1">
      <x:c r="A764" s="25" t="str">
        <x:v>LME_037</x:v>
      </x:c>
      <x:c r="B764" s="25" t="str">
        <x:v>taxa_count</x:v>
      </x:c>
      <x:c r="C764" s="25" t="n">
        <x:v>219</x:v>
      </x:c>
      <x:c r="D764" s="25" t="str">
        <x:v>count</x:v>
      </x:c>
    </x:row>
    <x:row r="765" ht="18" customHeight="1">
      <x:c r="A765" s="25" t="str">
        <x:v>LME_037</x:v>
      </x:c>
      <x:c r="B765" s="25" t="str">
        <x:v>matched_taxa_count</x:v>
      </x:c>
      <x:c r="C765" s="25" t="n">
        <x:v>219</x:v>
      </x:c>
      <x:c r="D765" s="25" t="str">
        <x:v>count</x:v>
      </x:c>
    </x:row>
    <x:row r="766" ht="18" customHeight="1">
      <x:c r="A766" s="25" t="str">
        <x:v>LME_037</x:v>
      </x:c>
      <x:c r="B766" s="25" t="str">
        <x:v>unmatched_taxa_count</x:v>
      </x:c>
      <x:c r="C766" s="25" t="n">
        <x:v>0</x:v>
      </x:c>
      <x:c r="D766" s="25" t="str">
        <x:v>count</x:v>
      </x:c>
    </x:row>
    <x:row r="767" ht="18" customHeight="1">
      <x:c r="A767" s="25" t="str">
        <x:v>LME_037</x:v>
      </x:c>
      <x:c r="B767" s="25" t="str">
        <x:v>species_ppr</x:v>
      </x:c>
      <x:c r="C767" s="25" t="n">
        <x:v>990198790.8703026</x:v>
      </x:c>
      <x:c r="D767" s="25" t="str">
        <x:v>tonnes_primary_production_equivalent</x:v>
      </x:c>
    </x:row>
    <x:row r="768" ht="18" customHeight="1">
      <x:c r="A768" s="25" t="str">
        <x:v>LME_037</x:v>
      </x:c>
      <x:c r="B768" s="25" t="str">
        <x:v>commercial_ppr</x:v>
      </x:c>
      <x:c r="C768" s="25" t="n">
        <x:v>668224367.6583638</x:v>
      </x:c>
      <x:c r="D768" s="25" t="str">
        <x:v>tonnes_primary_production_equivalent</x:v>
      </x:c>
    </x:row>
    <x:row r="769" ht="18" customHeight="1">
      <x:c r="A769" s="25" t="str">
        <x:v>LME_037</x:v>
      </x:c>
      <x:c r="B769" s="25" t="str">
        <x:v>functional_ppr</x:v>
      </x:c>
      <x:c r="C769" s="25" t="n">
        <x:v>731176308.5367349</x:v>
      </x:c>
      <x:c r="D769" s="25" t="str">
        <x:v>tonnes_primary_production_equivalent</x:v>
      </x:c>
    </x:row>
    <x:row r="770" ht="18" customHeight="1">
      <x:c r="A770" s="25" t="str">
        <x:v>LME_037</x:v>
      </x:c>
      <x:c r="B770" s="25" t="str">
        <x:v>commercial_ppr_difference</x:v>
      </x:c>
      <x:c r="C770" s="25" t="n">
        <x:v>-321974423.21193874</x:v>
      </x:c>
      <x:c r="D770" s="25" t="str">
        <x:v>tonnes_primary_production_equivalent</x:v>
      </x:c>
    </x:row>
    <x:row r="771" ht="18" customHeight="1">
      <x:c r="A771" s="25" t="str">
        <x:v>LME_037</x:v>
      </x:c>
      <x:c r="B771" s="25" t="str">
        <x:v>functional_ppr_difference</x:v>
      </x:c>
      <x:c r="C771" s="25" t="n">
        <x:v>-259022482.33356762</x:v>
      </x:c>
      <x:c r="D771" s="25" t="str">
        <x:v>tonnes_primary_production_equivalent</x:v>
      </x:c>
    </x:row>
    <x:row r="772" ht="18" customHeight="1">
      <x:c r="A772" s="25" t="str">
        <x:v>LME_038</x:v>
      </x:c>
      <x:c r="B772" s="25" t="str">
        <x:v>raw_filtered_tonnes</x:v>
      </x:c>
      <x:c r="C772" s="25" t="n">
        <x:v>2883541.9537540907</x:v>
      </x:c>
      <x:c r="D772" s="25" t="str">
        <x:v>tonnes</x:v>
      </x:c>
    </x:row>
    <x:row r="773" ht="18" customHeight="1">
      <x:c r="A773" s="25" t="str">
        <x:v>LME_038</x:v>
      </x:c>
      <x:c r="B773" s="25" t="str">
        <x:v>species_catch_tonnes</x:v>
      </x:c>
      <x:c r="C773" s="25" t="n">
        <x:v>2883541.9537540916</x:v>
      </x:c>
      <x:c r="D773" s="25" t="str">
        <x:v>tonnes</x:v>
      </x:c>
    </x:row>
    <x:row r="774" ht="18" customHeight="1">
      <x:c r="A774" s="25" t="str">
        <x:v>LME_038</x:v>
      </x:c>
      <x:c r="B774" s="25" t="str">
        <x:v>catch_difference_tonnes</x:v>
      </x:c>
      <x:c r="C774" s="25" t="n">
        <x:v>9.313225746154785e-10</x:v>
      </x:c>
      <x:c r="D774" s="25" t="str">
        <x:v>tonnes</x:v>
      </x:c>
    </x:row>
    <x:row r="775" ht="18" customHeight="1">
      <x:c r="A775" s="25" t="str">
        <x:v>LME_038</x:v>
      </x:c>
      <x:c r="B775" s="25" t="str">
        <x:v>catch_reconciled</x:v>
      </x:c>
      <x:c r="C775" s="36" t="b">
        <x:v>1</x:v>
      </x:c>
      <x:c r="D775" s="25" t="str">
        <x:v>boolean</x:v>
      </x:c>
    </x:row>
    <x:row r="776" ht="18" customHeight="1">
      <x:c r="A776" s="25" t="str">
        <x:v>LME_038</x:v>
      </x:c>
      <x:c r="B776" s="25" t="str">
        <x:v>matched_catch_tonnes</x:v>
      </x:c>
      <x:c r="C776" s="25" t="n">
        <x:v>2883541.9537540916</x:v>
      </x:c>
      <x:c r="D776" s="25" t="str">
        <x:v>tonnes</x:v>
      </x:c>
    </x:row>
    <x:row r="777" ht="18" customHeight="1">
      <x:c r="A777" s="25" t="str">
        <x:v>LME_038</x:v>
      </x:c>
      <x:c r="B777" s="25" t="str">
        <x:v>catch_coverage_fraction</x:v>
      </x:c>
      <x:c r="C777" s="25" t="n">
        <x:v>1</x:v>
      </x:c>
      <x:c r="D777" s="25" t="str">
        <x:v>fraction</x:v>
      </x:c>
    </x:row>
    <x:row r="778" ht="18" customHeight="1">
      <x:c r="A778" s="25" t="str">
        <x:v>LME_038</x:v>
      </x:c>
      <x:c r="B778" s="25" t="str">
        <x:v>taxa_count</x:v>
      </x:c>
      <x:c r="C778" s="25" t="n">
        <x:v>142</x:v>
      </x:c>
      <x:c r="D778" s="25" t="str">
        <x:v>count</x:v>
      </x:c>
    </x:row>
    <x:row r="779" ht="18" customHeight="1">
      <x:c r="A779" s="25" t="str">
        <x:v>LME_038</x:v>
      </x:c>
      <x:c r="B779" s="25" t="str">
        <x:v>matched_taxa_count</x:v>
      </x:c>
      <x:c r="C779" s="25" t="n">
        <x:v>142</x:v>
      </x:c>
      <x:c r="D779" s="25" t="str">
        <x:v>count</x:v>
      </x:c>
    </x:row>
    <x:row r="780" ht="18" customHeight="1">
      <x:c r="A780" s="25" t="str">
        <x:v>LME_038</x:v>
      </x:c>
      <x:c r="B780" s="25" t="str">
        <x:v>unmatched_taxa_count</x:v>
      </x:c>
      <x:c r="C780" s="25" t="n">
        <x:v>0</x:v>
      </x:c>
      <x:c r="D780" s="25" t="str">
        <x:v>count</x:v>
      </x:c>
    </x:row>
    <x:row r="781" ht="18" customHeight="1">
      <x:c r="A781" s="25" t="str">
        <x:v>LME_038</x:v>
      </x:c>
      <x:c r="B781" s="25" t="str">
        <x:v>species_ppr</x:v>
      </x:c>
      <x:c r="C781" s="25" t="n">
        <x:v>1678212214.8416104</x:v>
      </x:c>
      <x:c r="D781" s="25" t="str">
        <x:v>tonnes_primary_production_equivalent</x:v>
      </x:c>
    </x:row>
    <x:row r="782" ht="18" customHeight="1">
      <x:c r="A782" s="25" t="str">
        <x:v>LME_038</x:v>
      </x:c>
      <x:c r="B782" s="25" t="str">
        <x:v>commercial_ppr</x:v>
      </x:c>
      <x:c r="C782" s="25" t="n">
        <x:v>1110962513.3774147</x:v>
      </x:c>
      <x:c r="D782" s="25" t="str">
        <x:v>tonnes_primary_production_equivalent</x:v>
      </x:c>
    </x:row>
    <x:row r="783" ht="18" customHeight="1">
      <x:c r="A783" s="25" t="str">
        <x:v>LME_038</x:v>
      </x:c>
      <x:c r="B783" s="25" t="str">
        <x:v>functional_ppr</x:v>
      </x:c>
      <x:c r="C783" s="25" t="n">
        <x:v>1252314766.816485</x:v>
      </x:c>
      <x:c r="D783" s="25" t="str">
        <x:v>tonnes_primary_production_equivalent</x:v>
      </x:c>
    </x:row>
    <x:row r="784" ht="18" customHeight="1">
      <x:c r="A784" s="25" t="str">
        <x:v>LME_038</x:v>
      </x:c>
      <x:c r="B784" s="25" t="str">
        <x:v>commercial_ppr_difference</x:v>
      </x:c>
      <x:c r="C784" s="25" t="n">
        <x:v>-567249701.4641957</x:v>
      </x:c>
      <x:c r="D784" s="25" t="str">
        <x:v>tonnes_primary_production_equivalent</x:v>
      </x:c>
    </x:row>
    <x:row r="785" ht="18" customHeight="1">
      <x:c r="A785" s="25" t="str">
        <x:v>LME_038</x:v>
      </x:c>
      <x:c r="B785" s="25" t="str">
        <x:v>functional_ppr_difference</x:v>
      </x:c>
      <x:c r="C785" s="25" t="n">
        <x:v>-425897448.0251255</x:v>
      </x:c>
      <x:c r="D785" s="25" t="str">
        <x:v>tonnes_primary_production_equivalent</x:v>
      </x:c>
    </x:row>
    <x:row r="786" ht="18" customHeight="1">
      <x:c r="A786" s="25" t="str">
        <x:v>LME_039</x:v>
      </x:c>
      <x:c r="B786" s="25" t="str">
        <x:v>raw_filtered_tonnes</x:v>
      </x:c>
      <x:c r="C786" s="25" t="n">
        <x:v>44872.4444403339</x:v>
      </x:c>
      <x:c r="D786" s="25" t="str">
        <x:v>tonnes</x:v>
      </x:c>
    </x:row>
    <x:row r="787" ht="18" customHeight="1">
      <x:c r="A787" s="25" t="str">
        <x:v>LME_039</x:v>
      </x:c>
      <x:c r="B787" s="25" t="str">
        <x:v>species_catch_tonnes</x:v>
      </x:c>
      <x:c r="C787" s="25" t="n">
        <x:v>44872.4444403339</x:v>
      </x:c>
      <x:c r="D787" s="25" t="str">
        <x:v>tonnes</x:v>
      </x:c>
    </x:row>
    <x:row r="788" ht="18" customHeight="1">
      <x:c r="A788" s="25" t="str">
        <x:v>LME_039</x:v>
      </x:c>
      <x:c r="B788" s="25" t="str">
        <x:v>catch_difference_tonnes</x:v>
      </x:c>
      <x:c r="C788" s="25" t="n">
        <x:v>0</x:v>
      </x:c>
      <x:c r="D788" s="25" t="str">
        <x:v>tonnes</x:v>
      </x:c>
    </x:row>
    <x:row r="789" ht="18" customHeight="1">
      <x:c r="A789" s="25" t="str">
        <x:v>LME_039</x:v>
      </x:c>
      <x:c r="B789" s="25" t="str">
        <x:v>catch_reconciled</x:v>
      </x:c>
      <x:c r="C789" s="36" t="b">
        <x:v>1</x:v>
      </x:c>
      <x:c r="D789" s="25" t="str">
        <x:v>boolean</x:v>
      </x:c>
    </x:row>
    <x:row r="790" ht="18" customHeight="1">
      <x:c r="A790" s="25" t="str">
        <x:v>LME_039</x:v>
      </x:c>
      <x:c r="B790" s="25" t="str">
        <x:v>matched_catch_tonnes</x:v>
      </x:c>
      <x:c r="C790" s="25" t="n">
        <x:v>44872.4444403339</x:v>
      </x:c>
      <x:c r="D790" s="25" t="str">
        <x:v>tonnes</x:v>
      </x:c>
    </x:row>
    <x:row r="791" ht="18" customHeight="1">
      <x:c r="A791" s="25" t="str">
        <x:v>LME_039</x:v>
      </x:c>
      <x:c r="B791" s="25" t="str">
        <x:v>catch_coverage_fraction</x:v>
      </x:c>
      <x:c r="C791" s="25" t="n">
        <x:v>1</x:v>
      </x:c>
      <x:c r="D791" s="25" t="str">
        <x:v>fraction</x:v>
      </x:c>
    </x:row>
    <x:row r="792" ht="18" customHeight="1">
      <x:c r="A792" s="25" t="str">
        <x:v>LME_039</x:v>
      </x:c>
      <x:c r="B792" s="25" t="str">
        <x:v>taxa_count</x:v>
      </x:c>
      <x:c r="C792" s="25" t="n">
        <x:v>452</x:v>
      </x:c>
      <x:c r="D792" s="25" t="str">
        <x:v>count</x:v>
      </x:c>
    </x:row>
    <x:row r="793" ht="18" customHeight="1">
      <x:c r="A793" s="25" t="str">
        <x:v>LME_039</x:v>
      </x:c>
      <x:c r="B793" s="25" t="str">
        <x:v>matched_taxa_count</x:v>
      </x:c>
      <x:c r="C793" s="25" t="n">
        <x:v>452</x:v>
      </x:c>
      <x:c r="D793" s="25" t="str">
        <x:v>count</x:v>
      </x:c>
    </x:row>
    <x:row r="794" ht="18" customHeight="1">
      <x:c r="A794" s="25" t="str">
        <x:v>LME_039</x:v>
      </x:c>
      <x:c r="B794" s="25" t="str">
        <x:v>unmatched_taxa_count</x:v>
      </x:c>
      <x:c r="C794" s="25" t="n">
        <x:v>0</x:v>
      </x:c>
      <x:c r="D794" s="25" t="str">
        <x:v>count</x:v>
      </x:c>
    </x:row>
    <x:row r="795" ht="18" customHeight="1">
      <x:c r="A795" s="25" t="str">
        <x:v>LME_039</x:v>
      </x:c>
      <x:c r="B795" s="25" t="str">
        <x:v>species_ppr</x:v>
      </x:c>
      <x:c r="C795" s="25" t="n">
        <x:v>32609919.10129194</x:v>
      </x:c>
      <x:c r="D795" s="25" t="str">
        <x:v>tonnes_primary_production_equivalent</x:v>
      </x:c>
    </x:row>
    <x:row r="796" ht="18" customHeight="1">
      <x:c r="A796" s="25" t="str">
        <x:v>LME_039</x:v>
      </x:c>
      <x:c r="B796" s="25" t="str">
        <x:v>commercial_ppr</x:v>
      </x:c>
      <x:c r="C796" s="25" t="n">
        <x:v>21306232.562969234</x:v>
      </x:c>
      <x:c r="D796" s="25" t="str">
        <x:v>tonnes_primary_production_equivalent</x:v>
      </x:c>
    </x:row>
    <x:row r="797" ht="18" customHeight="1">
      <x:c r="A797" s="25" t="str">
        <x:v>LME_039</x:v>
      </x:c>
      <x:c r="B797" s="25" t="str">
        <x:v>functional_ppr</x:v>
      </x:c>
      <x:c r="C797" s="25" t="n">
        <x:v>23668195.99001727</x:v>
      </x:c>
      <x:c r="D797" s="25" t="str">
        <x:v>tonnes_primary_production_equivalent</x:v>
      </x:c>
    </x:row>
    <x:row r="798" ht="18" customHeight="1">
      <x:c r="A798" s="25" t="str">
        <x:v>LME_039</x:v>
      </x:c>
      <x:c r="B798" s="25" t="str">
        <x:v>commercial_ppr_difference</x:v>
      </x:c>
      <x:c r="C798" s="25" t="n">
        <x:v>-11303686.538322706</x:v>
      </x:c>
      <x:c r="D798" s="25" t="str">
        <x:v>tonnes_primary_production_equivalent</x:v>
      </x:c>
    </x:row>
    <x:row r="799" ht="18" customHeight="1">
      <x:c r="A799" s="25" t="str">
        <x:v>LME_039</x:v>
      </x:c>
      <x:c r="B799" s="25" t="str">
        <x:v>functional_ppr_difference</x:v>
      </x:c>
      <x:c r="C799" s="25" t="n">
        <x:v>-8941723.11127467</x:v>
      </x:c>
      <x:c r="D799" s="25" t="str">
        <x:v>tonnes_primary_production_equivalent</x:v>
      </x:c>
    </x:row>
    <x:row r="800" ht="18" customHeight="1">
      <x:c r="A800" s="25" t="str">
        <x:v>LME_040</x:v>
      </x:c>
      <x:c r="B800" s="25" t="str">
        <x:v>raw_filtered_tonnes</x:v>
      </x:c>
      <x:c r="C800" s="25" t="n">
        <x:v>22842.5316976432</x:v>
      </x:c>
      <x:c r="D800" s="25" t="str">
        <x:v>tonnes</x:v>
      </x:c>
    </x:row>
    <x:row r="801" ht="18" customHeight="1">
      <x:c r="A801" s="25" t="str">
        <x:v>LME_040</x:v>
      </x:c>
      <x:c r="B801" s="25" t="str">
        <x:v>species_catch_tonnes</x:v>
      </x:c>
      <x:c r="C801" s="25" t="n">
        <x:v>22842.531697643197</x:v>
      </x:c>
      <x:c r="D801" s="25" t="str">
        <x:v>tonnes</x:v>
      </x:c>
    </x:row>
    <x:row r="802" ht="18" customHeight="1">
      <x:c r="A802" s="25" t="str">
        <x:v>LME_040</x:v>
      </x:c>
      <x:c r="B802" s="25" t="str">
        <x:v>catch_difference_tonnes</x:v>
      </x:c>
      <x:c r="C802" s="25" t="n">
        <x:v>-3.637978807091713e-12</x:v>
      </x:c>
      <x:c r="D802" s="25" t="str">
        <x:v>tonnes</x:v>
      </x:c>
    </x:row>
    <x:row r="803" ht="18" customHeight="1">
      <x:c r="A803" s="25" t="str">
        <x:v>LME_040</x:v>
      </x:c>
      <x:c r="B803" s="25" t="str">
        <x:v>catch_reconciled</x:v>
      </x:c>
      <x:c r="C803" s="36" t="b">
        <x:v>1</x:v>
      </x:c>
      <x:c r="D803" s="25" t="str">
        <x:v>boolean</x:v>
      </x:c>
    </x:row>
    <x:row r="804" ht="18" customHeight="1">
      <x:c r="A804" s="25" t="str">
        <x:v>LME_040</x:v>
      </x:c>
      <x:c r="B804" s="25" t="str">
        <x:v>matched_catch_tonnes</x:v>
      </x:c>
      <x:c r="C804" s="25" t="n">
        <x:v>22842.531697643197</x:v>
      </x:c>
      <x:c r="D804" s="25" t="str">
        <x:v>tonnes</x:v>
      </x:c>
    </x:row>
    <x:row r="805" ht="18" customHeight="1">
      <x:c r="A805" s="25" t="str">
        <x:v>LME_040</x:v>
      </x:c>
      <x:c r="B805" s="25" t="str">
        <x:v>catch_coverage_fraction</x:v>
      </x:c>
      <x:c r="C805" s="25" t="n">
        <x:v>1</x:v>
      </x:c>
      <x:c r="D805" s="25" t="str">
        <x:v>fraction</x:v>
      </x:c>
    </x:row>
    <x:row r="806" ht="18" customHeight="1">
      <x:c r="A806" s="25" t="str">
        <x:v>LME_040</x:v>
      </x:c>
      <x:c r="B806" s="25" t="str">
        <x:v>taxa_count</x:v>
      </x:c>
      <x:c r="C806" s="25" t="n">
        <x:v>332</x:v>
      </x:c>
      <x:c r="D806" s="25" t="str">
        <x:v>count</x:v>
      </x:c>
    </x:row>
    <x:row r="807" ht="18" customHeight="1">
      <x:c r="A807" s="25" t="str">
        <x:v>LME_040</x:v>
      </x:c>
      <x:c r="B807" s="25" t="str">
        <x:v>matched_taxa_count</x:v>
      </x:c>
      <x:c r="C807" s="25" t="n">
        <x:v>332</x:v>
      </x:c>
      <x:c r="D807" s="25" t="str">
        <x:v>count</x:v>
      </x:c>
    </x:row>
    <x:row r="808" ht="18" customHeight="1">
      <x:c r="A808" s="25" t="str">
        <x:v>LME_040</x:v>
      </x:c>
      <x:c r="B808" s="25" t="str">
        <x:v>unmatched_taxa_count</x:v>
      </x:c>
      <x:c r="C808" s="25" t="n">
        <x:v>0</x:v>
      </x:c>
      <x:c r="D808" s="25" t="str">
        <x:v>count</x:v>
      </x:c>
    </x:row>
    <x:row r="809" ht="18" customHeight="1">
      <x:c r="A809" s="25" t="str">
        <x:v>LME_040</x:v>
      </x:c>
      <x:c r="B809" s="25" t="str">
        <x:v>species_ppr</x:v>
      </x:c>
      <x:c r="C809" s="25" t="n">
        <x:v>27661702.09258175</x:v>
      </x:c>
      <x:c r="D809" s="25" t="str">
        <x:v>tonnes_primary_production_equivalent</x:v>
      </x:c>
    </x:row>
    <x:row r="810" ht="18" customHeight="1">
      <x:c r="A810" s="25" t="str">
        <x:v>LME_040</x:v>
      </x:c>
      <x:c r="B810" s="25" t="str">
        <x:v>commercial_ppr</x:v>
      </x:c>
      <x:c r="C810" s="25" t="n">
        <x:v>20349298.750192918</x:v>
      </x:c>
      <x:c r="D810" s="25" t="str">
        <x:v>tonnes_primary_production_equivalent</x:v>
      </x:c>
    </x:row>
    <x:row r="811" ht="18" customHeight="1">
      <x:c r="A811" s="25" t="str">
        <x:v>LME_040</x:v>
      </x:c>
      <x:c r="B811" s="25" t="str">
        <x:v>functional_ppr</x:v>
      </x:c>
      <x:c r="C811" s="25" t="n">
        <x:v>24055117.92563951</x:v>
      </x:c>
      <x:c r="D811" s="25" t="str">
        <x:v>tonnes_primary_production_equivalent</x:v>
      </x:c>
    </x:row>
    <x:row r="812" ht="18" customHeight="1">
      <x:c r="A812" s="25" t="str">
        <x:v>LME_040</x:v>
      </x:c>
      <x:c r="B812" s="25" t="str">
        <x:v>commercial_ppr_difference</x:v>
      </x:c>
      <x:c r="C812" s="25" t="n">
        <x:v>-7312403.342388831</x:v>
      </x:c>
      <x:c r="D812" s="25" t="str">
        <x:v>tonnes_primary_production_equivalent</x:v>
      </x:c>
    </x:row>
    <x:row r="813" ht="18" customHeight="1">
      <x:c r="A813" s="25" t="str">
        <x:v>LME_040</x:v>
      </x:c>
      <x:c r="B813" s="25" t="str">
        <x:v>functional_ppr_difference</x:v>
      </x:c>
      <x:c r="C813" s="25" t="n">
        <x:v>-3606584.166942239</x:v>
      </x:c>
      <x:c r="D813" s="25" t="str">
        <x:v>tonnes_primary_production_equivalent</x:v>
      </x:c>
    </x:row>
    <x:row r="814" ht="18" customHeight="1">
      <x:c r="A814" s="25" t="str">
        <x:v>LME_041</x:v>
      </x:c>
      <x:c r="B814" s="25" t="str">
        <x:v>raw_filtered_tonnes</x:v>
      </x:c>
      <x:c r="C814" s="25" t="n">
        <x:v>39281.0247337031</x:v>
      </x:c>
      <x:c r="D814" s="25" t="str">
        <x:v>tonnes</x:v>
      </x:c>
    </x:row>
    <x:row r="815" ht="18" customHeight="1">
      <x:c r="A815" s="25" t="str">
        <x:v>LME_041</x:v>
      </x:c>
      <x:c r="B815" s="25" t="str">
        <x:v>species_catch_tonnes</x:v>
      </x:c>
      <x:c r="C815" s="25" t="n">
        <x:v>39281.024733703096</x:v>
      </x:c>
      <x:c r="D815" s="25" t="str">
        <x:v>tonnes</x:v>
      </x:c>
    </x:row>
    <x:row r="816" ht="18" customHeight="1">
      <x:c r="A816" s="25" t="str">
        <x:v>LME_041</x:v>
      </x:c>
      <x:c r="B816" s="25" t="str">
        <x:v>catch_difference_tonnes</x:v>
      </x:c>
      <x:c r="C816" s="25" t="n">
        <x:v>-7.275957614183426e-12</x:v>
      </x:c>
      <x:c r="D816" s="25" t="str">
        <x:v>tonnes</x:v>
      </x:c>
    </x:row>
    <x:row r="817" ht="18" customHeight="1">
      <x:c r="A817" s="25" t="str">
        <x:v>LME_041</x:v>
      </x:c>
      <x:c r="B817" s="25" t="str">
        <x:v>catch_reconciled</x:v>
      </x:c>
      <x:c r="C817" s="36" t="b">
        <x:v>1</x:v>
      </x:c>
      <x:c r="D817" s="25" t="str">
        <x:v>boolean</x:v>
      </x:c>
    </x:row>
    <x:row r="818" ht="18" customHeight="1">
      <x:c r="A818" s="25" t="str">
        <x:v>LME_041</x:v>
      </x:c>
      <x:c r="B818" s="25" t="str">
        <x:v>matched_catch_tonnes</x:v>
      </x:c>
      <x:c r="C818" s="25" t="n">
        <x:v>39281.024733703096</x:v>
      </x:c>
      <x:c r="D818" s="25" t="str">
        <x:v>tonnes</x:v>
      </x:c>
    </x:row>
    <x:row r="819" ht="18" customHeight="1">
      <x:c r="A819" s="25" t="str">
        <x:v>LME_041</x:v>
      </x:c>
      <x:c r="B819" s="25" t="str">
        <x:v>catch_coverage_fraction</x:v>
      </x:c>
      <x:c r="C819" s="25" t="n">
        <x:v>1</x:v>
      </x:c>
      <x:c r="D819" s="25" t="str">
        <x:v>fraction</x:v>
      </x:c>
    </x:row>
    <x:row r="820" ht="18" customHeight="1">
      <x:c r="A820" s="25" t="str">
        <x:v>LME_041</x:v>
      </x:c>
      <x:c r="B820" s="25" t="str">
        <x:v>taxa_count</x:v>
      </x:c>
      <x:c r="C820" s="25" t="n">
        <x:v>382</x:v>
      </x:c>
      <x:c r="D820" s="25" t="str">
        <x:v>count</x:v>
      </x:c>
    </x:row>
    <x:row r="821" ht="18" customHeight="1">
      <x:c r="A821" s="25" t="str">
        <x:v>LME_041</x:v>
      </x:c>
      <x:c r="B821" s="25" t="str">
        <x:v>matched_taxa_count</x:v>
      </x:c>
      <x:c r="C821" s="25" t="n">
        <x:v>382</x:v>
      </x:c>
      <x:c r="D821" s="25" t="str">
        <x:v>count</x:v>
      </x:c>
    </x:row>
    <x:row r="822" ht="18" customHeight="1">
      <x:c r="A822" s="25" t="str">
        <x:v>LME_041</x:v>
      </x:c>
      <x:c r="B822" s="25" t="str">
        <x:v>unmatched_taxa_count</x:v>
      </x:c>
      <x:c r="C822" s="25" t="n">
        <x:v>0</x:v>
      </x:c>
      <x:c r="D822" s="25" t="str">
        <x:v>count</x:v>
      </x:c>
    </x:row>
    <x:row r="823" ht="18" customHeight="1">
      <x:c r="A823" s="25" t="str">
        <x:v>LME_041</x:v>
      </x:c>
      <x:c r="B823" s="25" t="str">
        <x:v>species_ppr</x:v>
      </x:c>
      <x:c r="C823" s="25" t="n">
        <x:v>32154354.584904723</x:v>
      </x:c>
      <x:c r="D823" s="25" t="str">
        <x:v>tonnes_primary_production_equivalent</x:v>
      </x:c>
    </x:row>
    <x:row r="824" ht="18" customHeight="1">
      <x:c r="A824" s="25" t="str">
        <x:v>LME_041</x:v>
      </x:c>
      <x:c r="B824" s="25" t="str">
        <x:v>commercial_ppr</x:v>
      </x:c>
      <x:c r="C824" s="25" t="n">
        <x:v>21227256.672829352</x:v>
      </x:c>
      <x:c r="D824" s="25" t="str">
        <x:v>tonnes_primary_production_equivalent</x:v>
      </x:c>
    </x:row>
    <x:row r="825" ht="18" customHeight="1">
      <x:c r="A825" s="25" t="str">
        <x:v>LME_041</x:v>
      </x:c>
      <x:c r="B825" s="25" t="str">
        <x:v>functional_ppr</x:v>
      </x:c>
      <x:c r="C825" s="25" t="n">
        <x:v>27004717.00709983</x:v>
      </x:c>
      <x:c r="D825" s="25" t="str">
        <x:v>tonnes_primary_production_equivalent</x:v>
      </x:c>
    </x:row>
    <x:row r="826" ht="18" customHeight="1">
      <x:c r="A826" s="25" t="str">
        <x:v>LME_041</x:v>
      </x:c>
      <x:c r="B826" s="25" t="str">
        <x:v>commercial_ppr_difference</x:v>
      </x:c>
      <x:c r="C826" s="25" t="n">
        <x:v>-10927097.91207537</x:v>
      </x:c>
      <x:c r="D826" s="25" t="str">
        <x:v>tonnes_primary_production_equivalent</x:v>
      </x:c>
    </x:row>
    <x:row r="827" ht="18" customHeight="1">
      <x:c r="A827" s="25" t="str">
        <x:v>LME_041</x:v>
      </x:c>
      <x:c r="B827" s="25" t="str">
        <x:v>functional_ppr_difference</x:v>
      </x:c>
      <x:c r="C827" s="25" t="n">
        <x:v>-5149637.577804893</x:v>
      </x:c>
      <x:c r="D827" s="25" t="str">
        <x:v>tonnes_primary_production_equivalent</x:v>
      </x:c>
    </x:row>
    <x:row r="828" ht="18" customHeight="1">
      <x:c r="A828" s="25" t="str">
        <x:v>LME_042</x:v>
      </x:c>
      <x:c r="B828" s="25" t="str">
        <x:v>raw_filtered_tonnes</x:v>
      </x:c>
      <x:c r="C828" s="25" t="n">
        <x:v>32645.754357906102</x:v>
      </x:c>
      <x:c r="D828" s="25" t="str">
        <x:v>tonnes</x:v>
      </x:c>
    </x:row>
    <x:row r="829" ht="18" customHeight="1">
      <x:c r="A829" s="25" t="str">
        <x:v>LME_042</x:v>
      </x:c>
      <x:c r="B829" s="25" t="str">
        <x:v>species_catch_tonnes</x:v>
      </x:c>
      <x:c r="C829" s="25" t="n">
        <x:v>32645.7543579061</x:v>
      </x:c>
      <x:c r="D829" s="25" t="str">
        <x:v>tonnes</x:v>
      </x:c>
    </x:row>
    <x:row r="830" ht="18" customHeight="1">
      <x:c r="A830" s="25" t="str">
        <x:v>LME_042</x:v>
      </x:c>
      <x:c r="B830" s="25" t="str">
        <x:v>catch_difference_tonnes</x:v>
      </x:c>
      <x:c r="C830" s="25" t="n">
        <x:v>-3.637978807091713e-12</x:v>
      </x:c>
      <x:c r="D830" s="25" t="str">
        <x:v>tonnes</x:v>
      </x:c>
    </x:row>
    <x:row r="831" ht="18" customHeight="1">
      <x:c r="A831" s="25" t="str">
        <x:v>LME_042</x:v>
      </x:c>
      <x:c r="B831" s="25" t="str">
        <x:v>catch_reconciled</x:v>
      </x:c>
      <x:c r="C831" s="36" t="b">
        <x:v>1</x:v>
      </x:c>
      <x:c r="D831" s="25" t="str">
        <x:v>boolean</x:v>
      </x:c>
    </x:row>
    <x:row r="832" ht="18" customHeight="1">
      <x:c r="A832" s="25" t="str">
        <x:v>LME_042</x:v>
      </x:c>
      <x:c r="B832" s="25" t="str">
        <x:v>matched_catch_tonnes</x:v>
      </x:c>
      <x:c r="C832" s="25" t="n">
        <x:v>32645.7543579061</x:v>
      </x:c>
      <x:c r="D832" s="25" t="str">
        <x:v>tonnes</x:v>
      </x:c>
    </x:row>
    <x:row r="833" ht="18" customHeight="1">
      <x:c r="A833" s="25" t="str">
        <x:v>LME_042</x:v>
      </x:c>
      <x:c r="B833" s="25" t="str">
        <x:v>catch_coverage_fraction</x:v>
      </x:c>
      <x:c r="C833" s="25" t="n">
        <x:v>1</x:v>
      </x:c>
      <x:c r="D833" s="25" t="str">
        <x:v>fraction</x:v>
      </x:c>
    </x:row>
    <x:row r="834" ht="18" customHeight="1">
      <x:c r="A834" s="25" t="str">
        <x:v>LME_042</x:v>
      </x:c>
      <x:c r="B834" s="25" t="str">
        <x:v>taxa_count</x:v>
      </x:c>
      <x:c r="C834" s="25" t="n">
        <x:v>246</x:v>
      </x:c>
      <x:c r="D834" s="25" t="str">
        <x:v>count</x:v>
      </x:c>
    </x:row>
    <x:row r="835" ht="18" customHeight="1">
      <x:c r="A835" s="25" t="str">
        <x:v>LME_042</x:v>
      </x:c>
      <x:c r="B835" s="25" t="str">
        <x:v>matched_taxa_count</x:v>
      </x:c>
      <x:c r="C835" s="25" t="n">
        <x:v>246</x:v>
      </x:c>
      <x:c r="D835" s="25" t="str">
        <x:v>count</x:v>
      </x:c>
    </x:row>
    <x:row r="836" ht="18" customHeight="1">
      <x:c r="A836" s="25" t="str">
        <x:v>LME_042</x:v>
      </x:c>
      <x:c r="B836" s="25" t="str">
        <x:v>unmatched_taxa_count</x:v>
      </x:c>
      <x:c r="C836" s="25" t="n">
        <x:v>0</x:v>
      </x:c>
      <x:c r="D836" s="25" t="str">
        <x:v>count</x:v>
      </x:c>
    </x:row>
    <x:row r="837" ht="18" customHeight="1">
      <x:c r="A837" s="25" t="str">
        <x:v>LME_042</x:v>
      </x:c>
      <x:c r="B837" s="25" t="str">
        <x:v>species_ppr</x:v>
      </x:c>
      <x:c r="C837" s="25" t="n">
        <x:v>22122834.477210246</x:v>
      </x:c>
      <x:c r="D837" s="25" t="str">
        <x:v>tonnes_primary_production_equivalent</x:v>
      </x:c>
    </x:row>
    <x:row r="838" ht="18" customHeight="1">
      <x:c r="A838" s="25" t="str">
        <x:v>LME_042</x:v>
      </x:c>
      <x:c r="B838" s="25" t="str">
        <x:v>commercial_ppr</x:v>
      </x:c>
      <x:c r="C838" s="25" t="n">
        <x:v>16994442.064237066</x:v>
      </x:c>
      <x:c r="D838" s="25" t="str">
        <x:v>tonnes_primary_production_equivalent</x:v>
      </x:c>
    </x:row>
    <x:row r="839" ht="18" customHeight="1">
      <x:c r="A839" s="25" t="str">
        <x:v>LME_042</x:v>
      </x:c>
      <x:c r="B839" s="25" t="str">
        <x:v>functional_ppr</x:v>
      </x:c>
      <x:c r="C839" s="25" t="n">
        <x:v>17411902.077911425</x:v>
      </x:c>
      <x:c r="D839" s="25" t="str">
        <x:v>tonnes_primary_production_equivalent</x:v>
      </x:c>
    </x:row>
    <x:row r="840" ht="18" customHeight="1">
      <x:c r="A840" s="25" t="str">
        <x:v>LME_042</x:v>
      </x:c>
      <x:c r="B840" s="25" t="str">
        <x:v>commercial_ppr_difference</x:v>
      </x:c>
      <x:c r="C840" s="25" t="n">
        <x:v>-5128392.41297318</x:v>
      </x:c>
      <x:c r="D840" s="25" t="str">
        <x:v>tonnes_primary_production_equivalent</x:v>
      </x:c>
    </x:row>
    <x:row r="841" ht="18" customHeight="1">
      <x:c r="A841" s="25" t="str">
        <x:v>LME_042</x:v>
      </x:c>
      <x:c r="B841" s="25" t="str">
        <x:v>functional_ppr_difference</x:v>
      </x:c>
      <x:c r="C841" s="25" t="n">
        <x:v>-4710932.399298821</x:v>
      </x:c>
      <x:c r="D841" s="25" t="str">
        <x:v>tonnes_primary_production_equivalent</x:v>
      </x:c>
    </x:row>
    <x:row r="842" ht="18" customHeight="1">
      <x:c r="A842" s="25" t="str">
        <x:v>LME_043</x:v>
      </x:c>
      <x:c r="B842" s="25" t="str">
        <x:v>raw_filtered_tonnes</x:v>
      </x:c>
      <x:c r="C842" s="25" t="n">
        <x:v>30450.9174249122</x:v>
      </x:c>
      <x:c r="D842" s="25" t="str">
        <x:v>tonnes</x:v>
      </x:c>
    </x:row>
    <x:row r="843" ht="18" customHeight="1">
      <x:c r="A843" s="25" t="str">
        <x:v>LME_043</x:v>
      </x:c>
      <x:c r="B843" s="25" t="str">
        <x:v>species_catch_tonnes</x:v>
      </x:c>
      <x:c r="C843" s="25" t="n">
        <x:v>30450.9174249122</x:v>
      </x:c>
      <x:c r="D843" s="25" t="str">
        <x:v>tonnes</x:v>
      </x:c>
    </x:row>
    <x:row r="844" ht="18" customHeight="1">
      <x:c r="A844" s="25" t="str">
        <x:v>LME_043</x:v>
      </x:c>
      <x:c r="B844" s="25" t="str">
        <x:v>catch_difference_tonnes</x:v>
      </x:c>
      <x:c r="C844" s="25" t="n">
        <x:v>0</x:v>
      </x:c>
      <x:c r="D844" s="25" t="str">
        <x:v>tonnes</x:v>
      </x:c>
    </x:row>
    <x:row r="845" ht="18" customHeight="1">
      <x:c r="A845" s="25" t="str">
        <x:v>LME_043</x:v>
      </x:c>
      <x:c r="B845" s="25" t="str">
        <x:v>catch_reconciled</x:v>
      </x:c>
      <x:c r="C845" s="36" t="b">
        <x:v>1</x:v>
      </x:c>
      <x:c r="D845" s="25" t="str">
        <x:v>boolean</x:v>
      </x:c>
    </x:row>
    <x:row r="846" ht="18" customHeight="1">
      <x:c r="A846" s="25" t="str">
        <x:v>LME_043</x:v>
      </x:c>
      <x:c r="B846" s="25" t="str">
        <x:v>matched_catch_tonnes</x:v>
      </x:c>
      <x:c r="C846" s="25" t="n">
        <x:v>30450.9174249122</x:v>
      </x:c>
      <x:c r="D846" s="25" t="str">
        <x:v>tonnes</x:v>
      </x:c>
    </x:row>
    <x:row r="847" ht="18" customHeight="1">
      <x:c r="A847" s="25" t="str">
        <x:v>LME_043</x:v>
      </x:c>
      <x:c r="B847" s="25" t="str">
        <x:v>catch_coverage_fraction</x:v>
      </x:c>
      <x:c r="C847" s="25" t="n">
        <x:v>1</x:v>
      </x:c>
      <x:c r="D847" s="25" t="str">
        <x:v>fraction</x:v>
      </x:c>
    </x:row>
    <x:row r="848" ht="18" customHeight="1">
      <x:c r="A848" s="25" t="str">
        <x:v>LME_043</x:v>
      </x:c>
      <x:c r="B848" s="25" t="str">
        <x:v>taxa_count</x:v>
      </x:c>
      <x:c r="C848" s="25" t="n">
        <x:v>245</x:v>
      </x:c>
      <x:c r="D848" s="25" t="str">
        <x:v>count</x:v>
      </x:c>
    </x:row>
    <x:row r="849" ht="18" customHeight="1">
      <x:c r="A849" s="25" t="str">
        <x:v>LME_043</x:v>
      </x:c>
      <x:c r="B849" s="25" t="str">
        <x:v>matched_taxa_count</x:v>
      </x:c>
      <x:c r="C849" s="25" t="n">
        <x:v>245</x:v>
      </x:c>
      <x:c r="D849" s="25" t="str">
        <x:v>count</x:v>
      </x:c>
    </x:row>
    <x:row r="850" ht="18" customHeight="1">
      <x:c r="A850" s="25" t="str">
        <x:v>LME_043</x:v>
      </x:c>
      <x:c r="B850" s="25" t="str">
        <x:v>unmatched_taxa_count</x:v>
      </x:c>
      <x:c r="C850" s="25" t="n">
        <x:v>0</x:v>
      </x:c>
      <x:c r="D850" s="25" t="str">
        <x:v>count</x:v>
      </x:c>
    </x:row>
    <x:row r="851" ht="18" customHeight="1">
      <x:c r="A851" s="25" t="str">
        <x:v>LME_043</x:v>
      </x:c>
      <x:c r="B851" s="25" t="str">
        <x:v>species_ppr</x:v>
      </x:c>
      <x:c r="C851" s="25" t="n">
        <x:v>21615913.499733415</x:v>
      </x:c>
      <x:c r="D851" s="25" t="str">
        <x:v>tonnes_primary_production_equivalent</x:v>
      </x:c>
    </x:row>
    <x:row r="852" ht="18" customHeight="1">
      <x:c r="A852" s="25" t="str">
        <x:v>LME_043</x:v>
      </x:c>
      <x:c r="B852" s="25" t="str">
        <x:v>commercial_ppr</x:v>
      </x:c>
      <x:c r="C852" s="25" t="n">
        <x:v>17708395.819334067</x:v>
      </x:c>
      <x:c r="D852" s="25" t="str">
        <x:v>tonnes_primary_production_equivalent</x:v>
      </x:c>
    </x:row>
    <x:row r="853" ht="18" customHeight="1">
      <x:c r="A853" s="25" t="str">
        <x:v>LME_043</x:v>
      </x:c>
      <x:c r="B853" s="25" t="str">
        <x:v>functional_ppr</x:v>
      </x:c>
      <x:c r="C853" s="25" t="n">
        <x:v>17052177.81094027</x:v>
      </x:c>
      <x:c r="D853" s="25" t="str">
        <x:v>tonnes_primary_production_equivalent</x:v>
      </x:c>
    </x:row>
    <x:row r="854" ht="18" customHeight="1">
      <x:c r="A854" s="25" t="str">
        <x:v>LME_043</x:v>
      </x:c>
      <x:c r="B854" s="25" t="str">
        <x:v>commercial_ppr_difference</x:v>
      </x:c>
      <x:c r="C854" s="25" t="n">
        <x:v>-3907517.680399347</x:v>
      </x:c>
      <x:c r="D854" s="25" t="str">
        <x:v>tonnes_primary_production_equivalent</x:v>
      </x:c>
    </x:row>
    <x:row r="855" ht="18" customHeight="1">
      <x:c r="A855" s="25" t="str">
        <x:v>LME_043</x:v>
      </x:c>
      <x:c r="B855" s="25" t="str">
        <x:v>functional_ppr_difference</x:v>
      </x:c>
      <x:c r="C855" s="25" t="n">
        <x:v>-4563735.688793145</x:v>
      </x:c>
      <x:c r="D855" s="25" t="str">
        <x:v>tonnes_primary_production_equivalent</x:v>
      </x:c>
    </x:row>
    <x:row r="856" ht="18" customHeight="1">
      <x:c r="A856" s="25" t="str">
        <x:v>LME_044</x:v>
      </x:c>
      <x:c r="B856" s="25" t="str">
        <x:v>raw_filtered_tonnes</x:v>
      </x:c>
      <x:c r="C856" s="25" t="n">
        <x:v>19839.0729312876</x:v>
      </x:c>
      <x:c r="D856" s="25" t="str">
        <x:v>tonnes</x:v>
      </x:c>
    </x:row>
    <x:row r="857" ht="18" customHeight="1">
      <x:c r="A857" s="25" t="str">
        <x:v>LME_044</x:v>
      </x:c>
      <x:c r="B857" s="25" t="str">
        <x:v>species_catch_tonnes</x:v>
      </x:c>
      <x:c r="C857" s="25" t="n">
        <x:v>19839.072931287603</x:v>
      </x:c>
      <x:c r="D857" s="25" t="str">
        <x:v>tonnes</x:v>
      </x:c>
    </x:row>
    <x:row r="858" ht="18" customHeight="1">
      <x:c r="A858" s="25" t="str">
        <x:v>LME_044</x:v>
      </x:c>
      <x:c r="B858" s="25" t="str">
        <x:v>catch_difference_tonnes</x:v>
      </x:c>
      <x:c r="C858" s="25" t="n">
        <x:v>3.637978807091713e-12</x:v>
      </x:c>
      <x:c r="D858" s="25" t="str">
        <x:v>tonnes</x:v>
      </x:c>
    </x:row>
    <x:row r="859" ht="18" customHeight="1">
      <x:c r="A859" s="25" t="str">
        <x:v>LME_044</x:v>
      </x:c>
      <x:c r="B859" s="25" t="str">
        <x:v>catch_reconciled</x:v>
      </x:c>
      <x:c r="C859" s="36" t="b">
        <x:v>1</x:v>
      </x:c>
      <x:c r="D859" s="25" t="str">
        <x:v>boolean</x:v>
      </x:c>
    </x:row>
    <x:row r="860" ht="18" customHeight="1">
      <x:c r="A860" s="25" t="str">
        <x:v>LME_044</x:v>
      </x:c>
      <x:c r="B860" s="25" t="str">
        <x:v>matched_catch_tonnes</x:v>
      </x:c>
      <x:c r="C860" s="25" t="n">
        <x:v>19839.072931287603</x:v>
      </x:c>
      <x:c r="D860" s="25" t="str">
        <x:v>tonnes</x:v>
      </x:c>
    </x:row>
    <x:row r="861" ht="18" customHeight="1">
      <x:c r="A861" s="25" t="str">
        <x:v>LME_044</x:v>
      </x:c>
      <x:c r="B861" s="25" t="str">
        <x:v>catch_coverage_fraction</x:v>
      </x:c>
      <x:c r="C861" s="25" t="n">
        <x:v>1</x:v>
      </x:c>
      <x:c r="D861" s="25" t="str">
        <x:v>fraction</x:v>
      </x:c>
    </x:row>
    <x:row r="862" ht="18" customHeight="1">
      <x:c r="A862" s="25" t="str">
        <x:v>LME_044</x:v>
      </x:c>
      <x:c r="B862" s="25" t="str">
        <x:v>taxa_count</x:v>
      </x:c>
      <x:c r="C862" s="25" t="n">
        <x:v>411</x:v>
      </x:c>
      <x:c r="D862" s="25" t="str">
        <x:v>count</x:v>
      </x:c>
    </x:row>
    <x:row r="863" ht="18" customHeight="1">
      <x:c r="A863" s="25" t="str">
        <x:v>LME_044</x:v>
      </x:c>
      <x:c r="B863" s="25" t="str">
        <x:v>matched_taxa_count</x:v>
      </x:c>
      <x:c r="C863" s="25" t="n">
        <x:v>411</x:v>
      </x:c>
      <x:c r="D863" s="25" t="str">
        <x:v>count</x:v>
      </x:c>
    </x:row>
    <x:row r="864" ht="18" customHeight="1">
      <x:c r="A864" s="25" t="str">
        <x:v>LME_044</x:v>
      </x:c>
      <x:c r="B864" s="25" t="str">
        <x:v>unmatched_taxa_count</x:v>
      </x:c>
      <x:c r="C864" s="25" t="n">
        <x:v>0</x:v>
      </x:c>
      <x:c r="D864" s="25" t="str">
        <x:v>count</x:v>
      </x:c>
    </x:row>
    <x:row r="865" ht="18" customHeight="1">
      <x:c r="A865" s="25" t="str">
        <x:v>LME_044</x:v>
      </x:c>
      <x:c r="B865" s="25" t="str">
        <x:v>species_ppr</x:v>
      </x:c>
      <x:c r="C865" s="25" t="n">
        <x:v>8269244.800308174</x:v>
      </x:c>
      <x:c r="D865" s="25" t="str">
        <x:v>tonnes_primary_production_equivalent</x:v>
      </x:c>
    </x:row>
    <x:row r="866" ht="18" customHeight="1">
      <x:c r="A866" s="25" t="str">
        <x:v>LME_044</x:v>
      </x:c>
      <x:c r="B866" s="25" t="str">
        <x:v>commercial_ppr</x:v>
      </x:c>
      <x:c r="C866" s="25" t="n">
        <x:v>6187071.010985136</x:v>
      </x:c>
      <x:c r="D866" s="25" t="str">
        <x:v>tonnes_primary_production_equivalent</x:v>
      </x:c>
    </x:row>
    <x:row r="867" ht="18" customHeight="1">
      <x:c r="A867" s="25" t="str">
        <x:v>LME_044</x:v>
      </x:c>
      <x:c r="B867" s="25" t="str">
        <x:v>functional_ppr</x:v>
      </x:c>
      <x:c r="C867" s="25" t="n">
        <x:v>5984450.086611022</x:v>
      </x:c>
      <x:c r="D867" s="25" t="str">
        <x:v>tonnes_primary_production_equivalent</x:v>
      </x:c>
    </x:row>
    <x:row r="868" ht="18" customHeight="1">
      <x:c r="A868" s="25" t="str">
        <x:v>LME_044</x:v>
      </x:c>
      <x:c r="B868" s="25" t="str">
        <x:v>commercial_ppr_difference</x:v>
      </x:c>
      <x:c r="C868" s="25" t="n">
        <x:v>-2082173.7893230384</x:v>
      </x:c>
      <x:c r="D868" s="25" t="str">
        <x:v>tonnes_primary_production_equivalent</x:v>
      </x:c>
    </x:row>
    <x:row r="869" ht="18" customHeight="1">
      <x:c r="A869" s="25" t="str">
        <x:v>LME_044</x:v>
      </x:c>
      <x:c r="B869" s="25" t="str">
        <x:v>functional_ppr_difference</x:v>
      </x:c>
      <x:c r="C869" s="25" t="n">
        <x:v>-2284794.713697152</x:v>
      </x:c>
      <x:c r="D869" s="25" t="str">
        <x:v>tonnes_primary_production_equivalent</x:v>
      </x:c>
    </x:row>
    <x:row r="870" ht="18" customHeight="1">
      <x:c r="A870" s="25" t="str">
        <x:v>LME_045</x:v>
      </x:c>
      <x:c r="B870" s="25" t="str">
        <x:v>raw_filtered_tonnes</x:v>
      </x:c>
      <x:c r="C870" s="25" t="n">
        <x:v>44647.944981429304</x:v>
      </x:c>
      <x:c r="D870" s="25" t="str">
        <x:v>tonnes</x:v>
      </x:c>
    </x:row>
    <x:row r="871" ht="18" customHeight="1">
      <x:c r="A871" s="25" t="str">
        <x:v>LME_045</x:v>
      </x:c>
      <x:c r="B871" s="25" t="str">
        <x:v>species_catch_tonnes</x:v>
      </x:c>
      <x:c r="C871" s="25" t="n">
        <x:v>44647.94498142931</x:v>
      </x:c>
      <x:c r="D871" s="25" t="str">
        <x:v>tonnes</x:v>
      </x:c>
    </x:row>
    <x:row r="872" ht="18" customHeight="1">
      <x:c r="A872" s="25" t="str">
        <x:v>LME_045</x:v>
      </x:c>
      <x:c r="B872" s="25" t="str">
        <x:v>catch_difference_tonnes</x:v>
      </x:c>
      <x:c r="C872" s="25" t="n">
        <x:v>7.275957614183426e-12</x:v>
      </x:c>
      <x:c r="D872" s="25" t="str">
        <x:v>tonnes</x:v>
      </x:c>
    </x:row>
    <x:row r="873" ht="18" customHeight="1">
      <x:c r="A873" s="25" t="str">
        <x:v>LME_045</x:v>
      </x:c>
      <x:c r="B873" s="25" t="str">
        <x:v>catch_reconciled</x:v>
      </x:c>
      <x:c r="C873" s="36" t="b">
        <x:v>1</x:v>
      </x:c>
      <x:c r="D873" s="25" t="str">
        <x:v>boolean</x:v>
      </x:c>
    </x:row>
    <x:row r="874" ht="18" customHeight="1">
      <x:c r="A874" s="25" t="str">
        <x:v>LME_045</x:v>
      </x:c>
      <x:c r="B874" s="25" t="str">
        <x:v>matched_catch_tonnes</x:v>
      </x:c>
      <x:c r="C874" s="25" t="n">
        <x:v>44647.94498142931</x:v>
      </x:c>
      <x:c r="D874" s="25" t="str">
        <x:v>tonnes</x:v>
      </x:c>
    </x:row>
    <x:row r="875" ht="18" customHeight="1">
      <x:c r="A875" s="25" t="str">
        <x:v>LME_045</x:v>
      </x:c>
      <x:c r="B875" s="25" t="str">
        <x:v>catch_coverage_fraction</x:v>
      </x:c>
      <x:c r="C875" s="25" t="n">
        <x:v>1</x:v>
      </x:c>
      <x:c r="D875" s="25" t="str">
        <x:v>fraction</x:v>
      </x:c>
    </x:row>
    <x:row r="876" ht="18" customHeight="1">
      <x:c r="A876" s="25" t="str">
        <x:v>LME_045</x:v>
      </x:c>
      <x:c r="B876" s="25" t="str">
        <x:v>taxa_count</x:v>
      </x:c>
      <x:c r="C876" s="25" t="n">
        <x:v>410</x:v>
      </x:c>
      <x:c r="D876" s="25" t="str">
        <x:v>count</x:v>
      </x:c>
    </x:row>
    <x:row r="877" ht="18" customHeight="1">
      <x:c r="A877" s="25" t="str">
        <x:v>LME_045</x:v>
      </x:c>
      <x:c r="B877" s="25" t="str">
        <x:v>matched_taxa_count</x:v>
      </x:c>
      <x:c r="C877" s="25" t="n">
        <x:v>410</x:v>
      </x:c>
      <x:c r="D877" s="25" t="str">
        <x:v>count</x:v>
      </x:c>
    </x:row>
    <x:row r="878" ht="18" customHeight="1">
      <x:c r="A878" s="25" t="str">
        <x:v>LME_045</x:v>
      </x:c>
      <x:c r="B878" s="25" t="str">
        <x:v>unmatched_taxa_count</x:v>
      </x:c>
      <x:c r="C878" s="25" t="n">
        <x:v>0</x:v>
      </x:c>
      <x:c r="D878" s="25" t="str">
        <x:v>count</x:v>
      </x:c>
    </x:row>
    <x:row r="879" ht="18" customHeight="1">
      <x:c r="A879" s="25" t="str">
        <x:v>LME_045</x:v>
      </x:c>
      <x:c r="B879" s="25" t="str">
        <x:v>species_ppr</x:v>
      </x:c>
      <x:c r="C879" s="25" t="n">
        <x:v>19198827.203371964</x:v>
      </x:c>
      <x:c r="D879" s="25" t="str">
        <x:v>tonnes_primary_production_equivalent</x:v>
      </x:c>
    </x:row>
    <x:row r="880" ht="18" customHeight="1">
      <x:c r="A880" s="25" t="str">
        <x:v>LME_045</x:v>
      </x:c>
      <x:c r="B880" s="25" t="str">
        <x:v>commercial_ppr</x:v>
      </x:c>
      <x:c r="C880" s="25" t="n">
        <x:v>14488054.060753897</x:v>
      </x:c>
      <x:c r="D880" s="25" t="str">
        <x:v>tonnes_primary_production_equivalent</x:v>
      </x:c>
    </x:row>
    <x:row r="881" ht="18" customHeight="1">
      <x:c r="A881" s="25" t="str">
        <x:v>LME_045</x:v>
      </x:c>
      <x:c r="B881" s="25" t="str">
        <x:v>functional_ppr</x:v>
      </x:c>
      <x:c r="C881" s="25" t="n">
        <x:v>15071326.5809076</x:v>
      </x:c>
      <x:c r="D881" s="25" t="str">
        <x:v>tonnes_primary_production_equivalent</x:v>
      </x:c>
    </x:row>
    <x:row r="882" ht="18" customHeight="1">
      <x:c r="A882" s="25" t="str">
        <x:v>LME_045</x:v>
      </x:c>
      <x:c r="B882" s="25" t="str">
        <x:v>commercial_ppr_difference</x:v>
      </x:c>
      <x:c r="C882" s="25" t="n">
        <x:v>-4710773.142618068</x:v>
      </x:c>
      <x:c r="D882" s="25" t="str">
        <x:v>tonnes_primary_production_equivalent</x:v>
      </x:c>
    </x:row>
    <x:row r="883" ht="18" customHeight="1">
      <x:c r="A883" s="25" t="str">
        <x:v>LME_045</x:v>
      </x:c>
      <x:c r="B883" s="25" t="str">
        <x:v>functional_ppr_difference</x:v>
      </x:c>
      <x:c r="C883" s="25" t="n">
        <x:v>-4127500.6224643644</x:v>
      </x:c>
      <x:c r="D883" s="25" t="str">
        <x:v>tonnes_primary_production_equivalent</x:v>
      </x:c>
    </x:row>
    <x:row r="884" ht="18" customHeight="1">
      <x:c r="A884" s="25" t="str">
        <x:v>LME_046</x:v>
      </x:c>
      <x:c r="B884" s="25" t="str">
        <x:v>raw_filtered_tonnes</x:v>
      </x:c>
      <x:c r="C884" s="25" t="n">
        <x:v>431127.77716673305</x:v>
      </x:c>
      <x:c r="D884" s="25" t="str">
        <x:v>tonnes</x:v>
      </x:c>
    </x:row>
    <x:row r="885" ht="18" customHeight="1">
      <x:c r="A885" s="25" t="str">
        <x:v>LME_046</x:v>
      </x:c>
      <x:c r="B885" s="25" t="str">
        <x:v>species_catch_tonnes</x:v>
      </x:c>
      <x:c r="C885" s="25" t="n">
        <x:v>431127.77716673305</x:v>
      </x:c>
      <x:c r="D885" s="25" t="str">
        <x:v>tonnes</x:v>
      </x:c>
    </x:row>
    <x:row r="886" ht="18" customHeight="1">
      <x:c r="A886" s="25" t="str">
        <x:v>LME_046</x:v>
      </x:c>
      <x:c r="B886" s="25" t="str">
        <x:v>catch_difference_tonnes</x:v>
      </x:c>
      <x:c r="C886" s="25" t="n">
        <x:v>0</x:v>
      </x:c>
      <x:c r="D886" s="25" t="str">
        <x:v>tonnes</x:v>
      </x:c>
    </x:row>
    <x:row r="887" ht="18" customHeight="1">
      <x:c r="A887" s="25" t="str">
        <x:v>LME_046</x:v>
      </x:c>
      <x:c r="B887" s="25" t="str">
        <x:v>catch_reconciled</x:v>
      </x:c>
      <x:c r="C887" s="36" t="b">
        <x:v>1</x:v>
      </x:c>
      <x:c r="D887" s="25" t="str">
        <x:v>boolean</x:v>
      </x:c>
    </x:row>
    <x:row r="888" ht="18" customHeight="1">
      <x:c r="A888" s="25" t="str">
        <x:v>LME_046</x:v>
      </x:c>
      <x:c r="B888" s="25" t="str">
        <x:v>matched_catch_tonnes</x:v>
      </x:c>
      <x:c r="C888" s="25" t="n">
        <x:v>431127.77716673305</x:v>
      </x:c>
      <x:c r="D888" s="25" t="str">
        <x:v>tonnes</x:v>
      </x:c>
    </x:row>
    <x:row r="889" ht="18" customHeight="1">
      <x:c r="A889" s="25" t="str">
        <x:v>LME_046</x:v>
      </x:c>
      <x:c r="B889" s="25" t="str">
        <x:v>catch_coverage_fraction</x:v>
      </x:c>
      <x:c r="C889" s="25" t="n">
        <x:v>1</x:v>
      </x:c>
      <x:c r="D889" s="25" t="str">
        <x:v>fraction</x:v>
      </x:c>
    </x:row>
    <x:row r="890" ht="18" customHeight="1">
      <x:c r="A890" s="25" t="str">
        <x:v>LME_046</x:v>
      </x:c>
      <x:c r="B890" s="25" t="str">
        <x:v>taxa_count</x:v>
      </x:c>
      <x:c r="C890" s="25" t="n">
        <x:v>197</x:v>
      </x:c>
      <x:c r="D890" s="25" t="str">
        <x:v>count</x:v>
      </x:c>
    </x:row>
    <x:row r="891" ht="18" customHeight="1">
      <x:c r="A891" s="25" t="str">
        <x:v>LME_046</x:v>
      </x:c>
      <x:c r="B891" s="25" t="str">
        <x:v>matched_taxa_count</x:v>
      </x:c>
      <x:c r="C891" s="25" t="n">
        <x:v>197</x:v>
      </x:c>
      <x:c r="D891" s="25" t="str">
        <x:v>count</x:v>
      </x:c>
    </x:row>
    <x:row r="892" ht="18" customHeight="1">
      <x:c r="A892" s="25" t="str">
        <x:v>LME_046</x:v>
      </x:c>
      <x:c r="B892" s="25" t="str">
        <x:v>unmatched_taxa_count</x:v>
      </x:c>
      <x:c r="C892" s="25" t="n">
        <x:v>0</x:v>
      </x:c>
      <x:c r="D892" s="25" t="str">
        <x:v>count</x:v>
      </x:c>
    </x:row>
    <x:row r="893" ht="18" customHeight="1">
      <x:c r="A893" s="25" t="str">
        <x:v>LME_046</x:v>
      </x:c>
      <x:c r="B893" s="25" t="str">
        <x:v>species_ppr</x:v>
      </x:c>
      <x:c r="C893" s="25" t="n">
        <x:v>722610291.6356041</x:v>
      </x:c>
      <x:c r="D893" s="25" t="str">
        <x:v>tonnes_primary_production_equivalent</x:v>
      </x:c>
    </x:row>
    <x:row r="894" ht="18" customHeight="1">
      <x:c r="A894" s="25" t="str">
        <x:v>LME_046</x:v>
      </x:c>
      <x:c r="B894" s="25" t="str">
        <x:v>commercial_ppr</x:v>
      </x:c>
      <x:c r="C894" s="25" t="n">
        <x:v>625979302.9233905</x:v>
      </x:c>
      <x:c r="D894" s="25" t="str">
        <x:v>tonnes_primary_production_equivalent</x:v>
      </x:c>
    </x:row>
    <x:row r="895" ht="18" customHeight="1">
      <x:c r="A895" s="25" t="str">
        <x:v>LME_046</x:v>
      </x:c>
      <x:c r="B895" s="25" t="str">
        <x:v>functional_ppr</x:v>
      </x:c>
      <x:c r="C895" s="25" t="n">
        <x:v>640351591.0568204</x:v>
      </x:c>
      <x:c r="D895" s="25" t="str">
        <x:v>tonnes_primary_production_equivalent</x:v>
      </x:c>
    </x:row>
    <x:row r="896" ht="18" customHeight="1">
      <x:c r="A896" s="25" t="str">
        <x:v>LME_046</x:v>
      </x:c>
      <x:c r="B896" s="25" t="str">
        <x:v>commercial_ppr_difference</x:v>
      </x:c>
      <x:c r="C896" s="25" t="n">
        <x:v>-96630988.71221364</x:v>
      </x:c>
      <x:c r="D896" s="25" t="str">
        <x:v>tonnes_primary_production_equivalent</x:v>
      </x:c>
    </x:row>
    <x:row r="897" ht="18" customHeight="1">
      <x:c r="A897" s="25" t="str">
        <x:v>LME_046</x:v>
      </x:c>
      <x:c r="B897" s="25" t="str">
        <x:v>functional_ppr_difference</x:v>
      </x:c>
      <x:c r="C897" s="25" t="n">
        <x:v>-82258700.57878375</x:v>
      </x:c>
      <x:c r="D897" s="25" t="str">
        <x:v>tonnes_primary_production_equivalent</x:v>
      </x:c>
    </x:row>
    <x:row r="898" ht="18" customHeight="1">
      <x:c r="A898" s="25" t="str">
        <x:v>LME_047</x:v>
      </x:c>
      <x:c r="B898" s="25" t="str">
        <x:v>raw_filtered_tonnes</x:v>
      </x:c>
      <x:c r="C898" s="25" t="n">
        <x:v>5649829.984210193</x:v>
      </x:c>
      <x:c r="D898" s="25" t="str">
        <x:v>tonnes</x:v>
      </x:c>
    </x:row>
    <x:row r="899" ht="18" customHeight="1">
      <x:c r="A899" s="25" t="str">
        <x:v>LME_047</x:v>
      </x:c>
      <x:c r="B899" s="25" t="str">
        <x:v>species_catch_tonnes</x:v>
      </x:c>
      <x:c r="C899" s="25" t="n">
        <x:v>5649829.984210193</x:v>
      </x:c>
      <x:c r="D899" s="25" t="str">
        <x:v>tonnes</x:v>
      </x:c>
    </x:row>
    <x:row r="900" ht="18" customHeight="1">
      <x:c r="A900" s="25" t="str">
        <x:v>LME_047</x:v>
      </x:c>
      <x:c r="B900" s="25" t="str">
        <x:v>catch_difference_tonnes</x:v>
      </x:c>
      <x:c r="C900" s="25" t="n">
        <x:v>0</x:v>
      </x:c>
      <x:c r="D900" s="25" t="str">
        <x:v>tonnes</x:v>
      </x:c>
    </x:row>
    <x:row r="901" ht="18" customHeight="1">
      <x:c r="A901" s="25" t="str">
        <x:v>LME_047</x:v>
      </x:c>
      <x:c r="B901" s="25" t="str">
        <x:v>catch_reconciled</x:v>
      </x:c>
      <x:c r="C901" s="36" t="b">
        <x:v>1</x:v>
      </x:c>
      <x:c r="D901" s="25" t="str">
        <x:v>boolean</x:v>
      </x:c>
    </x:row>
    <x:row r="902" ht="18" customHeight="1">
      <x:c r="A902" s="25" t="str">
        <x:v>LME_047</x:v>
      </x:c>
      <x:c r="B902" s="25" t="str">
        <x:v>matched_catch_tonnes</x:v>
      </x:c>
      <x:c r="C902" s="25" t="n">
        <x:v>5649829.984210193</x:v>
      </x:c>
      <x:c r="D902" s="25" t="str">
        <x:v>tonnes</x:v>
      </x:c>
    </x:row>
    <x:row r="903" ht="18" customHeight="1">
      <x:c r="A903" s="25" t="str">
        <x:v>LME_047</x:v>
      </x:c>
      <x:c r="B903" s="25" t="str">
        <x:v>catch_coverage_fraction</x:v>
      </x:c>
      <x:c r="C903" s="25" t="n">
        <x:v>1</x:v>
      </x:c>
      <x:c r="D903" s="25" t="str">
        <x:v>fraction</x:v>
      </x:c>
    </x:row>
    <x:row r="904" ht="18" customHeight="1">
      <x:c r="A904" s="25" t="str">
        <x:v>LME_047</x:v>
      </x:c>
      <x:c r="B904" s="25" t="str">
        <x:v>taxa_count</x:v>
      </x:c>
      <x:c r="C904" s="25" t="n">
        <x:v>254</x:v>
      </x:c>
      <x:c r="D904" s="25" t="str">
        <x:v>count</x:v>
      </x:c>
    </x:row>
    <x:row r="905" ht="18" customHeight="1">
      <x:c r="A905" s="25" t="str">
        <x:v>LME_047</x:v>
      </x:c>
      <x:c r="B905" s="25" t="str">
        <x:v>matched_taxa_count</x:v>
      </x:c>
      <x:c r="C905" s="25" t="n">
        <x:v>254</x:v>
      </x:c>
      <x:c r="D905" s="25" t="str">
        <x:v>count</x:v>
      </x:c>
    </x:row>
    <x:row r="906" ht="18" customHeight="1">
      <x:c r="A906" s="25" t="str">
        <x:v>LME_047</x:v>
      </x:c>
      <x:c r="B906" s="25" t="str">
        <x:v>unmatched_taxa_count</x:v>
      </x:c>
      <x:c r="C906" s="25" t="n">
        <x:v>0</x:v>
      </x:c>
      <x:c r="D906" s="25" t="str">
        <x:v>count</x:v>
      </x:c>
    </x:row>
    <x:row r="907" ht="18" customHeight="1">
      <x:c r="A907" s="25" t="str">
        <x:v>LME_047</x:v>
      </x:c>
      <x:c r="B907" s="25" t="str">
        <x:v>species_ppr</x:v>
      </x:c>
      <x:c r="C907" s="25" t="n">
        <x:v>3396644855.5552316</x:v>
      </x:c>
      <x:c r="D907" s="25" t="str">
        <x:v>tonnes_primary_production_equivalent</x:v>
      </x:c>
    </x:row>
    <x:row r="908" ht="18" customHeight="1">
      <x:c r="A908" s="25" t="str">
        <x:v>LME_047</x:v>
      </x:c>
      <x:c r="B908" s="25" t="str">
        <x:v>commercial_ppr</x:v>
      </x:c>
      <x:c r="C908" s="25" t="n">
        <x:v>2016011352.6502066</x:v>
      </x:c>
      <x:c r="D908" s="25" t="str">
        <x:v>tonnes_primary_production_equivalent</x:v>
      </x:c>
    </x:row>
    <x:row r="909" ht="18" customHeight="1">
      <x:c r="A909" s="25" t="str">
        <x:v>LME_047</x:v>
      </x:c>
      <x:c r="B909" s="25" t="str">
        <x:v>functional_ppr</x:v>
      </x:c>
      <x:c r="C909" s="25" t="n">
        <x:v>2784351281.529257</x:v>
      </x:c>
      <x:c r="D909" s="25" t="str">
        <x:v>tonnes_primary_production_equivalent</x:v>
      </x:c>
    </x:row>
    <x:row r="910" ht="18" customHeight="1">
      <x:c r="A910" s="25" t="str">
        <x:v>LME_047</x:v>
      </x:c>
      <x:c r="B910" s="25" t="str">
        <x:v>commercial_ppr_difference</x:v>
      </x:c>
      <x:c r="C910" s="25" t="n">
        <x:v>-1380633502.905025</x:v>
      </x:c>
      <x:c r="D910" s="25" t="str">
        <x:v>tonnes_primary_production_equivalent</x:v>
      </x:c>
    </x:row>
    <x:row r="911" ht="18" customHeight="1">
      <x:c r="A911" s="25" t="str">
        <x:v>LME_047</x:v>
      </x:c>
      <x:c r="B911" s="25" t="str">
        <x:v>functional_ppr_difference</x:v>
      </x:c>
      <x:c r="C911" s="25" t="n">
        <x:v>-612293574.0259748</x:v>
      </x:c>
      <x:c r="D911" s="25" t="str">
        <x:v>tonnes_primary_production_equivalent</x:v>
      </x:c>
    </x:row>
    <x:row r="912" ht="18" customHeight="1">
      <x:c r="A912" s="25" t="str">
        <x:v>LME_048</x:v>
      </x:c>
      <x:c r="B912" s="25" t="str">
        <x:v>raw_filtered_tonnes</x:v>
      </x:c>
      <x:c r="C912" s="25" t="n">
        <x:v>2658977.968899307</x:v>
      </x:c>
      <x:c r="D912" s="25" t="str">
        <x:v>tonnes</x:v>
      </x:c>
    </x:row>
    <x:row r="913" ht="18" customHeight="1">
      <x:c r="A913" s="25" t="str">
        <x:v>LME_048</x:v>
      </x:c>
      <x:c r="B913" s="25" t="str">
        <x:v>species_catch_tonnes</x:v>
      </x:c>
      <x:c r="C913" s="25" t="n">
        <x:v>2658977.968899307</x:v>
      </x:c>
      <x:c r="D913" s="25" t="str">
        <x:v>tonnes</x:v>
      </x:c>
    </x:row>
    <x:row r="914" ht="18" customHeight="1">
      <x:c r="A914" s="25" t="str">
        <x:v>LME_048</x:v>
      </x:c>
      <x:c r="B914" s="25" t="str">
        <x:v>catch_difference_tonnes</x:v>
      </x:c>
      <x:c r="C914" s="25" t="n">
        <x:v>0</x:v>
      </x:c>
      <x:c r="D914" s="25" t="str">
        <x:v>tonnes</x:v>
      </x:c>
    </x:row>
    <x:row r="915" ht="18" customHeight="1">
      <x:c r="A915" s="25" t="str">
        <x:v>LME_048</x:v>
      </x:c>
      <x:c r="B915" s="25" t="str">
        <x:v>catch_reconciled</x:v>
      </x:c>
      <x:c r="C915" s="36" t="b">
        <x:v>1</x:v>
      </x:c>
      <x:c r="D915" s="25" t="str">
        <x:v>boolean</x:v>
      </x:c>
    </x:row>
    <x:row r="916" ht="18" customHeight="1">
      <x:c r="A916" s="25" t="str">
        <x:v>LME_048</x:v>
      </x:c>
      <x:c r="B916" s="25" t="str">
        <x:v>matched_catch_tonnes</x:v>
      </x:c>
      <x:c r="C916" s="25" t="n">
        <x:v>2658977.968899307</x:v>
      </x:c>
      <x:c r="D916" s="25" t="str">
        <x:v>tonnes</x:v>
      </x:c>
    </x:row>
    <x:row r="917" ht="18" customHeight="1">
      <x:c r="A917" s="25" t="str">
        <x:v>LME_048</x:v>
      </x:c>
      <x:c r="B917" s="25" t="str">
        <x:v>catch_coverage_fraction</x:v>
      </x:c>
      <x:c r="C917" s="25" t="n">
        <x:v>1</x:v>
      </x:c>
      <x:c r="D917" s="25" t="str">
        <x:v>fraction</x:v>
      </x:c>
    </x:row>
    <x:row r="918" ht="18" customHeight="1">
      <x:c r="A918" s="25" t="str">
        <x:v>LME_048</x:v>
      </x:c>
      <x:c r="B918" s="25" t="str">
        <x:v>taxa_count</x:v>
      </x:c>
      <x:c r="C918" s="25" t="n">
        <x:v>175</x:v>
      </x:c>
      <x:c r="D918" s="25" t="str">
        <x:v>count</x:v>
      </x:c>
    </x:row>
    <x:row r="919" ht="18" customHeight="1">
      <x:c r="A919" s="25" t="str">
        <x:v>LME_048</x:v>
      </x:c>
      <x:c r="B919" s="25" t="str">
        <x:v>matched_taxa_count</x:v>
      </x:c>
      <x:c r="C919" s="25" t="n">
        <x:v>175</x:v>
      </x:c>
      <x:c r="D919" s="25" t="str">
        <x:v>count</x:v>
      </x:c>
    </x:row>
    <x:row r="920" ht="18" customHeight="1">
      <x:c r="A920" s="25" t="str">
        <x:v>LME_048</x:v>
      </x:c>
      <x:c r="B920" s="25" t="str">
        <x:v>unmatched_taxa_count</x:v>
      </x:c>
      <x:c r="C920" s="25" t="n">
        <x:v>0</x:v>
      </x:c>
      <x:c r="D920" s="25" t="str">
        <x:v>count</x:v>
      </x:c>
    </x:row>
    <x:row r="921" ht="18" customHeight="1">
      <x:c r="A921" s="25" t="str">
        <x:v>LME_048</x:v>
      </x:c>
      <x:c r="B921" s="25" t="str">
        <x:v>species_ppr</x:v>
      </x:c>
      <x:c r="C921" s="25" t="n">
        <x:v>1554214509.6068287</x:v>
      </x:c>
      <x:c r="D921" s="25" t="str">
        <x:v>tonnes_primary_production_equivalent</x:v>
      </x:c>
    </x:row>
    <x:row r="922" ht="18" customHeight="1">
      <x:c r="A922" s="25" t="str">
        <x:v>LME_048</x:v>
      </x:c>
      <x:c r="B922" s="25" t="str">
        <x:v>commercial_ppr</x:v>
      </x:c>
      <x:c r="C922" s="25" t="n">
        <x:v>939968038.6418488</x:v>
      </x:c>
      <x:c r="D922" s="25" t="str">
        <x:v>tonnes_primary_production_equivalent</x:v>
      </x:c>
    </x:row>
    <x:row r="923" ht="18" customHeight="1">
      <x:c r="A923" s="25" t="str">
        <x:v>LME_048</x:v>
      </x:c>
      <x:c r="B923" s="25" t="str">
        <x:v>functional_ppr</x:v>
      </x:c>
      <x:c r="C923" s="25" t="n">
        <x:v>1272167957.9722326</x:v>
      </x:c>
      <x:c r="D923" s="25" t="str">
        <x:v>tonnes_primary_production_equivalent</x:v>
      </x:c>
    </x:row>
    <x:row r="924" ht="18" customHeight="1">
      <x:c r="A924" s="25" t="str">
        <x:v>LME_048</x:v>
      </x:c>
      <x:c r="B924" s="25" t="str">
        <x:v>commercial_ppr_difference</x:v>
      </x:c>
      <x:c r="C924" s="25" t="n">
        <x:v>-614246470.9649799</x:v>
      </x:c>
      <x:c r="D924" s="25" t="str">
        <x:v>tonnes_primary_production_equivalent</x:v>
      </x:c>
    </x:row>
    <x:row r="925" ht="18" customHeight="1">
      <x:c r="A925" s="25" t="str">
        <x:v>LME_048</x:v>
      </x:c>
      <x:c r="B925" s="25" t="str">
        <x:v>functional_ppr_difference</x:v>
      </x:c>
      <x:c r="C925" s="25" t="n">
        <x:v>-282046551.6345961</x:v>
      </x:c>
      <x:c r="D925" s="25" t="str">
        <x:v>tonnes_primary_production_equivalent</x:v>
      </x:c>
    </x:row>
    <x:row r="926" ht="18" customHeight="1">
      <x:c r="A926" s="25" t="str">
        <x:v>LME_049</x:v>
      </x:c>
      <x:c r="B926" s="25" t="str">
        <x:v>raw_filtered_tonnes</x:v>
      </x:c>
      <x:c r="C926" s="25" t="n">
        <x:v>3090456.2651244747</x:v>
      </x:c>
      <x:c r="D926" s="25" t="str">
        <x:v>tonnes</x:v>
      </x:c>
    </x:row>
    <x:row r="927" ht="18" customHeight="1">
      <x:c r="A927" s="25" t="str">
        <x:v>LME_049</x:v>
      </x:c>
      <x:c r="B927" s="25" t="str">
        <x:v>species_catch_tonnes</x:v>
      </x:c>
      <x:c r="C927" s="25" t="n">
        <x:v>3090456.265124474</x:v>
      </x:c>
      <x:c r="D927" s="25" t="str">
        <x:v>tonnes</x:v>
      </x:c>
    </x:row>
    <x:row r="928" ht="18" customHeight="1">
      <x:c r="A928" s="25" t="str">
        <x:v>LME_049</x:v>
      </x:c>
      <x:c r="B928" s="25" t="str">
        <x:v>catch_difference_tonnes</x:v>
      </x:c>
      <x:c r="C928" s="25" t="n">
        <x:v>-4.656612873077393e-10</x:v>
      </x:c>
      <x:c r="D928" s="25" t="str">
        <x:v>tonnes</x:v>
      </x:c>
    </x:row>
    <x:row r="929" ht="18" customHeight="1">
      <x:c r="A929" s="25" t="str">
        <x:v>LME_049</x:v>
      </x:c>
      <x:c r="B929" s="25" t="str">
        <x:v>catch_reconciled</x:v>
      </x:c>
      <x:c r="C929" s="36" t="b">
        <x:v>1</x:v>
      </x:c>
      <x:c r="D929" s="25" t="str">
        <x:v>boolean</x:v>
      </x:c>
    </x:row>
    <x:row r="930" ht="18" customHeight="1">
      <x:c r="A930" s="25" t="str">
        <x:v>LME_049</x:v>
      </x:c>
      <x:c r="B930" s="25" t="str">
        <x:v>matched_catch_tonnes</x:v>
      </x:c>
      <x:c r="C930" s="25" t="n">
        <x:v>3090456.265124474</x:v>
      </x:c>
      <x:c r="D930" s="25" t="str">
        <x:v>tonnes</x:v>
      </x:c>
    </x:row>
    <x:row r="931" ht="18" customHeight="1">
      <x:c r="A931" s="25" t="str">
        <x:v>LME_049</x:v>
      </x:c>
      <x:c r="B931" s="25" t="str">
        <x:v>catch_coverage_fraction</x:v>
      </x:c>
      <x:c r="C931" s="25" t="n">
        <x:v>1</x:v>
      </x:c>
      <x:c r="D931" s="25" t="str">
        <x:v>fraction</x:v>
      </x:c>
    </x:row>
    <x:row r="932" ht="18" customHeight="1">
      <x:c r="A932" s="25" t="str">
        <x:v>LME_049</x:v>
      </x:c>
      <x:c r="B932" s="25" t="str">
        <x:v>taxa_count</x:v>
      </x:c>
      <x:c r="C932" s="25" t="n">
        <x:v>229</x:v>
      </x:c>
      <x:c r="D932" s="25" t="str">
        <x:v>count</x:v>
      </x:c>
    </x:row>
    <x:row r="933" ht="18" customHeight="1">
      <x:c r="A933" s="25" t="str">
        <x:v>LME_049</x:v>
      </x:c>
      <x:c r="B933" s="25" t="str">
        <x:v>matched_taxa_count</x:v>
      </x:c>
      <x:c r="C933" s="25" t="n">
        <x:v>229</x:v>
      </x:c>
      <x:c r="D933" s="25" t="str">
        <x:v>count</x:v>
      </x:c>
    </x:row>
    <x:row r="934" ht="18" customHeight="1">
      <x:c r="A934" s="25" t="str">
        <x:v>LME_049</x:v>
      </x:c>
      <x:c r="B934" s="25" t="str">
        <x:v>unmatched_taxa_count</x:v>
      </x:c>
      <x:c r="C934" s="25" t="n">
        <x:v>0</x:v>
      </x:c>
      <x:c r="D934" s="25" t="str">
        <x:v>count</x:v>
      </x:c>
    </x:row>
    <x:row r="935" ht="18" customHeight="1">
      <x:c r="A935" s="25" t="str">
        <x:v>LME_049</x:v>
      </x:c>
      <x:c r="B935" s="25" t="str">
        <x:v>species_ppr</x:v>
      </x:c>
      <x:c r="C935" s="25" t="n">
        <x:v>1682486180.5803435</x:v>
      </x:c>
      <x:c r="D935" s="25" t="str">
        <x:v>tonnes_primary_production_equivalent</x:v>
      </x:c>
    </x:row>
    <x:row r="936" ht="18" customHeight="1">
      <x:c r="A936" s="25" t="str">
        <x:v>LME_049</x:v>
      </x:c>
      <x:c r="B936" s="25" t="str">
        <x:v>commercial_ppr</x:v>
      </x:c>
      <x:c r="C936" s="25" t="n">
        <x:v>1229429462.9598556</x:v>
      </x:c>
      <x:c r="D936" s="25" t="str">
        <x:v>tonnes_primary_production_equivalent</x:v>
      </x:c>
    </x:row>
    <x:row r="937" ht="18" customHeight="1">
      <x:c r="A937" s="25" t="str">
        <x:v>LME_049</x:v>
      </x:c>
      <x:c r="B937" s="25" t="str">
        <x:v>functional_ppr</x:v>
      </x:c>
      <x:c r="C937" s="25" t="n">
        <x:v>1479014398.4195945</x:v>
      </x:c>
      <x:c r="D937" s="25" t="str">
        <x:v>tonnes_primary_production_equivalent</x:v>
      </x:c>
    </x:row>
    <x:row r="938" ht="18" customHeight="1">
      <x:c r="A938" s="25" t="str">
        <x:v>LME_049</x:v>
      </x:c>
      <x:c r="B938" s="25" t="str">
        <x:v>commercial_ppr_difference</x:v>
      </x:c>
      <x:c r="C938" s="25" t="n">
        <x:v>-453056717.6204879</x:v>
      </x:c>
      <x:c r="D938" s="25" t="str">
        <x:v>tonnes_primary_production_equivalent</x:v>
      </x:c>
    </x:row>
    <x:row r="939" ht="18" customHeight="1">
      <x:c r="A939" s="25" t="str">
        <x:v>LME_049</x:v>
      </x:c>
      <x:c r="B939" s="25" t="str">
        <x:v>functional_ppr_difference</x:v>
      </x:c>
      <x:c r="C939" s="25" t="n">
        <x:v>-203471782.16074896</x:v>
      </x:c>
      <x:c r="D939" s="25" t="str">
        <x:v>tonnes_primary_production_equivalent</x:v>
      </x:c>
    </x:row>
    <x:row r="940" ht="18" customHeight="1">
      <x:c r="A940" s="25" t="str">
        <x:v>LME_050</x:v>
      </x:c>
      <x:c r="B940" s="25" t="str">
        <x:v>raw_filtered_tonnes</x:v>
      </x:c>
      <x:c r="C940" s="25" t="n">
        <x:v>2586941.83669577</x:v>
      </x:c>
      <x:c r="D940" s="25" t="str">
        <x:v>tonnes</x:v>
      </x:c>
    </x:row>
    <x:row r="941" ht="18" customHeight="1">
      <x:c r="A941" s="25" t="str">
        <x:v>LME_050</x:v>
      </x:c>
      <x:c r="B941" s="25" t="str">
        <x:v>species_catch_tonnes</x:v>
      </x:c>
      <x:c r="C941" s="25" t="n">
        <x:v>2586941.83669577</x:v>
      </x:c>
      <x:c r="D941" s="25" t="str">
        <x:v>tonnes</x:v>
      </x:c>
    </x:row>
    <x:row r="942" ht="18" customHeight="1">
      <x:c r="A942" s="25" t="str">
        <x:v>LME_050</x:v>
      </x:c>
      <x:c r="B942" s="25" t="str">
        <x:v>catch_difference_tonnes</x:v>
      </x:c>
      <x:c r="C942" s="25" t="n">
        <x:v>0</x:v>
      </x:c>
      <x:c r="D942" s="25" t="str">
        <x:v>tonnes</x:v>
      </x:c>
    </x:row>
    <x:row r="943" ht="18" customHeight="1">
      <x:c r="A943" s="25" t="str">
        <x:v>LME_050</x:v>
      </x:c>
      <x:c r="B943" s="25" t="str">
        <x:v>catch_reconciled</x:v>
      </x:c>
      <x:c r="C943" s="36" t="b">
        <x:v>1</x:v>
      </x:c>
      <x:c r="D943" s="25" t="str">
        <x:v>boolean</x:v>
      </x:c>
    </x:row>
    <x:row r="944" ht="18" customHeight="1">
      <x:c r="A944" s="25" t="str">
        <x:v>LME_050</x:v>
      </x:c>
      <x:c r="B944" s="25" t="str">
        <x:v>matched_catch_tonnes</x:v>
      </x:c>
      <x:c r="C944" s="25" t="n">
        <x:v>2586941.83669577</x:v>
      </x:c>
      <x:c r="D944" s="25" t="str">
        <x:v>tonnes</x:v>
      </x:c>
    </x:row>
    <x:row r="945" ht="18" customHeight="1">
      <x:c r="A945" s="25" t="str">
        <x:v>LME_050</x:v>
      </x:c>
      <x:c r="B945" s="25" t="str">
        <x:v>catch_coverage_fraction</x:v>
      </x:c>
      <x:c r="C945" s="25" t="n">
        <x:v>1</x:v>
      </x:c>
      <x:c r="D945" s="25" t="str">
        <x:v>fraction</x:v>
      </x:c>
    </x:row>
    <x:row r="946" ht="18" customHeight="1">
      <x:c r="A946" s="25" t="str">
        <x:v>LME_050</x:v>
      </x:c>
      <x:c r="B946" s="25" t="str">
        <x:v>taxa_count</x:v>
      </x:c>
      <x:c r="C946" s="25" t="n">
        <x:v>218</x:v>
      </x:c>
      <x:c r="D946" s="25" t="str">
        <x:v>count</x:v>
      </x:c>
    </x:row>
    <x:row r="947" ht="18" customHeight="1">
      <x:c r="A947" s="25" t="str">
        <x:v>LME_050</x:v>
      </x:c>
      <x:c r="B947" s="25" t="str">
        <x:v>matched_taxa_count</x:v>
      </x:c>
      <x:c r="C947" s="25" t="n">
        <x:v>218</x:v>
      </x:c>
      <x:c r="D947" s="25" t="str">
        <x:v>count</x:v>
      </x:c>
    </x:row>
    <x:row r="948" ht="18" customHeight="1">
      <x:c r="A948" s="25" t="str">
        <x:v>LME_050</x:v>
      </x:c>
      <x:c r="B948" s="25" t="str">
        <x:v>unmatched_taxa_count</x:v>
      </x:c>
      <x:c r="C948" s="25" t="n">
        <x:v>0</x:v>
      </x:c>
      <x:c r="D948" s="25" t="str">
        <x:v>count</x:v>
      </x:c>
    </x:row>
    <x:row r="949" ht="18" customHeight="1">
      <x:c r="A949" s="25" t="str">
        <x:v>LME_050</x:v>
      </x:c>
      <x:c r="B949" s="25" t="str">
        <x:v>species_ppr</x:v>
      </x:c>
      <x:c r="C949" s="25" t="n">
        <x:v>1439195574.0782979</x:v>
      </x:c>
      <x:c r="D949" s="25" t="str">
        <x:v>tonnes_primary_production_equivalent</x:v>
      </x:c>
    </x:row>
    <x:row r="950" ht="18" customHeight="1">
      <x:c r="A950" s="25" t="str">
        <x:v>LME_050</x:v>
      </x:c>
      <x:c r="B950" s="25" t="str">
        <x:v>commercial_ppr</x:v>
      </x:c>
      <x:c r="C950" s="25" t="n">
        <x:v>1036169699.9564209</x:v>
      </x:c>
      <x:c r="D950" s="25" t="str">
        <x:v>tonnes_primary_production_equivalent</x:v>
      </x:c>
    </x:row>
    <x:row r="951" ht="18" customHeight="1">
      <x:c r="A951" s="25" t="str">
        <x:v>LME_050</x:v>
      </x:c>
      <x:c r="B951" s="25" t="str">
        <x:v>functional_ppr</x:v>
      </x:c>
      <x:c r="C951" s="25" t="n">
        <x:v>1161227971.5261807</x:v>
      </x:c>
      <x:c r="D951" s="25" t="str">
        <x:v>tonnes_primary_production_equivalent</x:v>
      </x:c>
    </x:row>
    <x:row r="952" ht="18" customHeight="1">
      <x:c r="A952" s="25" t="str">
        <x:v>LME_050</x:v>
      </x:c>
      <x:c r="B952" s="25" t="str">
        <x:v>commercial_ppr_difference</x:v>
      </x:c>
      <x:c r="C952" s="25" t="n">
        <x:v>-403025874.12187696</x:v>
      </x:c>
      <x:c r="D952" s="25" t="str">
        <x:v>tonnes_primary_production_equivalent</x:v>
      </x:c>
    </x:row>
    <x:row r="953" ht="18" customHeight="1">
      <x:c r="A953" s="25" t="str">
        <x:v>LME_050</x:v>
      </x:c>
      <x:c r="B953" s="25" t="str">
        <x:v>functional_ppr_difference</x:v>
      </x:c>
      <x:c r="C953" s="25" t="n">
        <x:v>-277967602.5521171</x:v>
      </x:c>
      <x:c r="D953" s="25" t="str">
        <x:v>tonnes_primary_production_equivalent</x:v>
      </x:c>
    </x:row>
    <x:row r="954" ht="18" customHeight="1">
      <x:c r="A954" s="25" t="str">
        <x:v>LME_051</x:v>
      </x:c>
      <x:c r="B954" s="25" t="str">
        <x:v>raw_filtered_tonnes</x:v>
      </x:c>
      <x:c r="C954" s="25" t="n">
        <x:v>1092021.8374498228</x:v>
      </x:c>
      <x:c r="D954" s="25" t="str">
        <x:v>tonnes</x:v>
      </x:c>
    </x:row>
    <x:row r="955" ht="18" customHeight="1">
      <x:c r="A955" s="25" t="str">
        <x:v>LME_051</x:v>
      </x:c>
      <x:c r="B955" s="25" t="str">
        <x:v>species_catch_tonnes</x:v>
      </x:c>
      <x:c r="C955" s="25" t="n">
        <x:v>1092021.8374498228</x:v>
      </x:c>
      <x:c r="D955" s="25" t="str">
        <x:v>tonnes</x:v>
      </x:c>
    </x:row>
    <x:row r="956" ht="18" customHeight="1">
      <x:c r="A956" s="25" t="str">
        <x:v>LME_051</x:v>
      </x:c>
      <x:c r="B956" s="25" t="str">
        <x:v>catch_difference_tonnes</x:v>
      </x:c>
      <x:c r="C956" s="25" t="n">
        <x:v>0</x:v>
      </x:c>
      <x:c r="D956" s="25" t="str">
        <x:v>tonnes</x:v>
      </x:c>
    </x:row>
    <x:row r="957" ht="18" customHeight="1">
      <x:c r="A957" s="25" t="str">
        <x:v>LME_051</x:v>
      </x:c>
      <x:c r="B957" s="25" t="str">
        <x:v>catch_reconciled</x:v>
      </x:c>
      <x:c r="C957" s="36" t="b">
        <x:v>1</x:v>
      </x:c>
      <x:c r="D957" s="25" t="str">
        <x:v>boolean</x:v>
      </x:c>
    </x:row>
    <x:row r="958" ht="18" customHeight="1">
      <x:c r="A958" s="25" t="str">
        <x:v>LME_051</x:v>
      </x:c>
      <x:c r="B958" s="25" t="str">
        <x:v>matched_catch_tonnes</x:v>
      </x:c>
      <x:c r="C958" s="25" t="n">
        <x:v>1092021.8374498228</x:v>
      </x:c>
      <x:c r="D958" s="25" t="str">
        <x:v>tonnes</x:v>
      </x:c>
    </x:row>
    <x:row r="959" ht="18" customHeight="1">
      <x:c r="A959" s="25" t="str">
        <x:v>LME_051</x:v>
      </x:c>
      <x:c r="B959" s="25" t="str">
        <x:v>catch_coverage_fraction</x:v>
      </x:c>
      <x:c r="C959" s="25" t="n">
        <x:v>1</x:v>
      </x:c>
      <x:c r="D959" s="25" t="str">
        <x:v>fraction</x:v>
      </x:c>
    </x:row>
    <x:row r="960" ht="18" customHeight="1">
      <x:c r="A960" s="25" t="str">
        <x:v>LME_051</x:v>
      </x:c>
      <x:c r="B960" s="25" t="str">
        <x:v>taxa_count</x:v>
      </x:c>
      <x:c r="C960" s="25" t="n">
        <x:v>143</x:v>
      </x:c>
      <x:c r="D960" s="25" t="str">
        <x:v>count</x:v>
      </x:c>
    </x:row>
    <x:row r="961" ht="18" customHeight="1">
      <x:c r="A961" s="25" t="str">
        <x:v>LME_051</x:v>
      </x:c>
      <x:c r="B961" s="25" t="str">
        <x:v>matched_taxa_count</x:v>
      </x:c>
      <x:c r="C961" s="25" t="n">
        <x:v>143</x:v>
      </x:c>
      <x:c r="D961" s="25" t="str">
        <x:v>count</x:v>
      </x:c>
    </x:row>
    <x:row r="962" ht="18" customHeight="1">
      <x:c r="A962" s="25" t="str">
        <x:v>LME_051</x:v>
      </x:c>
      <x:c r="B962" s="25" t="str">
        <x:v>unmatched_taxa_count</x:v>
      </x:c>
      <x:c r="C962" s="25" t="n">
        <x:v>0</x:v>
      </x:c>
      <x:c r="D962" s="25" t="str">
        <x:v>count</x:v>
      </x:c>
    </x:row>
    <x:row r="963" ht="18" customHeight="1">
      <x:c r="A963" s="25" t="str">
        <x:v>LME_051</x:v>
      </x:c>
      <x:c r="B963" s="25" t="str">
        <x:v>species_ppr</x:v>
      </x:c>
      <x:c r="C963" s="25" t="n">
        <x:v>528421987.24496377</x:v>
      </x:c>
      <x:c r="D963" s="25" t="str">
        <x:v>tonnes_primary_production_equivalent</x:v>
      </x:c>
    </x:row>
    <x:row r="964" ht="18" customHeight="1">
      <x:c r="A964" s="25" t="str">
        <x:v>LME_051</x:v>
      </x:c>
      <x:c r="B964" s="25" t="str">
        <x:v>commercial_ppr</x:v>
      </x:c>
      <x:c r="C964" s="25" t="n">
        <x:v>405330451.30796736</x:v>
      </x:c>
      <x:c r="D964" s="25" t="str">
        <x:v>tonnes_primary_production_equivalent</x:v>
      </x:c>
    </x:row>
    <x:row r="965" ht="18" customHeight="1">
      <x:c r="A965" s="25" t="str">
        <x:v>LME_051</x:v>
      </x:c>
      <x:c r="B965" s="25" t="str">
        <x:v>functional_ppr</x:v>
      </x:c>
      <x:c r="C965" s="25" t="n">
        <x:v>415171646.0100482</x:v>
      </x:c>
      <x:c r="D965" s="25" t="str">
        <x:v>tonnes_primary_production_equivalent</x:v>
      </x:c>
    </x:row>
    <x:row r="966" ht="18" customHeight="1">
      <x:c r="A966" s="25" t="str">
        <x:v>LME_051</x:v>
      </x:c>
      <x:c r="B966" s="25" t="str">
        <x:v>commercial_ppr_difference</x:v>
      </x:c>
      <x:c r="C966" s="25" t="n">
        <x:v>-123091535.9369964</x:v>
      </x:c>
      <x:c r="D966" s="25" t="str">
        <x:v>tonnes_primary_production_equivalent</x:v>
      </x:c>
    </x:row>
    <x:row r="967" ht="18" customHeight="1">
      <x:c r="A967" s="25" t="str">
        <x:v>LME_051</x:v>
      </x:c>
      <x:c r="B967" s="25" t="str">
        <x:v>functional_ppr_difference</x:v>
      </x:c>
      <x:c r="C967" s="25" t="n">
        <x:v>-113250341.23491555</x:v>
      </x:c>
      <x:c r="D967" s="25" t="str">
        <x:v>tonnes_primary_production_equivalent</x:v>
      </x:c>
    </x:row>
    <x:row r="968" ht="18" customHeight="1">
      <x:c r="A968" s="25" t="str">
        <x:v>LME_052</x:v>
      </x:c>
      <x:c r="B968" s="25" t="str">
        <x:v>raw_filtered_tonnes</x:v>
      </x:c>
      <x:c r="C968" s="25" t="n">
        <x:v>4800852.125625119</x:v>
      </x:c>
      <x:c r="D968" s="25" t="str">
        <x:v>tonnes</x:v>
      </x:c>
    </x:row>
    <x:row r="969" ht="18" customHeight="1">
      <x:c r="A969" s="25" t="str">
        <x:v>LME_052</x:v>
      </x:c>
      <x:c r="B969" s="25" t="str">
        <x:v>species_catch_tonnes</x:v>
      </x:c>
      <x:c r="C969" s="25" t="n">
        <x:v>4800852.125625119</x:v>
      </x:c>
      <x:c r="D969" s="25" t="str">
        <x:v>tonnes</x:v>
      </x:c>
    </x:row>
    <x:row r="970" ht="18" customHeight="1">
      <x:c r="A970" s="25" t="str">
        <x:v>LME_052</x:v>
      </x:c>
      <x:c r="B970" s="25" t="str">
        <x:v>catch_difference_tonnes</x:v>
      </x:c>
      <x:c r="C970" s="25" t="n">
        <x:v>0</x:v>
      </x:c>
      <x:c r="D970" s="25" t="str">
        <x:v>tonnes</x:v>
      </x:c>
    </x:row>
    <x:row r="971" ht="18" customHeight="1">
      <x:c r="A971" s="25" t="str">
        <x:v>LME_052</x:v>
      </x:c>
      <x:c r="B971" s="25" t="str">
        <x:v>catch_reconciled</x:v>
      </x:c>
      <x:c r="C971" s="36" t="b">
        <x:v>1</x:v>
      </x:c>
      <x:c r="D971" s="25" t="str">
        <x:v>boolean</x:v>
      </x:c>
    </x:row>
    <x:row r="972" ht="18" customHeight="1">
      <x:c r="A972" s="25" t="str">
        <x:v>LME_052</x:v>
      </x:c>
      <x:c r="B972" s="25" t="str">
        <x:v>matched_catch_tonnes</x:v>
      </x:c>
      <x:c r="C972" s="25" t="n">
        <x:v>4800852.125625119</x:v>
      </x:c>
      <x:c r="D972" s="25" t="str">
        <x:v>tonnes</x:v>
      </x:c>
    </x:row>
    <x:row r="973" ht="18" customHeight="1">
      <x:c r="A973" s="25" t="str">
        <x:v>LME_052</x:v>
      </x:c>
      <x:c r="B973" s="25" t="str">
        <x:v>catch_coverage_fraction</x:v>
      </x:c>
      <x:c r="C973" s="25" t="n">
        <x:v>1</x:v>
      </x:c>
      <x:c r="D973" s="25" t="str">
        <x:v>fraction</x:v>
      </x:c>
    </x:row>
    <x:row r="974" ht="18" customHeight="1">
      <x:c r="A974" s="25" t="str">
        <x:v>LME_052</x:v>
      </x:c>
      <x:c r="B974" s="25" t="str">
        <x:v>taxa_count</x:v>
      </x:c>
      <x:c r="C974" s="25" t="n">
        <x:v>131</x:v>
      </x:c>
      <x:c r="D974" s="25" t="str">
        <x:v>count</x:v>
      </x:c>
    </x:row>
    <x:row r="975" ht="18" customHeight="1">
      <x:c r="A975" s="25" t="str">
        <x:v>LME_052</x:v>
      </x:c>
      <x:c r="B975" s="25" t="str">
        <x:v>matched_taxa_count</x:v>
      </x:c>
      <x:c r="C975" s="25" t="n">
        <x:v>131</x:v>
      </x:c>
      <x:c r="D975" s="25" t="str">
        <x:v>count</x:v>
      </x:c>
    </x:row>
    <x:row r="976" ht="18" customHeight="1">
      <x:c r="A976" s="25" t="str">
        <x:v>LME_052</x:v>
      </x:c>
      <x:c r="B976" s="25" t="str">
        <x:v>unmatched_taxa_count</x:v>
      </x:c>
      <x:c r="C976" s="25" t="n">
        <x:v>0</x:v>
      </x:c>
      <x:c r="D976" s="25" t="str">
        <x:v>count</x:v>
      </x:c>
    </x:row>
    <x:row r="977" ht="18" customHeight="1">
      <x:c r="A977" s="25" t="str">
        <x:v>LME_052</x:v>
      </x:c>
      <x:c r="B977" s="25" t="str">
        <x:v>species_ppr</x:v>
      </x:c>
      <x:c r="C977" s="25" t="n">
        <x:v>2799543440.9812036</x:v>
      </x:c>
      <x:c r="D977" s="25" t="str">
        <x:v>tonnes_primary_production_equivalent</x:v>
      </x:c>
    </x:row>
    <x:row r="978" ht="18" customHeight="1">
      <x:c r="A978" s="25" t="str">
        <x:v>LME_052</x:v>
      </x:c>
      <x:c r="B978" s="25" t="str">
        <x:v>commercial_ppr</x:v>
      </x:c>
      <x:c r="C978" s="25" t="n">
        <x:v>2242784197.569399</x:v>
      </x:c>
      <x:c r="D978" s="25" t="str">
        <x:v>tonnes_primary_production_equivalent</x:v>
      </x:c>
    </x:row>
    <x:row r="979" ht="18" customHeight="1">
      <x:c r="A979" s="25" t="str">
        <x:v>LME_052</x:v>
      </x:c>
      <x:c r="B979" s="25" t="str">
        <x:v>functional_ppr</x:v>
      </x:c>
      <x:c r="C979" s="25" t="n">
        <x:v>2131158646.726793</x:v>
      </x:c>
      <x:c r="D979" s="25" t="str">
        <x:v>tonnes_primary_production_equivalent</x:v>
      </x:c>
    </x:row>
    <x:row r="980" ht="18" customHeight="1">
      <x:c r="A980" s="25" t="str">
        <x:v>LME_052</x:v>
      </x:c>
      <x:c r="B980" s="25" t="str">
        <x:v>commercial_ppr_difference</x:v>
      </x:c>
      <x:c r="C980" s="25" t="n">
        <x:v>-556759243.4118047</x:v>
      </x:c>
      <x:c r="D980" s="25" t="str">
        <x:v>tonnes_primary_production_equivalent</x:v>
      </x:c>
    </x:row>
    <x:row r="981" ht="18" customHeight="1">
      <x:c r="A981" s="25" t="str">
        <x:v>LME_052</x:v>
      </x:c>
      <x:c r="B981" s="25" t="str">
        <x:v>functional_ppr_difference</x:v>
      </x:c>
      <x:c r="C981" s="25" t="n">
        <x:v>-668384794.2544105</x:v>
      </x:c>
      <x:c r="D981" s="25" t="str">
        <x:v>tonnes_primary_production_equivalent</x:v>
      </x:c>
    </x:row>
    <x:row r="982" ht="18" customHeight="1">
      <x:c r="A982" s="25" t="str">
        <x:v>LME_053</x:v>
      </x:c>
      <x:c r="B982" s="25" t="str">
        <x:v>raw_filtered_tonnes</x:v>
      </x:c>
      <x:c r="C982" s="25" t="n">
        <x:v>705687.5220776038</x:v>
      </x:c>
      <x:c r="D982" s="25" t="str">
        <x:v>tonnes</x:v>
      </x:c>
    </x:row>
    <x:row r="983" ht="18" customHeight="1">
      <x:c r="A983" s="25" t="str">
        <x:v>LME_053</x:v>
      </x:c>
      <x:c r="B983" s="25" t="str">
        <x:v>species_catch_tonnes</x:v>
      </x:c>
      <x:c r="C983" s="25" t="n">
        <x:v>705687.5220776038</x:v>
      </x:c>
      <x:c r="D983" s="25" t="str">
        <x:v>tonnes</x:v>
      </x:c>
    </x:row>
    <x:row r="984" ht="18" customHeight="1">
      <x:c r="A984" s="25" t="str">
        <x:v>LME_053</x:v>
      </x:c>
      <x:c r="B984" s="25" t="str">
        <x:v>catch_difference_tonnes</x:v>
      </x:c>
      <x:c r="C984" s="25" t="n">
        <x:v>0</x:v>
      </x:c>
      <x:c r="D984" s="25" t="str">
        <x:v>tonnes</x:v>
      </x:c>
    </x:row>
    <x:row r="985" ht="18" customHeight="1">
      <x:c r="A985" s="25" t="str">
        <x:v>LME_053</x:v>
      </x:c>
      <x:c r="B985" s="25" t="str">
        <x:v>catch_reconciled</x:v>
      </x:c>
      <x:c r="C985" s="36" t="b">
        <x:v>1</x:v>
      </x:c>
      <x:c r="D985" s="25" t="str">
        <x:v>boolean</x:v>
      </x:c>
    </x:row>
    <x:row r="986" ht="18" customHeight="1">
      <x:c r="A986" s="25" t="str">
        <x:v>LME_053</x:v>
      </x:c>
      <x:c r="B986" s="25" t="str">
        <x:v>matched_catch_tonnes</x:v>
      </x:c>
      <x:c r="C986" s="25" t="n">
        <x:v>705687.5220776038</x:v>
      </x:c>
      <x:c r="D986" s="25" t="str">
        <x:v>tonnes</x:v>
      </x:c>
    </x:row>
    <x:row r="987" ht="18" customHeight="1">
      <x:c r="A987" s="25" t="str">
        <x:v>LME_053</x:v>
      </x:c>
      <x:c r="B987" s="25" t="str">
        <x:v>catch_coverage_fraction</x:v>
      </x:c>
      <x:c r="C987" s="25" t="n">
        <x:v>1</x:v>
      </x:c>
      <x:c r="D987" s="25" t="str">
        <x:v>fraction</x:v>
      </x:c>
    </x:row>
    <x:row r="988" ht="18" customHeight="1">
      <x:c r="A988" s="25" t="str">
        <x:v>LME_053</x:v>
      </x:c>
      <x:c r="B988" s="25" t="str">
        <x:v>taxa_count</x:v>
      </x:c>
      <x:c r="C988" s="25" t="n">
        <x:v>63</x:v>
      </x:c>
      <x:c r="D988" s="25" t="str">
        <x:v>count</x:v>
      </x:c>
    </x:row>
    <x:row r="989" ht="18" customHeight="1">
      <x:c r="A989" s="25" t="str">
        <x:v>LME_053</x:v>
      </x:c>
      <x:c r="B989" s="25" t="str">
        <x:v>matched_taxa_count</x:v>
      </x:c>
      <x:c r="C989" s="25" t="n">
        <x:v>63</x:v>
      </x:c>
      <x:c r="D989" s="25" t="str">
        <x:v>count</x:v>
      </x:c>
    </x:row>
    <x:row r="990" ht="18" customHeight="1">
      <x:c r="A990" s="25" t="str">
        <x:v>LME_053</x:v>
      </x:c>
      <x:c r="B990" s="25" t="str">
        <x:v>unmatched_taxa_count</x:v>
      </x:c>
      <x:c r="C990" s="25" t="n">
        <x:v>0</x:v>
      </x:c>
      <x:c r="D990" s="25" t="str">
        <x:v>count</x:v>
      </x:c>
    </x:row>
    <x:row r="991" ht="18" customHeight="1">
      <x:c r="A991" s="25" t="str">
        <x:v>LME_053</x:v>
      </x:c>
      <x:c r="B991" s="25" t="str">
        <x:v>species_ppr</x:v>
      </x:c>
      <x:c r="C991" s="25" t="n">
        <x:v>511445832.05498385</x:v>
      </x:c>
      <x:c r="D991" s="25" t="str">
        <x:v>tonnes_primary_production_equivalent</x:v>
      </x:c>
    </x:row>
    <x:row r="992" ht="18" customHeight="1">
      <x:c r="A992" s="25" t="str">
        <x:v>LME_053</x:v>
      </x:c>
      <x:c r="B992" s="25" t="str">
        <x:v>commercial_ppr</x:v>
      </x:c>
      <x:c r="C992" s="25" t="n">
        <x:v>392569072.97454214</x:v>
      </x:c>
      <x:c r="D992" s="25" t="str">
        <x:v>tonnes_primary_production_equivalent</x:v>
      </x:c>
    </x:row>
    <x:row r="993" ht="18" customHeight="1">
      <x:c r="A993" s="25" t="str">
        <x:v>LME_053</x:v>
      </x:c>
      <x:c r="B993" s="25" t="str">
        <x:v>functional_ppr</x:v>
      </x:c>
      <x:c r="C993" s="25" t="n">
        <x:v>341774720.3779067</x:v>
      </x:c>
      <x:c r="D993" s="25" t="str">
        <x:v>tonnes_primary_production_equivalent</x:v>
      </x:c>
    </x:row>
    <x:row r="994" ht="18" customHeight="1">
      <x:c r="A994" s="25" t="str">
        <x:v>LME_053</x:v>
      </x:c>
      <x:c r="B994" s="25" t="str">
        <x:v>commercial_ppr_difference</x:v>
      </x:c>
      <x:c r="C994" s="25" t="n">
        <x:v>-118876759.08044171</x:v>
      </x:c>
      <x:c r="D994" s="25" t="str">
        <x:v>tonnes_primary_production_equivalent</x:v>
      </x:c>
    </x:row>
    <x:row r="995" ht="18" customHeight="1">
      <x:c r="A995" s="25" t="str">
        <x:v>LME_053</x:v>
      </x:c>
      <x:c r="B995" s="25" t="str">
        <x:v>functional_ppr_difference</x:v>
      </x:c>
      <x:c r="C995" s="25" t="n">
        <x:v>-169671111.67707717</x:v>
      </x:c>
      <x:c r="D995" s="25" t="str">
        <x:v>tonnes_primary_production_equivalent</x:v>
      </x:c>
    </x:row>
    <x:row r="996" ht="18" customHeight="1">
      <x:c r="A996" s="25" t="str">
        <x:v>LME_054</x:v>
      </x:c>
      <x:c r="B996" s="25" t="str">
        <x:v>raw_filtered_tonnes</x:v>
      </x:c>
      <x:c r="C996" s="25" t="n">
        <x:v>348828.221273396</x:v>
      </x:c>
      <x:c r="D996" s="25" t="str">
        <x:v>tonnes</x:v>
      </x:c>
    </x:row>
    <x:row r="997" ht="18" customHeight="1">
      <x:c r="A997" s="25" t="str">
        <x:v>LME_054</x:v>
      </x:c>
      <x:c r="B997" s="25" t="str">
        <x:v>species_catch_tonnes</x:v>
      </x:c>
      <x:c r="C997" s="25" t="n">
        <x:v>348828.221273396</x:v>
      </x:c>
      <x:c r="D997" s="25" t="str">
        <x:v>tonnes</x:v>
      </x:c>
    </x:row>
    <x:row r="998" ht="18" customHeight="1">
      <x:c r="A998" s="25" t="str">
        <x:v>LME_054</x:v>
      </x:c>
      <x:c r="B998" s="25" t="str">
        <x:v>catch_difference_tonnes</x:v>
      </x:c>
      <x:c r="C998" s="25" t="n">
        <x:v>0</x:v>
      </x:c>
      <x:c r="D998" s="25" t="str">
        <x:v>tonnes</x:v>
      </x:c>
    </x:row>
    <x:row r="999" ht="18" customHeight="1">
      <x:c r="A999" s="25" t="str">
        <x:v>LME_054</x:v>
      </x:c>
      <x:c r="B999" s="25" t="str">
        <x:v>catch_reconciled</x:v>
      </x:c>
      <x:c r="C999" s="36" t="b">
        <x:v>1</x:v>
      </x:c>
      <x:c r="D999" s="25" t="str">
        <x:v>boolean</x:v>
      </x:c>
    </x:row>
    <x:row r="1000" ht="18" customHeight="1">
      <x:c r="A1000" s="25" t="str">
        <x:v>LME_054</x:v>
      </x:c>
      <x:c r="B1000" s="25" t="str">
        <x:v>matched_catch_tonnes</x:v>
      </x:c>
      <x:c r="C1000" s="25" t="n">
        <x:v>348828.221273396</x:v>
      </x:c>
      <x:c r="D1000" s="25" t="str">
        <x:v>tonnes</x:v>
      </x:c>
    </x:row>
    <x:row r="1001" ht="18" customHeight="1">
      <x:c r="A1001" s="25" t="str">
        <x:v>LME_054</x:v>
      </x:c>
      <x:c r="B1001" s="25" t="str">
        <x:v>catch_coverage_fraction</x:v>
      </x:c>
      <x:c r="C1001" s="25" t="n">
        <x:v>1</x:v>
      </x:c>
      <x:c r="D1001" s="25" t="str">
        <x:v>fraction</x:v>
      </x:c>
    </x:row>
    <x:row r="1002" ht="18" customHeight="1">
      <x:c r="A1002" s="25" t="str">
        <x:v>LME_054</x:v>
      </x:c>
      <x:c r="B1002" s="25" t="str">
        <x:v>taxa_count</x:v>
      </x:c>
      <x:c r="C1002" s="25" t="n">
        <x:v>93</x:v>
      </x:c>
      <x:c r="D1002" s="25" t="str">
        <x:v>count</x:v>
      </x:c>
    </x:row>
    <x:row r="1003" ht="18" customHeight="1">
      <x:c r="A1003" s="25" t="str">
        <x:v>LME_054</x:v>
      </x:c>
      <x:c r="B1003" s="25" t="str">
        <x:v>matched_taxa_count</x:v>
      </x:c>
      <x:c r="C1003" s="25" t="n">
        <x:v>93</x:v>
      </x:c>
      <x:c r="D1003" s="25" t="str">
        <x:v>count</x:v>
      </x:c>
    </x:row>
    <x:row r="1004" ht="18" customHeight="1">
      <x:c r="A1004" s="25" t="str">
        <x:v>LME_054</x:v>
      </x:c>
      <x:c r="B1004" s="25" t="str">
        <x:v>unmatched_taxa_count</x:v>
      </x:c>
      <x:c r="C1004" s="25" t="n">
        <x:v>0</x:v>
      </x:c>
      <x:c r="D1004" s="25" t="str">
        <x:v>count</x:v>
      </x:c>
    </x:row>
    <x:row r="1005" ht="18" customHeight="1">
      <x:c r="A1005" s="25" t="str">
        <x:v>LME_054</x:v>
      </x:c>
      <x:c r="B1005" s="25" t="str">
        <x:v>species_ppr</x:v>
      </x:c>
      <x:c r="C1005" s="25" t="n">
        <x:v>188778895.78178987</x:v>
      </x:c>
      <x:c r="D1005" s="25" t="str">
        <x:v>tonnes_primary_production_equivalent</x:v>
      </x:c>
    </x:row>
    <x:row r="1006" ht="18" customHeight="1">
      <x:c r="A1006" s="25" t="str">
        <x:v>LME_054</x:v>
      </x:c>
      <x:c r="B1006" s="25" t="str">
        <x:v>commercial_ppr</x:v>
      </x:c>
      <x:c r="C1006" s="25" t="n">
        <x:v>152040929.93117216</x:v>
      </x:c>
      <x:c r="D1006" s="25" t="str">
        <x:v>tonnes_primary_production_equivalent</x:v>
      </x:c>
    </x:row>
    <x:row r="1007" ht="18" customHeight="1">
      <x:c r="A1007" s="25" t="str">
        <x:v>LME_054</x:v>
      </x:c>
      <x:c r="B1007" s="25" t="str">
        <x:v>functional_ppr</x:v>
      </x:c>
      <x:c r="C1007" s="25" t="n">
        <x:v>138060768.34332538</x:v>
      </x:c>
      <x:c r="D1007" s="25" t="str">
        <x:v>tonnes_primary_production_equivalent</x:v>
      </x:c>
    </x:row>
    <x:row r="1008" ht="18" customHeight="1">
      <x:c r="A1008" s="25" t="str">
        <x:v>LME_054</x:v>
      </x:c>
      <x:c r="B1008" s="25" t="str">
        <x:v>commercial_ppr_difference</x:v>
      </x:c>
      <x:c r="C1008" s="25" t="n">
        <x:v>-36737965.85061771</x:v>
      </x:c>
      <x:c r="D1008" s="25" t="str">
        <x:v>tonnes_primary_production_equivalent</x:v>
      </x:c>
    </x:row>
    <x:row r="1009" ht="18" customHeight="1">
      <x:c r="A1009" s="25" t="str">
        <x:v>LME_054</x:v>
      </x:c>
      <x:c r="B1009" s="25" t="str">
        <x:v>functional_ppr_difference</x:v>
      </x:c>
      <x:c r="C1009" s="25" t="n">
        <x:v>-50718127.43846449</x:v>
      </x:c>
      <x:c r="D1009" s="25" t="str">
        <x:v>tonnes_primary_production_equivalent</x:v>
      </x:c>
    </x:row>
    <x:row r="1010" ht="18" customHeight="1">
      <x:c r="A1010" s="25" t="str">
        <x:v>LME_055</x:v>
      </x:c>
      <x:c r="B1010" s="25" t="str">
        <x:v>raw_filtered_tonnes</x:v>
      </x:c>
      <x:c r="C1010" s="25" t="n">
        <x:v>212.78852302800001</x:v>
      </x:c>
      <x:c r="D1010" s="25" t="str">
        <x:v>tonnes</x:v>
      </x:c>
    </x:row>
    <x:row r="1011" ht="18" customHeight="1">
      <x:c r="A1011" s="25" t="str">
        <x:v>LME_055</x:v>
      </x:c>
      <x:c r="B1011" s="25" t="str">
        <x:v>species_catch_tonnes</x:v>
      </x:c>
      <x:c r="C1011" s="25" t="n">
        <x:v>212.78852302800001</x:v>
      </x:c>
      <x:c r="D1011" s="25" t="str">
        <x:v>tonnes</x:v>
      </x:c>
    </x:row>
    <x:row r="1012" ht="18" customHeight="1">
      <x:c r="A1012" s="25" t="str">
        <x:v>LME_055</x:v>
      </x:c>
      <x:c r="B1012" s="25" t="str">
        <x:v>catch_difference_tonnes</x:v>
      </x:c>
      <x:c r="C1012" s="25" t="n">
        <x:v>0</x:v>
      </x:c>
      <x:c r="D1012" s="25" t="str">
        <x:v>tonnes</x:v>
      </x:c>
    </x:row>
    <x:row r="1013" ht="18" customHeight="1">
      <x:c r="A1013" s="25" t="str">
        <x:v>LME_055</x:v>
      </x:c>
      <x:c r="B1013" s="25" t="str">
        <x:v>catch_reconciled</x:v>
      </x:c>
      <x:c r="C1013" s="36" t="b">
        <x:v>1</x:v>
      </x:c>
      <x:c r="D1013" s="25" t="str">
        <x:v>boolean</x:v>
      </x:c>
    </x:row>
    <x:row r="1014" ht="18" customHeight="1">
      <x:c r="A1014" s="25" t="str">
        <x:v>LME_055</x:v>
      </x:c>
      <x:c r="B1014" s="25" t="str">
        <x:v>matched_catch_tonnes</x:v>
      </x:c>
      <x:c r="C1014" s="25" t="n">
        <x:v>212.78852302800001</x:v>
      </x:c>
      <x:c r="D1014" s="25" t="str">
        <x:v>tonnes</x:v>
      </x:c>
    </x:row>
    <x:row r="1015" ht="18" customHeight="1">
      <x:c r="A1015" s="25" t="str">
        <x:v>LME_055</x:v>
      </x:c>
      <x:c r="B1015" s="25" t="str">
        <x:v>catch_coverage_fraction</x:v>
      </x:c>
      <x:c r="C1015" s="25" t="n">
        <x:v>1</x:v>
      </x:c>
      <x:c r="D1015" s="25" t="str">
        <x:v>fraction</x:v>
      </x:c>
    </x:row>
    <x:row r="1016" ht="18" customHeight="1">
      <x:c r="A1016" s="25" t="str">
        <x:v>LME_055</x:v>
      </x:c>
      <x:c r="B1016" s="25" t="str">
        <x:v>taxa_count</x:v>
      </x:c>
      <x:c r="C1016" s="25" t="n">
        <x:v>19</x:v>
      </x:c>
      <x:c r="D1016" s="25" t="str">
        <x:v>count</x:v>
      </x:c>
    </x:row>
    <x:row r="1017" ht="18" customHeight="1">
      <x:c r="A1017" s="25" t="str">
        <x:v>LME_055</x:v>
      </x:c>
      <x:c r="B1017" s="25" t="str">
        <x:v>matched_taxa_count</x:v>
      </x:c>
      <x:c r="C1017" s="25" t="n">
        <x:v>19</x:v>
      </x:c>
      <x:c r="D1017" s="25" t="str">
        <x:v>count</x:v>
      </x:c>
    </x:row>
    <x:row r="1018" ht="18" customHeight="1">
      <x:c r="A1018" s="25" t="str">
        <x:v>LME_055</x:v>
      </x:c>
      <x:c r="B1018" s="25" t="str">
        <x:v>unmatched_taxa_count</x:v>
      </x:c>
      <x:c r="C1018" s="25" t="n">
        <x:v>0</x:v>
      </x:c>
      <x:c r="D1018" s="25" t="str">
        <x:v>count</x:v>
      </x:c>
    </x:row>
    <x:row r="1019" ht="18" customHeight="1">
      <x:c r="A1019" s="25" t="str">
        <x:v>LME_055</x:v>
      </x:c>
      <x:c r="B1019" s="25" t="str">
        <x:v>species_ppr</x:v>
      </x:c>
      <x:c r="C1019" s="25" t="n">
        <x:v>439874.51024657505</x:v>
      </x:c>
      <x:c r="D1019" s="25" t="str">
        <x:v>tonnes_primary_production_equivalent</x:v>
      </x:c>
    </x:row>
    <x:row r="1020" ht="18" customHeight="1">
      <x:c r="A1020" s="25" t="str">
        <x:v>LME_055</x:v>
      </x:c>
      <x:c r="B1020" s="25" t="str">
        <x:v>commercial_ppr</x:v>
      </x:c>
      <x:c r="C1020" s="25" t="n">
        <x:v>381706.2485704526</x:v>
      </x:c>
      <x:c r="D1020" s="25" t="str">
        <x:v>tonnes_primary_production_equivalent</x:v>
      </x:c>
    </x:row>
    <x:row r="1021" ht="18" customHeight="1">
      <x:c r="A1021" s="25" t="str">
        <x:v>LME_055</x:v>
      </x:c>
      <x:c r="B1021" s="25" t="str">
        <x:v>functional_ppr</x:v>
      </x:c>
      <x:c r="C1021" s="25" t="n">
        <x:v>438573.7452643022</x:v>
      </x:c>
      <x:c r="D1021" s="25" t="str">
        <x:v>tonnes_primary_production_equivalent</x:v>
      </x:c>
    </x:row>
    <x:row r="1022" ht="18" customHeight="1">
      <x:c r="A1022" s="25" t="str">
        <x:v>LME_055</x:v>
      </x:c>
      <x:c r="B1022" s="25" t="str">
        <x:v>commercial_ppr_difference</x:v>
      </x:c>
      <x:c r="C1022" s="25" t="n">
        <x:v>-58168.261676122434</x:v>
      </x:c>
      <x:c r="D1022" s="25" t="str">
        <x:v>tonnes_primary_production_equivalent</x:v>
      </x:c>
    </x:row>
    <x:row r="1023" ht="18" customHeight="1">
      <x:c r="A1023" s="25" t="str">
        <x:v>LME_055</x:v>
      </x:c>
      <x:c r="B1023" s="25" t="str">
        <x:v>functional_ppr_difference</x:v>
      </x:c>
      <x:c r="C1023" s="25" t="n">
        <x:v>-1300.7649822728708</x:v>
      </x:c>
      <x:c r="D1023" s="25" t="str">
        <x:v>tonnes_primary_production_equivalent</x:v>
      </x:c>
    </x:row>
    <x:row r="1024" ht="18" customHeight="1">
      <x:c r="A1024" s="25" t="str">
        <x:v>LME_056</x:v>
      </x:c>
      <x:c r="B1024" s="25" t="str">
        <x:v>raw_filtered_tonnes</x:v>
      </x:c>
      <x:c r="C1024" s="25" t="n">
        <x:v>1304.0687744917</x:v>
      </x:c>
      <x:c r="D1024" s="25" t="str">
        <x:v>tonnes</x:v>
      </x:c>
    </x:row>
    <x:row r="1025" ht="18" customHeight="1">
      <x:c r="A1025" s="25" t="str">
        <x:v>LME_056</x:v>
      </x:c>
      <x:c r="B1025" s="25" t="str">
        <x:v>species_catch_tonnes</x:v>
      </x:c>
      <x:c r="C1025" s="25" t="n">
        <x:v>1304.0687744917002</x:v>
      </x:c>
      <x:c r="D1025" s="25" t="str">
        <x:v>tonnes</x:v>
      </x:c>
    </x:row>
    <x:row r="1026" ht="18" customHeight="1">
      <x:c r="A1026" s="25" t="str">
        <x:v>LME_056</x:v>
      </x:c>
      <x:c r="B1026" s="25" t="str">
        <x:v>catch_difference_tonnes</x:v>
      </x:c>
      <x:c r="C1026" s="25" t="n">
        <x:v>2.2737367544323206e-13</x:v>
      </x:c>
      <x:c r="D1026" s="25" t="str">
        <x:v>tonnes</x:v>
      </x:c>
    </x:row>
    <x:row r="1027" ht="18" customHeight="1">
      <x:c r="A1027" s="25" t="str">
        <x:v>LME_056</x:v>
      </x:c>
      <x:c r="B1027" s="25" t="str">
        <x:v>catch_reconciled</x:v>
      </x:c>
      <x:c r="C1027" s="36" t="b">
        <x:v>1</x:v>
      </x:c>
      <x:c r="D1027" s="25" t="str">
        <x:v>boolean</x:v>
      </x:c>
    </x:row>
    <x:row r="1028" ht="18" customHeight="1">
      <x:c r="A1028" s="25" t="str">
        <x:v>LME_056</x:v>
      </x:c>
      <x:c r="B1028" s="25" t="str">
        <x:v>matched_catch_tonnes</x:v>
      </x:c>
      <x:c r="C1028" s="25" t="n">
        <x:v>1304.0687744917002</x:v>
      </x:c>
      <x:c r="D1028" s="25" t="str">
        <x:v>tonnes</x:v>
      </x:c>
    </x:row>
    <x:row r="1029" ht="18" customHeight="1">
      <x:c r="A1029" s="25" t="str">
        <x:v>LME_056</x:v>
      </x:c>
      <x:c r="B1029" s="25" t="str">
        <x:v>catch_coverage_fraction</x:v>
      </x:c>
      <x:c r="C1029" s="25" t="n">
        <x:v>1</x:v>
      </x:c>
      <x:c r="D1029" s="25" t="str">
        <x:v>fraction</x:v>
      </x:c>
    </x:row>
    <x:row r="1030" ht="18" customHeight="1">
      <x:c r="A1030" s="25" t="str">
        <x:v>LME_056</x:v>
      </x:c>
      <x:c r="B1030" s="25" t="str">
        <x:v>taxa_count</x:v>
      </x:c>
      <x:c r="C1030" s="25" t="n">
        <x:v>4</x:v>
      </x:c>
      <x:c r="D1030" s="25" t="str">
        <x:v>count</x:v>
      </x:c>
    </x:row>
    <x:row r="1031" ht="18" customHeight="1">
      <x:c r="A1031" s="25" t="str">
        <x:v>LME_056</x:v>
      </x:c>
      <x:c r="B1031" s="25" t="str">
        <x:v>matched_taxa_count</x:v>
      </x:c>
      <x:c r="C1031" s="25" t="n">
        <x:v>4</x:v>
      </x:c>
      <x:c r="D1031" s="25" t="str">
        <x:v>count</x:v>
      </x:c>
    </x:row>
    <x:row r="1032" ht="18" customHeight="1">
      <x:c r="A1032" s="25" t="str">
        <x:v>LME_056</x:v>
      </x:c>
      <x:c r="B1032" s="25" t="str">
        <x:v>unmatched_taxa_count</x:v>
      </x:c>
      <x:c r="C1032" s="25" t="n">
        <x:v>0</x:v>
      </x:c>
      <x:c r="D1032" s="25" t="str">
        <x:v>count</x:v>
      </x:c>
    </x:row>
    <x:row r="1033" ht="18" customHeight="1">
      <x:c r="A1033" s="25" t="str">
        <x:v>LME_056</x:v>
      </x:c>
      <x:c r="B1033" s="25" t="str">
        <x:v>species_ppr</x:v>
      </x:c>
      <x:c r="C1033" s="25" t="n">
        <x:v>275429.0625472164</x:v>
      </x:c>
      <x:c r="D1033" s="25" t="str">
        <x:v>tonnes_primary_production_equivalent</x:v>
      </x:c>
    </x:row>
    <x:row r="1034" ht="18" customHeight="1">
      <x:c r="A1034" s="25" t="str">
        <x:v>LME_056</x:v>
      </x:c>
      <x:c r="B1034" s="25" t="str">
        <x:v>commercial_ppr</x:v>
      </x:c>
      <x:c r="C1034" s="25" t="n">
        <x:v>257076.62225567218</x:v>
      </x:c>
      <x:c r="D1034" s="25" t="str">
        <x:v>tonnes_primary_production_equivalent</x:v>
      </x:c>
    </x:row>
    <x:row r="1035" ht="18" customHeight="1">
      <x:c r="A1035" s="25" t="str">
        <x:v>LME_056</x:v>
      </x:c>
      <x:c r="B1035" s="25" t="str">
        <x:v>functional_ppr</x:v>
      </x:c>
      <x:c r="C1035" s="25" t="n">
        <x:v>257076.62225567218</x:v>
      </x:c>
      <x:c r="D1035" s="25" t="str">
        <x:v>tonnes_primary_production_equivalent</x:v>
      </x:c>
    </x:row>
    <x:row r="1036" ht="18" customHeight="1">
      <x:c r="A1036" s="25" t="str">
        <x:v>LME_056</x:v>
      </x:c>
      <x:c r="B1036" s="25" t="str">
        <x:v>commercial_ppr_difference</x:v>
      </x:c>
      <x:c r="C1036" s="25" t="n">
        <x:v>-18352.440291544248</x:v>
      </x:c>
      <x:c r="D1036" s="25" t="str">
        <x:v>tonnes_primary_production_equivalent</x:v>
      </x:c>
    </x:row>
    <x:row r="1037" ht="18" customHeight="1">
      <x:c r="A1037" s="25" t="str">
        <x:v>LME_056</x:v>
      </x:c>
      <x:c r="B1037" s="25" t="str">
        <x:v>functional_ppr_difference</x:v>
      </x:c>
      <x:c r="C1037" s="25" t="n">
        <x:v>-18352.440291544248</x:v>
      </x:c>
      <x:c r="D1037" s="25" t="str">
        <x:v>tonnes_primary_production_equivalent</x:v>
      </x:c>
    </x:row>
    <x:row r="1038" ht="18" customHeight="1">
      <x:c r="A1038" s="25" t="str">
        <x:v>LME_057</x:v>
      </x:c>
      <x:c r="B1038" s="25" t="str">
        <x:v>raw_filtered_tonnes</x:v>
      </x:c>
      <x:c r="C1038" s="25" t="n">
        <x:v>2616.1834162357</x:v>
      </x:c>
      <x:c r="D1038" s="25" t="str">
        <x:v>tonnes</x:v>
      </x:c>
    </x:row>
    <x:row r="1039" ht="18" customHeight="1">
      <x:c r="A1039" s="25" t="str">
        <x:v>LME_057</x:v>
      </x:c>
      <x:c r="B1039" s="25" t="str">
        <x:v>species_catch_tonnes</x:v>
      </x:c>
      <x:c r="C1039" s="25" t="n">
        <x:v>2616.1834162357</x:v>
      </x:c>
      <x:c r="D1039" s="25" t="str">
        <x:v>tonnes</x:v>
      </x:c>
    </x:row>
    <x:row r="1040" ht="18" customHeight="1">
      <x:c r="A1040" s="25" t="str">
        <x:v>LME_057</x:v>
      </x:c>
      <x:c r="B1040" s="25" t="str">
        <x:v>catch_difference_tonnes</x:v>
      </x:c>
      <x:c r="C1040" s="25" t="n">
        <x:v>0</x:v>
      </x:c>
      <x:c r="D1040" s="25" t="str">
        <x:v>tonnes</x:v>
      </x:c>
    </x:row>
    <x:row r="1041" ht="18" customHeight="1">
      <x:c r="A1041" s="25" t="str">
        <x:v>LME_057</x:v>
      </x:c>
      <x:c r="B1041" s="25" t="str">
        <x:v>catch_reconciled</x:v>
      </x:c>
      <x:c r="C1041" s="36" t="b">
        <x:v>1</x:v>
      </x:c>
      <x:c r="D1041" s="25" t="str">
        <x:v>boolean</x:v>
      </x:c>
    </x:row>
    <x:row r="1042" ht="18" customHeight="1">
      <x:c r="A1042" s="25" t="str">
        <x:v>LME_057</x:v>
      </x:c>
      <x:c r="B1042" s="25" t="str">
        <x:v>matched_catch_tonnes</x:v>
      </x:c>
      <x:c r="C1042" s="25" t="n">
        <x:v>2616.1834162357</x:v>
      </x:c>
      <x:c r="D1042" s="25" t="str">
        <x:v>tonnes</x:v>
      </x:c>
    </x:row>
    <x:row r="1043" ht="18" customHeight="1">
      <x:c r="A1043" s="25" t="str">
        <x:v>LME_057</x:v>
      </x:c>
      <x:c r="B1043" s="25" t="str">
        <x:v>catch_coverage_fraction</x:v>
      </x:c>
      <x:c r="C1043" s="25" t="n">
        <x:v>1</x:v>
      </x:c>
      <x:c r="D1043" s="25" t="str">
        <x:v>fraction</x:v>
      </x:c>
    </x:row>
    <x:row r="1044" ht="18" customHeight="1">
      <x:c r="A1044" s="25" t="str">
        <x:v>LME_057</x:v>
      </x:c>
      <x:c r="B1044" s="25" t="str">
        <x:v>taxa_count</x:v>
      </x:c>
      <x:c r="C1044" s="25" t="n">
        <x:v>5</x:v>
      </x:c>
      <x:c r="D1044" s="25" t="str">
        <x:v>count</x:v>
      </x:c>
    </x:row>
    <x:row r="1045" ht="18" customHeight="1">
      <x:c r="A1045" s="25" t="str">
        <x:v>LME_057</x:v>
      </x:c>
      <x:c r="B1045" s="25" t="str">
        <x:v>matched_taxa_count</x:v>
      </x:c>
      <x:c r="C1045" s="25" t="n">
        <x:v>5</x:v>
      </x:c>
      <x:c r="D1045" s="25" t="str">
        <x:v>count</x:v>
      </x:c>
    </x:row>
    <x:row r="1046" ht="18" customHeight="1">
      <x:c r="A1046" s="25" t="str">
        <x:v>LME_057</x:v>
      </x:c>
      <x:c r="B1046" s="25" t="str">
        <x:v>unmatched_taxa_count</x:v>
      </x:c>
      <x:c r="C1046" s="25" t="n">
        <x:v>0</x:v>
      </x:c>
      <x:c r="D1046" s="25" t="str">
        <x:v>count</x:v>
      </x:c>
    </x:row>
    <x:row r="1047" ht="18" customHeight="1">
      <x:c r="A1047" s="25" t="str">
        <x:v>LME_057</x:v>
      </x:c>
      <x:c r="B1047" s="25" t="str">
        <x:v>species_ppr</x:v>
      </x:c>
      <x:c r="C1047" s="25" t="n">
        <x:v>507104.9804889677</x:v>
      </x:c>
      <x:c r="D1047" s="25" t="str">
        <x:v>tonnes_primary_production_equivalent</x:v>
      </x:c>
    </x:row>
    <x:row r="1048" ht="18" customHeight="1">
      <x:c r="A1048" s="25" t="str">
        <x:v>LME_057</x:v>
      </x:c>
      <x:c r="B1048" s="25" t="str">
        <x:v>commercial_ppr</x:v>
      </x:c>
      <x:c r="C1048" s="25" t="n">
        <x:v>494176.8628170198</x:v>
      </x:c>
      <x:c r="D1048" s="25" t="str">
        <x:v>tonnes_primary_production_equivalent</x:v>
      </x:c>
    </x:row>
    <x:row r="1049" ht="18" customHeight="1">
      <x:c r="A1049" s="25" t="str">
        <x:v>LME_057</x:v>
      </x:c>
      <x:c r="B1049" s="25" t="str">
        <x:v>functional_ppr</x:v>
      </x:c>
      <x:c r="C1049" s="25" t="n">
        <x:v>494181.0890332617</x:v>
      </x:c>
      <x:c r="D1049" s="25" t="str">
        <x:v>tonnes_primary_production_equivalent</x:v>
      </x:c>
    </x:row>
    <x:row r="1050" ht="18" customHeight="1">
      <x:c r="A1050" s="25" t="str">
        <x:v>LME_057</x:v>
      </x:c>
      <x:c r="B1050" s="25" t="str">
        <x:v>commercial_ppr_difference</x:v>
      </x:c>
      <x:c r="C1050" s="25" t="n">
        <x:v>-12928.117671947868</x:v>
      </x:c>
      <x:c r="D1050" s="25" t="str">
        <x:v>tonnes_primary_production_equivalent</x:v>
      </x:c>
    </x:row>
    <x:row r="1051" ht="18" customHeight="1">
      <x:c r="A1051" s="25" t="str">
        <x:v>LME_057</x:v>
      </x:c>
      <x:c r="B1051" s="25" t="str">
        <x:v>functional_ppr_difference</x:v>
      </x:c>
      <x:c r="C1051" s="25" t="n">
        <x:v>-12923.891455705976</x:v>
      </x:c>
      <x:c r="D1051" s="25" t="str">
        <x:v>tonnes_primary_production_equivalent</x:v>
      </x:c>
    </x:row>
    <x:row r="1052" ht="18" customHeight="1">
      <x:c r="A1052" s="25" t="str">
        <x:v>LME_058</x:v>
      </x:c>
      <x:c r="B1052" s="25" t="str">
        <x:v>raw_filtered_tonnes</x:v>
      </x:c>
      <x:c r="C1052" s="25" t="n">
        <x:v>719.2892019077999</x:v>
      </x:c>
      <x:c r="D1052" s="25" t="str">
        <x:v>tonnes</x:v>
      </x:c>
    </x:row>
    <x:row r="1053" ht="18" customHeight="1">
      <x:c r="A1053" s="25" t="str">
        <x:v>LME_058</x:v>
      </x:c>
      <x:c r="B1053" s="25" t="str">
        <x:v>species_catch_tonnes</x:v>
      </x:c>
      <x:c r="C1053" s="25" t="n">
        <x:v>719.2892019078</x:v>
      </x:c>
      <x:c r="D1053" s="25" t="str">
        <x:v>tonnes</x:v>
      </x:c>
    </x:row>
    <x:row r="1054" ht="18" customHeight="1">
      <x:c r="A1054" s="25" t="str">
        <x:v>LME_058</x:v>
      </x:c>
      <x:c r="B1054" s="25" t="str">
        <x:v>catch_difference_tonnes</x:v>
      </x:c>
      <x:c r="C1054" s="25" t="n">
        <x:v>1.1368683772161603e-13</x:v>
      </x:c>
      <x:c r="D1054" s="25" t="str">
        <x:v>tonnes</x:v>
      </x:c>
    </x:row>
    <x:row r="1055" ht="18" customHeight="1">
      <x:c r="A1055" s="25" t="str">
        <x:v>LME_058</x:v>
      </x:c>
      <x:c r="B1055" s="25" t="str">
        <x:v>catch_reconciled</x:v>
      </x:c>
      <x:c r="C1055" s="36" t="b">
        <x:v>1</x:v>
      </x:c>
      <x:c r="D1055" s="25" t="str">
        <x:v>boolean</x:v>
      </x:c>
    </x:row>
    <x:row r="1056" ht="18" customHeight="1">
      <x:c r="A1056" s="25" t="str">
        <x:v>LME_058</x:v>
      </x:c>
      <x:c r="B1056" s="25" t="str">
        <x:v>matched_catch_tonnes</x:v>
      </x:c>
      <x:c r="C1056" s="25" t="n">
        <x:v>719.2892019078</x:v>
      </x:c>
      <x:c r="D1056" s="25" t="str">
        <x:v>tonnes</x:v>
      </x:c>
    </x:row>
    <x:row r="1057" ht="18" customHeight="1">
      <x:c r="A1057" s="25" t="str">
        <x:v>LME_058</x:v>
      </x:c>
      <x:c r="B1057" s="25" t="str">
        <x:v>catch_coverage_fraction</x:v>
      </x:c>
      <x:c r="C1057" s="25" t="n">
        <x:v>1</x:v>
      </x:c>
      <x:c r="D1057" s="25" t="str">
        <x:v>fraction</x:v>
      </x:c>
    </x:row>
    <x:row r="1058" ht="18" customHeight="1">
      <x:c r="A1058" s="25" t="str">
        <x:v>LME_058</x:v>
      </x:c>
      <x:c r="B1058" s="25" t="str">
        <x:v>taxa_count</x:v>
      </x:c>
      <x:c r="C1058" s="25" t="n">
        <x:v>5</x:v>
      </x:c>
      <x:c r="D1058" s="25" t="str">
        <x:v>count</x:v>
      </x:c>
    </x:row>
    <x:row r="1059" ht="18" customHeight="1">
      <x:c r="A1059" s="25" t="str">
        <x:v>LME_058</x:v>
      </x:c>
      <x:c r="B1059" s="25" t="str">
        <x:v>matched_taxa_count</x:v>
      </x:c>
      <x:c r="C1059" s="25" t="n">
        <x:v>5</x:v>
      </x:c>
      <x:c r="D1059" s="25" t="str">
        <x:v>count</x:v>
      </x:c>
    </x:row>
    <x:row r="1060" ht="18" customHeight="1">
      <x:c r="A1060" s="25" t="str">
        <x:v>LME_058</x:v>
      </x:c>
      <x:c r="B1060" s="25" t="str">
        <x:v>unmatched_taxa_count</x:v>
      </x:c>
      <x:c r="C1060" s="25" t="n">
        <x:v>0</x:v>
      </x:c>
      <x:c r="D1060" s="25" t="str">
        <x:v>count</x:v>
      </x:c>
    </x:row>
    <x:row r="1061" ht="18" customHeight="1">
      <x:c r="A1061" s="25" t="str">
        <x:v>LME_058</x:v>
      </x:c>
      <x:c r="B1061" s="25" t="str">
        <x:v>species_ppr</x:v>
      </x:c>
      <x:c r="C1061" s="25" t="n">
        <x:v>137138.92556169763</x:v>
      </x:c>
      <x:c r="D1061" s="25" t="str">
        <x:v>tonnes_primary_production_equivalent</x:v>
      </x:c>
    </x:row>
    <x:row r="1062" ht="18" customHeight="1">
      <x:c r="A1062" s="25" t="str">
        <x:v>LME_058</x:v>
      </x:c>
      <x:c r="B1062" s="25" t="str">
        <x:v>commercial_ppr</x:v>
      </x:c>
      <x:c r="C1062" s="25" t="n">
        <x:v>135651.10448002513</x:v>
      </x:c>
      <x:c r="D1062" s="25" t="str">
        <x:v>tonnes_primary_production_equivalent</x:v>
      </x:c>
    </x:row>
    <x:row r="1063" ht="18" customHeight="1">
      <x:c r="A1063" s="25" t="str">
        <x:v>LME_058</x:v>
      </x:c>
      <x:c r="B1063" s="25" t="str">
        <x:v>functional_ppr</x:v>
      </x:c>
      <x:c r="C1063" s="25" t="n">
        <x:v>135652.11223848525</x:v>
      </x:c>
      <x:c r="D1063" s="25" t="str">
        <x:v>tonnes_primary_production_equivalent</x:v>
      </x:c>
    </x:row>
    <x:row r="1064" ht="18" customHeight="1">
      <x:c r="A1064" s="25" t="str">
        <x:v>LME_058</x:v>
      </x:c>
      <x:c r="B1064" s="25" t="str">
        <x:v>commercial_ppr_difference</x:v>
      </x:c>
      <x:c r="C1064" s="25" t="n">
        <x:v>-1487.821081672504</x:v>
      </x:c>
      <x:c r="D1064" s="25" t="str">
        <x:v>tonnes_primary_production_equivalent</x:v>
      </x:c>
    </x:row>
    <x:row r="1065" ht="18" customHeight="1">
      <x:c r="A1065" s="25" t="str">
        <x:v>LME_058</x:v>
      </x:c>
      <x:c r="B1065" s="25" t="str">
        <x:v>functional_ppr_difference</x:v>
      </x:c>
      <x:c r="C1065" s="25" t="n">
        <x:v>-1486.81332321238</x:v>
      </x:c>
      <x:c r="D1065" s="25" t="str">
        <x:v>tonnes_primary_production_equivalent</x:v>
      </x:c>
    </x:row>
    <x:row r="1066" ht="18" customHeight="1">
      <x:c r="A1066" s="25" t="str">
        <x:v>LME_059</x:v>
      </x:c>
      <x:c r="B1066" s="25" t="str">
        <x:v>raw_filtered_tonnes</x:v>
      </x:c>
      <x:c r="C1066" s="25" t="n">
        <x:v>697974.9116856115</x:v>
      </x:c>
      <x:c r="D1066" s="25" t="str">
        <x:v>tonnes</x:v>
      </x:c>
    </x:row>
    <x:row r="1067" ht="18" customHeight="1">
      <x:c r="A1067" s="25" t="str">
        <x:v>LME_059</x:v>
      </x:c>
      <x:c r="B1067" s="25" t="str">
        <x:v>species_catch_tonnes</x:v>
      </x:c>
      <x:c r="C1067" s="25" t="n">
        <x:v>697974.9116856114</x:v>
      </x:c>
      <x:c r="D1067" s="25" t="str">
        <x:v>tonnes</x:v>
      </x:c>
    </x:row>
    <x:row r="1068" ht="18" customHeight="1">
      <x:c r="A1068" s="25" t="str">
        <x:v>LME_059</x:v>
      </x:c>
      <x:c r="B1068" s="25" t="str">
        <x:v>catch_difference_tonnes</x:v>
      </x:c>
      <x:c r="C1068" s="25" t="n">
        <x:v>-1.1641532182693481e-10</x:v>
      </x:c>
      <x:c r="D1068" s="25" t="str">
        <x:v>tonnes</x:v>
      </x:c>
    </x:row>
    <x:row r="1069" ht="18" customHeight="1">
      <x:c r="A1069" s="25" t="str">
        <x:v>LME_059</x:v>
      </x:c>
      <x:c r="B1069" s="25" t="str">
        <x:v>catch_reconciled</x:v>
      </x:c>
      <x:c r="C1069" s="36" t="b">
        <x:v>1</x:v>
      </x:c>
      <x:c r="D1069" s="25" t="str">
        <x:v>boolean</x:v>
      </x:c>
    </x:row>
    <x:row r="1070" ht="18" customHeight="1">
      <x:c r="A1070" s="25" t="str">
        <x:v>LME_059</x:v>
      </x:c>
      <x:c r="B1070" s="25" t="str">
        <x:v>matched_catch_tonnes</x:v>
      </x:c>
      <x:c r="C1070" s="25" t="n">
        <x:v>697974.9116856114</x:v>
      </x:c>
      <x:c r="D1070" s="25" t="str">
        <x:v>tonnes</x:v>
      </x:c>
    </x:row>
    <x:row r="1071" ht="18" customHeight="1">
      <x:c r="A1071" s="25" t="str">
        <x:v>LME_059</x:v>
      </x:c>
      <x:c r="B1071" s="25" t="str">
        <x:v>catch_coverage_fraction</x:v>
      </x:c>
      <x:c r="C1071" s="25" t="n">
        <x:v>1</x:v>
      </x:c>
      <x:c r="D1071" s="25" t="str">
        <x:v>fraction</x:v>
      </x:c>
    </x:row>
    <x:row r="1072" ht="18" customHeight="1">
      <x:c r="A1072" s="25" t="str">
        <x:v>LME_059</x:v>
      </x:c>
      <x:c r="B1072" s="25" t="str">
        <x:v>taxa_count</x:v>
      </x:c>
      <x:c r="C1072" s="25" t="n">
        <x:v>74</x:v>
      </x:c>
      <x:c r="D1072" s="25" t="str">
        <x:v>count</x:v>
      </x:c>
    </x:row>
    <x:row r="1073" ht="18" customHeight="1">
      <x:c r="A1073" s="25" t="str">
        <x:v>LME_059</x:v>
      </x:c>
      <x:c r="B1073" s="25" t="str">
        <x:v>matched_taxa_count</x:v>
      </x:c>
      <x:c r="C1073" s="25" t="n">
        <x:v>74</x:v>
      </x:c>
      <x:c r="D1073" s="25" t="str">
        <x:v>count</x:v>
      </x:c>
    </x:row>
    <x:row r="1074" ht="18" customHeight="1">
      <x:c r="A1074" s="25" t="str">
        <x:v>LME_059</x:v>
      </x:c>
      <x:c r="B1074" s="25" t="str">
        <x:v>unmatched_taxa_count</x:v>
      </x:c>
      <x:c r="C1074" s="25" t="n">
        <x:v>0</x:v>
      </x:c>
      <x:c r="D1074" s="25" t="str">
        <x:v>count</x:v>
      </x:c>
    </x:row>
    <x:row r="1075" ht="18" customHeight="1">
      <x:c r="A1075" s="25" t="str">
        <x:v>LME_059</x:v>
      </x:c>
      <x:c r="B1075" s="25" t="str">
        <x:v>species_ppr</x:v>
      </x:c>
      <x:c r="C1075" s="25" t="n">
        <x:v>707135211.9152755</x:v>
      </x:c>
      <x:c r="D1075" s="25" t="str">
        <x:v>tonnes_primary_production_equivalent</x:v>
      </x:c>
    </x:row>
    <x:row r="1076" ht="18" customHeight="1">
      <x:c r="A1076" s="25" t="str">
        <x:v>LME_059</x:v>
      </x:c>
      <x:c r="B1076" s="25" t="str">
        <x:v>commercial_ppr</x:v>
      </x:c>
      <x:c r="C1076" s="25" t="n">
        <x:v>670516995.6658894</x:v>
      </x:c>
      <x:c r="D1076" s="25" t="str">
        <x:v>tonnes_primary_production_equivalent</x:v>
      </x:c>
    </x:row>
    <x:row r="1077" ht="18" customHeight="1">
      <x:c r="A1077" s="25" t="str">
        <x:v>LME_059</x:v>
      </x:c>
      <x:c r="B1077" s="25" t="str">
        <x:v>functional_ppr</x:v>
      </x:c>
      <x:c r="C1077" s="25" t="n">
        <x:v>648512955.9012274</x:v>
      </x:c>
      <x:c r="D1077" s="25" t="str">
        <x:v>tonnes_primary_production_equivalent</x:v>
      </x:c>
    </x:row>
    <x:row r="1078" ht="18" customHeight="1">
      <x:c r="A1078" s="25" t="str">
        <x:v>LME_059</x:v>
      </x:c>
      <x:c r="B1078" s="25" t="str">
        <x:v>commercial_ppr_difference</x:v>
      </x:c>
      <x:c r="C1078" s="25" t="n">
        <x:v>-36618216.24938607</x:v>
      </x:c>
      <x:c r="D1078" s="25" t="str">
        <x:v>tonnes_primary_production_equivalent</x:v>
      </x:c>
    </x:row>
    <x:row r="1079" ht="18" customHeight="1">
      <x:c r="A1079" s="25" t="str">
        <x:v>LME_059</x:v>
      </x:c>
      <x:c r="B1079" s="25" t="str">
        <x:v>functional_ppr_difference</x:v>
      </x:c>
      <x:c r="C1079" s="25" t="n">
        <x:v>-58622256.0140481</x:v>
      </x:c>
      <x:c r="D1079" s="25" t="str">
        <x:v>tonnes_primary_production_equivalent</x:v>
      </x:c>
    </x:row>
    <x:row r="1080" ht="18" customHeight="1">
      <x:c r="A1080" s="25" t="str">
        <x:v>LME_060</x:v>
      </x:c>
      <x:c r="B1080" s="25" t="str">
        <x:v>raw_filtered_tonnes</x:v>
      </x:c>
      <x:c r="C1080" s="25" t="n">
        <x:v>420222.2010145739</x:v>
      </x:c>
      <x:c r="D1080" s="25" t="str">
        <x:v>tonnes</x:v>
      </x:c>
    </x:row>
    <x:row r="1081" ht="18" customHeight="1">
      <x:c r="A1081" s="25" t="str">
        <x:v>LME_060</x:v>
      </x:c>
      <x:c r="B1081" s="25" t="str">
        <x:v>species_catch_tonnes</x:v>
      </x:c>
      <x:c r="C1081" s="25" t="n">
        <x:v>420222.20101457404</x:v>
      </x:c>
      <x:c r="D1081" s="25" t="str">
        <x:v>tonnes</x:v>
      </x:c>
    </x:row>
    <x:row r="1082" ht="18" customHeight="1">
      <x:c r="A1082" s="25" t="str">
        <x:v>LME_060</x:v>
      </x:c>
      <x:c r="B1082" s="25" t="str">
        <x:v>catch_difference_tonnes</x:v>
      </x:c>
      <x:c r="C1082" s="25" t="n">
        <x:v>1.1641532182693481e-10</x:v>
      </x:c>
      <x:c r="D1082" s="25" t="str">
        <x:v>tonnes</x:v>
      </x:c>
    </x:row>
    <x:row r="1083" ht="18" customHeight="1">
      <x:c r="A1083" s="25" t="str">
        <x:v>LME_060</x:v>
      </x:c>
      <x:c r="B1083" s="25" t="str">
        <x:v>catch_reconciled</x:v>
      </x:c>
      <x:c r="C1083" s="36" t="b">
        <x:v>1</x:v>
      </x:c>
      <x:c r="D1083" s="25" t="str">
        <x:v>boolean</x:v>
      </x:c>
    </x:row>
    <x:row r="1084" ht="18" customHeight="1">
      <x:c r="A1084" s="25" t="str">
        <x:v>LME_060</x:v>
      </x:c>
      <x:c r="B1084" s="25" t="str">
        <x:v>matched_catch_tonnes</x:v>
      </x:c>
      <x:c r="C1084" s="25" t="n">
        <x:v>420222.20101457404</x:v>
      </x:c>
      <x:c r="D1084" s="25" t="str">
        <x:v>tonnes</x:v>
      </x:c>
    </x:row>
    <x:row r="1085" ht="18" customHeight="1">
      <x:c r="A1085" s="25" t="str">
        <x:v>LME_060</x:v>
      </x:c>
      <x:c r="B1085" s="25" t="str">
        <x:v>catch_coverage_fraction</x:v>
      </x:c>
      <x:c r="C1085" s="25" t="n">
        <x:v>1</x:v>
      </x:c>
      <x:c r="D1085" s="25" t="str">
        <x:v>fraction</x:v>
      </x:c>
    </x:row>
    <x:row r="1086" ht="18" customHeight="1">
      <x:c r="A1086" s="25" t="str">
        <x:v>LME_060</x:v>
      </x:c>
      <x:c r="B1086" s="25" t="str">
        <x:v>taxa_count</x:v>
      </x:c>
      <x:c r="C1086" s="25" t="n">
        <x:v>114</x:v>
      </x:c>
      <x:c r="D1086" s="25" t="str">
        <x:v>count</x:v>
      </x:c>
    </x:row>
    <x:row r="1087" ht="18" customHeight="1">
      <x:c r="A1087" s="25" t="str">
        <x:v>LME_060</x:v>
      </x:c>
      <x:c r="B1087" s="25" t="str">
        <x:v>matched_taxa_count</x:v>
      </x:c>
      <x:c r="C1087" s="25" t="n">
        <x:v>114</x:v>
      </x:c>
      <x:c r="D1087" s="25" t="str">
        <x:v>count</x:v>
      </x:c>
    </x:row>
    <x:row r="1088" ht="18" customHeight="1">
      <x:c r="A1088" s="25" t="str">
        <x:v>LME_060</x:v>
      </x:c>
      <x:c r="B1088" s="25" t="str">
        <x:v>unmatched_taxa_count</x:v>
      </x:c>
      <x:c r="C1088" s="25" t="n">
        <x:v>0</x:v>
      </x:c>
      <x:c r="D1088" s="25" t="str">
        <x:v>count</x:v>
      </x:c>
    </x:row>
    <x:row r="1089" ht="18" customHeight="1">
      <x:c r="A1089" s="25" t="str">
        <x:v>LME_060</x:v>
      </x:c>
      <x:c r="B1089" s="25" t="str">
        <x:v>species_ppr</x:v>
      </x:c>
      <x:c r="C1089" s="25" t="n">
        <x:v>476451437.8234684</x:v>
      </x:c>
      <x:c r="D1089" s="25" t="str">
        <x:v>tonnes_primary_production_equivalent</x:v>
      </x:c>
    </x:row>
    <x:row r="1090" ht="18" customHeight="1">
      <x:c r="A1090" s="25" t="str">
        <x:v>LME_060</x:v>
      </x:c>
      <x:c r="B1090" s="25" t="str">
        <x:v>commercial_ppr</x:v>
      </x:c>
      <x:c r="C1090" s="25" t="n">
        <x:v>464921354.3871538</x:v>
      </x:c>
      <x:c r="D1090" s="25" t="str">
        <x:v>tonnes_primary_production_equivalent</x:v>
      </x:c>
    </x:row>
    <x:row r="1091" ht="18" customHeight="1">
      <x:c r="A1091" s="25" t="str">
        <x:v>LME_060</x:v>
      </x:c>
      <x:c r="B1091" s="25" t="str">
        <x:v>functional_ppr</x:v>
      </x:c>
      <x:c r="C1091" s="25" t="n">
        <x:v>468250278.9980398</x:v>
      </x:c>
      <x:c r="D1091" s="25" t="str">
        <x:v>tonnes_primary_production_equivalent</x:v>
      </x:c>
    </x:row>
    <x:row r="1092" ht="18" customHeight="1">
      <x:c r="A1092" s="25" t="str">
        <x:v>LME_060</x:v>
      </x:c>
      <x:c r="B1092" s="25" t="str">
        <x:v>commercial_ppr_difference</x:v>
      </x:c>
      <x:c r="C1092" s="25" t="n">
        <x:v>-11530083.436314583</x:v>
      </x:c>
      <x:c r="D1092" s="25" t="str">
        <x:v>tonnes_primary_production_equivalent</x:v>
      </x:c>
    </x:row>
    <x:row r="1093" ht="18" customHeight="1">
      <x:c r="A1093" s="25" t="str">
        <x:v>LME_060</x:v>
      </x:c>
      <x:c r="B1093" s="25" t="str">
        <x:v>functional_ppr_difference</x:v>
      </x:c>
      <x:c r="C1093" s="25" t="n">
        <x:v>-8201158.825428605</x:v>
      </x:c>
      <x:c r="D1093" s="25" t="str">
        <x:v>tonnes_primary_production_equivalent</x:v>
      </x:c>
    </x:row>
    <x:row r="1094" ht="18" customHeight="1">
      <x:c r="A1094" s="25" t="str">
        <x:v>LME_061</x:v>
      </x:c>
      <x:c r="B1094" s="25" t="str">
        <x:v>raw_filtered_tonnes</x:v>
      </x:c>
      <x:c r="C1094" s="25" t="n">
        <x:v>0.2496140134</x:v>
      </x:c>
      <x:c r="D1094" s="25" t="str">
        <x:v>tonnes</x:v>
      </x:c>
    </x:row>
    <x:row r="1095" ht="18" customHeight="1">
      <x:c r="A1095" s="25" t="str">
        <x:v>LME_061</x:v>
      </x:c>
      <x:c r="B1095" s="25" t="str">
        <x:v>species_catch_tonnes</x:v>
      </x:c>
      <x:c r="C1095" s="25" t="n">
        <x:v>0.2496140134</x:v>
      </x:c>
      <x:c r="D1095" s="25" t="str">
        <x:v>tonnes</x:v>
      </x:c>
    </x:row>
    <x:row r="1096" ht="18" customHeight="1">
      <x:c r="A1096" s="25" t="str">
        <x:v>LME_061</x:v>
      </x:c>
      <x:c r="B1096" s="25" t="str">
        <x:v>catch_difference_tonnes</x:v>
      </x:c>
      <x:c r="C1096" s="25" t="n">
        <x:v>0</x:v>
      </x:c>
      <x:c r="D1096" s="25" t="str">
        <x:v>tonnes</x:v>
      </x:c>
    </x:row>
    <x:row r="1097" ht="18" customHeight="1">
      <x:c r="A1097" s="25" t="str">
        <x:v>LME_061</x:v>
      </x:c>
      <x:c r="B1097" s="25" t="str">
        <x:v>catch_reconciled</x:v>
      </x:c>
      <x:c r="C1097" s="36" t="b">
        <x:v>1</x:v>
      </x:c>
      <x:c r="D1097" s="25" t="str">
        <x:v>boolean</x:v>
      </x:c>
    </x:row>
    <x:row r="1098" ht="18" customHeight="1">
      <x:c r="A1098" s="25" t="str">
        <x:v>LME_061</x:v>
      </x:c>
      <x:c r="B1098" s="25" t="str">
        <x:v>matched_catch_tonnes</x:v>
      </x:c>
      <x:c r="C1098" s="25" t="n">
        <x:v>0.2496140134</x:v>
      </x:c>
      <x:c r="D1098" s="25" t="str">
        <x:v>tonnes</x:v>
      </x:c>
    </x:row>
    <x:row r="1099" ht="18" customHeight="1">
      <x:c r="A1099" s="25" t="str">
        <x:v>LME_061</x:v>
      </x:c>
      <x:c r="B1099" s="25" t="str">
        <x:v>catch_coverage_fraction</x:v>
      </x:c>
      <x:c r="C1099" s="25" t="n">
        <x:v>1</x:v>
      </x:c>
      <x:c r="D1099" s="25" t="str">
        <x:v>fraction</x:v>
      </x:c>
    </x:row>
    <x:row r="1100" ht="18" customHeight="1">
      <x:c r="A1100" s="25" t="str">
        <x:v>LME_061</x:v>
      </x:c>
      <x:c r="B1100" s="25" t="str">
        <x:v>taxa_count</x:v>
      </x:c>
      <x:c r="C1100" s="25" t="n">
        <x:v>10</x:v>
      </x:c>
      <x:c r="D1100" s="25" t="str">
        <x:v>count</x:v>
      </x:c>
    </x:row>
    <x:row r="1101" ht="18" customHeight="1">
      <x:c r="A1101" s="25" t="str">
        <x:v>LME_061</x:v>
      </x:c>
      <x:c r="B1101" s="25" t="str">
        <x:v>matched_taxa_count</x:v>
      </x:c>
      <x:c r="C1101" s="25" t="n">
        <x:v>10</x:v>
      </x:c>
      <x:c r="D1101" s="25" t="str">
        <x:v>count</x:v>
      </x:c>
    </x:row>
    <x:row r="1102" ht="18" customHeight="1">
      <x:c r="A1102" s="25" t="str">
        <x:v>LME_061</x:v>
      </x:c>
      <x:c r="B1102" s="25" t="str">
        <x:v>unmatched_taxa_count</x:v>
      </x:c>
      <x:c r="C1102" s="25" t="n">
        <x:v>0</x:v>
      </x:c>
      <x:c r="D1102" s="25" t="str">
        <x:v>count</x:v>
      </x:c>
    </x:row>
    <x:row r="1103" ht="18" customHeight="1">
      <x:c r="A1103" s="25" t="str">
        <x:v>LME_061</x:v>
      </x:c>
      <x:c r="B1103" s="25" t="str">
        <x:v>species_ppr</x:v>
      </x:c>
      <x:c r="C1103" s="25" t="n">
        <x:v>57.73274163591119</x:v>
      </x:c>
      <x:c r="D1103" s="25" t="str">
        <x:v>tonnes_primary_production_equivalent</x:v>
      </x:c>
    </x:row>
    <x:row r="1104" ht="18" customHeight="1">
      <x:c r="A1104" s="25" t="str">
        <x:v>LME_061</x:v>
      </x:c>
      <x:c r="B1104" s="25" t="str">
        <x:v>commercial_ppr</x:v>
      </x:c>
      <x:c r="C1104" s="25" t="n">
        <x:v>57.58283522606718</x:v>
      </x:c>
      <x:c r="D1104" s="25" t="str">
        <x:v>tonnes_primary_production_equivalent</x:v>
      </x:c>
    </x:row>
    <x:row r="1105" ht="18" customHeight="1">
      <x:c r="A1105" s="25" t="str">
        <x:v>LME_061</x:v>
      </x:c>
      <x:c r="B1105" s="25" t="str">
        <x:v>functional_ppr</x:v>
      </x:c>
      <x:c r="C1105" s="25" t="n">
        <x:v>57.732498833181225</x:v>
      </x:c>
      <x:c r="D1105" s="25" t="str">
        <x:v>tonnes_primary_production_equivalent</x:v>
      </x:c>
    </x:row>
    <x:row r="1106" ht="18" customHeight="1">
      <x:c r="A1106" s="25" t="str">
        <x:v>LME_061</x:v>
      </x:c>
      <x:c r="B1106" s="25" t="str">
        <x:v>commercial_ppr_difference</x:v>
      </x:c>
      <x:c r="C1106" s="25" t="n">
        <x:v>-0.14990640984400727</x:v>
      </x:c>
      <x:c r="D1106" s="25" t="str">
        <x:v>tonnes_primary_production_equivalent</x:v>
      </x:c>
    </x:row>
    <x:row r="1107" ht="18" customHeight="1">
      <x:c r="A1107" s="25" t="str">
        <x:v>LME_061</x:v>
      </x:c>
      <x:c r="B1107" s="25" t="str">
        <x:v>functional_ppr_difference</x:v>
      </x:c>
      <x:c r="C1107" s="25" t="n">
        <x:v>-0.00024280272996435315</x:v>
      </x:c>
      <x:c r="D1107" s="25" t="str">
        <x:v>tonnes_primary_production_equivalent</x:v>
      </x:c>
    </x:row>
    <x:row r="1108" ht="18" customHeight="1">
      <x:c r="A1108" s="25" t="str">
        <x:v>LME_062</x:v>
      </x:c>
      <x:c r="B1108" s="25" t="str">
        <x:v>raw_filtered_tonnes</x:v>
      </x:c>
      <x:c r="C1108" s="25" t="n">
        <x:v>1145168.185954724</x:v>
      </x:c>
      <x:c r="D1108" s="25" t="str">
        <x:v>tonnes</x:v>
      </x:c>
    </x:row>
    <x:row r="1109" ht="18" customHeight="1">
      <x:c r="A1109" s="25" t="str">
        <x:v>LME_062</x:v>
      </x:c>
      <x:c r="B1109" s="25" t="str">
        <x:v>species_catch_tonnes</x:v>
      </x:c>
      <x:c r="C1109" s="25" t="n">
        <x:v>1145168.1859547237</x:v>
      </x:c>
      <x:c r="D1109" s="25" t="str">
        <x:v>tonnes</x:v>
      </x:c>
    </x:row>
    <x:row r="1110" ht="18" customHeight="1">
      <x:c r="A1110" s="25" t="str">
        <x:v>LME_062</x:v>
      </x:c>
      <x:c r="B1110" s="25" t="str">
        <x:v>catch_difference_tonnes</x:v>
      </x:c>
      <x:c r="C1110" s="25" t="n">
        <x:v>-2.3283064365386963e-10</x:v>
      </x:c>
      <x:c r="D1110" s="25" t="str">
        <x:v>tonnes</x:v>
      </x:c>
    </x:row>
    <x:row r="1111" ht="18" customHeight="1">
      <x:c r="A1111" s="25" t="str">
        <x:v>LME_062</x:v>
      </x:c>
      <x:c r="B1111" s="25" t="str">
        <x:v>catch_reconciled</x:v>
      </x:c>
      <x:c r="C1111" s="36" t="b">
        <x:v>1</x:v>
      </x:c>
      <x:c r="D1111" s="25" t="str">
        <x:v>boolean</x:v>
      </x:c>
    </x:row>
    <x:row r="1112" ht="18" customHeight="1">
      <x:c r="A1112" s="25" t="str">
        <x:v>LME_062</x:v>
      </x:c>
      <x:c r="B1112" s="25" t="str">
        <x:v>matched_catch_tonnes</x:v>
      </x:c>
      <x:c r="C1112" s="25" t="n">
        <x:v>1145168.1859547237</x:v>
      </x:c>
      <x:c r="D1112" s="25" t="str">
        <x:v>tonnes</x:v>
      </x:c>
    </x:row>
    <x:row r="1113" ht="18" customHeight="1">
      <x:c r="A1113" s="25" t="str">
        <x:v>LME_062</x:v>
      </x:c>
      <x:c r="B1113" s="25" t="str">
        <x:v>catch_coverage_fraction</x:v>
      </x:c>
      <x:c r="C1113" s="25" t="n">
        <x:v>1</x:v>
      </x:c>
      <x:c r="D1113" s="25" t="str">
        <x:v>fraction</x:v>
      </x:c>
    </x:row>
    <x:row r="1114" ht="18" customHeight="1">
      <x:c r="A1114" s="25" t="str">
        <x:v>LME_062</x:v>
      </x:c>
      <x:c r="B1114" s="25" t="str">
        <x:v>taxa_count</x:v>
      </x:c>
      <x:c r="C1114" s="25" t="n">
        <x:v>120</x:v>
      </x:c>
      <x:c r="D1114" s="25" t="str">
        <x:v>count</x:v>
      </x:c>
    </x:row>
    <x:row r="1115" ht="18" customHeight="1">
      <x:c r="A1115" s="25" t="str">
        <x:v>LME_062</x:v>
      </x:c>
      <x:c r="B1115" s="25" t="str">
        <x:v>matched_taxa_count</x:v>
      </x:c>
      <x:c r="C1115" s="25" t="n">
        <x:v>120</x:v>
      </x:c>
      <x:c r="D1115" s="25" t="str">
        <x:v>count</x:v>
      </x:c>
    </x:row>
    <x:row r="1116" ht="18" customHeight="1">
      <x:c r="A1116" s="25" t="str">
        <x:v>LME_062</x:v>
      </x:c>
      <x:c r="B1116" s="25" t="str">
        <x:v>unmatched_taxa_count</x:v>
      </x:c>
      <x:c r="C1116" s="25" t="n">
        <x:v>0</x:v>
      </x:c>
      <x:c r="D1116" s="25" t="str">
        <x:v>count</x:v>
      </x:c>
    </x:row>
    <x:row r="1117" ht="18" customHeight="1">
      <x:c r="A1117" s="25" t="str">
        <x:v>LME_062</x:v>
      </x:c>
      <x:c r="B1117" s="25" t="str">
        <x:v>species_ppr</x:v>
      </x:c>
      <x:c r="C1117" s="25" t="n">
        <x:v>287609386.6659423</x:v>
      </x:c>
      <x:c r="D1117" s="25" t="str">
        <x:v>tonnes_primary_production_equivalent</x:v>
      </x:c>
    </x:row>
    <x:row r="1118" ht="18" customHeight="1">
      <x:c r="A1118" s="25" t="str">
        <x:v>LME_062</x:v>
      </x:c>
      <x:c r="B1118" s="25" t="str">
        <x:v>commercial_ppr</x:v>
      </x:c>
      <x:c r="C1118" s="25" t="n">
        <x:v>257887285.09777054</x:v>
      </x:c>
      <x:c r="D1118" s="25" t="str">
        <x:v>tonnes_primary_production_equivalent</x:v>
      </x:c>
    </x:row>
    <x:row r="1119" ht="18" customHeight="1">
      <x:c r="A1119" s="25" t="str">
        <x:v>LME_062</x:v>
      </x:c>
      <x:c r="B1119" s="25" t="str">
        <x:v>functional_ppr</x:v>
      </x:c>
      <x:c r="C1119" s="25" t="n">
        <x:v>257454061.90611702</x:v>
      </x:c>
      <x:c r="D1119" s="25" t="str">
        <x:v>tonnes_primary_production_equivalent</x:v>
      </x:c>
    </x:row>
    <x:row r="1120" ht="18" customHeight="1">
      <x:c r="A1120" s="25" t="str">
        <x:v>LME_062</x:v>
      </x:c>
      <x:c r="B1120" s="25" t="str">
        <x:v>commercial_ppr_difference</x:v>
      </x:c>
      <x:c r="C1120" s="25" t="n">
        <x:v>-29722101.56817177</x:v>
      </x:c>
      <x:c r="D1120" s="25" t="str">
        <x:v>tonnes_primary_production_equivalent</x:v>
      </x:c>
    </x:row>
    <x:row r="1121" ht="18" customHeight="1">
      <x:c r="A1121" s="25" t="str">
        <x:v>LME_062</x:v>
      </x:c>
      <x:c r="B1121" s="25" t="str">
        <x:v>functional_ppr_difference</x:v>
      </x:c>
      <x:c r="C1121" s="25" t="n">
        <x:v>-30155324.75982529</x:v>
      </x:c>
      <x:c r="D1121" s="25" t="str">
        <x:v>tonnes_primary_production_equivalent</x:v>
      </x:c>
    </x:row>
    <x:row r="1122" ht="18" customHeight="1">
      <x:c r="A1122" s="25" t="str">
        <x:v>LME_063</x:v>
      </x:c>
      <x:c r="B1122" s="25" t="str">
        <x:v>raw_filtered_tonnes</x:v>
      </x:c>
      <x:c r="C1122" s="25" t="n">
        <x:v>1269.735630608</x:v>
      </x:c>
      <x:c r="D1122" s="25" t="str">
        <x:v>tonnes</x:v>
      </x:c>
    </x:row>
    <x:row r="1123" ht="18" customHeight="1">
      <x:c r="A1123" s="25" t="str">
        <x:v>LME_063</x:v>
      </x:c>
      <x:c r="B1123" s="25" t="str">
        <x:v>species_catch_tonnes</x:v>
      </x:c>
      <x:c r="C1123" s="25" t="n">
        <x:v>1269.735630608</x:v>
      </x:c>
      <x:c r="D1123" s="25" t="str">
        <x:v>tonnes</x:v>
      </x:c>
    </x:row>
    <x:row r="1124" ht="18" customHeight="1">
      <x:c r="A1124" s="25" t="str">
        <x:v>LME_063</x:v>
      </x:c>
      <x:c r="B1124" s="25" t="str">
        <x:v>catch_difference_tonnes</x:v>
      </x:c>
      <x:c r="C1124" s="25" t="n">
        <x:v>0</x:v>
      </x:c>
      <x:c r="D1124" s="25" t="str">
        <x:v>tonnes</x:v>
      </x:c>
    </x:row>
    <x:row r="1125" ht="18" customHeight="1">
      <x:c r="A1125" s="25" t="str">
        <x:v>LME_063</x:v>
      </x:c>
      <x:c r="B1125" s="25" t="str">
        <x:v>catch_reconciled</x:v>
      </x:c>
      <x:c r="C1125" s="36" t="b">
        <x:v>1</x:v>
      </x:c>
      <x:c r="D1125" s="25" t="str">
        <x:v>boolean</x:v>
      </x:c>
    </x:row>
    <x:row r="1126" ht="18" customHeight="1">
      <x:c r="A1126" s="25" t="str">
        <x:v>LME_063</x:v>
      </x:c>
      <x:c r="B1126" s="25" t="str">
        <x:v>matched_catch_tonnes</x:v>
      </x:c>
      <x:c r="C1126" s="25" t="n">
        <x:v>1269.735630608</x:v>
      </x:c>
      <x:c r="D1126" s="25" t="str">
        <x:v>tonnes</x:v>
      </x:c>
    </x:row>
    <x:row r="1127" ht="18" customHeight="1">
      <x:c r="A1127" s="25" t="str">
        <x:v>LME_063</x:v>
      </x:c>
      <x:c r="B1127" s="25" t="str">
        <x:v>catch_coverage_fraction</x:v>
      </x:c>
      <x:c r="C1127" s="25" t="n">
        <x:v>1</x:v>
      </x:c>
      <x:c r="D1127" s="25" t="str">
        <x:v>fraction</x:v>
      </x:c>
    </x:row>
    <x:row r="1128" ht="18" customHeight="1">
      <x:c r="A1128" s="25" t="str">
        <x:v>LME_063</x:v>
      </x:c>
      <x:c r="B1128" s="25" t="str">
        <x:v>taxa_count</x:v>
      </x:c>
      <x:c r="C1128" s="25" t="n">
        <x:v>44</x:v>
      </x:c>
      <x:c r="D1128" s="25" t="str">
        <x:v>count</x:v>
      </x:c>
    </x:row>
    <x:row r="1129" ht="18" customHeight="1">
      <x:c r="A1129" s="25" t="str">
        <x:v>LME_063</x:v>
      </x:c>
      <x:c r="B1129" s="25" t="str">
        <x:v>matched_taxa_count</x:v>
      </x:c>
      <x:c r="C1129" s="25" t="n">
        <x:v>44</x:v>
      </x:c>
      <x:c r="D1129" s="25" t="str">
        <x:v>count</x:v>
      </x:c>
    </x:row>
    <x:row r="1130" ht="18" customHeight="1">
      <x:c r="A1130" s="25" t="str">
        <x:v>LME_063</x:v>
      </x:c>
      <x:c r="B1130" s="25" t="str">
        <x:v>unmatched_taxa_count</x:v>
      </x:c>
      <x:c r="C1130" s="25" t="n">
        <x:v>0</x:v>
      </x:c>
      <x:c r="D1130" s="25" t="str">
        <x:v>count</x:v>
      </x:c>
    </x:row>
    <x:row r="1131" ht="18" customHeight="1">
      <x:c r="A1131" s="25" t="str">
        <x:v>LME_063</x:v>
      </x:c>
      <x:c r="B1131" s="25" t="str">
        <x:v>species_ppr</x:v>
      </x:c>
      <x:c r="C1131" s="25" t="n">
        <x:v>2919836.9461889495</x:v>
      </x:c>
      <x:c r="D1131" s="25" t="str">
        <x:v>tonnes_primary_production_equivalent</x:v>
      </x:c>
    </x:row>
    <x:row r="1132" ht="18" customHeight="1">
      <x:c r="A1132" s="25" t="str">
        <x:v>LME_063</x:v>
      </x:c>
      <x:c r="B1132" s="25" t="str">
        <x:v>commercial_ppr</x:v>
      </x:c>
      <x:c r="C1132" s="25" t="n">
        <x:v>2767953.6523261997</x:v>
      </x:c>
      <x:c r="D1132" s="25" t="str">
        <x:v>tonnes_primary_production_equivalent</x:v>
      </x:c>
    </x:row>
    <x:row r="1133" ht="18" customHeight="1">
      <x:c r="A1133" s="25" t="str">
        <x:v>LME_063</x:v>
      </x:c>
      <x:c r="B1133" s="25" t="str">
        <x:v>functional_ppr</x:v>
      </x:c>
      <x:c r="C1133" s="25" t="n">
        <x:v>2896761.9589186287</x:v>
      </x:c>
      <x:c r="D1133" s="25" t="str">
        <x:v>tonnes_primary_production_equivalent</x:v>
      </x:c>
    </x:row>
    <x:row r="1134" ht="18" customHeight="1">
      <x:c r="A1134" s="25" t="str">
        <x:v>LME_063</x:v>
      </x:c>
      <x:c r="B1134" s="25" t="str">
        <x:v>commercial_ppr_difference</x:v>
      </x:c>
      <x:c r="C1134" s="25" t="n">
        <x:v>-151883.29386274982</x:v>
      </x:c>
      <x:c r="D1134" s="25" t="str">
        <x:v>tonnes_primary_production_equivalent</x:v>
      </x:c>
    </x:row>
    <x:row r="1135" ht="18" customHeight="1">
      <x:c r="A1135" s="25" t="str">
        <x:v>LME_063</x:v>
      </x:c>
      <x:c r="B1135" s="25" t="str">
        <x:v>functional_ppr_difference</x:v>
      </x:c>
      <x:c r="C1135" s="25" t="n">
        <x:v>-23074.987270320766</x:v>
      </x:c>
      <x:c r="D1135" s="25" t="str">
        <x:v>tonnes_primary_production_equivalent</x:v>
      </x:c>
    </x:row>
    <x:row r="1136" ht="18" customHeight="1">
      <x:c r="A1136" s="25" t="str">
        <x:v>LME_064</x:v>
      </x:c>
      <x:c r="B1136" s="25" t="str">
        <x:v>raw_filtered_tonnes</x:v>
      </x:c>
      <x:c r="C1136" s="25" t="n">
        <x:v>0</x:v>
      </x:c>
      <x:c r="D1136" s="25" t="str">
        <x:v>tonnes</x:v>
      </x:c>
    </x:row>
    <x:row r="1137" ht="18" customHeight="1">
      <x:c r="A1137" s="25" t="str">
        <x:v>LME_064</x:v>
      </x:c>
      <x:c r="B1137" s="25" t="str">
        <x:v>species_catch_tonnes</x:v>
      </x:c>
      <x:c r="C1137" s="25" t="n">
        <x:v>0</x:v>
      </x:c>
      <x:c r="D1137" s="25" t="str">
        <x:v>tonnes</x:v>
      </x:c>
    </x:row>
    <x:row r="1138" ht="18" customHeight="1">
      <x:c r="A1138" s="25" t="str">
        <x:v>LME_064</x:v>
      </x:c>
      <x:c r="B1138" s="25" t="str">
        <x:v>catch_difference_tonnes</x:v>
      </x:c>
      <x:c r="C1138" s="25" t="n">
        <x:v>0</x:v>
      </x:c>
      <x:c r="D1138" s="25" t="str">
        <x:v>tonnes</x:v>
      </x:c>
    </x:row>
    <x:row r="1139" ht="18" customHeight="1">
      <x:c r="A1139" s="25" t="str">
        <x:v>LME_064</x:v>
      </x:c>
      <x:c r="B1139" s="25" t="str">
        <x:v>catch_reconciled</x:v>
      </x:c>
      <x:c r="C1139" s="36" t="b">
        <x:v>1</x:v>
      </x:c>
      <x:c r="D1139" s="25" t="str">
        <x:v>boolean</x:v>
      </x:c>
    </x:row>
    <x:row r="1140" ht="18" customHeight="1">
      <x:c r="A1140" s="25" t="str">
        <x:v>LME_064</x:v>
      </x:c>
      <x:c r="B1140" s="25" t="str">
        <x:v>matched_catch_tonnes</x:v>
      </x:c>
      <x:c r="C1140" s="25" t="n">
        <x:v>0</x:v>
      </x:c>
      <x:c r="D1140" s="25" t="str">
        <x:v>tonnes</x:v>
      </x:c>
    </x:row>
    <x:row r="1141" ht="18" customHeight="1">
      <x:c r="A1141" s="25" t="str">
        <x:v>LME_064</x:v>
      </x:c>
      <x:c r="B1141" s="25" t="str">
        <x:v>catch_coverage_fraction</x:v>
      </x:c>
      <x:c r="C1141" s="25" t="str"/>
      <x:c r="D1141" s="25" t="str">
        <x:v>fraction</x:v>
      </x:c>
    </x:row>
    <x:row r="1142" ht="18" customHeight="1">
      <x:c r="A1142" s="25" t="str">
        <x:v>LME_064</x:v>
      </x:c>
      <x:c r="B1142" s="25" t="str">
        <x:v>taxa_count</x:v>
      </x:c>
      <x:c r="C1142" s="25" t="n">
        <x:v>0</x:v>
      </x:c>
      <x:c r="D1142" s="25" t="str">
        <x:v>count</x:v>
      </x:c>
    </x:row>
    <x:row r="1143" ht="18" customHeight="1">
      <x:c r="A1143" s="25" t="str">
        <x:v>LME_064</x:v>
      </x:c>
      <x:c r="B1143" s="25" t="str">
        <x:v>matched_taxa_count</x:v>
      </x:c>
      <x:c r="C1143" s="25" t="n">
        <x:v>0</x:v>
      </x:c>
      <x:c r="D1143" s="25" t="str">
        <x:v>count</x:v>
      </x:c>
    </x:row>
    <x:row r="1144" ht="18" customHeight="1">
      <x:c r="A1144" s="25" t="str">
        <x:v>LME_064</x:v>
      </x:c>
      <x:c r="B1144" s="25" t="str">
        <x:v>unmatched_taxa_count</x:v>
      </x:c>
      <x:c r="C1144" s="25" t="n">
        <x:v>0</x:v>
      </x:c>
      <x:c r="D1144" s="25" t="str">
        <x:v>count</x:v>
      </x:c>
    </x:row>
    <x:row r="1145" ht="18" customHeight="1">
      <x:c r="A1145" s="25" t="str">
        <x:v>LME_064</x:v>
      </x:c>
      <x:c r="B1145" s="25" t="str">
        <x:v>species_ppr</x:v>
      </x:c>
      <x:c r="C1145" s="25" t="n">
        <x:v>0</x:v>
      </x:c>
      <x:c r="D1145" s="25" t="str">
        <x:v>tonnes_primary_production_equivalent</x:v>
      </x:c>
    </x:row>
    <x:row r="1146" ht="18" customHeight="1">
      <x:c r="A1146" s="25" t="str">
        <x:v>LME_064</x:v>
      </x:c>
      <x:c r="B1146" s="25" t="str">
        <x:v>commercial_ppr</x:v>
      </x:c>
      <x:c r="C1146" s="25" t="n">
        <x:v>0</x:v>
      </x:c>
      <x:c r="D1146" s="25" t="str">
        <x:v>tonnes_primary_production_equivalent</x:v>
      </x:c>
    </x:row>
    <x:row r="1147" ht="18" customHeight="1">
      <x:c r="A1147" s="25" t="str">
        <x:v>LME_064</x:v>
      </x:c>
      <x:c r="B1147" s="25" t="str">
        <x:v>functional_ppr</x:v>
      </x:c>
      <x:c r="C1147" s="25" t="n">
        <x:v>0</x:v>
      </x:c>
      <x:c r="D1147" s="25" t="str">
        <x:v>tonnes_primary_production_equivalent</x:v>
      </x:c>
    </x:row>
    <x:row r="1148" ht="18" customHeight="1">
      <x:c r="A1148" s="25" t="str">
        <x:v>LME_064</x:v>
      </x:c>
      <x:c r="B1148" s="25" t="str">
        <x:v>commercial_ppr_difference</x:v>
      </x:c>
      <x:c r="C1148" s="25" t="n">
        <x:v>0</x:v>
      </x:c>
      <x:c r="D1148" s="25" t="str">
        <x:v>tonnes_primary_production_equivalent</x:v>
      </x:c>
    </x:row>
    <x:row r="1149" ht="18" customHeight="1">
      <x:c r="A1149" s="25" t="str">
        <x:v>LME_064</x:v>
      </x:c>
      <x:c r="B1149" s="25" t="str">
        <x:v>functional_ppr_difference</x:v>
      </x:c>
      <x:c r="C1149" s="25" t="n">
        <x:v>0</x:v>
      </x:c>
      <x:c r="D1149" s="25" t="str">
        <x:v>tonnes_primary_production_equivalent</x:v>
      </x:c>
    </x:row>
    <x:row r="1150" ht="18" customHeight="1">
      <x:c r="A1150" s="25" t="str">
        <x:v>LME_065</x:v>
      </x:c>
      <x:c r="B1150" s="25" t="str">
        <x:v>raw_filtered_tonnes</x:v>
      </x:c>
      <x:c r="C1150" s="25" t="n">
        <x:v>151507.6717909796</x:v>
      </x:c>
      <x:c r="D1150" s="25" t="str">
        <x:v>tonnes</x:v>
      </x:c>
    </x:row>
    <x:row r="1151" ht="18" customHeight="1">
      <x:c r="A1151" s="25" t="str">
        <x:v>LME_065</x:v>
      </x:c>
      <x:c r="B1151" s="25" t="str">
        <x:v>species_catch_tonnes</x:v>
      </x:c>
      <x:c r="C1151" s="25" t="n">
        <x:v>151507.6717909796</x:v>
      </x:c>
      <x:c r="D1151" s="25" t="str">
        <x:v>tonnes</x:v>
      </x:c>
    </x:row>
    <x:row r="1152" ht="18" customHeight="1">
      <x:c r="A1152" s="25" t="str">
        <x:v>LME_065</x:v>
      </x:c>
      <x:c r="B1152" s="25" t="str">
        <x:v>catch_difference_tonnes</x:v>
      </x:c>
      <x:c r="C1152" s="25" t="n">
        <x:v>0</x:v>
      </x:c>
      <x:c r="D1152" s="25" t="str">
        <x:v>tonnes</x:v>
      </x:c>
    </x:row>
    <x:row r="1153" ht="18" customHeight="1">
      <x:c r="A1153" s="25" t="str">
        <x:v>LME_065</x:v>
      </x:c>
      <x:c r="B1153" s="25" t="str">
        <x:v>catch_reconciled</x:v>
      </x:c>
      <x:c r="C1153" s="36" t="b">
        <x:v>1</x:v>
      </x:c>
      <x:c r="D1153" s="25" t="str">
        <x:v>boolean</x:v>
      </x:c>
    </x:row>
    <x:row r="1154" ht="18" customHeight="1">
      <x:c r="A1154" s="25" t="str">
        <x:v>LME_065</x:v>
      </x:c>
      <x:c r="B1154" s="25" t="str">
        <x:v>matched_catch_tonnes</x:v>
      </x:c>
      <x:c r="C1154" s="25" t="n">
        <x:v>151507.6717909796</x:v>
      </x:c>
      <x:c r="D1154" s="25" t="str">
        <x:v>tonnes</x:v>
      </x:c>
    </x:row>
    <x:row r="1155" ht="18" customHeight="1">
      <x:c r="A1155" s="25" t="str">
        <x:v>LME_065</x:v>
      </x:c>
      <x:c r="B1155" s="25" t="str">
        <x:v>catch_coverage_fraction</x:v>
      </x:c>
      <x:c r="C1155" s="25" t="n">
        <x:v>1</x:v>
      </x:c>
      <x:c r="D1155" s="25" t="str">
        <x:v>fraction</x:v>
      </x:c>
    </x:row>
    <x:row r="1156" ht="18" customHeight="1">
      <x:c r="A1156" s="25" t="str">
        <x:v>LME_065</x:v>
      </x:c>
      <x:c r="B1156" s="25" t="str">
        <x:v>taxa_count</x:v>
      </x:c>
      <x:c r="C1156" s="25" t="n">
        <x:v>68</x:v>
      </x:c>
      <x:c r="D1156" s="25" t="str">
        <x:v>count</x:v>
      </x:c>
    </x:row>
    <x:row r="1157" ht="18" customHeight="1">
      <x:c r="A1157" s="25" t="str">
        <x:v>LME_065</x:v>
      </x:c>
      <x:c r="B1157" s="25" t="str">
        <x:v>matched_taxa_count</x:v>
      </x:c>
      <x:c r="C1157" s="25" t="n">
        <x:v>68</x:v>
      </x:c>
      <x:c r="D1157" s="25" t="str">
        <x:v>count</x:v>
      </x:c>
    </x:row>
    <x:row r="1158" ht="18" customHeight="1">
      <x:c r="A1158" s="25" t="str">
        <x:v>LME_065</x:v>
      </x:c>
      <x:c r="B1158" s="25" t="str">
        <x:v>unmatched_taxa_count</x:v>
      </x:c>
      <x:c r="C1158" s="25" t="n">
        <x:v>0</x:v>
      </x:c>
      <x:c r="D1158" s="25" t="str">
        <x:v>count</x:v>
      </x:c>
    </x:row>
    <x:row r="1159" ht="18" customHeight="1">
      <x:c r="A1159" s="25" t="str">
        <x:v>LME_065</x:v>
      </x:c>
      <x:c r="B1159" s="25" t="str">
        <x:v>species_ppr</x:v>
      </x:c>
      <x:c r="C1159" s="25" t="n">
        <x:v>85526381.4039745</x:v>
      </x:c>
      <x:c r="D1159" s="25" t="str">
        <x:v>tonnes_primary_production_equivalent</x:v>
      </x:c>
    </x:row>
    <x:row r="1160" ht="18" customHeight="1">
      <x:c r="A1160" s="25" t="str">
        <x:v>LME_065</x:v>
      </x:c>
      <x:c r="B1160" s="25" t="str">
        <x:v>commercial_ppr</x:v>
      </x:c>
      <x:c r="C1160" s="25" t="n">
        <x:v>70379109.37733433</x:v>
      </x:c>
      <x:c r="D1160" s="25" t="str">
        <x:v>tonnes_primary_production_equivalent</x:v>
      </x:c>
    </x:row>
    <x:row r="1161" ht="18" customHeight="1">
      <x:c r="A1161" s="25" t="str">
        <x:v>LME_065</x:v>
      </x:c>
      <x:c r="B1161" s="25" t="str">
        <x:v>functional_ppr</x:v>
      </x:c>
      <x:c r="C1161" s="25" t="n">
        <x:v>75180854.1365574</x:v>
      </x:c>
      <x:c r="D1161" s="25" t="str">
        <x:v>tonnes_primary_production_equivalent</x:v>
      </x:c>
    </x:row>
    <x:row r="1162" ht="18" customHeight="1">
      <x:c r="A1162" s="25" t="str">
        <x:v>LME_065</x:v>
      </x:c>
      <x:c r="B1162" s="25" t="str">
        <x:v>commercial_ppr_difference</x:v>
      </x:c>
      <x:c r="C1162" s="25" t="n">
        <x:v>-15147272.026640177</x:v>
      </x:c>
      <x:c r="D1162" s="25" t="str">
        <x:v>tonnes_primary_production_equivalent</x:v>
      </x:c>
    </x:row>
    <x:row r="1163" ht="18" customHeight="1">
      <x:c r="A1163" s="25" t="str">
        <x:v>LME_065</x:v>
      </x:c>
      <x:c r="B1163" s="25" t="str">
        <x:v>functional_ppr_difference</x:v>
      </x:c>
      <x:c r="C1163" s="25" t="n">
        <x:v>-10345527.267417103</x:v>
      </x:c>
      <x:c r="D1163" s="25" t="str">
        <x:v>tonnes_primary_production_equivalent</x:v>
      </x:c>
    </x:row>
    <x:row r="1164" ht="18" customHeight="1">
      <x:c r="A1164" s="25" t="str">
        <x:v>LME_066</x:v>
      </x:c>
      <x:c r="B1164" s="25" t="str">
        <x:v>raw_filtered_tonnes</x:v>
      </x:c>
      <x:c r="C1164" s="25" t="n">
        <x:v>53.591934083899986</x:v>
      </x:c>
      <x:c r="D1164" s="25" t="str">
        <x:v>tonnes</x:v>
      </x:c>
    </x:row>
    <x:row r="1165" ht="18" customHeight="1">
      <x:c r="A1165" s="25" t="str">
        <x:v>LME_066</x:v>
      </x:c>
      <x:c r="B1165" s="25" t="str">
        <x:v>species_catch_tonnes</x:v>
      </x:c>
      <x:c r="C1165" s="25" t="n">
        <x:v>53.5919340839</x:v>
      </x:c>
      <x:c r="D1165" s="25" t="str">
        <x:v>tonnes</x:v>
      </x:c>
    </x:row>
    <x:row r="1166" ht="18" customHeight="1">
      <x:c r="A1166" s="25" t="str">
        <x:v>LME_066</x:v>
      </x:c>
      <x:c r="B1166" s="25" t="str">
        <x:v>catch_difference_tonnes</x:v>
      </x:c>
      <x:c r="C1166" s="25" t="n">
        <x:v>1.4210854715202004e-14</x:v>
      </x:c>
      <x:c r="D1166" s="25" t="str">
        <x:v>tonnes</x:v>
      </x:c>
    </x:row>
    <x:row r="1167" ht="18" customHeight="1">
      <x:c r="A1167" s="25" t="str">
        <x:v>LME_066</x:v>
      </x:c>
      <x:c r="B1167" s="25" t="str">
        <x:v>catch_reconciled</x:v>
      </x:c>
      <x:c r="C1167" s="36" t="b">
        <x:v>1</x:v>
      </x:c>
      <x:c r="D1167" s="25" t="str">
        <x:v>boolean</x:v>
      </x:c>
    </x:row>
    <x:row r="1168" ht="18" customHeight="1">
      <x:c r="A1168" s="25" t="str">
        <x:v>LME_066</x:v>
      </x:c>
      <x:c r="B1168" s="25" t="str">
        <x:v>matched_catch_tonnes</x:v>
      </x:c>
      <x:c r="C1168" s="25" t="n">
        <x:v>53.5919340839</x:v>
      </x:c>
      <x:c r="D1168" s="25" t="str">
        <x:v>tonnes</x:v>
      </x:c>
    </x:row>
    <x:row r="1169" ht="18" customHeight="1">
      <x:c r="A1169" s="25" t="str">
        <x:v>LME_066</x:v>
      </x:c>
      <x:c r="B1169" s="25" t="str">
        <x:v>catch_coverage_fraction</x:v>
      </x:c>
      <x:c r="C1169" s="25" t="n">
        <x:v>1</x:v>
      </x:c>
      <x:c r="D1169" s="25" t="str">
        <x:v>fraction</x:v>
      </x:c>
    </x:row>
    <x:row r="1170" ht="18" customHeight="1">
      <x:c r="A1170" s="25" t="str">
        <x:v>LME_066</x:v>
      </x:c>
      <x:c r="B1170" s="25" t="str">
        <x:v>taxa_count</x:v>
      </x:c>
      <x:c r="C1170" s="25" t="n">
        <x:v>21</x:v>
      </x:c>
      <x:c r="D1170" s="25" t="str">
        <x:v>count</x:v>
      </x:c>
    </x:row>
    <x:row r="1171" ht="18" customHeight="1">
      <x:c r="A1171" s="25" t="str">
        <x:v>LME_066</x:v>
      </x:c>
      <x:c r="B1171" s="25" t="str">
        <x:v>matched_taxa_count</x:v>
      </x:c>
      <x:c r="C1171" s="25" t="n">
        <x:v>21</x:v>
      </x:c>
      <x:c r="D1171" s="25" t="str">
        <x:v>count</x:v>
      </x:c>
    </x:row>
    <x:row r="1172" ht="18" customHeight="1">
      <x:c r="A1172" s="25" t="str">
        <x:v>LME_066</x:v>
      </x:c>
      <x:c r="B1172" s="25" t="str">
        <x:v>unmatched_taxa_count</x:v>
      </x:c>
      <x:c r="C1172" s="25" t="n">
        <x:v>0</x:v>
      </x:c>
      <x:c r="D1172" s="25" t="str">
        <x:v>count</x:v>
      </x:c>
    </x:row>
    <x:row r="1173" ht="18" customHeight="1">
      <x:c r="A1173" s="25" t="str">
        <x:v>LME_066</x:v>
      </x:c>
      <x:c r="B1173" s="25" t="str">
        <x:v>species_ppr</x:v>
      </x:c>
      <x:c r="C1173" s="25" t="n">
        <x:v>10566.207059943801</x:v>
      </x:c>
      <x:c r="D1173" s="25" t="str">
        <x:v>tonnes_primary_production_equivalent</x:v>
      </x:c>
    </x:row>
    <x:row r="1174" ht="18" customHeight="1">
      <x:c r="A1174" s="25" t="str">
        <x:v>LME_066</x:v>
      </x:c>
      <x:c r="B1174" s="25" t="str">
        <x:v>commercial_ppr</x:v>
      </x:c>
      <x:c r="C1174" s="25" t="n">
        <x:v>10565.421006259996</x:v>
      </x:c>
      <x:c r="D1174" s="25" t="str">
        <x:v>tonnes_primary_production_equivalent</x:v>
      </x:c>
    </x:row>
    <x:row r="1175" ht="18" customHeight="1">
      <x:c r="A1175" s="25" t="str">
        <x:v>LME_066</x:v>
      </x:c>
      <x:c r="B1175" s="25" t="str">
        <x:v>functional_ppr</x:v>
      </x:c>
      <x:c r="C1175" s="25" t="n">
        <x:v>10565.545720551861</x:v>
      </x:c>
      <x:c r="D1175" s="25" t="str">
        <x:v>tonnes_primary_production_equivalent</x:v>
      </x:c>
    </x:row>
    <x:row r="1176" ht="18" customHeight="1">
      <x:c r="A1176" s="25" t="str">
        <x:v>LME_066</x:v>
      </x:c>
      <x:c r="B1176" s="25" t="str">
        <x:v>commercial_ppr_difference</x:v>
      </x:c>
      <x:c r="C1176" s="25" t="n">
        <x:v>-0.7860536838052212</x:v>
      </x:c>
      <x:c r="D1176" s="25" t="str">
        <x:v>tonnes_primary_production_equivalent</x:v>
      </x:c>
    </x:row>
    <x:row r="1177" ht="18" customHeight="1">
      <x:c r="A1177" s="25" t="str">
        <x:v>LME_066</x:v>
      </x:c>
      <x:c r="B1177" s="25" t="str">
        <x:v>functional_ppr_difference</x:v>
      </x:c>
      <x:c r="C1177" s="25" t="n">
        <x:v>-0.6613393919396913</x:v>
      </x:c>
      <x:c r="D1177" s="25" t="str">
        <x:v>tonnes_primary_production_equivalent</x:v>
      </x:c>
    </x:row>
    <x:row r="1178" ht="18" customHeight="1">
      <x:c r="A1178" s="25" t="str">
        <x:v>HS_018</x:v>
      </x:c>
      <x:c r="B1178" s="25" t="str">
        <x:v>tl_coverage_complete</x:v>
      </x:c>
      <x:c r="C1178" s="36" t="b">
        <x:v>1</x:v>
      </x:c>
      <x:c r="D1178" s="25" t="str">
        <x:v>boolean</x:v>
      </x:c>
    </x:row>
    <x:row r="1179" ht="18" customHeight="1">
      <x:c r="A1179" s="25" t="str">
        <x:v>HS_018</x:v>
      </x:c>
      <x:c r="B1179" s="25" t="str">
        <x:v>group_ppr_within_convexity_bound</x:v>
      </x:c>
      <x:c r="C1179" s="36" t="b">
        <x:v>1</x:v>
      </x:c>
      <x:c r="D1179" s="25" t="str">
        <x:v>boolean</x:v>
      </x:c>
    </x:row>
    <x:row r="1180" ht="18" customHeight="1">
      <x:c r="A1180" s="25" t="str">
        <x:v>HS_021</x:v>
      </x:c>
      <x:c r="B1180" s="25" t="str">
        <x:v>tl_coverage_complete</x:v>
      </x:c>
      <x:c r="C1180" s="36" t="b">
        <x:v>1</x:v>
      </x:c>
      <x:c r="D1180" s="25" t="str">
        <x:v>boolean</x:v>
      </x:c>
    </x:row>
    <x:row r="1181" ht="18" customHeight="1">
      <x:c r="A1181" s="25" t="str">
        <x:v>HS_021</x:v>
      </x:c>
      <x:c r="B1181" s="25" t="str">
        <x:v>group_ppr_within_convexity_bound</x:v>
      </x:c>
      <x:c r="C1181" s="36" t="b">
        <x:v>1</x:v>
      </x:c>
      <x:c r="D1181" s="25" t="str">
        <x:v>boolean</x:v>
      </x:c>
    </x:row>
    <x:row r="1182" ht="18" customHeight="1">
      <x:c r="A1182" s="25" t="str">
        <x:v>HS_027</x:v>
      </x:c>
      <x:c r="B1182" s="25" t="str">
        <x:v>tl_coverage_complete</x:v>
      </x:c>
      <x:c r="C1182" s="36" t="b">
        <x:v>1</x:v>
      </x:c>
      <x:c r="D1182" s="25" t="str">
        <x:v>boolean</x:v>
      </x:c>
    </x:row>
    <x:row r="1183" ht="18" customHeight="1">
      <x:c r="A1183" s="25" t="str">
        <x:v>HS_027</x:v>
      </x:c>
      <x:c r="B1183" s="25" t="str">
        <x:v>group_ppr_within_convexity_bound</x:v>
      </x:c>
      <x:c r="C1183" s="36" t="b">
        <x:v>1</x:v>
      </x:c>
      <x:c r="D1183" s="25" t="str">
        <x:v>boolean</x:v>
      </x:c>
    </x:row>
    <x:row r="1184" ht="18" customHeight="1">
      <x:c r="A1184" s="25" t="str">
        <x:v>HS_031</x:v>
      </x:c>
      <x:c r="B1184" s="25" t="str">
        <x:v>tl_coverage_complete</x:v>
      </x:c>
      <x:c r="C1184" s="36" t="b">
        <x:v>1</x:v>
      </x:c>
      <x:c r="D1184" s="25" t="str">
        <x:v>boolean</x:v>
      </x:c>
    </x:row>
    <x:row r="1185" ht="18" customHeight="1">
      <x:c r="A1185" s="25" t="str">
        <x:v>HS_031</x:v>
      </x:c>
      <x:c r="B1185" s="25" t="str">
        <x:v>group_ppr_within_convexity_bound</x:v>
      </x:c>
      <x:c r="C1185" s="36" t="b">
        <x:v>1</x:v>
      </x:c>
      <x:c r="D1185" s="25" t="str">
        <x:v>boolean</x:v>
      </x:c>
    </x:row>
    <x:row r="1186" ht="18" customHeight="1">
      <x:c r="A1186" s="25" t="str">
        <x:v>HS_034</x:v>
      </x:c>
      <x:c r="B1186" s="25" t="str">
        <x:v>tl_coverage_complete</x:v>
      </x:c>
      <x:c r="C1186" s="36" t="b">
        <x:v>1</x:v>
      </x:c>
      <x:c r="D1186" s="25" t="str">
        <x:v>boolean</x:v>
      </x:c>
    </x:row>
    <x:row r="1187" ht="18" customHeight="1">
      <x:c r="A1187" s="25" t="str">
        <x:v>HS_034</x:v>
      </x:c>
      <x:c r="B1187" s="25" t="str">
        <x:v>group_ppr_within_convexity_bound</x:v>
      </x:c>
      <x:c r="C1187" s="36" t="b">
        <x:v>1</x:v>
      </x:c>
      <x:c r="D1187" s="25" t="str">
        <x:v>boolean</x:v>
      </x:c>
    </x:row>
    <x:row r="1188" ht="18" customHeight="1">
      <x:c r="A1188" s="25" t="str">
        <x:v>HS_041</x:v>
      </x:c>
      <x:c r="B1188" s="25" t="str">
        <x:v>tl_coverage_complete</x:v>
      </x:c>
      <x:c r="C1188" s="36" t="b">
        <x:v>1</x:v>
      </x:c>
      <x:c r="D1188" s="25" t="str">
        <x:v>boolean</x:v>
      </x:c>
    </x:row>
    <x:row r="1189" ht="18" customHeight="1">
      <x:c r="A1189" s="25" t="str">
        <x:v>HS_041</x:v>
      </x:c>
      <x:c r="B1189" s="25" t="str">
        <x:v>group_ppr_within_convexity_bound</x:v>
      </x:c>
      <x:c r="C1189" s="36" t="b">
        <x:v>1</x:v>
      </x:c>
      <x:c r="D1189" s="25" t="str">
        <x:v>boolean</x:v>
      </x:c>
    </x:row>
    <x:row r="1190" ht="18" customHeight="1">
      <x:c r="A1190" s="25" t="str">
        <x:v>HS_047</x:v>
      </x:c>
      <x:c r="B1190" s="25" t="str">
        <x:v>tl_coverage_complete</x:v>
      </x:c>
      <x:c r="C1190" s="36" t="b">
        <x:v>1</x:v>
      </x:c>
      <x:c r="D1190" s="25" t="str">
        <x:v>boolean</x:v>
      </x:c>
    </x:row>
    <x:row r="1191" ht="18" customHeight="1">
      <x:c r="A1191" s="25" t="str">
        <x:v>HS_047</x:v>
      </x:c>
      <x:c r="B1191" s="25" t="str">
        <x:v>group_ppr_within_convexity_bound</x:v>
      </x:c>
      <x:c r="C1191" s="36" t="b">
        <x:v>1</x:v>
      </x:c>
      <x:c r="D1191" s="25" t="str">
        <x:v>boolean</x:v>
      </x:c>
    </x:row>
    <x:row r="1192" ht="18" customHeight="1">
      <x:c r="A1192" s="25" t="str">
        <x:v>HS_048</x:v>
      </x:c>
      <x:c r="B1192" s="25" t="str">
        <x:v>tl_coverage_complete</x:v>
      </x:c>
      <x:c r="C1192" s="36" t="b">
        <x:v>1</x:v>
      </x:c>
      <x:c r="D1192" s="25" t="str">
        <x:v>boolean</x:v>
      </x:c>
    </x:row>
    <x:row r="1193" ht="18" customHeight="1">
      <x:c r="A1193" s="25" t="str">
        <x:v>HS_048</x:v>
      </x:c>
      <x:c r="B1193" s="25" t="str">
        <x:v>group_ppr_within_convexity_bound</x:v>
      </x:c>
      <x:c r="C1193" s="36" t="b">
        <x:v>1</x:v>
      </x:c>
      <x:c r="D1193" s="25" t="str">
        <x:v>boolean</x:v>
      </x:c>
    </x:row>
    <x:row r="1194" ht="18" customHeight="1">
      <x:c r="A1194" s="25" t="str">
        <x:v>HS_051</x:v>
      </x:c>
      <x:c r="B1194" s="25" t="str">
        <x:v>tl_coverage_complete</x:v>
      </x:c>
      <x:c r="C1194" s="36" t="b">
        <x:v>1</x:v>
      </x:c>
      <x:c r="D1194" s="25" t="str">
        <x:v>boolean</x:v>
      </x:c>
    </x:row>
    <x:row r="1195" ht="18" customHeight="1">
      <x:c r="A1195" s="25" t="str">
        <x:v>HS_051</x:v>
      </x:c>
      <x:c r="B1195" s="25" t="str">
        <x:v>group_ppr_within_convexity_bound</x:v>
      </x:c>
      <x:c r="C1195" s="36" t="b">
        <x:v>1</x:v>
      </x:c>
      <x:c r="D1195" s="25" t="str">
        <x:v>boolean</x:v>
      </x:c>
    </x:row>
    <x:row r="1196" ht="18" customHeight="1">
      <x:c r="A1196" s="25" t="str">
        <x:v>HS_057</x:v>
      </x:c>
      <x:c r="B1196" s="25" t="str">
        <x:v>tl_coverage_complete</x:v>
      </x:c>
      <x:c r="C1196" s="36" t="b">
        <x:v>1</x:v>
      </x:c>
      <x:c r="D1196" s="25" t="str">
        <x:v>boolean</x:v>
      </x:c>
    </x:row>
    <x:row r="1197" ht="18" customHeight="1">
      <x:c r="A1197" s="25" t="str">
        <x:v>HS_057</x:v>
      </x:c>
      <x:c r="B1197" s="25" t="str">
        <x:v>group_ppr_within_convexity_bound</x:v>
      </x:c>
      <x:c r="C1197" s="36" t="b">
        <x:v>1</x:v>
      </x:c>
      <x:c r="D1197" s="25" t="str">
        <x:v>boolean</x:v>
      </x:c>
    </x:row>
    <x:row r="1198" ht="18" customHeight="1">
      <x:c r="A1198" s="25" t="str">
        <x:v>HS_058</x:v>
      </x:c>
      <x:c r="B1198" s="25" t="str">
        <x:v>tl_coverage_complete</x:v>
      </x:c>
      <x:c r="C1198" s="36" t="b">
        <x:v>1</x:v>
      </x:c>
      <x:c r="D1198" s="25" t="str">
        <x:v>boolean</x:v>
      </x:c>
    </x:row>
    <x:row r="1199" ht="18" customHeight="1">
      <x:c r="A1199" s="25" t="str">
        <x:v>HS_058</x:v>
      </x:c>
      <x:c r="B1199" s="25" t="str">
        <x:v>group_ppr_within_convexity_bound</x:v>
      </x:c>
      <x:c r="C1199" s="36" t="b">
        <x:v>1</x:v>
      </x:c>
      <x:c r="D1199" s="25" t="str">
        <x:v>boolean</x:v>
      </x:c>
    </x:row>
    <x:row r="1200" ht="18" customHeight="1">
      <x:c r="A1200" s="25" t="str">
        <x:v>HS_061</x:v>
      </x:c>
      <x:c r="B1200" s="25" t="str">
        <x:v>tl_coverage_complete</x:v>
      </x:c>
      <x:c r="C1200" s="36" t="b">
        <x:v>1</x:v>
      </x:c>
      <x:c r="D1200" s="25" t="str">
        <x:v>boolean</x:v>
      </x:c>
    </x:row>
    <x:row r="1201" ht="18" customHeight="1">
      <x:c r="A1201" s="25" t="str">
        <x:v>HS_061</x:v>
      </x:c>
      <x:c r="B1201" s="25" t="str">
        <x:v>group_ppr_within_convexity_bound</x:v>
      </x:c>
      <x:c r="C1201" s="36" t="b">
        <x:v>1</x:v>
      </x:c>
      <x:c r="D1201" s="25" t="str">
        <x:v>boolean</x:v>
      </x:c>
    </x:row>
    <x:row r="1202" ht="18" customHeight="1">
      <x:c r="A1202" s="25" t="str">
        <x:v>HS_067</x:v>
      </x:c>
      <x:c r="B1202" s="25" t="str">
        <x:v>tl_coverage_complete</x:v>
      </x:c>
      <x:c r="C1202" s="36" t="b">
        <x:v>1</x:v>
      </x:c>
      <x:c r="D1202" s="25" t="str">
        <x:v>boolean</x:v>
      </x:c>
    </x:row>
    <x:row r="1203" ht="18" customHeight="1">
      <x:c r="A1203" s="25" t="str">
        <x:v>HS_067</x:v>
      </x:c>
      <x:c r="B1203" s="25" t="str">
        <x:v>group_ppr_within_convexity_bound</x:v>
      </x:c>
      <x:c r="C1203" s="36" t="b">
        <x:v>1</x:v>
      </x:c>
      <x:c r="D1203" s="25" t="str">
        <x:v>boolean</x:v>
      </x:c>
    </x:row>
    <x:row r="1204" ht="18" customHeight="1">
      <x:c r="A1204" s="25" t="str">
        <x:v>HS_071</x:v>
      </x:c>
      <x:c r="B1204" s="25" t="str">
        <x:v>tl_coverage_complete</x:v>
      </x:c>
      <x:c r="C1204" s="36" t="b">
        <x:v>1</x:v>
      </x:c>
      <x:c r="D1204" s="25" t="str">
        <x:v>boolean</x:v>
      </x:c>
    </x:row>
    <x:row r="1205" ht="18" customHeight="1">
      <x:c r="A1205" s="25" t="str">
        <x:v>HS_071</x:v>
      </x:c>
      <x:c r="B1205" s="25" t="str">
        <x:v>group_ppr_within_convexity_bound</x:v>
      </x:c>
      <x:c r="C1205" s="36" t="b">
        <x:v>1</x:v>
      </x:c>
      <x:c r="D1205" s="25" t="str">
        <x:v>boolean</x:v>
      </x:c>
    </x:row>
    <x:row r="1206" ht="18" customHeight="1">
      <x:c r="A1206" s="25" t="str">
        <x:v>HS_077</x:v>
      </x:c>
      <x:c r="B1206" s="25" t="str">
        <x:v>tl_coverage_complete</x:v>
      </x:c>
      <x:c r="C1206" s="36" t="b">
        <x:v>1</x:v>
      </x:c>
      <x:c r="D1206" s="25" t="str">
        <x:v>boolean</x:v>
      </x:c>
    </x:row>
    <x:row r="1207" ht="18" customHeight="1">
      <x:c r="A1207" s="25" t="str">
        <x:v>HS_077</x:v>
      </x:c>
      <x:c r="B1207" s="25" t="str">
        <x:v>group_ppr_within_convexity_bound</x:v>
      </x:c>
      <x:c r="C1207" s="36" t="b">
        <x:v>1</x:v>
      </x:c>
      <x:c r="D1207" s="25" t="str">
        <x:v>boolean</x:v>
      </x:c>
    </x:row>
    <x:row r="1208" ht="18" customHeight="1">
      <x:c r="A1208" s="25" t="str">
        <x:v>HS_081</x:v>
      </x:c>
      <x:c r="B1208" s="25" t="str">
        <x:v>tl_coverage_complete</x:v>
      </x:c>
      <x:c r="C1208" s="36" t="b">
        <x:v>1</x:v>
      </x:c>
      <x:c r="D1208" s="25" t="str">
        <x:v>boolean</x:v>
      </x:c>
    </x:row>
    <x:row r="1209" ht="18" customHeight="1">
      <x:c r="A1209" s="25" t="str">
        <x:v>HS_081</x:v>
      </x:c>
      <x:c r="B1209" s="25" t="str">
        <x:v>group_ppr_within_convexity_bound</x:v>
      </x:c>
      <x:c r="C1209" s="36" t="b">
        <x:v>1</x:v>
      </x:c>
      <x:c r="D1209" s="25" t="str">
        <x:v>boolean</x:v>
      </x:c>
    </x:row>
    <x:row r="1210" ht="18" customHeight="1">
      <x:c r="A1210" s="25" t="str">
        <x:v>HS_087</x:v>
      </x:c>
      <x:c r="B1210" s="25" t="str">
        <x:v>tl_coverage_complete</x:v>
      </x:c>
      <x:c r="C1210" s="36" t="b">
        <x:v>1</x:v>
      </x:c>
      <x:c r="D1210" s="25" t="str">
        <x:v>boolean</x:v>
      </x:c>
    </x:row>
    <x:row r="1211" ht="18" customHeight="1">
      <x:c r="A1211" s="25" t="str">
        <x:v>HS_087</x:v>
      </x:c>
      <x:c r="B1211" s="25" t="str">
        <x:v>group_ppr_within_convexity_bound</x:v>
      </x:c>
      <x:c r="C1211" s="36" t="b">
        <x:v>1</x:v>
      </x:c>
      <x:c r="D1211" s="25" t="str">
        <x:v>boolean</x:v>
      </x:c>
    </x:row>
    <x:row r="1212" ht="18" customHeight="1">
      <x:c r="A1212" s="25" t="str">
        <x:v>HS_088</x:v>
      </x:c>
      <x:c r="B1212" s="25" t="str">
        <x:v>tl_coverage_complete</x:v>
      </x:c>
      <x:c r="C1212" s="36" t="b">
        <x:v>1</x:v>
      </x:c>
      <x:c r="D1212" s="25" t="str">
        <x:v>boolean</x:v>
      </x:c>
    </x:row>
    <x:row r="1213" ht="18" customHeight="1">
      <x:c r="A1213" s="25" t="str">
        <x:v>HS_088</x:v>
      </x:c>
      <x:c r="B1213" s="25" t="str">
        <x:v>group_ppr_within_convexity_bound</x:v>
      </x:c>
      <x:c r="C1213" s="36" t="b">
        <x:v>1</x:v>
      </x:c>
      <x:c r="D1213" s="25" t="str">
        <x:v>boolean</x:v>
      </x:c>
    </x:row>
    <x:row r="1214" ht="18" customHeight="1">
      <x:c r="A1214" s="25" t="str">
        <x:v>LME_001</x:v>
      </x:c>
      <x:c r="B1214" s="25" t="str">
        <x:v>tl_coverage_complete</x:v>
      </x:c>
      <x:c r="C1214" s="36" t="b">
        <x:v>1</x:v>
      </x:c>
      <x:c r="D1214" s="25" t="str">
        <x:v>boolean</x:v>
      </x:c>
    </x:row>
    <x:row r="1215" ht="18" customHeight="1">
      <x:c r="A1215" s="25" t="str">
        <x:v>LME_001</x:v>
      </x:c>
      <x:c r="B1215" s="25" t="str">
        <x:v>group_ppr_within_convexity_bound</x:v>
      </x:c>
      <x:c r="C1215" s="36" t="b">
        <x:v>1</x:v>
      </x:c>
      <x:c r="D1215" s="25" t="str">
        <x:v>boolean</x:v>
      </x:c>
    </x:row>
    <x:row r="1216" ht="18" customHeight="1">
      <x:c r="A1216" s="25" t="str">
        <x:v>LME_002</x:v>
      </x:c>
      <x:c r="B1216" s="25" t="str">
        <x:v>tl_coverage_complete</x:v>
      </x:c>
      <x:c r="C1216" s="36" t="b">
        <x:v>1</x:v>
      </x:c>
      <x:c r="D1216" s="25" t="str">
        <x:v>boolean</x:v>
      </x:c>
    </x:row>
    <x:row r="1217" ht="18" customHeight="1">
      <x:c r="A1217" s="25" t="str">
        <x:v>LME_002</x:v>
      </x:c>
      <x:c r="B1217" s="25" t="str">
        <x:v>group_ppr_within_convexity_bound</x:v>
      </x:c>
      <x:c r="C1217" s="36" t="b">
        <x:v>1</x:v>
      </x:c>
      <x:c r="D1217" s="25" t="str">
        <x:v>boolean</x:v>
      </x:c>
    </x:row>
    <x:row r="1218" ht="18" customHeight="1">
      <x:c r="A1218" s="25" t="str">
        <x:v>LME_003</x:v>
      </x:c>
      <x:c r="B1218" s="25" t="str">
        <x:v>tl_coverage_complete</x:v>
      </x:c>
      <x:c r="C1218" s="36" t="b">
        <x:v>1</x:v>
      </x:c>
      <x:c r="D1218" s="25" t="str">
        <x:v>boolean</x:v>
      </x:c>
    </x:row>
    <x:row r="1219" ht="18" customHeight="1">
      <x:c r="A1219" s="25" t="str">
        <x:v>LME_003</x:v>
      </x:c>
      <x:c r="B1219" s="25" t="str">
        <x:v>group_ppr_within_convexity_bound</x:v>
      </x:c>
      <x:c r="C1219" s="36" t="b">
        <x:v>1</x:v>
      </x:c>
      <x:c r="D1219" s="25" t="str">
        <x:v>boolean</x:v>
      </x:c>
    </x:row>
    <x:row r="1220" ht="18" customHeight="1">
      <x:c r="A1220" s="25" t="str">
        <x:v>LME_004</x:v>
      </x:c>
      <x:c r="B1220" s="25" t="str">
        <x:v>tl_coverage_complete</x:v>
      </x:c>
      <x:c r="C1220" s="36" t="b">
        <x:v>1</x:v>
      </x:c>
      <x:c r="D1220" s="25" t="str">
        <x:v>boolean</x:v>
      </x:c>
    </x:row>
    <x:row r="1221" ht="18" customHeight="1">
      <x:c r="A1221" s="25" t="str">
        <x:v>LME_004</x:v>
      </x:c>
      <x:c r="B1221" s="25" t="str">
        <x:v>group_ppr_within_convexity_bound</x:v>
      </x:c>
      <x:c r="C1221" s="36" t="b">
        <x:v>1</x:v>
      </x:c>
      <x:c r="D1221" s="25" t="str">
        <x:v>boolean</x:v>
      </x:c>
    </x:row>
    <x:row r="1222" ht="18" customHeight="1">
      <x:c r="A1222" s="25" t="str">
        <x:v>LME_005</x:v>
      </x:c>
      <x:c r="B1222" s="25" t="str">
        <x:v>tl_coverage_complete</x:v>
      </x:c>
      <x:c r="C1222" s="36" t="b">
        <x:v>1</x:v>
      </x:c>
      <x:c r="D1222" s="25" t="str">
        <x:v>boolean</x:v>
      </x:c>
    </x:row>
    <x:row r="1223" ht="18" customHeight="1">
      <x:c r="A1223" s="25" t="str">
        <x:v>LME_005</x:v>
      </x:c>
      <x:c r="B1223" s="25" t="str">
        <x:v>group_ppr_within_convexity_bound</x:v>
      </x:c>
      <x:c r="C1223" s="36" t="b">
        <x:v>1</x:v>
      </x:c>
      <x:c r="D1223" s="25" t="str">
        <x:v>boolean</x:v>
      </x:c>
    </x:row>
    <x:row r="1224" ht="18" customHeight="1">
      <x:c r="A1224" s="25" t="str">
        <x:v>LME_006</x:v>
      </x:c>
      <x:c r="B1224" s="25" t="str">
        <x:v>tl_coverage_complete</x:v>
      </x:c>
      <x:c r="C1224" s="36" t="b">
        <x:v>1</x:v>
      </x:c>
      <x:c r="D1224" s="25" t="str">
        <x:v>boolean</x:v>
      </x:c>
    </x:row>
    <x:row r="1225" ht="18" customHeight="1">
      <x:c r="A1225" s="25" t="str">
        <x:v>LME_006</x:v>
      </x:c>
      <x:c r="B1225" s="25" t="str">
        <x:v>group_ppr_within_convexity_bound</x:v>
      </x:c>
      <x:c r="C1225" s="36" t="b">
        <x:v>1</x:v>
      </x:c>
      <x:c r="D1225" s="25" t="str">
        <x:v>boolean</x:v>
      </x:c>
    </x:row>
    <x:row r="1226" ht="18" customHeight="1">
      <x:c r="A1226" s="25" t="str">
        <x:v>LME_007</x:v>
      </x:c>
      <x:c r="B1226" s="25" t="str">
        <x:v>tl_coverage_complete</x:v>
      </x:c>
      <x:c r="C1226" s="36" t="b">
        <x:v>1</x:v>
      </x:c>
      <x:c r="D1226" s="25" t="str">
        <x:v>boolean</x:v>
      </x:c>
    </x:row>
    <x:row r="1227" ht="18" customHeight="1">
      <x:c r="A1227" s="25" t="str">
        <x:v>LME_007</x:v>
      </x:c>
      <x:c r="B1227" s="25" t="str">
        <x:v>group_ppr_within_convexity_bound</x:v>
      </x:c>
      <x:c r="C1227" s="36" t="b">
        <x:v>1</x:v>
      </x:c>
      <x:c r="D1227" s="25" t="str">
        <x:v>boolean</x:v>
      </x:c>
    </x:row>
    <x:row r="1228" ht="18" customHeight="1">
      <x:c r="A1228" s="25" t="str">
        <x:v>LME_008</x:v>
      </x:c>
      <x:c r="B1228" s="25" t="str">
        <x:v>tl_coverage_complete</x:v>
      </x:c>
      <x:c r="C1228" s="36" t="b">
        <x:v>1</x:v>
      </x:c>
      <x:c r="D1228" s="25" t="str">
        <x:v>boolean</x:v>
      </x:c>
    </x:row>
    <x:row r="1229" ht="18" customHeight="1">
      <x:c r="A1229" s="25" t="str">
        <x:v>LME_008</x:v>
      </x:c>
      <x:c r="B1229" s="25" t="str">
        <x:v>group_ppr_within_convexity_bound</x:v>
      </x:c>
      <x:c r="C1229" s="36" t="b">
        <x:v>1</x:v>
      </x:c>
      <x:c r="D1229" s="25" t="str">
        <x:v>boolean</x:v>
      </x:c>
    </x:row>
    <x:row r="1230" ht="18" customHeight="1">
      <x:c r="A1230" s="25" t="str">
        <x:v>LME_009</x:v>
      </x:c>
      <x:c r="B1230" s="25" t="str">
        <x:v>tl_coverage_complete</x:v>
      </x:c>
      <x:c r="C1230" s="36" t="b">
        <x:v>1</x:v>
      </x:c>
      <x:c r="D1230" s="25" t="str">
        <x:v>boolean</x:v>
      </x:c>
    </x:row>
    <x:row r="1231" ht="18" customHeight="1">
      <x:c r="A1231" s="25" t="str">
        <x:v>LME_009</x:v>
      </x:c>
      <x:c r="B1231" s="25" t="str">
        <x:v>group_ppr_within_convexity_bound</x:v>
      </x:c>
      <x:c r="C1231" s="36" t="b">
        <x:v>1</x:v>
      </x:c>
      <x:c r="D1231" s="25" t="str">
        <x:v>boolean</x:v>
      </x:c>
    </x:row>
    <x:row r="1232" ht="18" customHeight="1">
      <x:c r="A1232" s="25" t="str">
        <x:v>LME_010</x:v>
      </x:c>
      <x:c r="B1232" s="25" t="str">
        <x:v>tl_coverage_complete</x:v>
      </x:c>
      <x:c r="C1232" s="36" t="b">
        <x:v>1</x:v>
      </x:c>
      <x:c r="D1232" s="25" t="str">
        <x:v>boolean</x:v>
      </x:c>
    </x:row>
    <x:row r="1233" ht="18" customHeight="1">
      <x:c r="A1233" s="25" t="str">
        <x:v>LME_010</x:v>
      </x:c>
      <x:c r="B1233" s="25" t="str">
        <x:v>group_ppr_within_convexity_bound</x:v>
      </x:c>
      <x:c r="C1233" s="36" t="b">
        <x:v>1</x:v>
      </x:c>
      <x:c r="D1233" s="25" t="str">
        <x:v>boolean</x:v>
      </x:c>
    </x:row>
    <x:row r="1234" ht="18" customHeight="1">
      <x:c r="A1234" s="25" t="str">
        <x:v>LME_011</x:v>
      </x:c>
      <x:c r="B1234" s="25" t="str">
        <x:v>tl_coverage_complete</x:v>
      </x:c>
      <x:c r="C1234" s="36" t="b">
        <x:v>1</x:v>
      </x:c>
      <x:c r="D1234" s="25" t="str">
        <x:v>boolean</x:v>
      </x:c>
    </x:row>
    <x:row r="1235" ht="18" customHeight="1">
      <x:c r="A1235" s="25" t="str">
        <x:v>LME_011</x:v>
      </x:c>
      <x:c r="B1235" s="25" t="str">
        <x:v>group_ppr_within_convexity_bound</x:v>
      </x:c>
      <x:c r="C1235" s="36" t="b">
        <x:v>1</x:v>
      </x:c>
      <x:c r="D1235" s="25" t="str">
        <x:v>boolean</x:v>
      </x:c>
    </x:row>
    <x:row r="1236" ht="18" customHeight="1">
      <x:c r="A1236" s="25" t="str">
        <x:v>LME_012</x:v>
      </x:c>
      <x:c r="B1236" s="25" t="str">
        <x:v>tl_coverage_complete</x:v>
      </x:c>
      <x:c r="C1236" s="36" t="b">
        <x:v>1</x:v>
      </x:c>
      <x:c r="D1236" s="25" t="str">
        <x:v>boolean</x:v>
      </x:c>
    </x:row>
    <x:row r="1237" ht="18" customHeight="1">
      <x:c r="A1237" s="25" t="str">
        <x:v>LME_012</x:v>
      </x:c>
      <x:c r="B1237" s="25" t="str">
        <x:v>group_ppr_within_convexity_bound</x:v>
      </x:c>
      <x:c r="C1237" s="36" t="b">
        <x:v>1</x:v>
      </x:c>
      <x:c r="D1237" s="25" t="str">
        <x:v>boolean</x:v>
      </x:c>
    </x:row>
    <x:row r="1238" ht="18" customHeight="1">
      <x:c r="A1238" s="25" t="str">
        <x:v>LME_013</x:v>
      </x:c>
      <x:c r="B1238" s="25" t="str">
        <x:v>tl_coverage_complete</x:v>
      </x:c>
      <x:c r="C1238" s="36" t="b">
        <x:v>1</x:v>
      </x:c>
      <x:c r="D1238" s="25" t="str">
        <x:v>boolean</x:v>
      </x:c>
    </x:row>
    <x:row r="1239" ht="18" customHeight="1">
      <x:c r="A1239" s="25" t="str">
        <x:v>LME_013</x:v>
      </x:c>
      <x:c r="B1239" s="25" t="str">
        <x:v>group_ppr_within_convexity_bound</x:v>
      </x:c>
      <x:c r="C1239" s="36" t="b">
        <x:v>1</x:v>
      </x:c>
      <x:c r="D1239" s="25" t="str">
        <x:v>boolean</x:v>
      </x:c>
    </x:row>
    <x:row r="1240" ht="18" customHeight="1">
      <x:c r="A1240" s="25" t="str">
        <x:v>LME_014</x:v>
      </x:c>
      <x:c r="B1240" s="25" t="str">
        <x:v>tl_coverage_complete</x:v>
      </x:c>
      <x:c r="C1240" s="36" t="b">
        <x:v>1</x:v>
      </x:c>
      <x:c r="D1240" s="25" t="str">
        <x:v>boolean</x:v>
      </x:c>
    </x:row>
    <x:row r="1241" ht="18" customHeight="1">
      <x:c r="A1241" s="25" t="str">
        <x:v>LME_014</x:v>
      </x:c>
      <x:c r="B1241" s="25" t="str">
        <x:v>group_ppr_within_convexity_bound</x:v>
      </x:c>
      <x:c r="C1241" s="36" t="b">
        <x:v>1</x:v>
      </x:c>
      <x:c r="D1241" s="25" t="str">
        <x:v>boolean</x:v>
      </x:c>
    </x:row>
    <x:row r="1242" ht="18" customHeight="1">
      <x:c r="A1242" s="25" t="str">
        <x:v>LME_015</x:v>
      </x:c>
      <x:c r="B1242" s="25" t="str">
        <x:v>tl_coverage_complete</x:v>
      </x:c>
      <x:c r="C1242" s="36" t="b">
        <x:v>1</x:v>
      </x:c>
      <x:c r="D1242" s="25" t="str">
        <x:v>boolean</x:v>
      </x:c>
    </x:row>
    <x:row r="1243" ht="18" customHeight="1">
      <x:c r="A1243" s="25" t="str">
        <x:v>LME_015</x:v>
      </x:c>
      <x:c r="B1243" s="25" t="str">
        <x:v>group_ppr_within_convexity_bound</x:v>
      </x:c>
      <x:c r="C1243" s="36" t="b">
        <x:v>1</x:v>
      </x:c>
      <x:c r="D1243" s="25" t="str">
        <x:v>boolean</x:v>
      </x:c>
    </x:row>
    <x:row r="1244" ht="18" customHeight="1">
      <x:c r="A1244" s="25" t="str">
        <x:v>LME_016</x:v>
      </x:c>
      <x:c r="B1244" s="25" t="str">
        <x:v>tl_coverage_complete</x:v>
      </x:c>
      <x:c r="C1244" s="36" t="b">
        <x:v>1</x:v>
      </x:c>
      <x:c r="D1244" s="25" t="str">
        <x:v>boolean</x:v>
      </x:c>
    </x:row>
    <x:row r="1245" ht="18" customHeight="1">
      <x:c r="A1245" s="25" t="str">
        <x:v>LME_016</x:v>
      </x:c>
      <x:c r="B1245" s="25" t="str">
        <x:v>group_ppr_within_convexity_bound</x:v>
      </x:c>
      <x:c r="C1245" s="36" t="b">
        <x:v>1</x:v>
      </x:c>
      <x:c r="D1245" s="25" t="str">
        <x:v>boolean</x:v>
      </x:c>
    </x:row>
    <x:row r="1246" ht="18" customHeight="1">
      <x:c r="A1246" s="25" t="str">
        <x:v>LME_017</x:v>
      </x:c>
      <x:c r="B1246" s="25" t="str">
        <x:v>tl_coverage_complete</x:v>
      </x:c>
      <x:c r="C1246" s="36" t="b">
        <x:v>1</x:v>
      </x:c>
      <x:c r="D1246" s="25" t="str">
        <x:v>boolean</x:v>
      </x:c>
    </x:row>
    <x:row r="1247" ht="18" customHeight="1">
      <x:c r="A1247" s="25" t="str">
        <x:v>LME_017</x:v>
      </x:c>
      <x:c r="B1247" s="25" t="str">
        <x:v>group_ppr_within_convexity_bound</x:v>
      </x:c>
      <x:c r="C1247" s="36" t="b">
        <x:v>1</x:v>
      </x:c>
      <x:c r="D1247" s="25" t="str">
        <x:v>boolean</x:v>
      </x:c>
    </x:row>
    <x:row r="1248" ht="18" customHeight="1">
      <x:c r="A1248" s="25" t="str">
        <x:v>LME_018</x:v>
      </x:c>
      <x:c r="B1248" s="25" t="str">
        <x:v>tl_coverage_complete</x:v>
      </x:c>
      <x:c r="C1248" s="36" t="b">
        <x:v>1</x:v>
      </x:c>
      <x:c r="D1248" s="25" t="str">
        <x:v>boolean</x:v>
      </x:c>
    </x:row>
    <x:row r="1249" ht="18" customHeight="1">
      <x:c r="A1249" s="25" t="str">
        <x:v>LME_018</x:v>
      </x:c>
      <x:c r="B1249" s="25" t="str">
        <x:v>group_ppr_within_convexity_bound</x:v>
      </x:c>
      <x:c r="C1249" s="36" t="b">
        <x:v>1</x:v>
      </x:c>
      <x:c r="D1249" s="25" t="str">
        <x:v>boolean</x:v>
      </x:c>
    </x:row>
    <x:row r="1250" ht="18" customHeight="1">
      <x:c r="A1250" s="25" t="str">
        <x:v>LME_019</x:v>
      </x:c>
      <x:c r="B1250" s="25" t="str">
        <x:v>tl_coverage_complete</x:v>
      </x:c>
      <x:c r="C1250" s="36" t="b">
        <x:v>1</x:v>
      </x:c>
      <x:c r="D1250" s="25" t="str">
        <x:v>boolean</x:v>
      </x:c>
    </x:row>
    <x:row r="1251" ht="18" customHeight="1">
      <x:c r="A1251" s="25" t="str">
        <x:v>LME_019</x:v>
      </x:c>
      <x:c r="B1251" s="25" t="str">
        <x:v>group_ppr_within_convexity_bound</x:v>
      </x:c>
      <x:c r="C1251" s="36" t="b">
        <x:v>1</x:v>
      </x:c>
      <x:c r="D1251" s="25" t="str">
        <x:v>boolean</x:v>
      </x:c>
    </x:row>
    <x:row r="1252" ht="18" customHeight="1">
      <x:c r="A1252" s="25" t="str">
        <x:v>LME_020</x:v>
      </x:c>
      <x:c r="B1252" s="25" t="str">
        <x:v>tl_coverage_complete</x:v>
      </x:c>
      <x:c r="C1252" s="36" t="b">
        <x:v>1</x:v>
      </x:c>
      <x:c r="D1252" s="25" t="str">
        <x:v>boolean</x:v>
      </x:c>
    </x:row>
    <x:row r="1253" ht="18" customHeight="1">
      <x:c r="A1253" s="25" t="str">
        <x:v>LME_020</x:v>
      </x:c>
      <x:c r="B1253" s="25" t="str">
        <x:v>group_ppr_within_convexity_bound</x:v>
      </x:c>
      <x:c r="C1253" s="36" t="b">
        <x:v>1</x:v>
      </x:c>
      <x:c r="D1253" s="25" t="str">
        <x:v>boolean</x:v>
      </x:c>
    </x:row>
    <x:row r="1254" ht="18" customHeight="1">
      <x:c r="A1254" s="25" t="str">
        <x:v>LME_021</x:v>
      </x:c>
      <x:c r="B1254" s="25" t="str">
        <x:v>tl_coverage_complete</x:v>
      </x:c>
      <x:c r="C1254" s="36" t="b">
        <x:v>1</x:v>
      </x:c>
      <x:c r="D1254" s="25" t="str">
        <x:v>boolean</x:v>
      </x:c>
    </x:row>
    <x:row r="1255" ht="18" customHeight="1">
      <x:c r="A1255" s="25" t="str">
        <x:v>LME_021</x:v>
      </x:c>
      <x:c r="B1255" s="25" t="str">
        <x:v>group_ppr_within_convexity_bound</x:v>
      </x:c>
      <x:c r="C1255" s="36" t="b">
        <x:v>1</x:v>
      </x:c>
      <x:c r="D1255" s="25" t="str">
        <x:v>boolean</x:v>
      </x:c>
    </x:row>
    <x:row r="1256" ht="18" customHeight="1">
      <x:c r="A1256" s="25" t="str">
        <x:v>LME_022</x:v>
      </x:c>
      <x:c r="B1256" s="25" t="str">
        <x:v>tl_coverage_complete</x:v>
      </x:c>
      <x:c r="C1256" s="36" t="b">
        <x:v>1</x:v>
      </x:c>
      <x:c r="D1256" s="25" t="str">
        <x:v>boolean</x:v>
      </x:c>
    </x:row>
    <x:row r="1257" ht="18" customHeight="1">
      <x:c r="A1257" s="25" t="str">
        <x:v>LME_022</x:v>
      </x:c>
      <x:c r="B1257" s="25" t="str">
        <x:v>group_ppr_within_convexity_bound</x:v>
      </x:c>
      <x:c r="C1257" s="36" t="b">
        <x:v>1</x:v>
      </x:c>
      <x:c r="D1257" s="25" t="str">
        <x:v>boolean</x:v>
      </x:c>
    </x:row>
    <x:row r="1258" ht="18" customHeight="1">
      <x:c r="A1258" s="25" t="str">
        <x:v>LME_023</x:v>
      </x:c>
      <x:c r="B1258" s="25" t="str">
        <x:v>tl_coverage_complete</x:v>
      </x:c>
      <x:c r="C1258" s="36" t="b">
        <x:v>1</x:v>
      </x:c>
      <x:c r="D1258" s="25" t="str">
        <x:v>boolean</x:v>
      </x:c>
    </x:row>
    <x:row r="1259" ht="18" customHeight="1">
      <x:c r="A1259" s="25" t="str">
        <x:v>LME_023</x:v>
      </x:c>
      <x:c r="B1259" s="25" t="str">
        <x:v>group_ppr_within_convexity_bound</x:v>
      </x:c>
      <x:c r="C1259" s="36" t="b">
        <x:v>1</x:v>
      </x:c>
      <x:c r="D1259" s="25" t="str">
        <x:v>boolean</x:v>
      </x:c>
    </x:row>
    <x:row r="1260" ht="18" customHeight="1">
      <x:c r="A1260" s="25" t="str">
        <x:v>LME_024</x:v>
      </x:c>
      <x:c r="B1260" s="25" t="str">
        <x:v>tl_coverage_complete</x:v>
      </x:c>
      <x:c r="C1260" s="36" t="b">
        <x:v>1</x:v>
      </x:c>
      <x:c r="D1260" s="25" t="str">
        <x:v>boolean</x:v>
      </x:c>
    </x:row>
    <x:row r="1261" ht="18" customHeight="1">
      <x:c r="A1261" s="25" t="str">
        <x:v>LME_024</x:v>
      </x:c>
      <x:c r="B1261" s="25" t="str">
        <x:v>group_ppr_within_convexity_bound</x:v>
      </x:c>
      <x:c r="C1261" s="36" t="b">
        <x:v>1</x:v>
      </x:c>
      <x:c r="D1261" s="25" t="str">
        <x:v>boolean</x:v>
      </x:c>
    </x:row>
    <x:row r="1262" ht="18" customHeight="1">
      <x:c r="A1262" s="25" t="str">
        <x:v>LME_025</x:v>
      </x:c>
      <x:c r="B1262" s="25" t="str">
        <x:v>tl_coverage_complete</x:v>
      </x:c>
      <x:c r="C1262" s="36" t="b">
        <x:v>1</x:v>
      </x:c>
      <x:c r="D1262" s="25" t="str">
        <x:v>boolean</x:v>
      </x:c>
    </x:row>
    <x:row r="1263" ht="18" customHeight="1">
      <x:c r="A1263" s="25" t="str">
        <x:v>LME_025</x:v>
      </x:c>
      <x:c r="B1263" s="25" t="str">
        <x:v>group_ppr_within_convexity_bound</x:v>
      </x:c>
      <x:c r="C1263" s="36" t="b">
        <x:v>1</x:v>
      </x:c>
      <x:c r="D1263" s="25" t="str">
        <x:v>boolean</x:v>
      </x:c>
    </x:row>
    <x:row r="1264" ht="18" customHeight="1">
      <x:c r="A1264" s="25" t="str">
        <x:v>LME_026</x:v>
      </x:c>
      <x:c r="B1264" s="25" t="str">
        <x:v>tl_coverage_complete</x:v>
      </x:c>
      <x:c r="C1264" s="36" t="b">
        <x:v>1</x:v>
      </x:c>
      <x:c r="D1264" s="25" t="str">
        <x:v>boolean</x:v>
      </x:c>
    </x:row>
    <x:row r="1265" ht="18" customHeight="1">
      <x:c r="A1265" s="25" t="str">
        <x:v>LME_026</x:v>
      </x:c>
      <x:c r="B1265" s="25" t="str">
        <x:v>group_ppr_within_convexity_bound</x:v>
      </x:c>
      <x:c r="C1265" s="36" t="b">
        <x:v>1</x:v>
      </x:c>
      <x:c r="D1265" s="25" t="str">
        <x:v>boolean</x:v>
      </x:c>
    </x:row>
    <x:row r="1266" ht="18" customHeight="1">
      <x:c r="A1266" s="25" t="str">
        <x:v>LME_027</x:v>
      </x:c>
      <x:c r="B1266" s="25" t="str">
        <x:v>tl_coverage_complete</x:v>
      </x:c>
      <x:c r="C1266" s="36" t="b">
        <x:v>1</x:v>
      </x:c>
      <x:c r="D1266" s="25" t="str">
        <x:v>boolean</x:v>
      </x:c>
    </x:row>
    <x:row r="1267" ht="18" customHeight="1">
      <x:c r="A1267" s="25" t="str">
        <x:v>LME_027</x:v>
      </x:c>
      <x:c r="B1267" s="25" t="str">
        <x:v>group_ppr_within_convexity_bound</x:v>
      </x:c>
      <x:c r="C1267" s="36" t="b">
        <x:v>1</x:v>
      </x:c>
      <x:c r="D1267" s="25" t="str">
        <x:v>boolean</x:v>
      </x:c>
    </x:row>
    <x:row r="1268" ht="18" customHeight="1">
      <x:c r="A1268" s="25" t="str">
        <x:v>LME_028</x:v>
      </x:c>
      <x:c r="B1268" s="25" t="str">
        <x:v>tl_coverage_complete</x:v>
      </x:c>
      <x:c r="C1268" s="36" t="b">
        <x:v>1</x:v>
      </x:c>
      <x:c r="D1268" s="25" t="str">
        <x:v>boolean</x:v>
      </x:c>
    </x:row>
    <x:row r="1269" ht="18" customHeight="1">
      <x:c r="A1269" s="25" t="str">
        <x:v>LME_028</x:v>
      </x:c>
      <x:c r="B1269" s="25" t="str">
        <x:v>group_ppr_within_convexity_bound</x:v>
      </x:c>
      <x:c r="C1269" s="36" t="b">
        <x:v>1</x:v>
      </x:c>
      <x:c r="D1269" s="25" t="str">
        <x:v>boolean</x:v>
      </x:c>
    </x:row>
    <x:row r="1270" ht="18" customHeight="1">
      <x:c r="A1270" s="25" t="str">
        <x:v>LME_029</x:v>
      </x:c>
      <x:c r="B1270" s="25" t="str">
        <x:v>tl_coverage_complete</x:v>
      </x:c>
      <x:c r="C1270" s="36" t="b">
        <x:v>1</x:v>
      </x:c>
      <x:c r="D1270" s="25" t="str">
        <x:v>boolean</x:v>
      </x:c>
    </x:row>
    <x:row r="1271" ht="18" customHeight="1">
      <x:c r="A1271" s="25" t="str">
        <x:v>LME_029</x:v>
      </x:c>
      <x:c r="B1271" s="25" t="str">
        <x:v>group_ppr_within_convexity_bound</x:v>
      </x:c>
      <x:c r="C1271" s="36" t="b">
        <x:v>1</x:v>
      </x:c>
      <x:c r="D1271" s="25" t="str">
        <x:v>boolean</x:v>
      </x:c>
    </x:row>
    <x:row r="1272" ht="18" customHeight="1">
      <x:c r="A1272" s="25" t="str">
        <x:v>LME_030</x:v>
      </x:c>
      <x:c r="B1272" s="25" t="str">
        <x:v>tl_coverage_complete</x:v>
      </x:c>
      <x:c r="C1272" s="36" t="b">
        <x:v>1</x:v>
      </x:c>
      <x:c r="D1272" s="25" t="str">
        <x:v>boolean</x:v>
      </x:c>
    </x:row>
    <x:row r="1273" ht="18" customHeight="1">
      <x:c r="A1273" s="25" t="str">
        <x:v>LME_030</x:v>
      </x:c>
      <x:c r="B1273" s="25" t="str">
        <x:v>group_ppr_within_convexity_bound</x:v>
      </x:c>
      <x:c r="C1273" s="36" t="b">
        <x:v>1</x:v>
      </x:c>
      <x:c r="D1273" s="25" t="str">
        <x:v>boolean</x:v>
      </x:c>
    </x:row>
    <x:row r="1274" ht="18" customHeight="1">
      <x:c r="A1274" s="25" t="str">
        <x:v>LME_031</x:v>
      </x:c>
      <x:c r="B1274" s="25" t="str">
        <x:v>tl_coverage_complete</x:v>
      </x:c>
      <x:c r="C1274" s="36" t="b">
        <x:v>1</x:v>
      </x:c>
      <x:c r="D1274" s="25" t="str">
        <x:v>boolean</x:v>
      </x:c>
    </x:row>
    <x:row r="1275" ht="18" customHeight="1">
      <x:c r="A1275" s="25" t="str">
        <x:v>LME_031</x:v>
      </x:c>
      <x:c r="B1275" s="25" t="str">
        <x:v>group_ppr_within_convexity_bound</x:v>
      </x:c>
      <x:c r="C1275" s="36" t="b">
        <x:v>1</x:v>
      </x:c>
      <x:c r="D1275" s="25" t="str">
        <x:v>boolean</x:v>
      </x:c>
    </x:row>
    <x:row r="1276" ht="18" customHeight="1">
      <x:c r="A1276" s="25" t="str">
        <x:v>LME_032</x:v>
      </x:c>
      <x:c r="B1276" s="25" t="str">
        <x:v>tl_coverage_complete</x:v>
      </x:c>
      <x:c r="C1276" s="36" t="b">
        <x:v>1</x:v>
      </x:c>
      <x:c r="D1276" s="25" t="str">
        <x:v>boolean</x:v>
      </x:c>
    </x:row>
    <x:row r="1277" ht="18" customHeight="1">
      <x:c r="A1277" s="25" t="str">
        <x:v>LME_032</x:v>
      </x:c>
      <x:c r="B1277" s="25" t="str">
        <x:v>group_ppr_within_convexity_bound</x:v>
      </x:c>
      <x:c r="C1277" s="36" t="b">
        <x:v>1</x:v>
      </x:c>
      <x:c r="D1277" s="25" t="str">
        <x:v>boolean</x:v>
      </x:c>
    </x:row>
    <x:row r="1278" ht="18" customHeight="1">
      <x:c r="A1278" s="25" t="str">
        <x:v>LME_033</x:v>
      </x:c>
      <x:c r="B1278" s="25" t="str">
        <x:v>tl_coverage_complete</x:v>
      </x:c>
      <x:c r="C1278" s="36" t="b">
        <x:v>1</x:v>
      </x:c>
      <x:c r="D1278" s="25" t="str">
        <x:v>boolean</x:v>
      </x:c>
    </x:row>
    <x:row r="1279" ht="18" customHeight="1">
      <x:c r="A1279" s="25" t="str">
        <x:v>LME_033</x:v>
      </x:c>
      <x:c r="B1279" s="25" t="str">
        <x:v>group_ppr_within_convexity_bound</x:v>
      </x:c>
      <x:c r="C1279" s="36" t="b">
        <x:v>1</x:v>
      </x:c>
      <x:c r="D1279" s="25" t="str">
        <x:v>boolean</x:v>
      </x:c>
    </x:row>
    <x:row r="1280" ht="18" customHeight="1">
      <x:c r="A1280" s="25" t="str">
        <x:v>LME_034</x:v>
      </x:c>
      <x:c r="B1280" s="25" t="str">
        <x:v>tl_coverage_complete</x:v>
      </x:c>
      <x:c r="C1280" s="36" t="b">
        <x:v>1</x:v>
      </x:c>
      <x:c r="D1280" s="25" t="str">
        <x:v>boolean</x:v>
      </x:c>
    </x:row>
    <x:row r="1281" ht="18" customHeight="1">
      <x:c r="A1281" s="25" t="str">
        <x:v>LME_034</x:v>
      </x:c>
      <x:c r="B1281" s="25" t="str">
        <x:v>group_ppr_within_convexity_bound</x:v>
      </x:c>
      <x:c r="C1281" s="36" t="b">
        <x:v>1</x:v>
      </x:c>
      <x:c r="D1281" s="25" t="str">
        <x:v>boolean</x:v>
      </x:c>
    </x:row>
    <x:row r="1282" ht="18" customHeight="1">
      <x:c r="A1282" s="25" t="str">
        <x:v>LME_035</x:v>
      </x:c>
      <x:c r="B1282" s="25" t="str">
        <x:v>tl_coverage_complete</x:v>
      </x:c>
      <x:c r="C1282" s="36" t="b">
        <x:v>1</x:v>
      </x:c>
      <x:c r="D1282" s="25" t="str">
        <x:v>boolean</x:v>
      </x:c>
    </x:row>
    <x:row r="1283" ht="18" customHeight="1">
      <x:c r="A1283" s="25" t="str">
        <x:v>LME_035</x:v>
      </x:c>
      <x:c r="B1283" s="25" t="str">
        <x:v>group_ppr_within_convexity_bound</x:v>
      </x:c>
      <x:c r="C1283" s="36" t="b">
        <x:v>1</x:v>
      </x:c>
      <x:c r="D1283" s="25" t="str">
        <x:v>boolean</x:v>
      </x:c>
    </x:row>
    <x:row r="1284" ht="18" customHeight="1">
      <x:c r="A1284" s="25" t="str">
        <x:v>LME_036</x:v>
      </x:c>
      <x:c r="B1284" s="25" t="str">
        <x:v>tl_coverage_complete</x:v>
      </x:c>
      <x:c r="C1284" s="36" t="b">
        <x:v>1</x:v>
      </x:c>
      <x:c r="D1284" s="25" t="str">
        <x:v>boolean</x:v>
      </x:c>
    </x:row>
    <x:row r="1285" ht="18" customHeight="1">
      <x:c r="A1285" s="25" t="str">
        <x:v>LME_036</x:v>
      </x:c>
      <x:c r="B1285" s="25" t="str">
        <x:v>group_ppr_within_convexity_bound</x:v>
      </x:c>
      <x:c r="C1285" s="36" t="b">
        <x:v>1</x:v>
      </x:c>
      <x:c r="D1285" s="25" t="str">
        <x:v>boolean</x:v>
      </x:c>
    </x:row>
    <x:row r="1286" ht="18" customHeight="1">
      <x:c r="A1286" s="25" t="str">
        <x:v>LME_037</x:v>
      </x:c>
      <x:c r="B1286" s="25" t="str">
        <x:v>tl_coverage_complete</x:v>
      </x:c>
      <x:c r="C1286" s="36" t="b">
        <x:v>1</x:v>
      </x:c>
      <x:c r="D1286" s="25" t="str">
        <x:v>boolean</x:v>
      </x:c>
    </x:row>
    <x:row r="1287" ht="18" customHeight="1">
      <x:c r="A1287" s="25" t="str">
        <x:v>LME_037</x:v>
      </x:c>
      <x:c r="B1287" s="25" t="str">
        <x:v>group_ppr_within_convexity_bound</x:v>
      </x:c>
      <x:c r="C1287" s="36" t="b">
        <x:v>1</x:v>
      </x:c>
      <x:c r="D1287" s="25" t="str">
        <x:v>boolean</x:v>
      </x:c>
    </x:row>
    <x:row r="1288" ht="18" customHeight="1">
      <x:c r="A1288" s="25" t="str">
        <x:v>LME_038</x:v>
      </x:c>
      <x:c r="B1288" s="25" t="str">
        <x:v>tl_coverage_complete</x:v>
      </x:c>
      <x:c r="C1288" s="36" t="b">
        <x:v>1</x:v>
      </x:c>
      <x:c r="D1288" s="25" t="str">
        <x:v>boolean</x:v>
      </x:c>
    </x:row>
    <x:row r="1289" ht="18" customHeight="1">
      <x:c r="A1289" s="25" t="str">
        <x:v>LME_038</x:v>
      </x:c>
      <x:c r="B1289" s="25" t="str">
        <x:v>group_ppr_within_convexity_bound</x:v>
      </x:c>
      <x:c r="C1289" s="36" t="b">
        <x:v>1</x:v>
      </x:c>
      <x:c r="D1289" s="25" t="str">
        <x:v>boolean</x:v>
      </x:c>
    </x:row>
    <x:row r="1290" ht="18" customHeight="1">
      <x:c r="A1290" s="25" t="str">
        <x:v>LME_039</x:v>
      </x:c>
      <x:c r="B1290" s="25" t="str">
        <x:v>tl_coverage_complete</x:v>
      </x:c>
      <x:c r="C1290" s="36" t="b">
        <x:v>1</x:v>
      </x:c>
      <x:c r="D1290" s="25" t="str">
        <x:v>boolean</x:v>
      </x:c>
    </x:row>
    <x:row r="1291" ht="18" customHeight="1">
      <x:c r="A1291" s="25" t="str">
        <x:v>LME_039</x:v>
      </x:c>
      <x:c r="B1291" s="25" t="str">
        <x:v>group_ppr_within_convexity_bound</x:v>
      </x:c>
      <x:c r="C1291" s="36" t="b">
        <x:v>1</x:v>
      </x:c>
      <x:c r="D1291" s="25" t="str">
        <x:v>boolean</x:v>
      </x:c>
    </x:row>
    <x:row r="1292" ht="18" customHeight="1">
      <x:c r="A1292" s="25" t="str">
        <x:v>LME_040</x:v>
      </x:c>
      <x:c r="B1292" s="25" t="str">
        <x:v>tl_coverage_complete</x:v>
      </x:c>
      <x:c r="C1292" s="36" t="b">
        <x:v>1</x:v>
      </x:c>
      <x:c r="D1292" s="25" t="str">
        <x:v>boolean</x:v>
      </x:c>
    </x:row>
    <x:row r="1293" ht="18" customHeight="1">
      <x:c r="A1293" s="25" t="str">
        <x:v>LME_040</x:v>
      </x:c>
      <x:c r="B1293" s="25" t="str">
        <x:v>group_ppr_within_convexity_bound</x:v>
      </x:c>
      <x:c r="C1293" s="36" t="b">
        <x:v>1</x:v>
      </x:c>
      <x:c r="D1293" s="25" t="str">
        <x:v>boolean</x:v>
      </x:c>
    </x:row>
    <x:row r="1294" ht="18" customHeight="1">
      <x:c r="A1294" s="25" t="str">
        <x:v>LME_041</x:v>
      </x:c>
      <x:c r="B1294" s="25" t="str">
        <x:v>tl_coverage_complete</x:v>
      </x:c>
      <x:c r="C1294" s="36" t="b">
        <x:v>1</x:v>
      </x:c>
      <x:c r="D1294" s="25" t="str">
        <x:v>boolean</x:v>
      </x:c>
    </x:row>
    <x:row r="1295" ht="18" customHeight="1">
      <x:c r="A1295" s="25" t="str">
        <x:v>LME_041</x:v>
      </x:c>
      <x:c r="B1295" s="25" t="str">
        <x:v>group_ppr_within_convexity_bound</x:v>
      </x:c>
      <x:c r="C1295" s="36" t="b">
        <x:v>1</x:v>
      </x:c>
      <x:c r="D1295" s="25" t="str">
        <x:v>boolean</x:v>
      </x:c>
    </x:row>
    <x:row r="1296" ht="18" customHeight="1">
      <x:c r="A1296" s="25" t="str">
        <x:v>LME_042</x:v>
      </x:c>
      <x:c r="B1296" s="25" t="str">
        <x:v>tl_coverage_complete</x:v>
      </x:c>
      <x:c r="C1296" s="36" t="b">
        <x:v>1</x:v>
      </x:c>
      <x:c r="D1296" s="25" t="str">
        <x:v>boolean</x:v>
      </x:c>
    </x:row>
    <x:row r="1297" ht="18" customHeight="1">
      <x:c r="A1297" s="25" t="str">
        <x:v>LME_042</x:v>
      </x:c>
      <x:c r="B1297" s="25" t="str">
        <x:v>group_ppr_within_convexity_bound</x:v>
      </x:c>
      <x:c r="C1297" s="36" t="b">
        <x:v>1</x:v>
      </x:c>
      <x:c r="D1297" s="25" t="str">
        <x:v>boolean</x:v>
      </x:c>
    </x:row>
    <x:row r="1298" ht="18" customHeight="1">
      <x:c r="A1298" s="25" t="str">
        <x:v>LME_043</x:v>
      </x:c>
      <x:c r="B1298" s="25" t="str">
        <x:v>tl_coverage_complete</x:v>
      </x:c>
      <x:c r="C1298" s="36" t="b">
        <x:v>1</x:v>
      </x:c>
      <x:c r="D1298" s="25" t="str">
        <x:v>boolean</x:v>
      </x:c>
    </x:row>
    <x:row r="1299" ht="18" customHeight="1">
      <x:c r="A1299" s="25" t="str">
        <x:v>LME_043</x:v>
      </x:c>
      <x:c r="B1299" s="25" t="str">
        <x:v>group_ppr_within_convexity_bound</x:v>
      </x:c>
      <x:c r="C1299" s="36" t="b">
        <x:v>1</x:v>
      </x:c>
      <x:c r="D1299" s="25" t="str">
        <x:v>boolean</x:v>
      </x:c>
    </x:row>
    <x:row r="1300" ht="18" customHeight="1">
      <x:c r="A1300" s="25" t="str">
        <x:v>LME_044</x:v>
      </x:c>
      <x:c r="B1300" s="25" t="str">
        <x:v>tl_coverage_complete</x:v>
      </x:c>
      <x:c r="C1300" s="36" t="b">
        <x:v>1</x:v>
      </x:c>
      <x:c r="D1300" s="25" t="str">
        <x:v>boolean</x:v>
      </x:c>
    </x:row>
    <x:row r="1301" ht="18" customHeight="1">
      <x:c r="A1301" s="25" t="str">
        <x:v>LME_044</x:v>
      </x:c>
      <x:c r="B1301" s="25" t="str">
        <x:v>group_ppr_within_convexity_bound</x:v>
      </x:c>
      <x:c r="C1301" s="36" t="b">
        <x:v>1</x:v>
      </x:c>
      <x:c r="D1301" s="25" t="str">
        <x:v>boolean</x:v>
      </x:c>
    </x:row>
    <x:row r="1302" ht="18" customHeight="1">
      <x:c r="A1302" s="25" t="str">
        <x:v>LME_045</x:v>
      </x:c>
      <x:c r="B1302" s="25" t="str">
        <x:v>tl_coverage_complete</x:v>
      </x:c>
      <x:c r="C1302" s="36" t="b">
        <x:v>1</x:v>
      </x:c>
      <x:c r="D1302" s="25" t="str">
        <x:v>boolean</x:v>
      </x:c>
    </x:row>
    <x:row r="1303" ht="18" customHeight="1">
      <x:c r="A1303" s="25" t="str">
        <x:v>LME_045</x:v>
      </x:c>
      <x:c r="B1303" s="25" t="str">
        <x:v>group_ppr_within_convexity_bound</x:v>
      </x:c>
      <x:c r="C1303" s="36" t="b">
        <x:v>1</x:v>
      </x:c>
      <x:c r="D1303" s="25" t="str">
        <x:v>boolean</x:v>
      </x:c>
    </x:row>
    <x:row r="1304" ht="18" customHeight="1">
      <x:c r="A1304" s="25" t="str">
        <x:v>LME_046</x:v>
      </x:c>
      <x:c r="B1304" s="25" t="str">
        <x:v>tl_coverage_complete</x:v>
      </x:c>
      <x:c r="C1304" s="36" t="b">
        <x:v>1</x:v>
      </x:c>
      <x:c r="D1304" s="25" t="str">
        <x:v>boolean</x:v>
      </x:c>
    </x:row>
    <x:row r="1305" ht="18" customHeight="1">
      <x:c r="A1305" s="25" t="str">
        <x:v>LME_046</x:v>
      </x:c>
      <x:c r="B1305" s="25" t="str">
        <x:v>group_ppr_within_convexity_bound</x:v>
      </x:c>
      <x:c r="C1305" s="36" t="b">
        <x:v>1</x:v>
      </x:c>
      <x:c r="D1305" s="25" t="str">
        <x:v>boolean</x:v>
      </x:c>
    </x:row>
    <x:row r="1306" ht="18" customHeight="1">
      <x:c r="A1306" s="25" t="str">
        <x:v>LME_047</x:v>
      </x:c>
      <x:c r="B1306" s="25" t="str">
        <x:v>tl_coverage_complete</x:v>
      </x:c>
      <x:c r="C1306" s="36" t="b">
        <x:v>1</x:v>
      </x:c>
      <x:c r="D1306" s="25" t="str">
        <x:v>boolean</x:v>
      </x:c>
    </x:row>
    <x:row r="1307" ht="18" customHeight="1">
      <x:c r="A1307" s="25" t="str">
        <x:v>LME_047</x:v>
      </x:c>
      <x:c r="B1307" s="25" t="str">
        <x:v>group_ppr_within_convexity_bound</x:v>
      </x:c>
      <x:c r="C1307" s="36" t="b">
        <x:v>1</x:v>
      </x:c>
      <x:c r="D1307" s="25" t="str">
        <x:v>boolean</x:v>
      </x:c>
    </x:row>
    <x:row r="1308" ht="18" customHeight="1">
      <x:c r="A1308" s="25" t="str">
        <x:v>LME_048</x:v>
      </x:c>
      <x:c r="B1308" s="25" t="str">
        <x:v>tl_coverage_complete</x:v>
      </x:c>
      <x:c r="C1308" s="36" t="b">
        <x:v>1</x:v>
      </x:c>
      <x:c r="D1308" s="25" t="str">
        <x:v>boolean</x:v>
      </x:c>
    </x:row>
    <x:row r="1309" ht="18" customHeight="1">
      <x:c r="A1309" s="25" t="str">
        <x:v>LME_048</x:v>
      </x:c>
      <x:c r="B1309" s="25" t="str">
        <x:v>group_ppr_within_convexity_bound</x:v>
      </x:c>
      <x:c r="C1309" s="36" t="b">
        <x:v>1</x:v>
      </x:c>
      <x:c r="D1309" s="25" t="str">
        <x:v>boolean</x:v>
      </x:c>
    </x:row>
    <x:row r="1310" ht="18" customHeight="1">
      <x:c r="A1310" s="25" t="str">
        <x:v>LME_049</x:v>
      </x:c>
      <x:c r="B1310" s="25" t="str">
        <x:v>tl_coverage_complete</x:v>
      </x:c>
      <x:c r="C1310" s="36" t="b">
        <x:v>1</x:v>
      </x:c>
      <x:c r="D1310" s="25" t="str">
        <x:v>boolean</x:v>
      </x:c>
    </x:row>
    <x:row r="1311" ht="18" customHeight="1">
      <x:c r="A1311" s="25" t="str">
        <x:v>LME_049</x:v>
      </x:c>
      <x:c r="B1311" s="25" t="str">
        <x:v>group_ppr_within_convexity_bound</x:v>
      </x:c>
      <x:c r="C1311" s="36" t="b">
        <x:v>1</x:v>
      </x:c>
      <x:c r="D1311" s="25" t="str">
        <x:v>boolean</x:v>
      </x:c>
    </x:row>
    <x:row r="1312" ht="18" customHeight="1">
      <x:c r="A1312" s="25" t="str">
        <x:v>LME_050</x:v>
      </x:c>
      <x:c r="B1312" s="25" t="str">
        <x:v>tl_coverage_complete</x:v>
      </x:c>
      <x:c r="C1312" s="36" t="b">
        <x:v>1</x:v>
      </x:c>
      <x:c r="D1312" s="25" t="str">
        <x:v>boolean</x:v>
      </x:c>
    </x:row>
    <x:row r="1313" ht="18" customHeight="1">
      <x:c r="A1313" s="25" t="str">
        <x:v>LME_050</x:v>
      </x:c>
      <x:c r="B1313" s="25" t="str">
        <x:v>group_ppr_within_convexity_bound</x:v>
      </x:c>
      <x:c r="C1313" s="36" t="b">
        <x:v>1</x:v>
      </x:c>
      <x:c r="D1313" s="25" t="str">
        <x:v>boolean</x:v>
      </x:c>
    </x:row>
    <x:row r="1314" ht="18" customHeight="1">
      <x:c r="A1314" s="25" t="str">
        <x:v>LME_051</x:v>
      </x:c>
      <x:c r="B1314" s="25" t="str">
        <x:v>tl_coverage_complete</x:v>
      </x:c>
      <x:c r="C1314" s="36" t="b">
        <x:v>1</x:v>
      </x:c>
      <x:c r="D1314" s="25" t="str">
        <x:v>boolean</x:v>
      </x:c>
    </x:row>
    <x:row r="1315" ht="18" customHeight="1">
      <x:c r="A1315" s="25" t="str">
        <x:v>LME_051</x:v>
      </x:c>
      <x:c r="B1315" s="25" t="str">
        <x:v>group_ppr_within_convexity_bound</x:v>
      </x:c>
      <x:c r="C1315" s="36" t="b">
        <x:v>1</x:v>
      </x:c>
      <x:c r="D1315" s="25" t="str">
        <x:v>boolean</x:v>
      </x:c>
    </x:row>
    <x:row r="1316" ht="18" customHeight="1">
      <x:c r="A1316" s="25" t="str">
        <x:v>LME_052</x:v>
      </x:c>
      <x:c r="B1316" s="25" t="str">
        <x:v>tl_coverage_complete</x:v>
      </x:c>
      <x:c r="C1316" s="36" t="b">
        <x:v>1</x:v>
      </x:c>
      <x:c r="D1316" s="25" t="str">
        <x:v>boolean</x:v>
      </x:c>
    </x:row>
    <x:row r="1317" ht="18" customHeight="1">
      <x:c r="A1317" s="25" t="str">
        <x:v>LME_052</x:v>
      </x:c>
      <x:c r="B1317" s="25" t="str">
        <x:v>group_ppr_within_convexity_bound</x:v>
      </x:c>
      <x:c r="C1317" s="36" t="b">
        <x:v>1</x:v>
      </x:c>
      <x:c r="D1317" s="25" t="str">
        <x:v>boolean</x:v>
      </x:c>
    </x:row>
    <x:row r="1318" ht="18" customHeight="1">
      <x:c r="A1318" s="25" t="str">
        <x:v>LME_053</x:v>
      </x:c>
      <x:c r="B1318" s="25" t="str">
        <x:v>tl_coverage_complete</x:v>
      </x:c>
      <x:c r="C1318" s="36" t="b">
        <x:v>1</x:v>
      </x:c>
      <x:c r="D1318" s="25" t="str">
        <x:v>boolean</x:v>
      </x:c>
    </x:row>
    <x:row r="1319" ht="18" customHeight="1">
      <x:c r="A1319" s="25" t="str">
        <x:v>LME_053</x:v>
      </x:c>
      <x:c r="B1319" s="25" t="str">
        <x:v>group_ppr_within_convexity_bound</x:v>
      </x:c>
      <x:c r="C1319" s="36" t="b">
        <x:v>1</x:v>
      </x:c>
      <x:c r="D1319" s="25" t="str">
        <x:v>boolean</x:v>
      </x:c>
    </x:row>
    <x:row r="1320" ht="18" customHeight="1">
      <x:c r="A1320" s="25" t="str">
        <x:v>LME_054</x:v>
      </x:c>
      <x:c r="B1320" s="25" t="str">
        <x:v>tl_coverage_complete</x:v>
      </x:c>
      <x:c r="C1320" s="36" t="b">
        <x:v>1</x:v>
      </x:c>
      <x:c r="D1320" s="25" t="str">
        <x:v>boolean</x:v>
      </x:c>
    </x:row>
    <x:row r="1321" ht="18" customHeight="1">
      <x:c r="A1321" s="25" t="str">
        <x:v>LME_054</x:v>
      </x:c>
      <x:c r="B1321" s="25" t="str">
        <x:v>group_ppr_within_convexity_bound</x:v>
      </x:c>
      <x:c r="C1321" s="36" t="b">
        <x:v>1</x:v>
      </x:c>
      <x:c r="D1321" s="25" t="str">
        <x:v>boolean</x:v>
      </x:c>
    </x:row>
    <x:row r="1322" ht="18" customHeight="1">
      <x:c r="A1322" s="25" t="str">
        <x:v>LME_055</x:v>
      </x:c>
      <x:c r="B1322" s="25" t="str">
        <x:v>tl_coverage_complete</x:v>
      </x:c>
      <x:c r="C1322" s="36" t="b">
        <x:v>1</x:v>
      </x:c>
      <x:c r="D1322" s="25" t="str">
        <x:v>boolean</x:v>
      </x:c>
    </x:row>
    <x:row r="1323" ht="18" customHeight="1">
      <x:c r="A1323" s="25" t="str">
        <x:v>LME_055</x:v>
      </x:c>
      <x:c r="B1323" s="25" t="str">
        <x:v>group_ppr_within_convexity_bound</x:v>
      </x:c>
      <x:c r="C1323" s="36" t="b">
        <x:v>1</x:v>
      </x:c>
      <x:c r="D1323" s="25" t="str">
        <x:v>boolean</x:v>
      </x:c>
    </x:row>
    <x:row r="1324" ht="18" customHeight="1">
      <x:c r="A1324" s="25" t="str">
        <x:v>LME_056</x:v>
      </x:c>
      <x:c r="B1324" s="25" t="str">
        <x:v>tl_coverage_complete</x:v>
      </x:c>
      <x:c r="C1324" s="36" t="b">
        <x:v>1</x:v>
      </x:c>
      <x:c r="D1324" s="25" t="str">
        <x:v>boolean</x:v>
      </x:c>
    </x:row>
    <x:row r="1325" ht="18" customHeight="1">
      <x:c r="A1325" s="25" t="str">
        <x:v>LME_056</x:v>
      </x:c>
      <x:c r="B1325" s="25" t="str">
        <x:v>group_ppr_within_convexity_bound</x:v>
      </x:c>
      <x:c r="C1325" s="36" t="b">
        <x:v>1</x:v>
      </x:c>
      <x:c r="D1325" s="25" t="str">
        <x:v>boolean</x:v>
      </x:c>
    </x:row>
    <x:row r="1326" ht="18" customHeight="1">
      <x:c r="A1326" s="25" t="str">
        <x:v>LME_057</x:v>
      </x:c>
      <x:c r="B1326" s="25" t="str">
        <x:v>tl_coverage_complete</x:v>
      </x:c>
      <x:c r="C1326" s="36" t="b">
        <x:v>1</x:v>
      </x:c>
      <x:c r="D1326" s="25" t="str">
        <x:v>boolean</x:v>
      </x:c>
    </x:row>
    <x:row r="1327" ht="18" customHeight="1">
      <x:c r="A1327" s="25" t="str">
        <x:v>LME_057</x:v>
      </x:c>
      <x:c r="B1327" s="25" t="str">
        <x:v>group_ppr_within_convexity_bound</x:v>
      </x:c>
      <x:c r="C1327" s="36" t="b">
        <x:v>1</x:v>
      </x:c>
      <x:c r="D1327" s="25" t="str">
        <x:v>boolean</x:v>
      </x:c>
    </x:row>
    <x:row r="1328" ht="18" customHeight="1">
      <x:c r="A1328" s="25" t="str">
        <x:v>LME_058</x:v>
      </x:c>
      <x:c r="B1328" s="25" t="str">
        <x:v>tl_coverage_complete</x:v>
      </x:c>
      <x:c r="C1328" s="36" t="b">
        <x:v>1</x:v>
      </x:c>
      <x:c r="D1328" s="25" t="str">
        <x:v>boolean</x:v>
      </x:c>
    </x:row>
    <x:row r="1329" ht="18" customHeight="1">
      <x:c r="A1329" s="25" t="str">
        <x:v>LME_058</x:v>
      </x:c>
      <x:c r="B1329" s="25" t="str">
        <x:v>group_ppr_within_convexity_bound</x:v>
      </x:c>
      <x:c r="C1329" s="36" t="b">
        <x:v>1</x:v>
      </x:c>
      <x:c r="D1329" s="25" t="str">
        <x:v>boolean</x:v>
      </x:c>
    </x:row>
    <x:row r="1330" ht="18" customHeight="1">
      <x:c r="A1330" s="25" t="str">
        <x:v>LME_059</x:v>
      </x:c>
      <x:c r="B1330" s="25" t="str">
        <x:v>tl_coverage_complete</x:v>
      </x:c>
      <x:c r="C1330" s="36" t="b">
        <x:v>1</x:v>
      </x:c>
      <x:c r="D1330" s="25" t="str">
        <x:v>boolean</x:v>
      </x:c>
    </x:row>
    <x:row r="1331" ht="18" customHeight="1">
      <x:c r="A1331" s="25" t="str">
        <x:v>LME_059</x:v>
      </x:c>
      <x:c r="B1331" s="25" t="str">
        <x:v>group_ppr_within_convexity_bound</x:v>
      </x:c>
      <x:c r="C1331" s="36" t="b">
        <x:v>1</x:v>
      </x:c>
      <x:c r="D1331" s="25" t="str">
        <x:v>boolean</x:v>
      </x:c>
    </x:row>
    <x:row r="1332" ht="18" customHeight="1">
      <x:c r="A1332" s="25" t="str">
        <x:v>LME_060</x:v>
      </x:c>
      <x:c r="B1332" s="25" t="str">
        <x:v>tl_coverage_complete</x:v>
      </x:c>
      <x:c r="C1332" s="36" t="b">
        <x:v>1</x:v>
      </x:c>
      <x:c r="D1332" s="25" t="str">
        <x:v>boolean</x:v>
      </x:c>
    </x:row>
    <x:row r="1333" ht="18" customHeight="1">
      <x:c r="A1333" s="25" t="str">
        <x:v>LME_060</x:v>
      </x:c>
      <x:c r="B1333" s="25" t="str">
        <x:v>group_ppr_within_convexity_bound</x:v>
      </x:c>
      <x:c r="C1333" s="36" t="b">
        <x:v>1</x:v>
      </x:c>
      <x:c r="D1333" s="25" t="str">
        <x:v>boolean</x:v>
      </x:c>
    </x:row>
    <x:row r="1334" ht="18" customHeight="1">
      <x:c r="A1334" s="25" t="str">
        <x:v>LME_061</x:v>
      </x:c>
      <x:c r="B1334" s="25" t="str">
        <x:v>tl_coverage_complete</x:v>
      </x:c>
      <x:c r="C1334" s="36" t="b">
        <x:v>1</x:v>
      </x:c>
      <x:c r="D1334" s="25" t="str">
        <x:v>boolean</x:v>
      </x:c>
    </x:row>
    <x:row r="1335" ht="18" customHeight="1">
      <x:c r="A1335" s="25" t="str">
        <x:v>LME_061</x:v>
      </x:c>
      <x:c r="B1335" s="25" t="str">
        <x:v>group_ppr_within_convexity_bound</x:v>
      </x:c>
      <x:c r="C1335" s="36" t="b">
        <x:v>1</x:v>
      </x:c>
      <x:c r="D1335" s="25" t="str">
        <x:v>boolean</x:v>
      </x:c>
    </x:row>
    <x:row r="1336" ht="18" customHeight="1">
      <x:c r="A1336" s="25" t="str">
        <x:v>LME_062</x:v>
      </x:c>
      <x:c r="B1336" s="25" t="str">
        <x:v>tl_coverage_complete</x:v>
      </x:c>
      <x:c r="C1336" s="36" t="b">
        <x:v>1</x:v>
      </x:c>
      <x:c r="D1336" s="25" t="str">
        <x:v>boolean</x:v>
      </x:c>
    </x:row>
    <x:row r="1337" ht="18" customHeight="1">
      <x:c r="A1337" s="25" t="str">
        <x:v>LME_062</x:v>
      </x:c>
      <x:c r="B1337" s="25" t="str">
        <x:v>group_ppr_within_convexity_bound</x:v>
      </x:c>
      <x:c r="C1337" s="36" t="b">
        <x:v>1</x:v>
      </x:c>
      <x:c r="D1337" s="25" t="str">
        <x:v>boolean</x:v>
      </x:c>
    </x:row>
    <x:row r="1338" ht="18" customHeight="1">
      <x:c r="A1338" s="25" t="str">
        <x:v>LME_063</x:v>
      </x:c>
      <x:c r="B1338" s="25" t="str">
        <x:v>tl_coverage_complete</x:v>
      </x:c>
      <x:c r="C1338" s="36" t="b">
        <x:v>1</x:v>
      </x:c>
      <x:c r="D1338" s="25" t="str">
        <x:v>boolean</x:v>
      </x:c>
    </x:row>
    <x:row r="1339" ht="18" customHeight="1">
      <x:c r="A1339" s="25" t="str">
        <x:v>LME_063</x:v>
      </x:c>
      <x:c r="B1339" s="25" t="str">
        <x:v>group_ppr_within_convexity_bound</x:v>
      </x:c>
      <x:c r="C1339" s="36" t="b">
        <x:v>1</x:v>
      </x:c>
      <x:c r="D1339" s="25" t="str">
        <x:v>boolean</x:v>
      </x:c>
    </x:row>
    <x:row r="1340" ht="18" customHeight="1">
      <x:c r="A1340" s="25" t="str">
        <x:v>LME_064</x:v>
      </x:c>
      <x:c r="B1340" s="25" t="str">
        <x:v>tl_coverage_complete</x:v>
      </x:c>
      <x:c r="C1340" s="36" t="b">
        <x:v>1</x:v>
      </x:c>
      <x:c r="D1340" s="25" t="str">
        <x:v>boolean</x:v>
      </x:c>
    </x:row>
    <x:row r="1341" ht="18" customHeight="1">
      <x:c r="A1341" s="25" t="str">
        <x:v>LME_064</x:v>
      </x:c>
      <x:c r="B1341" s="25" t="str">
        <x:v>group_ppr_within_convexity_bound</x:v>
      </x:c>
      <x:c r="C1341" s="36" t="b">
        <x:v>1</x:v>
      </x:c>
      <x:c r="D1341" s="25" t="str">
        <x:v>boolean</x:v>
      </x:c>
    </x:row>
    <x:row r="1342" ht="18" customHeight="1">
      <x:c r="A1342" s="25" t="str">
        <x:v>LME_065</x:v>
      </x:c>
      <x:c r="B1342" s="25" t="str">
        <x:v>tl_coverage_complete</x:v>
      </x:c>
      <x:c r="C1342" s="36" t="b">
        <x:v>1</x:v>
      </x:c>
      <x:c r="D1342" s="25" t="str">
        <x:v>boolean</x:v>
      </x:c>
    </x:row>
    <x:row r="1343" ht="18" customHeight="1">
      <x:c r="A1343" s="25" t="str">
        <x:v>LME_065</x:v>
      </x:c>
      <x:c r="B1343" s="25" t="str">
        <x:v>group_ppr_within_convexity_bound</x:v>
      </x:c>
      <x:c r="C1343" s="36" t="b">
        <x:v>1</x:v>
      </x:c>
      <x:c r="D1343" s="25" t="str">
        <x:v>boolean</x:v>
      </x:c>
    </x:row>
    <x:row r="1344" ht="18" customHeight="1">
      <x:c r="A1344" s="25" t="str">
        <x:v>LME_066</x:v>
      </x:c>
      <x:c r="B1344" s="25" t="str">
        <x:v>tl_coverage_complete</x:v>
      </x:c>
      <x:c r="C1344" s="36" t="b">
        <x:v>1</x:v>
      </x:c>
      <x:c r="D1344" s="25" t="str">
        <x:v>boolean</x:v>
      </x:c>
    </x:row>
    <x:row r="1345" ht="18" customHeight="1">
      <x:c r="A1345" s="25" t="str">
        <x:v>LME_066</x:v>
      </x:c>
      <x:c r="B1345" s="25" t="str">
        <x:v>group_ppr_within_convexity_bound</x:v>
      </x:c>
      <x:c r="C1345" s="36" t="b">
        <x:v>1</x:v>
      </x:c>
      <x:c r="D1345" s="25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c008481f8154d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15" hidden="0" customWidth="1"/>
    <x:col min="6" max="6" width="18" hidden="0" customWidth="1"/>
    <x:col min="7" max="7" width="18" hidden="0" customWidth="1"/>
    <x:col min="8" max="8" width="22" hidden="0" customWidth="1"/>
    <x:col min="9" max="9" width="16" hidden="0" customWidth="1"/>
    <x:col min="10" max="10" width="16" hidden="0" customWidth="1"/>
  </x:cols>
  <x:sheetData>
    <x:row r="1" ht="32" customHeight="1">
      <x:c r="A1" s="30" t="str">
        <x:v>unit_id</x:v>
      </x:c>
      <x:c r="B1" s="30" t="str">
        <x:v>match_method</x:v>
      </x:c>
      <x:c r="C1" s="30" t="str">
        <x:v>tl_source</x:v>
      </x:c>
      <x:c r="D1" s="30" t="str">
        <x:v>match_confidence</x:v>
      </x:c>
      <x:c r="E1" s="30" t="str">
        <x:v>taxa_count</x:v>
      </x:c>
      <x:c r="F1" s="30" t="str">
        <x:v>catch_tonnes</x:v>
      </x:c>
      <x:c r="G1" s="30" t="str">
        <x:v>unit_catch_tonnes</x:v>
      </x:c>
      <x:c r="H1" s="30" t="str">
        <x:v>unit_taxa</x:v>
      </x:c>
      <x:c r="I1" s="30" t="str">
        <x:v>taxa_fraction</x:v>
      </x:c>
      <x:c r="J1" s="30" t="str">
        <x:v>catch_fraction</x:v>
      </x:c>
    </x:row>
    <x:row r="2" ht="18" customHeight="1">
      <x:c r="A2" s="25" t="str">
        <x:v>HS_021</x:v>
      </x:c>
      <x:c r="B2" s="25" t="str">
        <x:v>exact_2020_supplement</x:v>
      </x:c>
      <x:c r="C2" s="33" t="str">
        <x:v>2020 supplement MeanTL</x:v>
      </x:c>
      <x:c r="D2" s="25" t="str">
        <x:v>high</x:v>
      </x:c>
      <x:c r="E2" s="35" t="n">
        <x:v>47</x:v>
      </x:c>
      <x:c r="F2" s="32" t="n">
        <x:v>49444.6035574501</x:v>
      </x:c>
      <x:c r="G2" s="32" t="n">
        <x:v>87745.0994728874</x:v>
      </x:c>
      <x:c r="H2" s="25" t="n">
        <x:v>67</x:v>
      </x:c>
      <x:c r="I2" s="34" t="n">
        <x:v>0.7014925373134329</x:v>
      </x:c>
      <x:c r="J2" s="34" t="n">
        <x:v>0.5635027352465207</x:v>
      </x:c>
    </x:row>
    <x:row r="3" ht="18" customHeight="1">
      <x:c r="A3" s="25" t="str">
        <x:v>HS_021</x:v>
      </x:c>
      <x:c r="B3" s="25" t="str">
        <x:v>exact_sea_around_us</x:v>
      </x:c>
      <x:c r="C3" s="33" t="str">
        <x:v>Sea Around Us exploited organisms</x:v>
      </x:c>
      <x:c r="D3" s="25" t="str">
        <x:v>high</x:v>
      </x:c>
      <x:c r="E3" s="35" t="n">
        <x:v>20</x:v>
      </x:c>
      <x:c r="F3" s="32" t="n">
        <x:v>38300.4959154373</x:v>
      </x:c>
      <x:c r="G3" s="32" t="n">
        <x:v>87745.0994728874</x:v>
      </x:c>
      <x:c r="H3" s="25" t="n">
        <x:v>67</x:v>
      </x:c>
      <x:c r="I3" s="34" t="n">
        <x:v>0.29850746268656714</x:v>
      </x:c>
      <x:c r="J3" s="34" t="n">
        <x:v>0.43649726475347916</x:v>
      </x:c>
    </x:row>
    <x:row r="4" ht="18" customHeight="1">
      <x:c r="A4" s="25" t="str">
        <x:v>HS_027</x:v>
      </x:c>
      <x:c r="B4" s="25" t="str">
        <x:v>exact_sea_around_us</x:v>
      </x:c>
      <x:c r="C4" s="33" t="str">
        <x:v>Sea Around Us exploited organisms</x:v>
      </x:c>
      <x:c r="D4" s="25" t="str">
        <x:v>high</x:v>
      </x:c>
      <x:c r="E4" s="35" t="n">
        <x:v>62</x:v>
      </x:c>
      <x:c r="F4" s="32" t="n">
        <x:v>699792.7726284624</x:v>
      </x:c>
      <x:c r="G4" s="32" t="n">
        <x:v>734932.290461042</x:v>
      </x:c>
      <x:c r="H4" s="25" t="n">
        <x:v>131</x:v>
      </x:c>
      <x:c r="I4" s="34" t="n">
        <x:v>0.4732824427480916</x:v>
      </x:c>
      <x:c r="J4" s="34" t="n">
        <x:v>0.9521867275548124</x:v>
      </x:c>
    </x:row>
    <x:row r="5" ht="18" customHeight="1">
      <x:c r="A5" s="25" t="str">
        <x:v>HS_027</x:v>
      </x:c>
      <x:c r="B5" s="25" t="str">
        <x:v>exact_2020_supplement</x:v>
      </x:c>
      <x:c r="C5" s="33" t="str">
        <x:v>2020 supplement MeanTL</x:v>
      </x:c>
      <x:c r="D5" s="25" t="str">
        <x:v>high</x:v>
      </x:c>
      <x:c r="E5" s="35" t="n">
        <x:v>69</x:v>
      </x:c>
      <x:c r="F5" s="32" t="n">
        <x:v>35139.5178325796</x:v>
      </x:c>
      <x:c r="G5" s="32" t="n">
        <x:v>734932.290461042</x:v>
      </x:c>
      <x:c r="H5" s="25" t="n">
        <x:v>131</x:v>
      </x:c>
      <x:c r="I5" s="34" t="n">
        <x:v>0.5267175572519084</x:v>
      </x:c>
      <x:c r="J5" s="34" t="n">
        <x:v>0.047813272445187675</x:v>
      </x:c>
    </x:row>
    <x:row r="6" ht="18" customHeight="1">
      <x:c r="A6" s="25" t="str">
        <x:v>HS_031</x:v>
      </x:c>
      <x:c r="B6" s="25" t="str">
        <x:v>exact_2020_supplement</x:v>
      </x:c>
      <x:c r="C6" s="33" t="str">
        <x:v>2020 supplement MeanTL</x:v>
      </x:c>
      <x:c r="D6" s="25" t="str">
        <x:v>high</x:v>
      </x:c>
      <x:c r="E6" s="35" t="n">
        <x:v>23</x:v>
      </x:c>
      <x:c r="F6" s="32" t="n">
        <x:v>12502.1639590351</x:v>
      </x:c>
      <x:c r="G6" s="32" t="n">
        <x:v>16859.0112032287</x:v>
      </x:c>
      <x:c r="H6" s="25" t="n">
        <x:v>32</x:v>
      </x:c>
      <x:c r="I6" s="34" t="n">
        <x:v>0.71875</x:v>
      </x:c>
      <x:c r="J6" s="34" t="n">
        <x:v>0.7415716027664059</x:v>
      </x:c>
    </x:row>
    <x:row r="7" ht="18" customHeight="1">
      <x:c r="A7" s="25" t="str">
        <x:v>HS_031</x:v>
      </x:c>
      <x:c r="B7" s="25" t="str">
        <x:v>exact_sea_around_us</x:v>
      </x:c>
      <x:c r="C7" s="33" t="str">
        <x:v>Sea Around Us exploited organisms</x:v>
      </x:c>
      <x:c r="D7" s="25" t="str">
        <x:v>high</x:v>
      </x:c>
      <x:c r="E7" s="35" t="n">
        <x:v>9</x:v>
      </x:c>
      <x:c r="F7" s="32" t="n">
        <x:v>4356.8472441936</x:v>
      </x:c>
      <x:c r="G7" s="32" t="n">
        <x:v>16859.0112032287</x:v>
      </x:c>
      <x:c r="H7" s="25" t="n">
        <x:v>32</x:v>
      </x:c>
      <x:c r="I7" s="34" t="n">
        <x:v>0.28125</x:v>
      </x:c>
      <x:c r="J7" s="34" t="n">
        <x:v>0.2584283972335941</x:v>
      </x:c>
    </x:row>
    <x:row r="8" ht="18" customHeight="1">
      <x:c r="A8" s="25" t="str">
        <x:v>HS_034</x:v>
      </x:c>
      <x:c r="B8" s="25" t="str">
        <x:v>exact_2020_supplement</x:v>
      </x:c>
      <x:c r="C8" s="33" t="str">
        <x:v>2020 supplement MeanTL</x:v>
      </x:c>
      <x:c r="D8" s="25" t="str">
        <x:v>high</x:v>
      </x:c>
      <x:c r="E8" s="35" t="n">
        <x:v>26</x:v>
      </x:c>
      <x:c r="F8" s="32" t="n">
        <x:v>211390.9655708007</x:v>
      </x:c>
      <x:c r="G8" s="32" t="n">
        <x:v>235319.45527268611</x:v>
      </x:c>
      <x:c r="H8" s="25" t="n">
        <x:v>37</x:v>
      </x:c>
      <x:c r="I8" s="34" t="n">
        <x:v>0.7027027027027027</x:v>
      </x:c>
      <x:c r="J8" s="34" t="n">
        <x:v>0.8983148687210869</x:v>
      </x:c>
    </x:row>
    <x:row r="9" ht="18" customHeight="1">
      <x:c r="A9" s="25" t="str">
        <x:v>HS_034</x:v>
      </x:c>
      <x:c r="B9" s="25" t="str">
        <x:v>exact_sea_around_us</x:v>
      </x:c>
      <x:c r="C9" s="33" t="str">
        <x:v>Sea Around Us exploited organisms</x:v>
      </x:c>
      <x:c r="D9" s="25" t="str">
        <x:v>high</x:v>
      </x:c>
      <x:c r="E9" s="35" t="n">
        <x:v>11</x:v>
      </x:c>
      <x:c r="F9" s="32" t="n">
        <x:v>23928.4897018854</x:v>
      </x:c>
      <x:c r="G9" s="32" t="n">
        <x:v>235319.45527268611</x:v>
      </x:c>
      <x:c r="H9" s="25" t="n">
        <x:v>37</x:v>
      </x:c>
      <x:c r="I9" s="34" t="n">
        <x:v>0.2972972972972973</x:v>
      </x:c>
      <x:c r="J9" s="34" t="n">
        <x:v>0.10168513127891307</x:v>
      </x:c>
    </x:row>
    <x:row r="10" ht="18" customHeight="1">
      <x:c r="A10" s="25" t="str">
        <x:v>HS_041</x:v>
      </x:c>
      <x:c r="B10" s="25" t="str">
        <x:v>exact_2020_supplement</x:v>
      </x:c>
      <x:c r="C10" s="33" t="str">
        <x:v>2020 supplement MeanTL</x:v>
      </x:c>
      <x:c r="D10" s="25" t="str">
        <x:v>high</x:v>
      </x:c>
      <x:c r="E10" s="35" t="n">
        <x:v>24</x:v>
      </x:c>
      <x:c r="F10" s="32" t="n">
        <x:v>56631.1152073094</x:v>
      </x:c>
      <x:c r="G10" s="32" t="n">
        <x:v>62238.3652132951</x:v>
      </x:c>
      <x:c r="H10" s="25" t="n">
        <x:v>33</x:v>
      </x:c>
      <x:c r="I10" s="34" t="n">
        <x:v>0.7272727272727273</x:v>
      </x:c>
      <x:c r="J10" s="34" t="n">
        <x:v>0.9099068558955673</x:v>
      </x:c>
    </x:row>
    <x:row r="11" ht="18" customHeight="1">
      <x:c r="A11" s="25" t="str">
        <x:v>HS_041</x:v>
      </x:c>
      <x:c r="B11" s="25" t="str">
        <x:v>exact_sea_around_us</x:v>
      </x:c>
      <x:c r="C11" s="33" t="str">
        <x:v>Sea Around Us exploited organisms</x:v>
      </x:c>
      <x:c r="D11" s="25" t="str">
        <x:v>high</x:v>
      </x:c>
      <x:c r="E11" s="35" t="n">
        <x:v>9</x:v>
      </x:c>
      <x:c r="F11" s="32" t="n">
        <x:v>5607.2500059857</x:v>
      </x:c>
      <x:c r="G11" s="32" t="n">
        <x:v>62238.3652132951</x:v>
      </x:c>
      <x:c r="H11" s="25" t="n">
        <x:v>33</x:v>
      </x:c>
      <x:c r="I11" s="34" t="n">
        <x:v>0.2727272727272727</x:v>
      </x:c>
      <x:c r="J11" s="34" t="n">
        <x:v>0.09009314410443259</x:v>
      </x:c>
    </x:row>
    <x:row r="12" ht="18" customHeight="1">
      <x:c r="A12" s="25" t="str">
        <x:v>HS_047</x:v>
      </x:c>
      <x:c r="B12" s="25" t="str">
        <x:v>exact_2020_supplement</x:v>
      </x:c>
      <x:c r="C12" s="33" t="str">
        <x:v>2020 supplement MeanTL</x:v>
      </x:c>
      <x:c r="D12" s="25" t="str">
        <x:v>high</x:v>
      </x:c>
      <x:c r="E12" s="35" t="n">
        <x:v>25</x:v>
      </x:c>
      <x:c r="F12" s="32" t="n">
        <x:v>33834.1879283443</x:v>
      </x:c>
      <x:c r="G12" s="32" t="n">
        <x:v>41830.7267805337</x:v>
      </x:c>
      <x:c r="H12" s="25" t="n">
        <x:v>35</x:v>
      </x:c>
      <x:c r="I12" s="34" t="n">
        <x:v>0.7142857142857143</x:v>
      </x:c>
      <x:c r="J12" s="34" t="n">
        <x:v>0.8088357657722871</x:v>
      </x:c>
    </x:row>
    <x:row r="13" ht="18" customHeight="1">
      <x:c r="A13" s="25" t="str">
        <x:v>HS_047</x:v>
      </x:c>
      <x:c r="B13" s="25" t="str">
        <x:v>exact_sea_around_us</x:v>
      </x:c>
      <x:c r="C13" s="33" t="str">
        <x:v>Sea Around Us exploited organisms</x:v>
      </x:c>
      <x:c r="D13" s="25" t="str">
        <x:v>high</x:v>
      </x:c>
      <x:c r="E13" s="35" t="n">
        <x:v>10</x:v>
      </x:c>
      <x:c r="F13" s="32" t="n">
        <x:v>7996.538852189401</x:v>
      </x:c>
      <x:c r="G13" s="32" t="n">
        <x:v>41830.7267805337</x:v>
      </x:c>
      <x:c r="H13" s="25" t="n">
        <x:v>35</x:v>
      </x:c>
      <x:c r="I13" s="34" t="n">
        <x:v>0.2857142857142857</x:v>
      </x:c>
      <x:c r="J13" s="34" t="n">
        <x:v>0.19116423422771275</x:v>
      </x:c>
    </x:row>
    <x:row r="14" ht="18" customHeight="1">
      <x:c r="A14" s="25" t="str">
        <x:v>HS_048</x:v>
      </x:c>
      <x:c r="B14" s="25" t="str">
        <x:v>exact_sea_around_us</x:v>
      </x:c>
      <x:c r="C14" s="33" t="str">
        <x:v>Sea Around Us exploited organisms</x:v>
      </x:c>
      <x:c r="D14" s="25" t="str">
        <x:v>high</x:v>
      </x:c>
      <x:c r="E14" s="35" t="n">
        <x:v>4</x:v>
      </x:c>
      <x:c r="F14" s="32" t="n">
        <x:v>154127.5680229508</x:v>
      </x:c>
      <x:c r="G14" s="32" t="n">
        <x:v>154127.6154029508</x:v>
      </x:c>
      <x:c r="H14" s="25" t="n">
        <x:v>6</x:v>
      </x:c>
      <x:c r="I14" s="34" t="n">
        <x:v>0.6666666666666666</x:v>
      </x:c>
      <x:c r="J14" s="34" t="n">
        <x:v>0.9999996925924024</x:v>
      </x:c>
    </x:row>
    <x:row r="15" ht="18" customHeight="1">
      <x:c r="A15" s="25" t="str">
        <x:v>HS_048</x:v>
      </x:c>
      <x:c r="B15" s="25" t="str">
        <x:v>exact_2020_supplement</x:v>
      </x:c>
      <x:c r="C15" s="33" t="str">
        <x:v>2020 supplement MeanTL</x:v>
      </x:c>
      <x:c r="D15" s="25" t="str">
        <x:v>high</x:v>
      </x:c>
      <x:c r="E15" s="35" t="n">
        <x:v>2</x:v>
      </x:c>
      <x:c r="F15" s="32" t="n">
        <x:v>0.04738</x:v>
      </x:c>
      <x:c r="G15" s="32" t="n">
        <x:v>154127.6154029508</x:v>
      </x:c>
      <x:c r="H15" s="25" t="n">
        <x:v>6</x:v>
      </x:c>
      <x:c r="I15" s="34" t="n">
        <x:v>0.3333333333333333</x:v>
      </x:c>
      <x:c r="J15" s="34" t="n">
        <x:v>3.0740759776325524e-7</x:v>
      </x:c>
    </x:row>
    <x:row r="16" ht="18" customHeight="1">
      <x:c r="A16" s="25" t="str">
        <x:v>HS_051</x:v>
      </x:c>
      <x:c r="B16" s="25" t="str">
        <x:v>exact_2020_supplement</x:v>
      </x:c>
      <x:c r="C16" s="33" t="str">
        <x:v>2020 supplement MeanTL</x:v>
      </x:c>
      <x:c r="D16" s="25" t="str">
        <x:v>high</x:v>
      </x:c>
      <x:c r="E16" s="35" t="n">
        <x:v>26</x:v>
      </x:c>
      <x:c r="F16" s="32" t="n">
        <x:v>338908.4691785278</x:v>
      </x:c>
      <x:c r="G16" s="32" t="n">
        <x:v>377854.0083285441</x:v>
      </x:c>
      <x:c r="H16" s="25" t="n">
        <x:v>36</x:v>
      </x:c>
      <x:c r="I16" s="34" t="n">
        <x:v>0.7222222222222222</x:v>
      </x:c>
      <x:c r="J16" s="34" t="n">
        <x:v>0.8969296651839324</x:v>
      </x:c>
    </x:row>
    <x:row r="17" ht="18" customHeight="1">
      <x:c r="A17" s="25" t="str">
        <x:v>HS_051</x:v>
      </x:c>
      <x:c r="B17" s="25" t="str">
        <x:v>exact_sea_around_us</x:v>
      </x:c>
      <x:c r="C17" s="33" t="str">
        <x:v>Sea Around Us exploited organisms</x:v>
      </x:c>
      <x:c r="D17" s="25" t="str">
        <x:v>high</x:v>
      </x:c>
      <x:c r="E17" s="35" t="n">
        <x:v>10</x:v>
      </x:c>
      <x:c r="F17" s="32" t="n">
        <x:v>38945.5391500163</x:v>
      </x:c>
      <x:c r="G17" s="32" t="n">
        <x:v>377854.0083285441</x:v>
      </x:c>
      <x:c r="H17" s="25" t="n">
        <x:v>36</x:v>
      </x:c>
      <x:c r="I17" s="34" t="n">
        <x:v>0.2777777777777778</x:v>
      </x:c>
      <x:c r="J17" s="34" t="n">
        <x:v>0.10307033481606778</x:v>
      </x:c>
    </x:row>
    <x:row r="18" ht="18" customHeight="1">
      <x:c r="A18" s="25" t="str">
        <x:v>HS_057</x:v>
      </x:c>
      <x:c r="B18" s="25" t="str">
        <x:v>exact_2020_supplement</x:v>
      </x:c>
      <x:c r="C18" s="33" t="str">
        <x:v>2020 supplement MeanTL</x:v>
      </x:c>
      <x:c r="D18" s="25" t="str">
        <x:v>high</x:v>
      </x:c>
      <x:c r="E18" s="35" t="n">
        <x:v>22</x:v>
      </x:c>
      <x:c r="F18" s="32" t="n">
        <x:v>208641.2610203343</x:v>
      </x:c>
      <x:c r="G18" s="32" t="n">
        <x:v>249459.5239463328</x:v>
      </x:c>
      <x:c r="H18" s="25" t="n">
        <x:v>34</x:v>
      </x:c>
      <x:c r="I18" s="34" t="n">
        <x:v>0.6470588235294118</x:v>
      </x:c>
      <x:c r="J18" s="34" t="n">
        <x:v>0.8363732028335791</x:v>
      </x:c>
    </x:row>
    <x:row r="19" ht="18" customHeight="1">
      <x:c r="A19" s="25" t="str">
        <x:v>HS_057</x:v>
      </x:c>
      <x:c r="B19" s="25" t="str">
        <x:v>exact_sea_around_us</x:v>
      </x:c>
      <x:c r="C19" s="33" t="str">
        <x:v>Sea Around Us exploited organisms</x:v>
      </x:c>
      <x:c r="D19" s="25" t="str">
        <x:v>high</x:v>
      </x:c>
      <x:c r="E19" s="35" t="n">
        <x:v>12</x:v>
      </x:c>
      <x:c r="F19" s="32" t="n">
        <x:v>40818.262925998504</x:v>
      </x:c>
      <x:c r="G19" s="32" t="n">
        <x:v>249459.5239463328</x:v>
      </x:c>
      <x:c r="H19" s="25" t="n">
        <x:v>34</x:v>
      </x:c>
      <x:c r="I19" s="34" t="n">
        <x:v>0.35294117647058826</x:v>
      </x:c>
      <x:c r="J19" s="34" t="n">
        <x:v>0.16362679716642087</x:v>
      </x:c>
    </x:row>
    <x:row r="20" ht="18" customHeight="1">
      <x:c r="A20" s="25" t="str">
        <x:v>HS_058</x:v>
      </x:c>
      <x:c r="B20" s="25" t="str">
        <x:v>exact_sea_around_us</x:v>
      </x:c>
      <x:c r="C20" s="33" t="str">
        <x:v>Sea Around Us exploited organisms</x:v>
      </x:c>
      <x:c r="D20" s="25" t="str">
        <x:v>high</x:v>
      </x:c>
      <x:c r="E20" s="35" t="n">
        <x:v>3</x:v>
      </x:c>
      <x:c r="F20" s="32" t="n">
        <x:v>1610.6266293135002</x:v>
      </x:c>
      <x:c r="G20" s="32" t="n">
        <x:v>1622.2799593135003</x:v>
      </x:c>
      <x:c r="H20" s="25" t="n">
        <x:v>6</x:v>
      </x:c>
      <x:c r="I20" s="34" t="n">
        <x:v>0.5</x:v>
      </x:c>
      <x:c r="J20" s="34" t="n">
        <x:v>0.9928166960744979</x:v>
      </x:c>
    </x:row>
    <x:row r="21" ht="18" customHeight="1">
      <x:c r="A21" s="25" t="str">
        <x:v>HS_058</x:v>
      </x:c>
      <x:c r="B21" s="25" t="str">
        <x:v>exact_2020_supplement</x:v>
      </x:c>
      <x:c r="C21" s="33" t="str">
        <x:v>2020 supplement MeanTL</x:v>
      </x:c>
      <x:c r="D21" s="25" t="str">
        <x:v>high</x:v>
      </x:c>
      <x:c r="E21" s="35" t="n">
        <x:v>3</x:v>
      </x:c>
      <x:c r="F21" s="32" t="n">
        <x:v>11.65333</x:v>
      </x:c>
      <x:c r="G21" s="32" t="n">
        <x:v>1622.2799593135003</x:v>
      </x:c>
      <x:c r="H21" s="25" t="n">
        <x:v>6</x:v>
      </x:c>
      <x:c r="I21" s="34" t="n">
        <x:v>0.5</x:v>
      </x:c>
      <x:c r="J21" s="34" t="n">
        <x:v>0.007183303925502068</x:v>
      </x:c>
    </x:row>
    <x:row r="22" ht="18" customHeight="1">
      <x:c r="A22" s="25" t="str">
        <x:v>HS_061</x:v>
      </x:c>
      <x:c r="B22" s="25" t="str">
        <x:v>exact_2020_supplement</x:v>
      </x:c>
      <x:c r="C22" s="33" t="str">
        <x:v>2020 supplement MeanTL</x:v>
      </x:c>
      <x:c r="D22" s="25" t="str">
        <x:v>high</x:v>
      </x:c>
      <x:c r="E22" s="35" t="n">
        <x:v>13</x:v>
      </x:c>
      <x:c r="F22" s="32" t="n">
        <x:v>105462.8685152573</x:v>
      </x:c>
      <x:c r="G22" s="32" t="n">
        <x:v>132995.6793372668</x:v>
      </x:c>
      <x:c r="H22" s="25" t="n">
        <x:v>21</x:v>
      </x:c>
      <x:c r="I22" s="34" t="n">
        <x:v>0.6190476190476191</x:v>
      </x:c>
      <x:c r="J22" s="34" t="n">
        <x:v>0.7929796594956411</x:v>
      </x:c>
    </x:row>
    <x:row r="23" ht="18" customHeight="1">
      <x:c r="A23" s="25" t="str">
        <x:v>HS_061</x:v>
      </x:c>
      <x:c r="B23" s="25" t="str">
        <x:v>exact_sea_around_us</x:v>
      </x:c>
      <x:c r="C23" s="33" t="str">
        <x:v>Sea Around Us exploited organisms</x:v>
      </x:c>
      <x:c r="D23" s="25" t="str">
        <x:v>high</x:v>
      </x:c>
      <x:c r="E23" s="35" t="n">
        <x:v>8</x:v>
      </x:c>
      <x:c r="F23" s="32" t="n">
        <x:v>27532.8108220095</x:v>
      </x:c>
      <x:c r="G23" s="32" t="n">
        <x:v>132995.6793372668</x:v>
      </x:c>
      <x:c r="H23" s="25" t="n">
        <x:v>21</x:v>
      </x:c>
      <x:c r="I23" s="34" t="n">
        <x:v>0.38095238095238093</x:v>
      </x:c>
      <x:c r="J23" s="34" t="n">
        <x:v>0.20702034050435886</x:v>
      </x:c>
    </x:row>
    <x:row r="24" ht="18" customHeight="1">
      <x:c r="A24" s="25" t="str">
        <x:v>HS_067</x:v>
      </x:c>
      <x:c r="B24" s="25" t="str">
        <x:v>exact_2020_supplement</x:v>
      </x:c>
      <x:c r="C24" s="33" t="str">
        <x:v>2020 supplement MeanTL</x:v>
      </x:c>
      <x:c r="D24" s="25" t="str">
        <x:v>high</x:v>
      </x:c>
      <x:c r="E24" s="35" t="n">
        <x:v>8</x:v>
      </x:c>
      <x:c r="F24" s="32" t="n">
        <x:v>312.396432107</x:v>
      </x:c>
      <x:c r="G24" s="32" t="n">
        <x:v>402.2913954087</x:v>
      </x:c>
      <x:c r="H24" s="25" t="n">
        <x:v>16</x:v>
      </x:c>
      <x:c r="I24" s="34" t="n">
        <x:v>0.5</x:v>
      </x:c>
      <x:c r="J24" s="34" t="n">
        <x:v>0.7765426645271073</x:v>
      </x:c>
    </x:row>
    <x:row r="25" ht="18" customHeight="1">
      <x:c r="A25" s="25" t="str">
        <x:v>HS_067</x:v>
      </x:c>
      <x:c r="B25" s="25" t="str">
        <x:v>exact_sea_around_us</x:v>
      </x:c>
      <x:c r="C25" s="33" t="str">
        <x:v>Sea Around Us exploited organisms</x:v>
      </x:c>
      <x:c r="D25" s="25" t="str">
        <x:v>high</x:v>
      </x:c>
      <x:c r="E25" s="35" t="n">
        <x:v>8</x:v>
      </x:c>
      <x:c r="F25" s="32" t="n">
        <x:v>89.8949633017</x:v>
      </x:c>
      <x:c r="G25" s="32" t="n">
        <x:v>402.2913954087</x:v>
      </x:c>
      <x:c r="H25" s="25" t="n">
        <x:v>16</x:v>
      </x:c>
      <x:c r="I25" s="34" t="n">
        <x:v>0.5</x:v>
      </x:c>
      <x:c r="J25" s="34" t="n">
        <x:v>0.2234573354728927</x:v>
      </x:c>
    </x:row>
    <x:row r="26" ht="18" customHeight="1">
      <x:c r="A26" s="25" t="str">
        <x:v>HS_071</x:v>
      </x:c>
      <x:c r="B26" s="25" t="str">
        <x:v>exact_2020_supplement</x:v>
      </x:c>
      <x:c r="C26" s="33" t="str">
        <x:v>2020 supplement MeanTL</x:v>
      </x:c>
      <x:c r="D26" s="25" t="str">
        <x:v>high</x:v>
      </x:c>
      <x:c r="E26" s="35" t="n">
        <x:v>14</x:v>
      </x:c>
      <x:c r="F26" s="32" t="n">
        <x:v>549678.0727472507</x:v>
      </x:c>
      <x:c r="G26" s="32" t="n">
        <x:v>571817.786555246</x:v>
      </x:c>
      <x:c r="H26" s="25" t="n">
        <x:v>23</x:v>
      </x:c>
      <x:c r="I26" s="34" t="n">
        <x:v>0.6086956521739131</x:v>
      </x:c>
      <x:c r="J26" s="34" t="n">
        <x:v>0.9612818727773934</x:v>
      </x:c>
    </x:row>
    <x:row r="27" ht="18" customHeight="1">
      <x:c r="A27" s="25" t="str">
        <x:v>HS_071</x:v>
      </x:c>
      <x:c r="B27" s="25" t="str">
        <x:v>exact_sea_around_us</x:v>
      </x:c>
      <x:c r="C27" s="33" t="str">
        <x:v>Sea Around Us exploited organisms</x:v>
      </x:c>
      <x:c r="D27" s="25" t="str">
        <x:v>high</x:v>
      </x:c>
      <x:c r="E27" s="35" t="n">
        <x:v>9</x:v>
      </x:c>
      <x:c r="F27" s="32" t="n">
        <x:v>22139.7138079953</x:v>
      </x:c>
      <x:c r="G27" s="32" t="n">
        <x:v>571817.786555246</x:v>
      </x:c>
      <x:c r="H27" s="25" t="n">
        <x:v>23</x:v>
      </x:c>
      <x:c r="I27" s="34" t="n">
        <x:v>0.391304347826087</x:v>
      </x:c>
      <x:c r="J27" s="34" t="n">
        <x:v>0.03871812722260656</x:v>
      </x:c>
    </x:row>
    <x:row r="28" ht="18" customHeight="1">
      <x:c r="A28" s="25" t="str">
        <x:v>HS_077</x:v>
      </x:c>
      <x:c r="B28" s="25" t="str">
        <x:v>exact_2020_supplement</x:v>
      </x:c>
      <x:c r="C28" s="33" t="str">
        <x:v>2020 supplement MeanTL</x:v>
      </x:c>
      <x:c r="D28" s="25" t="str">
        <x:v>high</x:v>
      </x:c>
      <x:c r="E28" s="35" t="n">
        <x:v>16</x:v>
      </x:c>
      <x:c r="F28" s="32" t="n">
        <x:v>795872.2487714348</x:v>
      </x:c>
      <x:c r="G28" s="32" t="n">
        <x:v>860671.2076084926</x:v>
      </x:c>
      <x:c r="H28" s="25" t="n">
        <x:v>26</x:v>
      </x:c>
      <x:c r="I28" s="34" t="n">
        <x:v>0.6153846153846154</x:v>
      </x:c>
      <x:c r="J28" s="34" t="n">
        <x:v>0.9247111344445788</x:v>
      </x:c>
    </x:row>
    <x:row r="29" ht="18" customHeight="1">
      <x:c r="A29" s="25" t="str">
        <x:v>HS_077</x:v>
      </x:c>
      <x:c r="B29" s="25" t="str">
        <x:v>exact_sea_around_us</x:v>
      </x:c>
      <x:c r="C29" s="33" t="str">
        <x:v>Sea Around Us exploited organisms</x:v>
      </x:c>
      <x:c r="D29" s="25" t="str">
        <x:v>high</x:v>
      </x:c>
      <x:c r="E29" s="35" t="n">
        <x:v>10</x:v>
      </x:c>
      <x:c r="F29" s="32" t="n">
        <x:v>64798.9588370578</x:v>
      </x:c>
      <x:c r="G29" s="32" t="n">
        <x:v>860671.2076084926</x:v>
      </x:c>
      <x:c r="H29" s="25" t="n">
        <x:v>26</x:v>
      </x:c>
      <x:c r="I29" s="34" t="n">
        <x:v>0.38461538461538464</x:v>
      </x:c>
      <x:c r="J29" s="34" t="n">
        <x:v>0.07528886555542119</x:v>
      </x:c>
    </x:row>
    <x:row r="30" ht="18" customHeight="1">
      <x:c r="A30" s="25" t="str">
        <x:v>HS_081</x:v>
      </x:c>
      <x:c r="B30" s="25" t="str">
        <x:v>exact_2020_supplement</x:v>
      </x:c>
      <x:c r="C30" s="33" t="str">
        <x:v>2020 supplement MeanTL</x:v>
      </x:c>
      <x:c r="D30" s="25" t="str">
        <x:v>high</x:v>
      </x:c>
      <x:c r="E30" s="35" t="n">
        <x:v>17</x:v>
      </x:c>
      <x:c r="F30" s="32" t="n">
        <x:v>38623.1331689638</x:v>
      </x:c>
      <x:c r="G30" s="32" t="n">
        <x:v>45252.4668227171</x:v>
      </x:c>
      <x:c r="H30" s="25" t="n">
        <x:v>27</x:v>
      </x:c>
      <x:c r="I30" s="34" t="n">
        <x:v>0.6296296296296297</x:v>
      </x:c>
      <x:c r="J30" s="34" t="n">
        <x:v>0.8535033751922377</x:v>
      </x:c>
    </x:row>
    <x:row r="31" ht="18" customHeight="1">
      <x:c r="A31" s="25" t="str">
        <x:v>HS_081</x:v>
      </x:c>
      <x:c r="B31" s="25" t="str">
        <x:v>exact_sea_around_us</x:v>
      </x:c>
      <x:c r="C31" s="33" t="str">
        <x:v>Sea Around Us exploited organisms</x:v>
      </x:c>
      <x:c r="D31" s="25" t="str">
        <x:v>high</x:v>
      </x:c>
      <x:c r="E31" s="35" t="n">
        <x:v>10</x:v>
      </x:c>
      <x:c r="F31" s="32" t="n">
        <x:v>6629.3336537533</x:v>
      </x:c>
      <x:c r="G31" s="32" t="n">
        <x:v>45252.4668227171</x:v>
      </x:c>
      <x:c r="H31" s="25" t="n">
        <x:v>27</x:v>
      </x:c>
      <x:c r="I31" s="34" t="n">
        <x:v>0.37037037037037035</x:v>
      </x:c>
      <x:c r="J31" s="34" t="n">
        <x:v>0.14649662480776232</x:v>
      </x:c>
    </x:row>
    <x:row r="32" ht="18" customHeight="1">
      <x:c r="A32" s="25" t="str">
        <x:v>HS_087</x:v>
      </x:c>
      <x:c r="B32" s="25" t="str">
        <x:v>exact_2020_supplement</x:v>
      </x:c>
      <x:c r="C32" s="33" t="str">
        <x:v>2020 supplement MeanTL</x:v>
      </x:c>
      <x:c r="D32" s="25" t="str">
        <x:v>high</x:v>
      </x:c>
      <x:c r="E32" s="35" t="n">
        <x:v>16</x:v>
      </x:c>
      <x:c r="F32" s="32" t="n">
        <x:v>237905.69624999192</x:v>
      </x:c>
      <x:c r="G32" s="32" t="n">
        <x:v>245882.4176735426</x:v>
      </x:c>
      <x:c r="H32" s="25" t="n">
        <x:v>25</x:v>
      </x:c>
      <x:c r="I32" s="34" t="n">
        <x:v>0.64</x:v>
      </x:c>
      <x:c r="J32" s="34" t="n">
        <x:v>0.9675587970094659</x:v>
      </x:c>
    </x:row>
    <x:row r="33" ht="18" customHeight="1">
      <x:c r="A33" s="25" t="str">
        <x:v>HS_087</x:v>
      </x:c>
      <x:c r="B33" s="25" t="str">
        <x:v>exact_sea_around_us</x:v>
      </x:c>
      <x:c r="C33" s="33" t="str">
        <x:v>Sea Around Us exploited organisms</x:v>
      </x:c>
      <x:c r="D33" s="25" t="str">
        <x:v>high</x:v>
      </x:c>
      <x:c r="E33" s="35" t="n">
        <x:v>9</x:v>
      </x:c>
      <x:c r="F33" s="32" t="n">
        <x:v>7976.7214235507</x:v>
      </x:c>
      <x:c r="G33" s="32" t="n">
        <x:v>245882.4176735426</x:v>
      </x:c>
      <x:c r="H33" s="25" t="n">
        <x:v>25</x:v>
      </x:c>
      <x:c r="I33" s="34" t="n">
        <x:v>0.36</x:v>
      </x:c>
      <x:c r="J33" s="34" t="n">
        <x:v>0.032441202990534164</x:v>
      </x:c>
    </x:row>
    <x:row r="34" ht="18" customHeight="1">
      <x:c r="A34" s="25" t="str">
        <x:v>HS_088</x:v>
      </x:c>
      <x:c r="B34" s="25" t="str">
        <x:v>exact_2020_supplement</x:v>
      </x:c>
      <x:c r="C34" s="33" t="str">
        <x:v>2020 supplement MeanTL</x:v>
      </x:c>
      <x:c r="D34" s="25" t="str">
        <x:v>high</x:v>
      </x:c>
      <x:c r="E34" s="35" t="n">
        <x:v>13</x:v>
      </x:c>
      <x:c r="F34" s="32" t="n">
        <x:v>3333.825386</x:v>
      </x:c>
      <x:c r="G34" s="32" t="n">
        <x:v>3559.327863</x:v>
      </x:c>
      <x:c r="H34" s="25" t="n">
        <x:v>32</x:v>
      </x:c>
      <x:c r="I34" s="34" t="n">
        <x:v>0.40625</x:v>
      </x:c>
      <x:c r="J34" s="34" t="n">
        <x:v>0.9366446459332538</x:v>
      </x:c>
    </x:row>
    <x:row r="35" ht="18" customHeight="1">
      <x:c r="A35" s="25" t="str">
        <x:v>HS_088</x:v>
      </x:c>
      <x:c r="B35" s="25" t="str">
        <x:v>exact_sea_around_us</x:v>
      </x:c>
      <x:c r="C35" s="33" t="str">
        <x:v>Sea Around Us exploited organisms</x:v>
      </x:c>
      <x:c r="D35" s="25" t="str">
        <x:v>high</x:v>
      </x:c>
      <x:c r="E35" s="35" t="n">
        <x:v>19</x:v>
      </x:c>
      <x:c r="F35" s="32" t="n">
        <x:v>225.50247700000003</x:v>
      </x:c>
      <x:c r="G35" s="32" t="n">
        <x:v>3559.327863</x:v>
      </x:c>
      <x:c r="H35" s="25" t="n">
        <x:v>32</x:v>
      </x:c>
      <x:c r="I35" s="34" t="n">
        <x:v>0.59375</x:v>
      </x:c>
      <x:c r="J35" s="34" t="n">
        <x:v>0.06335535406674618</x:v>
      </x:c>
    </x:row>
    <x:row r="36" ht="18" customHeight="1">
      <x:c r="A36" s="25" t="str">
        <x:v>LME_001</x:v>
      </x:c>
      <x:c r="B36" s="25" t="str">
        <x:v>exact_sea_around_us</x:v>
      </x:c>
      <x:c r="C36" s="33" t="str">
        <x:v>Sea Around Us exploited organisms</x:v>
      </x:c>
      <x:c r="D36" s="25" t="str">
        <x:v>high</x:v>
      </x:c>
      <x:c r="E36" s="35" t="n">
        <x:v>38</x:v>
      </x:c>
      <x:c r="F36" s="32" t="n">
        <x:v>857354.7509184423</x:v>
      </x:c>
      <x:c r="G36" s="32" t="n">
        <x:v>1300999.7714510453</x:v>
      </x:c>
      <x:c r="H36" s="25" t="n">
        <x:v>73</x:v>
      </x:c>
      <x:c r="I36" s="34" t="n">
        <x:v>0.5205479452054794</x:v>
      </x:c>
      <x:c r="J36" s="34" t="n">
        <x:v>0.6589968497551756</x:v>
      </x:c>
    </x:row>
    <x:row r="37" ht="18" customHeight="1">
      <x:c r="A37" s="25" t="str">
        <x:v>LME_001</x:v>
      </x:c>
      <x:c r="B37" s="25" t="str">
        <x:v>exact_2020_supplement</x:v>
      </x:c>
      <x:c r="C37" s="33" t="str">
        <x:v>2020 supplement MeanTL</x:v>
      </x:c>
      <x:c r="D37" s="25" t="str">
        <x:v>high</x:v>
      </x:c>
      <x:c r="E37" s="35" t="n">
        <x:v>35</x:v>
      </x:c>
      <x:c r="F37" s="32" t="n">
        <x:v>443645.0205326031</x:v>
      </x:c>
      <x:c r="G37" s="32" t="n">
        <x:v>1300999.7714510453</x:v>
      </x:c>
      <x:c r="H37" s="25" t="n">
        <x:v>73</x:v>
      </x:c>
      <x:c r="I37" s="34" t="n">
        <x:v>0.4794520547945205</x:v>
      </x:c>
      <x:c r="J37" s="34" t="n">
        <x:v>0.34100315024482447</x:v>
      </x:c>
    </x:row>
    <x:row r="38" ht="18" customHeight="1">
      <x:c r="A38" s="25" t="str">
        <x:v>LME_002</x:v>
      </x:c>
      <x:c r="B38" s="25" t="str">
        <x:v>exact_sea_around_us</x:v>
      </x:c>
      <x:c r="C38" s="33" t="str">
        <x:v>Sea Around Us exploited organisms</x:v>
      </x:c>
      <x:c r="D38" s="25" t="str">
        <x:v>high</x:v>
      </x:c>
      <x:c r="E38" s="35" t="n">
        <x:v>84</x:v>
      </x:c>
      <x:c r="F38" s="32" t="n">
        <x:v>619378.7375070577</x:v>
      </x:c>
      <x:c r="G38" s="32" t="n">
        <x:v>1102866.6258441233</x:v>
      </x:c>
      <x:c r="H38" s="25" t="n">
        <x:v>170</x:v>
      </x:c>
      <x:c r="I38" s="34" t="n">
        <x:v>0.49411764705882355</x:v>
      </x:c>
      <x:c r="J38" s="34" t="n">
        <x:v>0.5616080158677313</x:v>
      </x:c>
    </x:row>
    <x:row r="39" ht="18" customHeight="1">
      <x:c r="A39" s="25" t="str">
        <x:v>LME_002</x:v>
      </x:c>
      <x:c r="B39" s="25" t="str">
        <x:v>exact_2020_supplement</x:v>
      </x:c>
      <x:c r="C39" s="33" t="str">
        <x:v>2020 supplement MeanTL</x:v>
      </x:c>
      <x:c r="D39" s="25" t="str">
        <x:v>high</x:v>
      </x:c>
      <x:c r="E39" s="35" t="n">
        <x:v>86</x:v>
      </x:c>
      <x:c r="F39" s="32" t="n">
        <x:v>483487.8883370655</x:v>
      </x:c>
      <x:c r="G39" s="32" t="n">
        <x:v>1102866.6258441233</x:v>
      </x:c>
      <x:c r="H39" s="25" t="n">
        <x:v>170</x:v>
      </x:c>
      <x:c r="I39" s="34" t="n">
        <x:v>0.5058823529411764</x:v>
      </x:c>
      <x:c r="J39" s="34" t="n">
        <x:v>0.4383919841322686</x:v>
      </x:c>
    </x:row>
    <x:row r="40" ht="18" customHeight="1">
      <x:c r="A40" s="25" t="str">
        <x:v>LME_003</x:v>
      </x:c>
      <x:c r="B40" s="25" t="str">
        <x:v>exact_2020_supplement</x:v>
      </x:c>
      <x:c r="C40" s="33" t="str">
        <x:v>2020 supplement MeanTL</x:v>
      </x:c>
      <x:c r="D40" s="25" t="str">
        <x:v>high</x:v>
      </x:c>
      <x:c r="E40" s="35" t="n">
        <x:v>122</x:v>
      </x:c>
      <x:c r="F40" s="32" t="n">
        <x:v>663879.7881095104</x:v>
      </x:c>
      <x:c r="G40" s="32" t="n">
        <x:v>1037537.6190575529</x:v>
      </x:c>
      <x:c r="H40" s="25" t="n">
        <x:v>277</x:v>
      </x:c>
      <x:c r="I40" s="34" t="n">
        <x:v>0.4404332129963899</x:v>
      </x:c>
      <x:c r="J40" s="34" t="n">
        <x:v>0.6398609321872546</x:v>
      </x:c>
    </x:row>
    <x:row r="41" ht="18" customHeight="1">
      <x:c r="A41" s="25" t="str">
        <x:v>LME_003</x:v>
      </x:c>
      <x:c r="B41" s="25" t="str">
        <x:v>exact_sea_around_us</x:v>
      </x:c>
      <x:c r="C41" s="33" t="str">
        <x:v>Sea Around Us exploited organisms</x:v>
      </x:c>
      <x:c r="D41" s="25" t="str">
        <x:v>high</x:v>
      </x:c>
      <x:c r="E41" s="35" t="n">
        <x:v>155</x:v>
      </x:c>
      <x:c r="F41" s="32" t="n">
        <x:v>373657.8309480424</x:v>
      </x:c>
      <x:c r="G41" s="32" t="n">
        <x:v>1037537.6190575529</x:v>
      </x:c>
      <x:c r="H41" s="25" t="n">
        <x:v>277</x:v>
      </x:c>
      <x:c r="I41" s="34" t="n">
        <x:v>0.5595667870036101</x:v>
      </x:c>
      <x:c r="J41" s="34" t="n">
        <x:v>0.36013906781274535</x:v>
      </x:c>
    </x:row>
    <x:row r="42" ht="18" customHeight="1">
      <x:c r="A42" s="25" t="str">
        <x:v>LME_004</x:v>
      </x:c>
      <x:c r="B42" s="25" t="str">
        <x:v>exact_sea_around_us</x:v>
      </x:c>
      <x:c r="C42" s="33" t="str">
        <x:v>Sea Around Us exploited organisms</x:v>
      </x:c>
      <x:c r="D42" s="25" t="str">
        <x:v>high</x:v>
      </x:c>
      <x:c r="E42" s="35" t="n">
        <x:v>81</x:v>
      </x:c>
      <x:c r="F42" s="32" t="n">
        <x:v>395524.1301164904</x:v>
      </x:c>
      <x:c r="G42" s="32" t="n">
        <x:v>664877.8552277526</x:v>
      </x:c>
      <x:c r="H42" s="25" t="n">
        <x:v>129</x:v>
      </x:c>
      <x:c r="I42" s="34" t="n">
        <x:v>0.627906976744186</x:v>
      </x:c>
      <x:c r="J42" s="34" t="n">
        <x:v>0.5948823938210491</x:v>
      </x:c>
    </x:row>
    <x:row r="43" ht="18" customHeight="1">
      <x:c r="A43" s="25" t="str">
        <x:v>LME_004</x:v>
      </x:c>
      <x:c r="B43" s="25" t="str">
        <x:v>exact_2020_supplement</x:v>
      </x:c>
      <x:c r="C43" s="33" t="str">
        <x:v>2020 supplement MeanTL</x:v>
      </x:c>
      <x:c r="D43" s="25" t="str">
        <x:v>high</x:v>
      </x:c>
      <x:c r="E43" s="35" t="n">
        <x:v>48</x:v>
      </x:c>
      <x:c r="F43" s="32" t="n">
        <x:v>269353.72511126223</x:v>
      </x:c>
      <x:c r="G43" s="32" t="n">
        <x:v>664877.8552277526</x:v>
      </x:c>
      <x:c r="H43" s="25" t="n">
        <x:v>129</x:v>
      </x:c>
      <x:c r="I43" s="34" t="n">
        <x:v>0.37209302325581395</x:v>
      </x:c>
      <x:c r="J43" s="34" t="n">
        <x:v>0.40511760617895093</x:v>
      </x:c>
    </x:row>
    <x:row r="44" ht="18" customHeight="1">
      <x:c r="A44" s="25" t="str">
        <x:v>LME_005</x:v>
      </x:c>
      <x:c r="B44" s="25" t="str">
        <x:v>exact_sea_around_us</x:v>
      </x:c>
      <x:c r="C44" s="33" t="str">
        <x:v>Sea Around Us exploited organisms</x:v>
      </x:c>
      <x:c r="D44" s="25" t="str">
        <x:v>high</x:v>
      </x:c>
      <x:c r="E44" s="35" t="n">
        <x:v>201</x:v>
      </x:c>
      <x:c r="F44" s="32" t="n">
        <x:v>1082457.5680425193</x:v>
      </x:c>
      <x:c r="G44" s="32" t="n">
        <x:v>1549275.8254257175</x:v>
      </x:c>
      <x:c r="H44" s="25" t="n">
        <x:v>418</x:v>
      </x:c>
      <x:c r="I44" s="34" t="n">
        <x:v>0.48086124401913877</x:v>
      </x:c>
      <x:c r="J44" s="34" t="n">
        <x:v>0.6986861540585108</x:v>
      </x:c>
    </x:row>
    <x:row r="45" ht="18" customHeight="1">
      <x:c r="A45" s="25" t="str">
        <x:v>LME_005</x:v>
      </x:c>
      <x:c r="B45" s="25" t="str">
        <x:v>exact_2020_supplement</x:v>
      </x:c>
      <x:c r="C45" s="33" t="str">
        <x:v>2020 supplement MeanTL</x:v>
      </x:c>
      <x:c r="D45" s="25" t="str">
        <x:v>high</x:v>
      </x:c>
      <x:c r="E45" s="35" t="n">
        <x:v>217</x:v>
      </x:c>
      <x:c r="F45" s="32" t="n">
        <x:v>466818.2573831982</x:v>
      </x:c>
      <x:c r="G45" s="32" t="n">
        <x:v>1549275.8254257175</x:v>
      </x:c>
      <x:c r="H45" s="25" t="n">
        <x:v>418</x:v>
      </x:c>
      <x:c r="I45" s="34" t="n">
        <x:v>0.5191387559808612</x:v>
      </x:c>
      <x:c r="J45" s="34" t="n">
        <x:v>0.3013138459414892</x:v>
      </x:c>
    </x:row>
    <x:row r="46" ht="18" customHeight="1">
      <x:c r="A46" s="25" t="str">
        <x:v>LME_006</x:v>
      </x:c>
      <x:c r="B46" s="25" t="str">
        <x:v>exact_2020_supplement</x:v>
      </x:c>
      <x:c r="C46" s="33" t="str">
        <x:v>2020 supplement MeanTL</x:v>
      </x:c>
      <x:c r="D46" s="25" t="str">
        <x:v>high</x:v>
      </x:c>
      <x:c r="E46" s="35" t="n">
        <x:v>157</x:v>
      </x:c>
      <x:c r="F46" s="32" t="n">
        <x:v>61274.19444497</x:v>
      </x:c>
      <x:c r="G46" s="32" t="n">
        <x:v>115599.570034811</x:v>
      </x:c>
      <x:c r="H46" s="25" t="n">
        <x:v>283</x:v>
      </x:c>
      <x:c r="I46" s="34" t="n">
        <x:v>0.5547703180212014</x:v>
      </x:c>
      <x:c r="J46" s="34" t="n">
        <x:v>0.5300555566644256</x:v>
      </x:c>
    </x:row>
    <x:row r="47" ht="18" customHeight="1">
      <x:c r="A47" s="25" t="str">
        <x:v>LME_006</x:v>
      </x:c>
      <x:c r="B47" s="25" t="str">
        <x:v>exact_sea_around_us</x:v>
      </x:c>
      <x:c r="C47" s="33" t="str">
        <x:v>Sea Around Us exploited organisms</x:v>
      </x:c>
      <x:c r="D47" s="25" t="str">
        <x:v>high</x:v>
      </x:c>
      <x:c r="E47" s="35" t="n">
        <x:v>126</x:v>
      </x:c>
      <x:c r="F47" s="32" t="n">
        <x:v>54325.375589841</x:v>
      </x:c>
      <x:c r="G47" s="32" t="n">
        <x:v>115599.570034811</x:v>
      </x:c>
      <x:c r="H47" s="25" t="n">
        <x:v>283</x:v>
      </x:c>
      <x:c r="I47" s="34" t="n">
        <x:v>0.4452296819787986</x:v>
      </x:c>
      <x:c r="J47" s="34" t="n">
        <x:v>0.4699444433355744</x:v>
      </x:c>
    </x:row>
    <x:row r="48" ht="18" customHeight="1">
      <x:c r="A48" s="25" t="str">
        <x:v>LME_007</x:v>
      </x:c>
      <x:c r="B48" s="25" t="str">
        <x:v>exact_2020_supplement</x:v>
      </x:c>
      <x:c r="C48" s="33" t="str">
        <x:v>2020 supplement MeanTL</x:v>
      </x:c>
      <x:c r="D48" s="25" t="str">
        <x:v>high</x:v>
      </x:c>
      <x:c r="E48" s="35" t="n">
        <x:v>122</x:v>
      </x:c>
      <x:c r="F48" s="32" t="n">
        <x:v>388648.9112819567</x:v>
      </x:c>
      <x:c r="G48" s="32" t="n">
        <x:v>700878.7473042159</x:v>
      </x:c>
      <x:c r="H48" s="25" t="n">
        <x:v>232</x:v>
      </x:c>
      <x:c r="I48" s="34" t="n">
        <x:v>0.5258620689655172</x:v>
      </x:c>
      <x:c r="J48" s="34" t="n">
        <x:v>0.5545166161433969</x:v>
      </x:c>
    </x:row>
    <x:row r="49" ht="18" customHeight="1">
      <x:c r="A49" s="25" t="str">
        <x:v>LME_007</x:v>
      </x:c>
      <x:c r="B49" s="25" t="str">
        <x:v>exact_sea_around_us</x:v>
      </x:c>
      <x:c r="C49" s="33" t="str">
        <x:v>Sea Around Us exploited organisms</x:v>
      </x:c>
      <x:c r="D49" s="25" t="str">
        <x:v>high</x:v>
      </x:c>
      <x:c r="E49" s="35" t="n">
        <x:v>110</x:v>
      </x:c>
      <x:c r="F49" s="32" t="n">
        <x:v>312229.8360222592</x:v>
      </x:c>
      <x:c r="G49" s="32" t="n">
        <x:v>700878.7473042159</x:v>
      </x:c>
      <x:c r="H49" s="25" t="n">
        <x:v>232</x:v>
      </x:c>
      <x:c r="I49" s="34" t="n">
        <x:v>0.47413793103448276</x:v>
      </x:c>
      <x:c r="J49" s="34" t="n">
        <x:v>0.4454833838566032</x:v>
      </x:c>
    </x:row>
    <x:row r="50" ht="18" customHeight="1">
      <x:c r="A50" s="25" t="str">
        <x:v>LME_008</x:v>
      </x:c>
      <x:c r="B50" s="25" t="str">
        <x:v>exact_2020_supplement</x:v>
      </x:c>
      <x:c r="C50" s="33" t="str">
        <x:v>2020 supplement MeanTL</x:v>
      </x:c>
      <x:c r="D50" s="25" t="str">
        <x:v>high</x:v>
      </x:c>
      <x:c r="E50" s="35" t="n">
        <x:v>48</x:v>
      </x:c>
      <x:c r="F50" s="32" t="n">
        <x:v>107720.416510851</x:v>
      </x:c>
      <x:c r="G50" s="32" t="n">
        <x:v>148680.2607308072</x:v>
      </x:c>
      <x:c r="H50" s="25" t="n">
        <x:v>92</x:v>
      </x:c>
      <x:c r="I50" s="34" t="n">
        <x:v>0.5217391304347826</x:v>
      </x:c>
      <x:c r="J50" s="34" t="n">
        <x:v>0.7245105435070768</x:v>
      </x:c>
    </x:row>
    <x:row r="51" ht="18" customHeight="1">
      <x:c r="A51" s="25" t="str">
        <x:v>LME_008</x:v>
      </x:c>
      <x:c r="B51" s="25" t="str">
        <x:v>exact_sea_around_us</x:v>
      </x:c>
      <x:c r="C51" s="33" t="str">
        <x:v>Sea Around Us exploited organisms</x:v>
      </x:c>
      <x:c r="D51" s="25" t="str">
        <x:v>high</x:v>
      </x:c>
      <x:c r="E51" s="35" t="n">
        <x:v>44</x:v>
      </x:c>
      <x:c r="F51" s="32" t="n">
        <x:v>40959.8442199562</x:v>
      </x:c>
      <x:c r="G51" s="32" t="n">
        <x:v>148680.2607308072</x:v>
      </x:c>
      <x:c r="H51" s="25" t="n">
        <x:v>92</x:v>
      </x:c>
      <x:c r="I51" s="34" t="n">
        <x:v>0.4782608695652174</x:v>
      </x:c>
      <x:c r="J51" s="34" t="n">
        <x:v>0.2754894564929233</x:v>
      </x:c>
    </x:row>
    <x:row r="52" ht="18" customHeight="1">
      <x:c r="A52" s="25" t="str">
        <x:v>LME_009</x:v>
      </x:c>
      <x:c r="B52" s="25" t="str">
        <x:v>exact_2020_supplement</x:v>
      </x:c>
      <x:c r="C52" s="33" t="str">
        <x:v>2020 supplement MeanTL</x:v>
      </x:c>
      <x:c r="D52" s="25" t="str">
        <x:v>high</x:v>
      </x:c>
      <x:c r="E52" s="35" t="n">
        <x:v>62</x:v>
      </x:c>
      <x:c r="F52" s="32" t="n">
        <x:v>271225.0657550423</x:v>
      </x:c>
      <x:c r="G52" s="32" t="n">
        <x:v>506689.994061008</x:v>
      </x:c>
      <x:c r="H52" s="25" t="n">
        <x:v>111</x:v>
      </x:c>
      <x:c r="I52" s="34" t="n">
        <x:v>0.5585585585585585</x:v>
      </x:c>
      <x:c r="J52" s="34" t="n">
        <x:v>0.5352879846338262</x:v>
      </x:c>
    </x:row>
    <x:row r="53" ht="18" customHeight="1">
      <x:c r="A53" s="25" t="str">
        <x:v>LME_009</x:v>
      </x:c>
      <x:c r="B53" s="25" t="str">
        <x:v>exact_sea_around_us</x:v>
      </x:c>
      <x:c r="C53" s="33" t="str">
        <x:v>Sea Around Us exploited organisms</x:v>
      </x:c>
      <x:c r="D53" s="25" t="str">
        <x:v>high</x:v>
      </x:c>
      <x:c r="E53" s="35" t="n">
        <x:v>49</x:v>
      </x:c>
      <x:c r="F53" s="32" t="n">
        <x:v>235464.9283059657</x:v>
      </x:c>
      <x:c r="G53" s="32" t="n">
        <x:v>506689.994061008</x:v>
      </x:c>
      <x:c r="H53" s="25" t="n">
        <x:v>111</x:v>
      </x:c>
      <x:c r="I53" s="34" t="n">
        <x:v>0.44144144144144143</x:v>
      </x:c>
      <x:c r="J53" s="34" t="n">
        <x:v>0.4647120153661739</x:v>
      </x:c>
    </x:row>
    <x:row r="54" ht="18" customHeight="1">
      <x:c r="A54" s="25" t="str">
        <x:v>LME_010</x:v>
      </x:c>
      <x:c r="B54" s="25" t="str">
        <x:v>exact_2020_supplement</x:v>
      </x:c>
      <x:c r="C54" s="33" t="str">
        <x:v>2020 supplement MeanTL</x:v>
      </x:c>
      <x:c r="D54" s="25" t="str">
        <x:v>high</x:v>
      </x:c>
      <x:c r="E54" s="35" t="n">
        <x:v>95</x:v>
      </x:c>
      <x:c r="F54" s="32" t="n">
        <x:v>19678.4945914937</x:v>
      </x:c>
      <x:c r="G54" s="32" t="n">
        <x:v>21171.9533963985</x:v>
      </x:c>
      <x:c r="H54" s="25" t="n">
        <x:v>140</x:v>
      </x:c>
      <x:c r="I54" s="34" t="n">
        <x:v>0.6785714285714286</x:v>
      </x:c>
      <x:c r="J54" s="34" t="n">
        <x:v>0.9294605095267757</x:v>
      </x:c>
    </x:row>
    <x:row r="55" ht="18" customHeight="1">
      <x:c r="A55" s="25" t="str">
        <x:v>LME_010</x:v>
      </x:c>
      <x:c r="B55" s="25" t="str">
        <x:v>exact_sea_around_us</x:v>
      </x:c>
      <x:c r="C55" s="33" t="str">
        <x:v>Sea Around Us exploited organisms</x:v>
      </x:c>
      <x:c r="D55" s="25" t="str">
        <x:v>high</x:v>
      </x:c>
      <x:c r="E55" s="35" t="n">
        <x:v>45</x:v>
      </x:c>
      <x:c r="F55" s="32" t="n">
        <x:v>1493.4588049048</x:v>
      </x:c>
      <x:c r="G55" s="32" t="n">
        <x:v>21171.9533963985</x:v>
      </x:c>
      <x:c r="H55" s="25" t="n">
        <x:v>140</x:v>
      </x:c>
      <x:c r="I55" s="34" t="n">
        <x:v>0.32142857142857145</x:v>
      </x:c>
      <x:c r="J55" s="34" t="n">
        <x:v>0.07053949047322426</x:v>
      </x:c>
    </x:row>
    <x:row r="56" ht="18" customHeight="1">
      <x:c r="A56" s="25" t="str">
        <x:v>LME_011</x:v>
      </x:c>
      <x:c r="B56" s="25" t="str">
        <x:v>exact_2020_supplement</x:v>
      </x:c>
      <x:c r="C56" s="33" t="str">
        <x:v>2020 supplement MeanTL</x:v>
      </x:c>
      <x:c r="D56" s="25" t="str">
        <x:v>high</x:v>
      </x:c>
      <x:c r="E56" s="35" t="n">
        <x:v>106</x:v>
      </x:c>
      <x:c r="F56" s="32" t="n">
        <x:v>949479.3634376844</x:v>
      </x:c>
      <x:c r="G56" s="32" t="n">
        <x:v>1587670.7135199131</x:v>
      </x:c>
      <x:c r="H56" s="25" t="n">
        <x:v>270</x:v>
      </x:c>
      <x:c r="I56" s="34" t="n">
        <x:v>0.3925925925925926</x:v>
      </x:c>
      <x:c r="J56" s="34" t="n">
        <x:v>0.5980329266971616</x:v>
      </x:c>
    </x:row>
    <x:row r="57" ht="18" customHeight="1">
      <x:c r="A57" s="25" t="str">
        <x:v>LME_011</x:v>
      </x:c>
      <x:c r="B57" s="25" t="str">
        <x:v>exact_sea_around_us</x:v>
      </x:c>
      <x:c r="C57" s="33" t="str">
        <x:v>Sea Around Us exploited organisms</x:v>
      </x:c>
      <x:c r="D57" s="25" t="str">
        <x:v>high</x:v>
      </x:c>
      <x:c r="E57" s="35" t="n">
        <x:v>164</x:v>
      </x:c>
      <x:c r="F57" s="32" t="n">
        <x:v>638191.3500822289</x:v>
      </x:c>
      <x:c r="G57" s="32" t="n">
        <x:v>1587670.7135199131</x:v>
      </x:c>
      <x:c r="H57" s="25" t="n">
        <x:v>270</x:v>
      </x:c>
      <x:c r="I57" s="34" t="n">
        <x:v>0.6074074074074074</x:v>
      </x:c>
      <x:c r="J57" s="34" t="n">
        <x:v>0.40196707330283854</x:v>
      </x:c>
    </x:row>
    <x:row r="58" ht="18" customHeight="1">
      <x:c r="A58" s="25" t="str">
        <x:v>LME_012</x:v>
      </x:c>
      <x:c r="B58" s="25" t="str">
        <x:v>exact_sea_around_us</x:v>
      </x:c>
      <x:c r="C58" s="33" t="str">
        <x:v>Sea Around Us exploited organisms</x:v>
      </x:c>
      <x:c r="D58" s="25" t="str">
        <x:v>high</x:v>
      </x:c>
      <x:c r="E58" s="35" t="n">
        <x:v>252</x:v>
      </x:c>
      <x:c r="F58" s="32" t="n">
        <x:v>386949.6789431504</x:v>
      </x:c>
      <x:c r="G58" s="32" t="n">
        <x:v>625707.9632201534</x:v>
      </x:c>
      <x:c r="H58" s="25" t="n">
        <x:v>507</x:v>
      </x:c>
      <x:c r="I58" s="34" t="n">
        <x:v>0.4970414201183432</x:v>
      </x:c>
      <x:c r="J58" s="34" t="n">
        <x:v>0.6184189776836888</x:v>
      </x:c>
    </x:row>
    <x:row r="59" ht="18" customHeight="1">
      <x:c r="A59" s="25" t="str">
        <x:v>LME_012</x:v>
      </x:c>
      <x:c r="B59" s="25" t="str">
        <x:v>exact_2020_supplement</x:v>
      </x:c>
      <x:c r="C59" s="33" t="str">
        <x:v>2020 supplement MeanTL</x:v>
      </x:c>
      <x:c r="D59" s="25" t="str">
        <x:v>high</x:v>
      </x:c>
      <x:c r="E59" s="35" t="n">
        <x:v>255</x:v>
      </x:c>
      <x:c r="F59" s="32" t="n">
        <x:v>238758.284277003</x:v>
      </x:c>
      <x:c r="G59" s="32" t="n">
        <x:v>625707.9632201534</x:v>
      </x:c>
      <x:c r="H59" s="25" t="n">
        <x:v>507</x:v>
      </x:c>
      <x:c r="I59" s="34" t="n">
        <x:v>0.5029585798816568</x:v>
      </x:c>
      <x:c r="J59" s="34" t="n">
        <x:v>0.38158102231631125</x:v>
      </x:c>
    </x:row>
    <x:row r="60" ht="18" customHeight="1">
      <x:c r="A60" s="25" t="str">
        <x:v>LME_013</x:v>
      </x:c>
      <x:c r="B60" s="25" t="str">
        <x:v>exact_2020_supplement</x:v>
      </x:c>
      <x:c r="C60" s="33" t="str">
        <x:v>2020 supplement MeanTL</x:v>
      </x:c>
      <x:c r="D60" s="25" t="str">
        <x:v>high</x:v>
      </x:c>
      <x:c r="E60" s="35" t="n">
        <x:v>79</x:v>
      </x:c>
      <x:c r="F60" s="32" t="n">
        <x:v>6493516.779946463</x:v>
      </x:c>
      <x:c r="G60" s="32" t="n">
        <x:v>7390380.680601613</x:v>
      </x:c>
      <x:c r="H60" s="25" t="n">
        <x:v>184</x:v>
      </x:c>
      <x:c r="I60" s="34" t="n">
        <x:v>0.42934782608695654</x:v>
      </x:c>
      <x:c r="J60" s="34" t="n">
        <x:v>0.8786444245004521</x:v>
      </x:c>
    </x:row>
    <x:row r="61" ht="18" customHeight="1">
      <x:c r="A61" s="25" t="str">
        <x:v>LME_013</x:v>
      </x:c>
      <x:c r="B61" s="25" t="str">
        <x:v>exact_sea_around_us</x:v>
      </x:c>
      <x:c r="C61" s="33" t="str">
        <x:v>Sea Around Us exploited organisms</x:v>
      </x:c>
      <x:c r="D61" s="25" t="str">
        <x:v>high</x:v>
      </x:c>
      <x:c r="E61" s="35" t="n">
        <x:v>105</x:v>
      </x:c>
      <x:c r="F61" s="32" t="n">
        <x:v>896863.9006551492</x:v>
      </x:c>
      <x:c r="G61" s="32" t="n">
        <x:v>7390380.680601613</x:v>
      </x:c>
      <x:c r="H61" s="25" t="n">
        <x:v>184</x:v>
      </x:c>
      <x:c r="I61" s="34" t="n">
        <x:v>0.5706521739130435</x:v>
      </x:c>
      <x:c r="J61" s="34" t="n">
        <x:v>0.12135557549954791</x:v>
      </x:c>
    </x:row>
    <x:row r="62" ht="18" customHeight="1">
      <x:c r="A62" s="25" t="str">
        <x:v>LME_014</x:v>
      </x:c>
      <x:c r="B62" s="25" t="str">
        <x:v>exact_2020_supplement</x:v>
      </x:c>
      <x:c r="C62" s="33" t="str">
        <x:v>2020 supplement MeanTL</x:v>
      </x:c>
      <x:c r="D62" s="25" t="str">
        <x:v>high</x:v>
      </x:c>
      <x:c r="E62" s="35" t="n">
        <x:v>99</x:v>
      </x:c>
      <x:c r="F62" s="32" t="n">
        <x:v>1139217.2180863454</x:v>
      </x:c>
      <x:c r="G62" s="32" t="n">
        <x:v>1589890.9385366843</x:v>
      </x:c>
      <x:c r="H62" s="25" t="n">
        <x:v>195</x:v>
      </x:c>
      <x:c r="I62" s="34" t="n">
        <x:v>0.5076923076923077</x:v>
      </x:c>
      <x:c r="J62" s="34" t="n">
        <x:v>0.7165379652612315</x:v>
      </x:c>
    </x:row>
    <x:row r="63" ht="18" customHeight="1">
      <x:c r="A63" s="25" t="str">
        <x:v>LME_014</x:v>
      </x:c>
      <x:c r="B63" s="25" t="str">
        <x:v>exact_sea_around_us</x:v>
      </x:c>
      <x:c r="C63" s="33" t="str">
        <x:v>Sea Around Us exploited organisms</x:v>
      </x:c>
      <x:c r="D63" s="25" t="str">
        <x:v>high</x:v>
      </x:c>
      <x:c r="E63" s="35" t="n">
        <x:v>96</x:v>
      </x:c>
      <x:c r="F63" s="32" t="n">
        <x:v>450673.7204503388</x:v>
      </x:c>
      <x:c r="G63" s="32" t="n">
        <x:v>1589890.9385366843</x:v>
      </x:c>
      <x:c r="H63" s="25" t="n">
        <x:v>195</x:v>
      </x:c>
      <x:c r="I63" s="34" t="n">
        <x:v>0.49230769230769234</x:v>
      </x:c>
      <x:c r="J63" s="34" t="n">
        <x:v>0.28346203473876846</x:v>
      </x:c>
    </x:row>
    <x:row r="64" ht="18" customHeight="1">
      <x:c r="A64" s="25" t="str">
        <x:v>LME_015</x:v>
      </x:c>
      <x:c r="B64" s="25" t="str">
        <x:v>exact_2020_supplement</x:v>
      </x:c>
      <x:c r="C64" s="33" t="str">
        <x:v>2020 supplement MeanTL</x:v>
      </x:c>
      <x:c r="D64" s="25" t="str">
        <x:v>high</x:v>
      </x:c>
      <x:c r="E64" s="35" t="n">
        <x:v>147</x:v>
      </x:c>
      <x:c r="F64" s="32" t="n">
        <x:v>199375.4914398834</x:v>
      </x:c>
      <x:c r="G64" s="32" t="n">
        <x:v>292432.0999772061</x:v>
      </x:c>
      <x:c r="H64" s="25" t="n">
        <x:v>264</x:v>
      </x:c>
      <x:c r="I64" s="34" t="n">
        <x:v>0.5568181818181818</x:v>
      </x:c>
      <x:c r="J64" s="34" t="n">
        <x:v>0.6817838789087242</x:v>
      </x:c>
    </x:row>
    <x:row r="65" ht="18" customHeight="1">
      <x:c r="A65" s="25" t="str">
        <x:v>LME_015</x:v>
      </x:c>
      <x:c r="B65" s="25" t="str">
        <x:v>exact_sea_around_us</x:v>
      </x:c>
      <x:c r="C65" s="33" t="str">
        <x:v>Sea Around Us exploited organisms</x:v>
      </x:c>
      <x:c r="D65" s="25" t="str">
        <x:v>high</x:v>
      </x:c>
      <x:c r="E65" s="35" t="n">
        <x:v>117</x:v>
      </x:c>
      <x:c r="F65" s="32" t="n">
        <x:v>93056.6085373227</x:v>
      </x:c>
      <x:c r="G65" s="32" t="n">
        <x:v>292432.0999772061</x:v>
      </x:c>
      <x:c r="H65" s="25" t="n">
        <x:v>264</x:v>
      </x:c>
      <x:c r="I65" s="34" t="n">
        <x:v>0.4431818181818182</x:v>
      </x:c>
      <x:c r="J65" s="34" t="n">
        <x:v>0.31821612109127584</x:v>
      </x:c>
    </x:row>
    <x:row r="66" ht="18" customHeight="1">
      <x:c r="A66" s="25" t="str">
        <x:v>LME_016</x:v>
      </x:c>
      <x:c r="B66" s="25" t="str">
        <x:v>exact_2020_supplement</x:v>
      </x:c>
      <x:c r="C66" s="33" t="str">
        <x:v>2020 supplement MeanTL</x:v>
      </x:c>
      <x:c r="D66" s="25" t="str">
        <x:v>high</x:v>
      </x:c>
      <x:c r="E66" s="35" t="n">
        <x:v>141</x:v>
      </x:c>
      <x:c r="F66" s="32" t="n">
        <x:v>176897.4575719152</x:v>
      </x:c>
      <x:c r="G66" s="32" t="n">
        <x:v>306003.2887419415</x:v>
      </x:c>
      <x:c r="H66" s="25" t="n">
        <x:v>254</x:v>
      </x:c>
      <x:c r="I66" s="34" t="n">
        <x:v>0.5551181102362205</x:v>
      </x:c>
      <x:c r="J66" s="34" t="n">
        <x:v>0.5780900535389221</x:v>
      </x:c>
    </x:row>
    <x:row r="67" ht="18" customHeight="1">
      <x:c r="A67" s="25" t="str">
        <x:v>LME_016</x:v>
      </x:c>
      <x:c r="B67" s="25" t="str">
        <x:v>exact_sea_around_us</x:v>
      </x:c>
      <x:c r="C67" s="33" t="str">
        <x:v>Sea Around Us exploited organisms</x:v>
      </x:c>
      <x:c r="D67" s="25" t="str">
        <x:v>high</x:v>
      </x:c>
      <x:c r="E67" s="35" t="n">
        <x:v>113</x:v>
      </x:c>
      <x:c r="F67" s="32" t="n">
        <x:v>129105.8311700263</x:v>
      </x:c>
      <x:c r="G67" s="32" t="n">
        <x:v>306003.2887419415</x:v>
      </x:c>
      <x:c r="H67" s="25" t="n">
        <x:v>254</x:v>
      </x:c>
      <x:c r="I67" s="34" t="n">
        <x:v>0.4448818897637795</x:v>
      </x:c>
      <x:c r="J67" s="34" t="n">
        <x:v>0.4219099464610779</x:v>
      </x:c>
    </x:row>
    <x:row r="68" ht="18" customHeight="1">
      <x:c r="A68" s="25" t="str">
        <x:v>LME_017</x:v>
      </x:c>
      <x:c r="B68" s="25" t="str">
        <x:v>exact_2020_supplement</x:v>
      </x:c>
      <x:c r="C68" s="33" t="str">
        <x:v>2020 supplement MeanTL</x:v>
      </x:c>
      <x:c r="D68" s="25" t="str">
        <x:v>high</x:v>
      </x:c>
      <x:c r="E68" s="35" t="n">
        <x:v>158</x:v>
      </x:c>
      <x:c r="F68" s="32" t="n">
        <x:v>246642.6611292279</x:v>
      </x:c>
      <x:c r="G68" s="32" t="n">
        <x:v>453226.0308527972</x:v>
      </x:c>
      <x:c r="H68" s="25" t="n">
        <x:v>311</x:v>
      </x:c>
      <x:c r="I68" s="34" t="n">
        <x:v>0.5080385852090032</x:v>
      </x:c>
      <x:c r="J68" s="34" t="n">
        <x:v>0.5441935024454381</x:v>
      </x:c>
    </x:row>
    <x:row r="69" ht="18" customHeight="1">
      <x:c r="A69" s="25" t="str">
        <x:v>LME_017</x:v>
      </x:c>
      <x:c r="B69" s="25" t="str">
        <x:v>exact_sea_around_us</x:v>
      </x:c>
      <x:c r="C69" s="33" t="str">
        <x:v>Sea Around Us exploited organisms</x:v>
      </x:c>
      <x:c r="D69" s="25" t="str">
        <x:v>high</x:v>
      </x:c>
      <x:c r="E69" s="35" t="n">
        <x:v>153</x:v>
      </x:c>
      <x:c r="F69" s="32" t="n">
        <x:v>206583.3697235693</x:v>
      </x:c>
      <x:c r="G69" s="32" t="n">
        <x:v>453226.0308527972</x:v>
      </x:c>
      <x:c r="H69" s="25" t="n">
        <x:v>311</x:v>
      </x:c>
      <x:c r="I69" s="34" t="n">
        <x:v>0.4919614147909968</x:v>
      </x:c>
      <x:c r="J69" s="34" t="n">
        <x:v>0.45580649755456193</x:v>
      </x:c>
    </x:row>
    <x:row r="70" ht="18" customHeight="1">
      <x:c r="A70" s="25" t="str">
        <x:v>LME_018</x:v>
      </x:c>
      <x:c r="B70" s="25" t="str">
        <x:v>exact_2020_supplement</x:v>
      </x:c>
      <x:c r="C70" s="33" t="str">
        <x:v>2020 supplement MeanTL</x:v>
      </x:c>
      <x:c r="D70" s="25" t="str">
        <x:v>high</x:v>
      </x:c>
      <x:c r="E70" s="35" t="n">
        <x:v>28</x:v>
      </x:c>
      <x:c r="F70" s="32" t="n">
        <x:v>169647.4816779808</x:v>
      </x:c>
      <x:c r="G70" s="32" t="n">
        <x:v>219045.62416918142</x:v>
      </x:c>
      <x:c r="H70" s="25" t="n">
        <x:v>61</x:v>
      </x:c>
      <x:c r="I70" s="34" t="n">
        <x:v>0.45901639344262296</x:v>
      </x:c>
      <x:c r="J70" s="34" t="n">
        <x:v>0.7744846870209668</x:v>
      </x:c>
    </x:row>
    <x:row r="71" ht="18" customHeight="1">
      <x:c r="A71" s="25" t="str">
        <x:v>LME_018</x:v>
      </x:c>
      <x:c r="B71" s="25" t="str">
        <x:v>exact_sea_around_us</x:v>
      </x:c>
      <x:c r="C71" s="33" t="str">
        <x:v>Sea Around Us exploited organisms</x:v>
      </x:c>
      <x:c r="D71" s="25" t="str">
        <x:v>high</x:v>
      </x:c>
      <x:c r="E71" s="35" t="n">
        <x:v>33</x:v>
      </x:c>
      <x:c r="F71" s="32" t="n">
        <x:v>49398.1424912006</x:v>
      </x:c>
      <x:c r="G71" s="32" t="n">
        <x:v>219045.62416918142</x:v>
      </x:c>
      <x:c r="H71" s="25" t="n">
        <x:v>61</x:v>
      </x:c>
      <x:c r="I71" s="34" t="n">
        <x:v>0.5409836065573771</x:v>
      </x:c>
      <x:c r="J71" s="34" t="n">
        <x:v>0.22551531297903307</x:v>
      </x:c>
    </x:row>
    <x:row r="72" ht="18" customHeight="1">
      <x:c r="A72" s="25" t="str">
        <x:v>LME_019</x:v>
      </x:c>
      <x:c r="B72" s="25" t="str">
        <x:v>exact_2020_supplement</x:v>
      </x:c>
      <x:c r="C72" s="33" t="str">
        <x:v>2020 supplement MeanTL</x:v>
      </x:c>
      <x:c r="D72" s="25" t="str">
        <x:v>high</x:v>
      </x:c>
      <x:c r="E72" s="35" t="n">
        <x:v>29</x:v>
      </x:c>
      <x:c r="F72" s="32" t="n">
        <x:v>53579.0212137005</x:v>
      </x:c>
      <x:c r="G72" s="32" t="n">
        <x:v>87093.8235737202</x:v>
      </x:c>
      <x:c r="H72" s="25" t="n">
        <x:v>64</x:v>
      </x:c>
      <x:c r="I72" s="34" t="n">
        <x:v>0.453125</x:v>
      </x:c>
      <x:c r="J72" s="34" t="n">
        <x:v>0.6151873808634519</x:v>
      </x:c>
    </x:row>
    <x:row r="73" ht="18" customHeight="1">
      <x:c r="A73" s="25" t="str">
        <x:v>LME_019</x:v>
      </x:c>
      <x:c r="B73" s="25" t="str">
        <x:v>exact_sea_around_us</x:v>
      </x:c>
      <x:c r="C73" s="33" t="str">
        <x:v>Sea Around Us exploited organisms</x:v>
      </x:c>
      <x:c r="D73" s="25" t="str">
        <x:v>high</x:v>
      </x:c>
      <x:c r="E73" s="35" t="n">
        <x:v>35</x:v>
      </x:c>
      <x:c r="F73" s="32" t="n">
        <x:v>33514.802360019705</x:v>
      </x:c>
      <x:c r="G73" s="32" t="n">
        <x:v>87093.8235737202</x:v>
      </x:c>
      <x:c r="H73" s="25" t="n">
        <x:v>64</x:v>
      </x:c>
      <x:c r="I73" s="34" t="n">
        <x:v>0.546875</x:v>
      </x:c>
      <x:c r="J73" s="34" t="n">
        <x:v>0.3848126191365481</x:v>
      </x:c>
    </x:row>
    <x:row r="74" ht="18" customHeight="1">
      <x:c r="A74" s="25" t="str">
        <x:v>LME_020</x:v>
      </x:c>
      <x:c r="B74" s="25" t="str">
        <x:v>exact_2020_supplement</x:v>
      </x:c>
      <x:c r="C74" s="33" t="str">
        <x:v>2020 supplement MeanTL</x:v>
      </x:c>
      <x:c r="D74" s="25" t="str">
        <x:v>high</x:v>
      </x:c>
      <x:c r="E74" s="35" t="n">
        <x:v>65</x:v>
      </x:c>
      <x:c r="F74" s="32" t="n">
        <x:v>604631.9274699817</x:v>
      </x:c>
      <x:c r="G74" s="32" t="n">
        <x:v>675569.0179631643</x:v>
      </x:c>
      <x:c r="H74" s="25" t="n">
        <x:v>138</x:v>
      </x:c>
      <x:c r="I74" s="34" t="n">
        <x:v>0.47101449275362317</x:v>
      </x:c>
      <x:c r="J74" s="34" t="n">
        <x:v>0.8949965309139585</x:v>
      </x:c>
    </x:row>
    <x:row r="75" ht="18" customHeight="1">
      <x:c r="A75" s="25" t="str">
        <x:v>LME_020</x:v>
      </x:c>
      <x:c r="B75" s="25" t="str">
        <x:v>exact_sea_around_us</x:v>
      </x:c>
      <x:c r="C75" s="33" t="str">
        <x:v>Sea Around Us exploited organisms</x:v>
      </x:c>
      <x:c r="D75" s="25" t="str">
        <x:v>high</x:v>
      </x:c>
      <x:c r="E75" s="35" t="n">
        <x:v>73</x:v>
      </x:c>
      <x:c r="F75" s="32" t="n">
        <x:v>70937.0904931826</x:v>
      </x:c>
      <x:c r="G75" s="32" t="n">
        <x:v>675569.0179631643</x:v>
      </x:c>
      <x:c r="H75" s="25" t="n">
        <x:v>138</x:v>
      </x:c>
      <x:c r="I75" s="34" t="n">
        <x:v>0.5289855072463768</x:v>
      </x:c>
      <x:c r="J75" s="34" t="n">
        <x:v>0.10500346908604159</x:v>
      </x:c>
    </x:row>
    <x:row r="76" ht="18" customHeight="1">
      <x:c r="A76" s="25" t="str">
        <x:v>LME_021</x:v>
      </x:c>
      <x:c r="B76" s="25" t="str">
        <x:v>exact_sea_around_us</x:v>
      </x:c>
      <x:c r="C76" s="33" t="str">
        <x:v>Sea Around Us exploited organisms</x:v>
      </x:c>
      <x:c r="D76" s="25" t="str">
        <x:v>high</x:v>
      </x:c>
      <x:c r="E76" s="35" t="n">
        <x:v>81</x:v>
      </x:c>
      <x:c r="F76" s="32" t="n">
        <x:v>405556.0700439657</x:v>
      </x:c>
      <x:c r="G76" s="32" t="n">
        <x:v>707251.5165434973</x:v>
      </x:c>
      <x:c r="H76" s="25" t="n">
        <x:v>162</x:v>
      </x:c>
      <x:c r="I76" s="34" t="n">
        <x:v>0.5</x:v>
      </x:c>
      <x:c r="J76" s="34" t="n">
        <x:v>0.573425521978394</x:v>
      </x:c>
    </x:row>
    <x:row r="77" ht="18" customHeight="1">
      <x:c r="A77" s="25" t="str">
        <x:v>LME_021</x:v>
      </x:c>
      <x:c r="B77" s="25" t="str">
        <x:v>exact_2020_supplement</x:v>
      </x:c>
      <x:c r="C77" s="33" t="str">
        <x:v>2020 supplement MeanTL</x:v>
      </x:c>
      <x:c r="D77" s="25" t="str">
        <x:v>high</x:v>
      </x:c>
      <x:c r="E77" s="35" t="n">
        <x:v>81</x:v>
      </x:c>
      <x:c r="F77" s="32" t="n">
        <x:v>301695.4464995316</x:v>
      </x:c>
      <x:c r="G77" s="32" t="n">
        <x:v>707251.5165434973</x:v>
      </x:c>
      <x:c r="H77" s="25" t="n">
        <x:v>162</x:v>
      </x:c>
      <x:c r="I77" s="34" t="n">
        <x:v>0.5</x:v>
      </x:c>
      <x:c r="J77" s="34" t="n">
        <x:v>0.42657447802160603</x:v>
      </x:c>
    </x:row>
    <x:row r="78" ht="18" customHeight="1">
      <x:c r="A78" s="25" t="str">
        <x:v>LME_022</x:v>
      </x:c>
      <x:c r="B78" s="25" t="str">
        <x:v>exact_2020_supplement</x:v>
      </x:c>
      <x:c r="C78" s="33" t="str">
        <x:v>2020 supplement MeanTL</x:v>
      </x:c>
      <x:c r="D78" s="25" t="str">
        <x:v>high</x:v>
      </x:c>
      <x:c r="E78" s="35" t="n">
        <x:v>164</x:v>
      </x:c>
      <x:c r="F78" s="32" t="n">
        <x:v>2360936.4714387595</x:v>
      </x:c>
      <x:c r="G78" s="32" t="n">
        <x:v>2717260.6982051707</x:v>
      </x:c>
      <x:c r="H78" s="25" t="n">
        <x:v>312</x:v>
      </x:c>
      <x:c r="I78" s="34" t="n">
        <x:v>0.5256410256410257</x:v>
      </x:c>
      <x:c r="J78" s="34" t="n">
        <x:v>0.8688663818669391</x:v>
      </x:c>
    </x:row>
    <x:row r="79" ht="18" customHeight="1">
      <x:c r="A79" s="25" t="str">
        <x:v>LME_022</x:v>
      </x:c>
      <x:c r="B79" s="25" t="str">
        <x:v>exact_sea_around_us</x:v>
      </x:c>
      <x:c r="C79" s="33" t="str">
        <x:v>Sea Around Us exploited organisms</x:v>
      </x:c>
      <x:c r="D79" s="25" t="str">
        <x:v>high</x:v>
      </x:c>
      <x:c r="E79" s="35" t="n">
        <x:v>148</x:v>
      </x:c>
      <x:c r="F79" s="32" t="n">
        <x:v>356324.2267664112</x:v>
      </x:c>
      <x:c r="G79" s="32" t="n">
        <x:v>2717260.6982051707</x:v>
      </x:c>
      <x:c r="H79" s="25" t="n">
        <x:v>312</x:v>
      </x:c>
      <x:c r="I79" s="34" t="n">
        <x:v>0.47435897435897434</x:v>
      </x:c>
      <x:c r="J79" s="34" t="n">
        <x:v>0.13113361813306088</x:v>
      </x:c>
    </x:row>
    <x:row r="80" ht="18" customHeight="1">
      <x:c r="A80" s="25" t="str">
        <x:v>LME_023</x:v>
      </x:c>
      <x:c r="B80" s="25" t="str">
        <x:v>exact_2020_supplement</x:v>
      </x:c>
      <x:c r="C80" s="33" t="str">
        <x:v>2020 supplement MeanTL</x:v>
      </x:c>
      <x:c r="D80" s="25" t="str">
        <x:v>high</x:v>
      </x:c>
      <x:c r="E80" s="35" t="n">
        <x:v>71</x:v>
      </x:c>
      <x:c r="F80" s="32" t="n">
        <x:v>918052.1507498808</x:v>
      </x:c>
      <x:c r="G80" s="32" t="n">
        <x:v>937172.6469930056</x:v>
      </x:c>
      <x:c r="H80" s="25" t="n">
        <x:v>117</x:v>
      </x:c>
      <x:c r="I80" s="34" t="n">
        <x:v>0.6068376068376068</x:v>
      </x:c>
      <x:c r="J80" s="34" t="n">
        <x:v>0.9795976799958103</x:v>
      </x:c>
    </x:row>
    <x:row r="81" ht="18" customHeight="1">
      <x:c r="A81" s="25" t="str">
        <x:v>LME_023</x:v>
      </x:c>
      <x:c r="B81" s="25" t="str">
        <x:v>exact_sea_around_us</x:v>
      </x:c>
      <x:c r="C81" s="33" t="str">
        <x:v>Sea Around Us exploited organisms</x:v>
      </x:c>
      <x:c r="D81" s="25" t="str">
        <x:v>high</x:v>
      </x:c>
      <x:c r="E81" s="35" t="n">
        <x:v>46</x:v>
      </x:c>
      <x:c r="F81" s="32" t="n">
        <x:v>19120.496243124802</x:v>
      </x:c>
      <x:c r="G81" s="32" t="n">
        <x:v>937172.6469930056</x:v>
      </x:c>
      <x:c r="H81" s="25" t="n">
        <x:v>117</x:v>
      </x:c>
      <x:c r="I81" s="34" t="n">
        <x:v>0.39316239316239315</x:v>
      </x:c>
      <x:c r="J81" s="34" t="n">
        <x:v>0.020402320004189692</x:v>
      </x:c>
    </x:row>
    <x:row r="82" ht="18" customHeight="1">
      <x:c r="A82" s="25" t="str">
        <x:v>LME_024</x:v>
      </x:c>
      <x:c r="B82" s="25" t="str">
        <x:v>exact_2020_supplement</x:v>
      </x:c>
      <x:c r="C82" s="33" t="str">
        <x:v>2020 supplement MeanTL</x:v>
      </x:c>
      <x:c r="D82" s="25" t="str">
        <x:v>high</x:v>
      </x:c>
      <x:c r="E82" s="35" t="n">
        <x:v>208</x:v>
      </x:c>
      <x:c r="F82" s="32" t="n">
        <x:v>943721.5793583774</x:v>
      </x:c>
      <x:c r="G82" s="32" t="n">
        <x:v>1139679.567089067</x:v>
      </x:c>
      <x:c r="H82" s="25" t="n">
        <x:v>383</x:v>
      </x:c>
      <x:c r="I82" s="34" t="n">
        <x:v>0.5430809399477807</x:v>
      </x:c>
      <x:c r="J82" s="34" t="n">
        <x:v>0.828058698787415</x:v>
      </x:c>
    </x:row>
    <x:row r="83" ht="18" customHeight="1">
      <x:c r="A83" s="25" t="str">
        <x:v>LME_024</x:v>
      </x:c>
      <x:c r="B83" s="25" t="str">
        <x:v>exact_sea_around_us</x:v>
      </x:c>
      <x:c r="C83" s="33" t="str">
        <x:v>Sea Around Us exploited organisms</x:v>
      </x:c>
      <x:c r="D83" s="25" t="str">
        <x:v>high</x:v>
      </x:c>
      <x:c r="E83" s="35" t="n">
        <x:v>175</x:v>
      </x:c>
      <x:c r="F83" s="32" t="n">
        <x:v>195957.9877306897</x:v>
      </x:c>
      <x:c r="G83" s="32" t="n">
        <x:v>1139679.567089067</x:v>
      </x:c>
      <x:c r="H83" s="25" t="n">
        <x:v>383</x:v>
      </x:c>
      <x:c r="I83" s="34" t="n">
        <x:v>0.45691906005221933</x:v>
      </x:c>
      <x:c r="J83" s="34" t="n">
        <x:v>0.17194130121258494</x:v>
      </x:c>
    </x:row>
    <x:row r="84" ht="18" customHeight="1">
      <x:c r="A84" s="25" t="str">
        <x:v>LME_025</x:v>
      </x:c>
      <x:c r="B84" s="25" t="str">
        <x:v>exact_2020_supplement</x:v>
      </x:c>
      <x:c r="C84" s="33" t="str">
        <x:v>2020 supplement MeanTL</x:v>
      </x:c>
      <x:c r="D84" s="25" t="str">
        <x:v>high</x:v>
      </x:c>
      <x:c r="E84" s="35" t="n">
        <x:v>229</x:v>
      </x:c>
      <x:c r="F84" s="32" t="n">
        <x:v>274323.7610972734</x:v>
      </x:c>
      <x:c r="G84" s="32" t="n">
        <x:v>429516.3330948258</x:v>
      </x:c>
      <x:c r="H84" s="25" t="n">
        <x:v>432</x:v>
      </x:c>
      <x:c r="I84" s="34" t="n">
        <x:v>0.5300925925925926</x:v>
      </x:c>
      <x:c r="J84" s="34" t="n">
        <x:v>0.6386806273946979</x:v>
      </x:c>
    </x:row>
    <x:row r="85" ht="18" customHeight="1">
      <x:c r="A85" s="25" t="str">
        <x:v>LME_025</x:v>
      </x:c>
      <x:c r="B85" s="25" t="str">
        <x:v>exact_sea_around_us</x:v>
      </x:c>
      <x:c r="C85" s="33" t="str">
        <x:v>Sea Around Us exploited organisms</x:v>
      </x:c>
      <x:c r="D85" s="25" t="str">
        <x:v>high</x:v>
      </x:c>
      <x:c r="E85" s="35" t="n">
        <x:v>203</x:v>
      </x:c>
      <x:c r="F85" s="32" t="n">
        <x:v>155192.5719975524</x:v>
      </x:c>
      <x:c r="G85" s="32" t="n">
        <x:v>429516.3330948258</x:v>
      </x:c>
      <x:c r="H85" s="25" t="n">
        <x:v>432</x:v>
      </x:c>
      <x:c r="I85" s="34" t="n">
        <x:v>0.4699074074074074</x:v>
      </x:c>
      <x:c r="J85" s="34" t="n">
        <x:v>0.3613193726053021</x:v>
      </x:c>
    </x:row>
    <x:row r="86" ht="18" customHeight="1">
      <x:c r="A86" s="25" t="str">
        <x:v>LME_026</x:v>
      </x:c>
      <x:c r="B86" s="25" t="str">
        <x:v>exact_2020_supplement</x:v>
      </x:c>
      <x:c r="C86" s="33" t="str">
        <x:v>2020 supplement MeanTL</x:v>
      </x:c>
      <x:c r="D86" s="25" t="str">
        <x:v>high</x:v>
      </x:c>
      <x:c r="E86" s="35" t="n">
        <x:v>244</x:v>
      </x:c>
      <x:c r="F86" s="32" t="n">
        <x:v>960876.5466587584</x:v>
      </x:c>
      <x:c r="G86" s="32" t="n">
        <x:v>1487741.6269238533</x:v>
      </x:c>
      <x:c r="H86" s="25" t="n">
        <x:v>482</x:v>
      </x:c>
      <x:c r="I86" s="34" t="n">
        <x:v>0.5062240663900415</x:v>
      </x:c>
      <x:c r="J86" s="34" t="n">
        <x:v>0.6458625135370624</x:v>
      </x:c>
    </x:row>
    <x:row r="87" ht="18" customHeight="1">
      <x:c r="A87" s="25" t="str">
        <x:v>LME_026</x:v>
      </x:c>
      <x:c r="B87" s="25" t="str">
        <x:v>exact_sea_around_us</x:v>
      </x:c>
      <x:c r="C87" s="33" t="str">
        <x:v>Sea Around Us exploited organisms</x:v>
      </x:c>
      <x:c r="D87" s="25" t="str">
        <x:v>high</x:v>
      </x:c>
      <x:c r="E87" s="35" t="n">
        <x:v>238</x:v>
      </x:c>
      <x:c r="F87" s="32" t="n">
        <x:v>526865.0802650949</x:v>
      </x:c>
      <x:c r="G87" s="32" t="n">
        <x:v>1487741.6269238533</x:v>
      </x:c>
      <x:c r="H87" s="25" t="n">
        <x:v>482</x:v>
      </x:c>
      <x:c r="I87" s="34" t="n">
        <x:v>0.49377593360995853</x:v>
      </x:c>
      <x:c r="J87" s="34" t="n">
        <x:v>0.35413748646293763</x:v>
      </x:c>
    </x:row>
    <x:row r="88" ht="18" customHeight="1">
      <x:c r="A88" s="25" t="str">
        <x:v>LME_027</x:v>
      </x:c>
      <x:c r="B88" s="25" t="str">
        <x:v>exact_2020_supplement</x:v>
      </x:c>
      <x:c r="C88" s="33" t="str">
        <x:v>2020 supplement MeanTL</x:v>
      </x:c>
      <x:c r="D88" s="25" t="str">
        <x:v>high</x:v>
      </x:c>
      <x:c r="E88" s="35" t="n">
        <x:v>236</x:v>
      </x:c>
      <x:c r="F88" s="32" t="n">
        <x:v>3346234.7466529934</x:v>
      </x:c>
      <x:c r="G88" s="32" t="n">
        <x:v>5771015.257329414</x:v>
      </x:c>
      <x:c r="H88" s="25" t="n">
        <x:v>412</x:v>
      </x:c>
      <x:c r="I88" s="34" t="n">
        <x:v>0.5728155339805825</x:v>
      </x:c>
      <x:c r="J88" s="34" t="n">
        <x:v>0.5798346733537302</x:v>
      </x:c>
    </x:row>
    <x:row r="89" ht="18" customHeight="1">
      <x:c r="A89" s="25" t="str">
        <x:v>LME_027</x:v>
      </x:c>
      <x:c r="B89" s="25" t="str">
        <x:v>exact_sea_around_us</x:v>
      </x:c>
      <x:c r="C89" s="33" t="str">
        <x:v>Sea Around Us exploited organisms</x:v>
      </x:c>
      <x:c r="D89" s="25" t="str">
        <x:v>high</x:v>
      </x:c>
      <x:c r="E89" s="35" t="n">
        <x:v>176</x:v>
      </x:c>
      <x:c r="F89" s="32" t="n">
        <x:v>2424780.51067642</x:v>
      </x:c>
      <x:c r="G89" s="32" t="n">
        <x:v>5771015.257329414</x:v>
      </x:c>
      <x:c r="H89" s="25" t="n">
        <x:v>412</x:v>
      </x:c>
      <x:c r="I89" s="34" t="n">
        <x:v>0.42718446601941745</x:v>
      </x:c>
      <x:c r="J89" s="34" t="n">
        <x:v>0.4201653266462698</x:v>
      </x:c>
    </x:row>
    <x:row r="90" ht="18" customHeight="1">
      <x:c r="A90" s="25" t="str">
        <x:v>LME_028</x:v>
      </x:c>
      <x:c r="B90" s="25" t="str">
        <x:v>exact_sea_around_us</x:v>
      </x:c>
      <x:c r="C90" s="33" t="str">
        <x:v>Sea Around Us exploited organisms</x:v>
      </x:c>
      <x:c r="D90" s="25" t="str">
        <x:v>high</x:v>
      </x:c>
      <x:c r="E90" s="35" t="n">
        <x:v>153</x:v>
      </x:c>
      <x:c r="F90" s="32" t="n">
        <x:v>2833655.7651303564</x:v>
      </x:c>
      <x:c r="G90" s="32" t="n">
        <x:v>4469154.981144244</x:v>
      </x:c>
      <x:c r="H90" s="25" t="n">
        <x:v>325</x:v>
      </x:c>
      <x:c r="I90" s="34" t="n">
        <x:v>0.4707692307692308</x:v>
      </x:c>
      <x:c r="J90" s="34" t="n">
        <x:v>0.6340473259678392</x:v>
      </x:c>
    </x:row>
    <x:row r="91" ht="18" customHeight="1">
      <x:c r="A91" s="25" t="str">
        <x:v>LME_028</x:v>
      </x:c>
      <x:c r="B91" s="25" t="str">
        <x:v>exact_2020_supplement</x:v>
      </x:c>
      <x:c r="C91" s="33" t="str">
        <x:v>2020 supplement MeanTL</x:v>
      </x:c>
      <x:c r="D91" s="25" t="str">
        <x:v>high</x:v>
      </x:c>
      <x:c r="E91" s="35" t="n">
        <x:v>172</x:v>
      </x:c>
      <x:c r="F91" s="32" t="n">
        <x:v>1635499.2160138872</x:v>
      </x:c>
      <x:c r="G91" s="32" t="n">
        <x:v>4469154.981144244</x:v>
      </x:c>
      <x:c r="H91" s="25" t="n">
        <x:v>325</x:v>
      </x:c>
      <x:c r="I91" s="34" t="n">
        <x:v>0.5292307692307693</x:v>
      </x:c>
      <x:c r="J91" s="34" t="n">
        <x:v>0.3659526740321608</x:v>
      </x:c>
    </x:row>
    <x:row r="92" ht="18" customHeight="1">
      <x:c r="A92" s="25" t="str">
        <x:v>LME_029</x:v>
      </x:c>
      <x:c r="B92" s="25" t="str">
        <x:v>exact_sea_around_us</x:v>
      </x:c>
      <x:c r="C92" s="33" t="str">
        <x:v>Sea Around Us exploited organisms</x:v>
      </x:c>
      <x:c r="D92" s="25" t="str">
        <x:v>high</x:v>
      </x:c>
      <x:c r="E92" s="35" t="n">
        <x:v>71</x:v>
      </x:c>
      <x:c r="F92" s="32" t="n">
        <x:v>855542.152200344</x:v>
      </x:c>
      <x:c r="G92" s="32" t="n">
        <x:v>1592518.0818040827</x:v>
      </x:c>
      <x:c r="H92" s="25" t="n">
        <x:v>147</x:v>
      </x:c>
      <x:c r="I92" s="34" t="n">
        <x:v>0.48299319727891155</x:v>
      </x:c>
      <x:c r="J92" s="34" t="n">
        <x:v>0.5372260208381081</x:v>
      </x:c>
    </x:row>
    <x:row r="93" ht="18" customHeight="1">
      <x:c r="A93" s="25" t="str">
        <x:v>LME_029</x:v>
      </x:c>
      <x:c r="B93" s="25" t="str">
        <x:v>exact_2020_supplement</x:v>
      </x:c>
      <x:c r="C93" s="33" t="str">
        <x:v>2020 supplement MeanTL</x:v>
      </x:c>
      <x:c r="D93" s="25" t="str">
        <x:v>high</x:v>
      </x:c>
      <x:c r="E93" s="35" t="n">
        <x:v>76</x:v>
      </x:c>
      <x:c r="F93" s="32" t="n">
        <x:v>736975.9296037386</x:v>
      </x:c>
      <x:c r="G93" s="32" t="n">
        <x:v>1592518.0818040827</x:v>
      </x:c>
      <x:c r="H93" s="25" t="n">
        <x:v>147</x:v>
      </x:c>
      <x:c r="I93" s="34" t="n">
        <x:v>0.5170068027210885</x:v>
      </x:c>
      <x:c r="J93" s="34" t="n">
        <x:v>0.4627739791618919</x:v>
      </x:c>
    </x:row>
    <x:row r="94" ht="18" customHeight="1">
      <x:c r="A94" s="25" t="str">
        <x:v>LME_030</x:v>
      </x:c>
      <x:c r="B94" s="25" t="str">
        <x:v>exact_sea_around_us</x:v>
      </x:c>
      <x:c r="C94" s="33" t="str">
        <x:v>Sea Around Us exploited organisms</x:v>
      </x:c>
      <x:c r="D94" s="25" t="str">
        <x:v>high</x:v>
      </x:c>
      <x:c r="E94" s="35" t="n">
        <x:v>140</x:v>
      </x:c>
      <x:c r="F94" s="32" t="n">
        <x:v>514692.6651183495</x:v>
      </x:c>
      <x:c r="G94" s="32" t="n">
        <x:v>794215.4259763142</x:v>
      </x:c>
      <x:c r="H94" s="25" t="n">
        <x:v>272</x:v>
      </x:c>
      <x:c r="I94" s="34" t="n">
        <x:v>0.5147058823529411</x:v>
      </x:c>
      <x:c r="J94" s="34" t="n">
        <x:v>0.6480517102594014</x:v>
      </x:c>
    </x:row>
    <x:row r="95" ht="18" customHeight="1">
      <x:c r="A95" s="25" t="str">
        <x:v>LME_030</x:v>
      </x:c>
      <x:c r="B95" s="25" t="str">
        <x:v>exact_2020_supplement</x:v>
      </x:c>
      <x:c r="C95" s="33" t="str">
        <x:v>2020 supplement MeanTL</x:v>
      </x:c>
      <x:c r="D95" s="25" t="str">
        <x:v>high</x:v>
      </x:c>
      <x:c r="E95" s="35" t="n">
        <x:v>132</x:v>
      </x:c>
      <x:c r="F95" s="32" t="n">
        <x:v>279522.7608579647</x:v>
      </x:c>
      <x:c r="G95" s="32" t="n">
        <x:v>794215.4259763142</x:v>
      </x:c>
      <x:c r="H95" s="25" t="n">
        <x:v>272</x:v>
      </x:c>
      <x:c r="I95" s="34" t="n">
        <x:v>0.4852941176470588</x:v>
      </x:c>
      <x:c r="J95" s="34" t="n">
        <x:v>0.3519482897405985</x:v>
      </x:c>
    </x:row>
    <x:row r="96" ht="18" customHeight="1">
      <x:c r="A96" s="25" t="str">
        <x:v>LME_031</x:v>
      </x:c>
      <x:c r="B96" s="25" t="str">
        <x:v>exact_sea_around_us</x:v>
      </x:c>
      <x:c r="C96" s="33" t="str">
        <x:v>Sea Around Us exploited organisms</x:v>
      </x:c>
      <x:c r="D96" s="25" t="str">
        <x:v>high</x:v>
      </x:c>
      <x:c r="E96" s="35" t="n">
        <x:v>117</x:v>
      </x:c>
      <x:c r="F96" s="32" t="n">
        <x:v>166699.5570868173</x:v>
      </x:c>
      <x:c r="G96" s="32" t="n">
        <x:v>237379.0786316204</x:v>
      </x:c>
      <x:c r="H96" s="25" t="n">
        <x:v>205</x:v>
      </x:c>
      <x:c r="I96" s="34" t="n">
        <x:v>0.5707317073170731</x:v>
      </x:c>
      <x:c r="J96" s="34" t="n">
        <x:v>0.7022504175505375</x:v>
      </x:c>
    </x:row>
    <x:row r="97" ht="18" customHeight="1">
      <x:c r="A97" s="25" t="str">
        <x:v>LME_031</x:v>
      </x:c>
      <x:c r="B97" s="25" t="str">
        <x:v>exact_2020_supplement</x:v>
      </x:c>
      <x:c r="C97" s="33" t="str">
        <x:v>2020 supplement MeanTL</x:v>
      </x:c>
      <x:c r="D97" s="25" t="str">
        <x:v>high</x:v>
      </x:c>
      <x:c r="E97" s="35" t="n">
        <x:v>88</x:v>
      </x:c>
      <x:c r="F97" s="32" t="n">
        <x:v>70679.5215448031</x:v>
      </x:c>
      <x:c r="G97" s="32" t="n">
        <x:v>237379.0786316204</x:v>
      </x:c>
      <x:c r="H97" s="25" t="n">
        <x:v>205</x:v>
      </x:c>
      <x:c r="I97" s="34" t="n">
        <x:v>0.4292682926829268</x:v>
      </x:c>
      <x:c r="J97" s="34" t="n">
        <x:v>0.2977495824494625</x:v>
      </x:c>
    </x:row>
    <x:row r="98" ht="18" customHeight="1">
      <x:c r="A98" s="25" t="str">
        <x:v>LME_032</x:v>
      </x:c>
      <x:c r="B98" s="25" t="str">
        <x:v>exact_sea_around_us</x:v>
      </x:c>
      <x:c r="C98" s="33" t="str">
        <x:v>Sea Around Us exploited organisms</x:v>
      </x:c>
      <x:c r="D98" s="25" t="str">
        <x:v>high</x:v>
      </x:c>
      <x:c r="E98" s="35" t="n">
        <x:v>193</x:v>
      </x:c>
      <x:c r="F98" s="32" t="n">
        <x:v>3023975.798409274</x:v>
      </x:c>
      <x:c r="G98" s="32" t="n">
        <x:v>5436428.793803818</x:v>
      </x:c>
      <x:c r="H98" s="25" t="n">
        <x:v>393</x:v>
      </x:c>
      <x:c r="I98" s="34" t="n">
        <x:v>0.4910941475826972</x:v>
      </x:c>
      <x:c r="J98" s="34" t="n">
        <x:v>0.5562430619630035</x:v>
      </x:c>
    </x:row>
    <x:row r="99" ht="18" customHeight="1">
      <x:c r="A99" s="25" t="str">
        <x:v>LME_032</x:v>
      </x:c>
      <x:c r="B99" s="25" t="str">
        <x:v>exact_2020_supplement</x:v>
      </x:c>
      <x:c r="C99" s="33" t="str">
        <x:v>2020 supplement MeanTL</x:v>
      </x:c>
      <x:c r="D99" s="25" t="str">
        <x:v>high</x:v>
      </x:c>
      <x:c r="E99" s="35" t="n">
        <x:v>200</x:v>
      </x:c>
      <x:c r="F99" s="32" t="n">
        <x:v>2412452.9953945437</x:v>
      </x:c>
      <x:c r="G99" s="32" t="n">
        <x:v>5436428.793803818</x:v>
      </x:c>
      <x:c r="H99" s="25" t="n">
        <x:v>393</x:v>
      </x:c>
      <x:c r="I99" s="34" t="n">
        <x:v>0.5089058524173028</x:v>
      </x:c>
      <x:c r="J99" s="34" t="n">
        <x:v>0.4437569380369964</x:v>
      </x:c>
    </x:row>
    <x:row r="100" ht="18" customHeight="1">
      <x:c r="A100" s="25" t="str">
        <x:v>LME_033</x:v>
      </x:c>
      <x:c r="B100" s="25" t="str">
        <x:v>exact_sea_around_us</x:v>
      </x:c>
      <x:c r="C100" s="33" t="str">
        <x:v>Sea Around Us exploited organisms</x:v>
      </x:c>
      <x:c r="D100" s="25" t="str">
        <x:v>high</x:v>
      </x:c>
      <x:c r="E100" s="35" t="n">
        <x:v>102</x:v>
      </x:c>
      <x:c r="F100" s="32" t="n">
        <x:v>107195.887761954</x:v>
      </x:c>
      <x:c r="G100" s="32" t="n">
        <x:v>147100.3417814472</x:v>
      </x:c>
      <x:c r="H100" s="25" t="n">
        <x:v>193</x:v>
      </x:c>
      <x:c r="I100" s="34" t="n">
        <x:v>0.5284974093264249</x:v>
      </x:c>
      <x:c r="J100" s="34" t="n">
        <x:v>0.7287262997744708</x:v>
      </x:c>
    </x:row>
    <x:row r="101" ht="18" customHeight="1">
      <x:c r="A101" s="25" t="str">
        <x:v>LME_033</x:v>
      </x:c>
      <x:c r="B101" s="25" t="str">
        <x:v>exact_2020_supplement</x:v>
      </x:c>
      <x:c r="C101" s="33" t="str">
        <x:v>2020 supplement MeanTL</x:v>
      </x:c>
      <x:c r="D101" s="25" t="str">
        <x:v>high</x:v>
      </x:c>
      <x:c r="E101" s="35" t="n">
        <x:v>91</x:v>
      </x:c>
      <x:c r="F101" s="32" t="n">
        <x:v>39904.4540194932</x:v>
      </x:c>
      <x:c r="G101" s="32" t="n">
        <x:v>147100.3417814472</x:v>
      </x:c>
      <x:c r="H101" s="25" t="n">
        <x:v>193</x:v>
      </x:c>
      <x:c r="I101" s="34" t="n">
        <x:v>0.47150259067357514</x:v>
      </x:c>
      <x:c r="J101" s="34" t="n">
        <x:v>0.2712737002255292</x:v>
      </x:c>
    </x:row>
    <x:row r="102" ht="18" customHeight="1">
      <x:c r="A102" s="25" t="str">
        <x:v>LME_034</x:v>
      </x:c>
      <x:c r="B102" s="25" t="str">
        <x:v>exact_sea_around_us</x:v>
      </x:c>
      <x:c r="C102" s="33" t="str">
        <x:v>Sea Around Us exploited organisms</x:v>
      </x:c>
      <x:c r="D102" s="25" t="str">
        <x:v>high</x:v>
      </x:c>
      <x:c r="E102" s="35" t="n">
        <x:v>179</x:v>
      </x:c>
      <x:c r="F102" s="32" t="n">
        <x:v>5179539.039041754</x:v>
      </x:c>
      <x:c r="G102" s="32" t="n">
        <x:v>6697725.785375867</x:v>
      </x:c>
      <x:c r="H102" s="25" t="n">
        <x:v>288</x:v>
      </x:c>
      <x:c r="I102" s="34" t="n">
        <x:v>0.6215277777777778</x:v>
      </x:c>
      <x:c r="J102" s="34" t="n">
        <x:v>0.7733280228269431</x:v>
      </x:c>
    </x:row>
    <x:row r="103" ht="18" customHeight="1">
      <x:c r="A103" s="25" t="str">
        <x:v>LME_034</x:v>
      </x:c>
      <x:c r="B103" s="25" t="str">
        <x:v>exact_2020_supplement</x:v>
      </x:c>
      <x:c r="C103" s="33" t="str">
        <x:v>2020 supplement MeanTL</x:v>
      </x:c>
      <x:c r="D103" s="25" t="str">
        <x:v>high</x:v>
      </x:c>
      <x:c r="E103" s="35" t="n">
        <x:v>109</x:v>
      </x:c>
      <x:c r="F103" s="32" t="n">
        <x:v>1518186.7463341132</x:v>
      </x:c>
      <x:c r="G103" s="32" t="n">
        <x:v>6697725.785375867</x:v>
      </x:c>
      <x:c r="H103" s="25" t="n">
        <x:v>288</x:v>
      </x:c>
      <x:c r="I103" s="34" t="n">
        <x:v>0.3784722222222222</x:v>
      </x:c>
      <x:c r="J103" s="34" t="n">
        <x:v>0.2266719771730569</x:v>
      </x:c>
    </x:row>
    <x:row r="104" ht="18" customHeight="1">
      <x:c r="A104" s="25" t="str">
        <x:v>LME_035</x:v>
      </x:c>
      <x:c r="B104" s="25" t="str">
        <x:v>exact_sea_around_us</x:v>
      </x:c>
      <x:c r="C104" s="33" t="str">
        <x:v>Sea Around Us exploited organisms</x:v>
      </x:c>
      <x:c r="D104" s="25" t="str">
        <x:v>high</x:v>
      </x:c>
      <x:c r="E104" s="35" t="n">
        <x:v>145</x:v>
      </x:c>
      <x:c r="F104" s="32" t="n">
        <x:v>2297500.6793667916</x:v>
      </x:c>
      <x:c r="G104" s="32" t="n">
        <x:v>2615825.056861822</x:v>
      </x:c>
      <x:c r="H104" s="25" t="n">
        <x:v>214</x:v>
      </x:c>
      <x:c r="I104" s="34" t="n">
        <x:v>0.677570093457944</x:v>
      </x:c>
      <x:c r="J104" s="34" t="n">
        <x:v>0.8783082314086704</x:v>
      </x:c>
    </x:row>
    <x:row r="105" ht="18" customHeight="1">
      <x:c r="A105" s="25" t="str">
        <x:v>LME_035</x:v>
      </x:c>
      <x:c r="B105" s="25" t="str">
        <x:v>exact_2020_supplement</x:v>
      </x:c>
      <x:c r="C105" s="33" t="str">
        <x:v>2020 supplement MeanTL</x:v>
      </x:c>
      <x:c r="D105" s="25" t="str">
        <x:v>high</x:v>
      </x:c>
      <x:c r="E105" s="35" t="n">
        <x:v>69</x:v>
      </x:c>
      <x:c r="F105" s="32" t="n">
        <x:v>318324.3774950302</x:v>
      </x:c>
      <x:c r="G105" s="32" t="n">
        <x:v>2615825.056861822</x:v>
      </x:c>
      <x:c r="H105" s="25" t="n">
        <x:v>214</x:v>
      </x:c>
      <x:c r="I105" s="34" t="n">
        <x:v>0.32242990654205606</x:v>
      </x:c>
      <x:c r="J105" s="34" t="n">
        <x:v>0.1216917685913295</x:v>
      </x:c>
    </x:row>
    <x:row r="106" ht="18" customHeight="1">
      <x:c r="A106" s="25" t="str">
        <x:v>LME_036</x:v>
      </x:c>
      <x:c r="B106" s="25" t="str">
        <x:v>exact_sea_around_us</x:v>
      </x:c>
      <x:c r="C106" s="33" t="str">
        <x:v>Sea Around Us exploited organisms</x:v>
      </x:c>
      <x:c r="D106" s="25" t="str">
        <x:v>high</x:v>
      </x:c>
      <x:c r="E106" s="35" t="n">
        <x:v>208</x:v>
      </x:c>
      <x:c r="F106" s="32" t="n">
        <x:v>8813719.17838607</x:v>
      </x:c>
      <x:c r="G106" s="32" t="n">
        <x:v>11101666.087778976</x:v>
      </x:c>
      <x:c r="H106" s="25" t="n">
        <x:v>340</x:v>
      </x:c>
      <x:c r="I106" s="34" t="n">
        <x:v>0.611764705882353</x:v>
      </x:c>
      <x:c r="J106" s="34" t="n">
        <x:v>0.7939095905693343</x:v>
      </x:c>
    </x:row>
    <x:row r="107" ht="18" customHeight="1">
      <x:c r="A107" s="25" t="str">
        <x:v>LME_036</x:v>
      </x:c>
      <x:c r="B107" s="25" t="str">
        <x:v>exact_2020_supplement</x:v>
      </x:c>
      <x:c r="C107" s="33" t="str">
        <x:v>2020 supplement MeanTL</x:v>
      </x:c>
      <x:c r="D107" s="25" t="str">
        <x:v>high</x:v>
      </x:c>
      <x:c r="E107" s="35" t="n">
        <x:v>132</x:v>
      </x:c>
      <x:c r="F107" s="32" t="n">
        <x:v>2287946.9093929054</x:v>
      </x:c>
      <x:c r="G107" s="32" t="n">
        <x:v>11101666.087778976</x:v>
      </x:c>
      <x:c r="H107" s="25" t="n">
        <x:v>340</x:v>
      </x:c>
      <x:c r="I107" s="34" t="n">
        <x:v>0.38823529411764707</x:v>
      </x:c>
      <x:c r="J107" s="34" t="n">
        <x:v>0.20609040943066564</x:v>
      </x:c>
    </x:row>
    <x:row r="108" ht="18" customHeight="1">
      <x:c r="A108" s="25" t="str">
        <x:v>LME_037</x:v>
      </x:c>
      <x:c r="B108" s="25" t="str">
        <x:v>exact_sea_around_us</x:v>
      </x:c>
      <x:c r="C108" s="33" t="str">
        <x:v>Sea Around Us exploited organisms</x:v>
      </x:c>
      <x:c r="D108" s="25" t="str">
        <x:v>high</x:v>
      </x:c>
      <x:c r="E108" s="35" t="n">
        <x:v>142</x:v>
      </x:c>
      <x:c r="F108" s="32" t="n">
        <x:v>1057086.8939323956</x:v>
      </x:c>
      <x:c r="G108" s="32" t="n">
        <x:v>1731971.9673227617</x:v>
      </x:c>
      <x:c r="H108" s="25" t="n">
        <x:v>219</x:v>
      </x:c>
      <x:c r="I108" s="34" t="n">
        <x:v>0.6484018264840182</x:v>
      </x:c>
      <x:c r="J108" s="34" t="n">
        <x:v>0.6103371843635632</x:v>
      </x:c>
    </x:row>
    <x:row r="109" ht="18" customHeight="1">
      <x:c r="A109" s="25" t="str">
        <x:v>LME_037</x:v>
      </x:c>
      <x:c r="B109" s="25" t="str">
        <x:v>exact_2020_supplement</x:v>
      </x:c>
      <x:c r="C109" s="33" t="str">
        <x:v>2020 supplement MeanTL</x:v>
      </x:c>
      <x:c r="D109" s="25" t="str">
        <x:v>high</x:v>
      </x:c>
      <x:c r="E109" s="35" t="n">
        <x:v>77</x:v>
      </x:c>
      <x:c r="F109" s="32" t="n">
        <x:v>674885.073390366</x:v>
      </x:c>
      <x:c r="G109" s="32" t="n">
        <x:v>1731971.9673227617</x:v>
      </x:c>
      <x:c r="H109" s="25" t="n">
        <x:v>219</x:v>
      </x:c>
      <x:c r="I109" s="34" t="n">
        <x:v>0.3515981735159817</x:v>
      </x:c>
      <x:c r="J109" s="34" t="n">
        <x:v>0.3896628156364368</x:v>
      </x:c>
    </x:row>
    <x:row r="110" ht="18" customHeight="1">
      <x:c r="A110" s="25" t="str">
        <x:v>LME_038</x:v>
      </x:c>
      <x:c r="B110" s="25" t="str">
        <x:v>exact_sea_around_us</x:v>
      </x:c>
      <x:c r="C110" s="33" t="str">
        <x:v>Sea Around Us exploited organisms</x:v>
      </x:c>
      <x:c r="D110" s="25" t="str">
        <x:v>high</x:v>
      </x:c>
      <x:c r="E110" s="35" t="n">
        <x:v>90</x:v>
      </x:c>
      <x:c r="F110" s="32" t="n">
        <x:v>1944118.6713466921</x:v>
      </x:c>
      <x:c r="G110" s="32" t="n">
        <x:v>2883541.9537540907</x:v>
      </x:c>
      <x:c r="H110" s="25" t="n">
        <x:v>142</x:v>
      </x:c>
      <x:c r="I110" s="34" t="n">
        <x:v>0.6338028169014085</x:v>
      </x:c>
      <x:c r="J110" s="34" t="n">
        <x:v>0.6742120289998343</x:v>
      </x:c>
    </x:row>
    <x:row r="111" ht="18" customHeight="1">
      <x:c r="A111" s="25" t="str">
        <x:v>LME_038</x:v>
      </x:c>
      <x:c r="B111" s="25" t="str">
        <x:v>exact_2020_supplement</x:v>
      </x:c>
      <x:c r="C111" s="33" t="str">
        <x:v>2020 supplement MeanTL</x:v>
      </x:c>
      <x:c r="D111" s="25" t="str">
        <x:v>high</x:v>
      </x:c>
      <x:c r="E111" s="35" t="n">
        <x:v>52</x:v>
      </x:c>
      <x:c r="F111" s="32" t="n">
        <x:v>939423.2824073987</x:v>
      </x:c>
      <x:c r="G111" s="32" t="n">
        <x:v>2883541.9537540907</x:v>
      </x:c>
      <x:c r="H111" s="25" t="n">
        <x:v>142</x:v>
      </x:c>
      <x:c r="I111" s="34" t="n">
        <x:v>0.36619718309859156</x:v>
      </x:c>
      <x:c r="J111" s="34" t="n">
        <x:v>0.32578797100016565</x:v>
      </x:c>
    </x:row>
    <x:row r="112" ht="18" customHeight="1">
      <x:c r="A112" s="25" t="str">
        <x:v>LME_039</x:v>
      </x:c>
      <x:c r="B112" s="25" t="str">
        <x:v>exact_sea_around_us</x:v>
      </x:c>
      <x:c r="C112" s="33" t="str">
        <x:v>Sea Around Us exploited organisms</x:v>
      </x:c>
      <x:c r="D112" s="25" t="str">
        <x:v>high</x:v>
      </x:c>
      <x:c r="E112" s="35" t="n">
        <x:v>217</x:v>
      </x:c>
      <x:c r="F112" s="32" t="n">
        <x:v>25880.7640581048</x:v>
      </x:c>
      <x:c r="G112" s="32" t="n">
        <x:v>44872.4444403339</x:v>
      </x:c>
      <x:c r="H112" s="25" t="n">
        <x:v>452</x:v>
      </x:c>
      <x:c r="I112" s="34" t="n">
        <x:v>0.48008849557522126</x:v>
      </x:c>
      <x:c r="J112" s="34" t="n">
        <x:v>0.5767629640172154</x:v>
      </x:c>
    </x:row>
    <x:row r="113" ht="18" customHeight="1">
      <x:c r="A113" s="25" t="str">
        <x:v>LME_039</x:v>
      </x:c>
      <x:c r="B113" s="25" t="str">
        <x:v>exact_2020_supplement</x:v>
      </x:c>
      <x:c r="C113" s="33" t="str">
        <x:v>2020 supplement MeanTL</x:v>
      </x:c>
      <x:c r="D113" s="25" t="str">
        <x:v>high</x:v>
      </x:c>
      <x:c r="E113" s="35" t="n">
        <x:v>235</x:v>
      </x:c>
      <x:c r="F113" s="32" t="n">
        <x:v>18991.6803822291</x:v>
      </x:c>
      <x:c r="G113" s="32" t="n">
        <x:v>44872.4444403339</x:v>
      </x:c>
      <x:c r="H113" s="25" t="n">
        <x:v>452</x:v>
      </x:c>
      <x:c r="I113" s="34" t="n">
        <x:v>0.5199115044247787</x:v>
      </x:c>
      <x:c r="J113" s="34" t="n">
        <x:v>0.42323703598278456</x:v>
      </x:c>
    </x:row>
    <x:row r="114" ht="18" customHeight="1">
      <x:c r="A114" s="25" t="str">
        <x:v>LME_040</x:v>
      </x:c>
      <x:c r="B114" s="25" t="str">
        <x:v>exact_sea_around_us</x:v>
      </x:c>
      <x:c r="C114" s="33" t="str">
        <x:v>Sea Around Us exploited organisms</x:v>
      </x:c>
      <x:c r="D114" s="25" t="str">
        <x:v>high</x:v>
      </x:c>
      <x:c r="E114" s="35" t="n">
        <x:v>161</x:v>
      </x:c>
      <x:c r="F114" s="32" t="n">
        <x:v>13568.6339577754</x:v>
      </x:c>
      <x:c r="G114" s="32" t="n">
        <x:v>22842.5316976432</x:v>
      </x:c>
      <x:c r="H114" s="25" t="n">
        <x:v>332</x:v>
      </x:c>
      <x:c r="I114" s="34" t="n">
        <x:v>0.48493975903614456</x:v>
      </x:c>
      <x:c r="J114" s="34" t="n">
        <x:v>0.594007447921167</x:v>
      </x:c>
    </x:row>
    <x:row r="115" ht="18" customHeight="1">
      <x:c r="A115" s="25" t="str">
        <x:v>LME_040</x:v>
      </x:c>
      <x:c r="B115" s="25" t="str">
        <x:v>exact_2020_supplement</x:v>
      </x:c>
      <x:c r="C115" s="33" t="str">
        <x:v>2020 supplement MeanTL</x:v>
      </x:c>
      <x:c r="D115" s="25" t="str">
        <x:v>high</x:v>
      </x:c>
      <x:c r="E115" s="35" t="n">
        <x:v>171</x:v>
      </x:c>
      <x:c r="F115" s="32" t="n">
        <x:v>9273.8977398678</x:v>
      </x:c>
      <x:c r="G115" s="32" t="n">
        <x:v>22842.5316976432</x:v>
      </x:c>
      <x:c r="H115" s="25" t="n">
        <x:v>332</x:v>
      </x:c>
      <x:c r="I115" s="34" t="n">
        <x:v>0.5150602409638554</x:v>
      </x:c>
      <x:c r="J115" s="34" t="n">
        <x:v>0.40599255207883295</x:v>
      </x:c>
    </x:row>
    <x:row r="116" ht="18" customHeight="1">
      <x:c r="A116" s="25" t="str">
        <x:v>LME_041</x:v>
      </x:c>
      <x:c r="B116" s="25" t="str">
        <x:v>exact_sea_around_us</x:v>
      </x:c>
      <x:c r="C116" s="33" t="str">
        <x:v>Sea Around Us exploited organisms</x:v>
      </x:c>
      <x:c r="D116" s="25" t="str">
        <x:v>high</x:v>
      </x:c>
      <x:c r="E116" s="35" t="n">
        <x:v>183</x:v>
      </x:c>
      <x:c r="F116" s="32" t="n">
        <x:v>20760.254472359</x:v>
      </x:c>
      <x:c r="G116" s="32" t="n">
        <x:v>39281.0247337031</x:v>
      </x:c>
      <x:c r="H116" s="25" t="n">
        <x:v>382</x:v>
      </x:c>
      <x:c r="I116" s="34" t="n">
        <x:v>0.4790575916230366</x:v>
      </x:c>
      <x:c r="J116" s="34" t="n">
        <x:v>0.528505929086588</x:v>
      </x:c>
    </x:row>
    <x:row r="117" ht="18" customHeight="1">
      <x:c r="A117" s="25" t="str">
        <x:v>LME_041</x:v>
      </x:c>
      <x:c r="B117" s="25" t="str">
        <x:v>exact_2020_supplement</x:v>
      </x:c>
      <x:c r="C117" s="33" t="str">
        <x:v>2020 supplement MeanTL</x:v>
      </x:c>
      <x:c r="D117" s="25" t="str">
        <x:v>high</x:v>
      </x:c>
      <x:c r="E117" s="35" t="n">
        <x:v>199</x:v>
      </x:c>
      <x:c r="F117" s="32" t="n">
        <x:v>18520.7702613441</x:v>
      </x:c>
      <x:c r="G117" s="32" t="n">
        <x:v>39281.0247337031</x:v>
      </x:c>
      <x:c r="H117" s="25" t="n">
        <x:v>382</x:v>
      </x:c>
      <x:c r="I117" s="34" t="n">
        <x:v>0.5209424083769634</x:v>
      </x:c>
      <x:c r="J117" s="34" t="n">
        <x:v>0.47149407091341194</x:v>
      </x:c>
    </x:row>
    <x:row r="118" ht="18" customHeight="1">
      <x:c r="A118" s="25" t="str">
        <x:v>LME_042</x:v>
      </x:c>
      <x:c r="B118" s="25" t="str">
        <x:v>exact_2020_supplement</x:v>
      </x:c>
      <x:c r="C118" s="33" t="str">
        <x:v>2020 supplement MeanTL</x:v>
      </x:c>
      <x:c r="D118" s="25" t="str">
        <x:v>high</x:v>
      </x:c>
      <x:c r="E118" s="35" t="n">
        <x:v>111</x:v>
      </x:c>
      <x:c r="F118" s="32" t="n">
        <x:v>17532.7393653736</x:v>
      </x:c>
      <x:c r="G118" s="32" t="n">
        <x:v>32645.7543579061</x:v>
      </x:c>
      <x:c r="H118" s="25" t="n">
        <x:v>246</x:v>
      </x:c>
      <x:c r="I118" s="34" t="n">
        <x:v>0.45121951219512196</x:v>
      </x:c>
      <x:c r="J118" s="34" t="n">
        <x:v>0.5370603225508724</x:v>
      </x:c>
    </x:row>
    <x:row r="119" ht="18" customHeight="1">
      <x:c r="A119" s="25" t="str">
        <x:v>LME_042</x:v>
      </x:c>
      <x:c r="B119" s="25" t="str">
        <x:v>exact_sea_around_us</x:v>
      </x:c>
      <x:c r="C119" s="33" t="str">
        <x:v>Sea Around Us exploited organisms</x:v>
      </x:c>
      <x:c r="D119" s="25" t="str">
        <x:v>high</x:v>
      </x:c>
      <x:c r="E119" s="35" t="n">
        <x:v>135</x:v>
      </x:c>
      <x:c r="F119" s="32" t="n">
        <x:v>15113.0149925325</x:v>
      </x:c>
      <x:c r="G119" s="32" t="n">
        <x:v>32645.7543579061</x:v>
      </x:c>
      <x:c r="H119" s="25" t="n">
        <x:v>246</x:v>
      </x:c>
      <x:c r="I119" s="34" t="n">
        <x:v>0.5487804878048781</x:v>
      </x:c>
      <x:c r="J119" s="34" t="n">
        <x:v>0.46293967744912756</x:v>
      </x:c>
    </x:row>
    <x:row r="120" ht="18" customHeight="1">
      <x:c r="A120" s="25" t="str">
        <x:v>LME_043</x:v>
      </x:c>
      <x:c r="B120" s="25" t="str">
        <x:v>exact_2020_supplement</x:v>
      </x:c>
      <x:c r="C120" s="33" t="str">
        <x:v>2020 supplement MeanTL</x:v>
      </x:c>
      <x:c r="D120" s="25" t="str">
        <x:v>high</x:v>
      </x:c>
      <x:c r="E120" s="35" t="n">
        <x:v>111</x:v>
      </x:c>
      <x:c r="F120" s="32" t="n">
        <x:v>18686.7969428345</x:v>
      </x:c>
      <x:c r="G120" s="32" t="n">
        <x:v>30450.9174249122</x:v>
      </x:c>
      <x:c r="H120" s="25" t="n">
        <x:v>245</x:v>
      </x:c>
      <x:c r="I120" s="34" t="n">
        <x:v>0.4530612244897959</x:v>
      </x:c>
      <x:c r="J120" s="34" t="n">
        <x:v>0.61366942355394</x:v>
      </x:c>
    </x:row>
    <x:row r="121" ht="18" customHeight="1">
      <x:c r="A121" s="25" t="str">
        <x:v>LME_043</x:v>
      </x:c>
      <x:c r="B121" s="25" t="str">
        <x:v>exact_sea_around_us</x:v>
      </x:c>
      <x:c r="C121" s="33" t="str">
        <x:v>Sea Around Us exploited organisms</x:v>
      </x:c>
      <x:c r="D121" s="25" t="str">
        <x:v>high</x:v>
      </x:c>
      <x:c r="E121" s="35" t="n">
        <x:v>134</x:v>
      </x:c>
      <x:c r="F121" s="32" t="n">
        <x:v>11764.1204820777</x:v>
      </x:c>
      <x:c r="G121" s="32" t="n">
        <x:v>30450.9174249122</x:v>
      </x:c>
      <x:c r="H121" s="25" t="n">
        <x:v>245</x:v>
      </x:c>
      <x:c r="I121" s="34" t="n">
        <x:v>0.5469387755102041</x:v>
      </x:c>
      <x:c r="J121" s="34" t="n">
        <x:v>0.3863305764460599</x:v>
      </x:c>
    </x:row>
    <x:row r="122" ht="18" customHeight="1">
      <x:c r="A122" s="25" t="str">
        <x:v>LME_044</x:v>
      </x:c>
      <x:c r="B122" s="25" t="str">
        <x:v>exact_sea_around_us</x:v>
      </x:c>
      <x:c r="C122" s="33" t="str">
        <x:v>Sea Around Us exploited organisms</x:v>
      </x:c>
      <x:c r="D122" s="25" t="str">
        <x:v>high</x:v>
      </x:c>
      <x:c r="E122" s="35" t="n">
        <x:v>194</x:v>
      </x:c>
      <x:c r="F122" s="32" t="n">
        <x:v>13664.710434395</x:v>
      </x:c>
      <x:c r="G122" s="32" t="n">
        <x:v>19839.0729312876</x:v>
      </x:c>
      <x:c r="H122" s="25" t="n">
        <x:v>411</x:v>
      </x:c>
      <x:c r="I122" s="34" t="n">
        <x:v>0.4720194647201946</x:v>
      </x:c>
      <x:c r="J122" s="34" t="n">
        <x:v>0.6887776702934943</x:v>
      </x:c>
    </x:row>
    <x:row r="123" ht="18" customHeight="1">
      <x:c r="A123" s="25" t="str">
        <x:v>LME_044</x:v>
      </x:c>
      <x:c r="B123" s="25" t="str">
        <x:v>exact_2020_supplement</x:v>
      </x:c>
      <x:c r="C123" s="33" t="str">
        <x:v>2020 supplement MeanTL</x:v>
      </x:c>
      <x:c r="D123" s="25" t="str">
        <x:v>high</x:v>
      </x:c>
      <x:c r="E123" s="35" t="n">
        <x:v>217</x:v>
      </x:c>
      <x:c r="F123" s="32" t="n">
        <x:v>6174.3624968926</x:v>
      </x:c>
      <x:c r="G123" s="32" t="n">
        <x:v>19839.0729312876</x:v>
      </x:c>
      <x:c r="H123" s="25" t="n">
        <x:v>411</x:v>
      </x:c>
      <x:c r="I123" s="34" t="n">
        <x:v>0.5279805352798054</x:v>
      </x:c>
      <x:c r="J123" s="34" t="n">
        <x:v>0.3112223297065056</x:v>
      </x:c>
    </x:row>
    <x:row r="124" ht="18" customHeight="1">
      <x:c r="A124" s="25" t="str">
        <x:v>LME_045</x:v>
      </x:c>
      <x:c r="B124" s="25" t="str">
        <x:v>exact_2020_supplement</x:v>
      </x:c>
      <x:c r="C124" s="33" t="str">
        <x:v>2020 supplement MeanTL</x:v>
      </x:c>
      <x:c r="D124" s="25" t="str">
        <x:v>high</x:v>
      </x:c>
      <x:c r="E124" s="35" t="n">
        <x:v>211</x:v>
      </x:c>
      <x:c r="F124" s="32" t="n">
        <x:v>25041.116485450002</x:v>
      </x:c>
      <x:c r="G124" s="32" t="n">
        <x:v>44647.944981429304</x:v>
      </x:c>
      <x:c r="H124" s="25" t="n">
        <x:v>410</x:v>
      </x:c>
      <x:c r="I124" s="34" t="n">
        <x:v>0.5146341463414634</x:v>
      </x:c>
      <x:c r="J124" s="34" t="n">
        <x:v>0.5608570897465831</x:v>
      </x:c>
    </x:row>
    <x:row r="125" ht="18" customHeight="1">
      <x:c r="A125" s="25" t="str">
        <x:v>LME_045</x:v>
      </x:c>
      <x:c r="B125" s="25" t="str">
        <x:v>exact_sea_around_us</x:v>
      </x:c>
      <x:c r="C125" s="33" t="str">
        <x:v>Sea Around Us exploited organisms</x:v>
      </x:c>
      <x:c r="D125" s="25" t="str">
        <x:v>high</x:v>
      </x:c>
      <x:c r="E125" s="35" t="n">
        <x:v>199</x:v>
      </x:c>
      <x:c r="F125" s="32" t="n">
        <x:v>19606.828495979298</x:v>
      </x:c>
      <x:c r="G125" s="32" t="n">
        <x:v>44647.944981429304</x:v>
      </x:c>
      <x:c r="H125" s="25" t="n">
        <x:v>410</x:v>
      </x:c>
      <x:c r="I125" s="34" t="n">
        <x:v>0.4853658536585366</x:v>
      </x:c>
      <x:c r="J125" s="34" t="n">
        <x:v>0.4391429102534168</x:v>
      </x:c>
    </x:row>
    <x:row r="126" ht="18" customHeight="1">
      <x:c r="A126" s="25" t="str">
        <x:v>LME_046</x:v>
      </x:c>
      <x:c r="B126" s="25" t="str">
        <x:v>exact_2020_supplement</x:v>
      </x:c>
      <x:c r="C126" s="33" t="str">
        <x:v>2020 supplement MeanTL</x:v>
      </x:c>
      <x:c r="D126" s="25" t="str">
        <x:v>high</x:v>
      </x:c>
      <x:c r="E126" s="35" t="n">
        <x:v>87</x:v>
      </x:c>
      <x:c r="F126" s="32" t="n">
        <x:v>280158.3272979933</x:v>
      </x:c>
      <x:c r="G126" s="32" t="n">
        <x:v>431127.7771667331</x:v>
      </x:c>
      <x:c r="H126" s="25" t="n">
        <x:v>197</x:v>
      </x:c>
      <x:c r="I126" s="34" t="n">
        <x:v>0.4416243654822335</x:v>
      </x:c>
      <x:c r="J126" s="34" t="n">
        <x:v>0.6498266688802231</x:v>
      </x:c>
    </x:row>
    <x:row r="127" ht="18" customHeight="1">
      <x:c r="A127" s="25" t="str">
        <x:v>LME_046</x:v>
      </x:c>
      <x:c r="B127" s="25" t="str">
        <x:v>exact_sea_around_us</x:v>
      </x:c>
      <x:c r="C127" s="33" t="str">
        <x:v>Sea Around Us exploited organisms</x:v>
      </x:c>
      <x:c r="D127" s="25" t="str">
        <x:v>high</x:v>
      </x:c>
      <x:c r="E127" s="35" t="n">
        <x:v>110</x:v>
      </x:c>
      <x:c r="F127" s="32" t="n">
        <x:v>150969.4498687398</x:v>
      </x:c>
      <x:c r="G127" s="32" t="n">
        <x:v>431127.7771667331</x:v>
      </x:c>
      <x:c r="H127" s="25" t="n">
        <x:v>197</x:v>
      </x:c>
      <x:c r="I127" s="34" t="n">
        <x:v>0.5583756345177665</x:v>
      </x:c>
      <x:c r="J127" s="34" t="n">
        <x:v>0.35017333111977683</x:v>
      </x:c>
    </x:row>
    <x:row r="128" ht="18" customHeight="1">
      <x:c r="A128" s="25" t="str">
        <x:v>LME_047</x:v>
      </x:c>
      <x:c r="B128" s="25" t="str">
        <x:v>exact_sea_around_us</x:v>
      </x:c>
      <x:c r="C128" s="33" t="str">
        <x:v>Sea Around Us exploited organisms</x:v>
      </x:c>
      <x:c r="D128" s="25" t="str">
        <x:v>high</x:v>
      </x:c>
      <x:c r="E128" s="35" t="n">
        <x:v>160</x:v>
      </x:c>
      <x:c r="F128" s="32" t="n">
        <x:v>2860946.2095963345</x:v>
      </x:c>
      <x:c r="G128" s="32" t="n">
        <x:v>5649829.984210193</x:v>
      </x:c>
      <x:c r="H128" s="25" t="n">
        <x:v>254</x:v>
      </x:c>
      <x:c r="I128" s="34" t="n">
        <x:v>0.6299212598425197</x:v>
      </x:c>
      <x:c r="J128" s="34" t="n">
        <x:v>0.5063773985397677</x:v>
      </x:c>
    </x:row>
    <x:row r="129" ht="18" customHeight="1">
      <x:c r="A129" s="25" t="str">
        <x:v>LME_047</x:v>
      </x:c>
      <x:c r="B129" s="25" t="str">
        <x:v>exact_2020_supplement</x:v>
      </x:c>
      <x:c r="C129" s="33" t="str">
        <x:v>2020 supplement MeanTL</x:v>
      </x:c>
      <x:c r="D129" s="25" t="str">
        <x:v>high</x:v>
      </x:c>
      <x:c r="E129" s="35" t="n">
        <x:v>94</x:v>
      </x:c>
      <x:c r="F129" s="32" t="n">
        <x:v>2788883.7746138587</x:v>
      </x:c>
      <x:c r="G129" s="32" t="n">
        <x:v>5649829.984210193</x:v>
      </x:c>
      <x:c r="H129" s="25" t="n">
        <x:v>254</x:v>
      </x:c>
      <x:c r="I129" s="34" t="n">
        <x:v>0.3700787401574803</x:v>
      </x:c>
      <x:c r="J129" s="34" t="n">
        <x:v>0.4936226014602323</x:v>
      </x:c>
    </x:row>
    <x:row r="130" ht="18" customHeight="1">
      <x:c r="A130" s="25" t="str">
        <x:v>LME_048</x:v>
      </x:c>
      <x:c r="B130" s="25" t="str">
        <x:v>exact_sea_around_us</x:v>
      </x:c>
      <x:c r="C130" s="33" t="str">
        <x:v>Sea Around Us exploited organisms</x:v>
      </x:c>
      <x:c r="D130" s="25" t="str">
        <x:v>high</x:v>
      </x:c>
      <x:c r="E130" s="35" t="n">
        <x:v>122</x:v>
      </x:c>
      <x:c r="F130" s="32" t="n">
        <x:v>1611687.8018338387</x:v>
      </x:c>
      <x:c r="G130" s="32" t="n">
        <x:v>2658977.968899307</x:v>
      </x:c>
      <x:c r="H130" s="25" t="n">
        <x:v>175</x:v>
      </x:c>
      <x:c r="I130" s="34" t="n">
        <x:v>0.6971428571428572</x:v>
      </x:c>
      <x:c r="J130" s="34" t="n">
        <x:v>0.6061305586901882</x:v>
      </x:c>
    </x:row>
    <x:row r="131" ht="18" customHeight="1">
      <x:c r="A131" s="25" t="str">
        <x:v>LME_048</x:v>
      </x:c>
      <x:c r="B131" s="25" t="str">
        <x:v>exact_2020_supplement</x:v>
      </x:c>
      <x:c r="C131" s="33" t="str">
        <x:v>2020 supplement MeanTL</x:v>
      </x:c>
      <x:c r="D131" s="25" t="str">
        <x:v>high</x:v>
      </x:c>
      <x:c r="E131" s="35" t="n">
        <x:v>53</x:v>
      </x:c>
      <x:c r="F131" s="32" t="n">
        <x:v>1047290.1670654682</x:v>
      </x:c>
      <x:c r="G131" s="32" t="n">
        <x:v>2658977.968899307</x:v>
      </x:c>
      <x:c r="H131" s="25" t="n">
        <x:v>175</x:v>
      </x:c>
      <x:c r="I131" s="34" t="n">
        <x:v>0.3028571428571429</x:v>
      </x:c>
      <x:c r="J131" s="34" t="n">
        <x:v>0.39386944130981183</x:v>
      </x:c>
    </x:row>
    <x:row r="132" ht="18" customHeight="1">
      <x:c r="A132" s="25" t="str">
        <x:v>LME_049</x:v>
      </x:c>
      <x:c r="B132" s="25" t="str">
        <x:v>exact_sea_around_us</x:v>
      </x:c>
      <x:c r="C132" s="33" t="str">
        <x:v>Sea Around Us exploited organisms</x:v>
      </x:c>
      <x:c r="D132" s="25" t="str">
        <x:v>high</x:v>
      </x:c>
      <x:c r="E132" s="35" t="n">
        <x:v>140</x:v>
      </x:c>
      <x:c r="F132" s="32" t="n">
        <x:v>1737369.3964359923</x:v>
      </x:c>
      <x:c r="G132" s="32" t="n">
        <x:v>3090456.2651244747</x:v>
      </x:c>
      <x:c r="H132" s="25" t="n">
        <x:v>229</x:v>
      </x:c>
      <x:c r="I132" s="34" t="n">
        <x:v>0.611353711790393</x:v>
      </x:c>
      <x:c r="J132" s="34" t="n">
        <x:v>0.5621724584948999</x:v>
      </x:c>
    </x:row>
    <x:row r="133" ht="18" customHeight="1">
      <x:c r="A133" s="25" t="str">
        <x:v>LME_049</x:v>
      </x:c>
      <x:c r="B133" s="25" t="str">
        <x:v>exact_2020_supplement</x:v>
      </x:c>
      <x:c r="C133" s="33" t="str">
        <x:v>2020 supplement MeanTL</x:v>
      </x:c>
      <x:c r="D133" s="25" t="str">
        <x:v>high</x:v>
      </x:c>
      <x:c r="E133" s="35" t="n">
        <x:v>89</x:v>
      </x:c>
      <x:c r="F133" s="32" t="n">
        <x:v>1353086.868688482</x:v>
      </x:c>
      <x:c r="G133" s="32" t="n">
        <x:v>3090456.2651244747</x:v>
      </x:c>
      <x:c r="H133" s="25" t="n">
        <x:v>229</x:v>
      </x:c>
      <x:c r="I133" s="34" t="n">
        <x:v>0.388646288209607</x:v>
      </x:c>
      <x:c r="J133" s="34" t="n">
        <x:v>0.43782754150509995</x:v>
      </x:c>
    </x:row>
    <x:row r="134" ht="18" customHeight="1">
      <x:c r="A134" s="25" t="str">
        <x:v>LME_050</x:v>
      </x:c>
      <x:c r="B134" s="25" t="str">
        <x:v>exact_sea_around_us</x:v>
      </x:c>
      <x:c r="C134" s="33" t="str">
        <x:v>Sea Around Us exploited organisms</x:v>
      </x:c>
      <x:c r="D134" s="25" t="str">
        <x:v>high</x:v>
      </x:c>
      <x:c r="E134" s="35" t="n">
        <x:v>138</x:v>
      </x:c>
      <x:c r="F134" s="32" t="n">
        <x:v>1538340.3968175815</x:v>
      </x:c>
      <x:c r="G134" s="32" t="n">
        <x:v>2586941.83669577</x:v>
      </x:c>
      <x:c r="H134" s="25" t="n">
        <x:v>218</x:v>
      </x:c>
      <x:c r="I134" s="34" t="n">
        <x:v>0.6330275229357798</x:v>
      </x:c>
      <x:c r="J134" s="34" t="n">
        <x:v>0.5946559659734993</x:v>
      </x:c>
    </x:row>
    <x:row r="135" ht="18" customHeight="1">
      <x:c r="A135" s="25" t="str">
        <x:v>LME_050</x:v>
      </x:c>
      <x:c r="B135" s="25" t="str">
        <x:v>exact_2020_supplement</x:v>
      </x:c>
      <x:c r="C135" s="33" t="str">
        <x:v>2020 supplement MeanTL</x:v>
      </x:c>
      <x:c r="D135" s="25" t="str">
        <x:v>high</x:v>
      </x:c>
      <x:c r="E135" s="35" t="n">
        <x:v>80</x:v>
      </x:c>
      <x:c r="F135" s="32" t="n">
        <x:v>1048601.4398781885</x:v>
      </x:c>
      <x:c r="G135" s="32" t="n">
        <x:v>2586941.83669577</x:v>
      </x:c>
      <x:c r="H135" s="25" t="n">
        <x:v>218</x:v>
      </x:c>
      <x:c r="I135" s="34" t="n">
        <x:v>0.3669724770642202</x:v>
      </x:c>
      <x:c r="J135" s="34" t="n">
        <x:v>0.40534403402650077</x:v>
      </x:c>
    </x:row>
    <x:row r="136" ht="18" customHeight="1">
      <x:c r="A136" s="25" t="str">
        <x:v>LME_051</x:v>
      </x:c>
      <x:c r="B136" s="25" t="str">
        <x:v>exact_sea_around_us</x:v>
      </x:c>
      <x:c r="C136" s="33" t="str">
        <x:v>Sea Around Us exploited organisms</x:v>
      </x:c>
      <x:c r="D136" s="25" t="str">
        <x:v>high</x:v>
      </x:c>
      <x:c r="E136" s="35" t="n">
        <x:v>92</x:v>
      </x:c>
      <x:c r="F136" s="32" t="n">
        <x:v>786705.2140325026</x:v>
      </x:c>
      <x:c r="G136" s="32" t="n">
        <x:v>1092021.837449823</x:v>
      </x:c>
      <x:c r="H136" s="25" t="n">
        <x:v>143</x:v>
      </x:c>
      <x:c r="I136" s="34" t="n">
        <x:v>0.6433566433566433</x:v>
      </x:c>
      <x:c r="J136" s="34" t="n">
        <x:v>0.7204116136264085</x:v>
      </x:c>
    </x:row>
    <x:row r="137" ht="18" customHeight="1">
      <x:c r="A137" s="25" t="str">
        <x:v>LME_051</x:v>
      </x:c>
      <x:c r="B137" s="25" t="str">
        <x:v>exact_2020_supplement</x:v>
      </x:c>
      <x:c r="C137" s="33" t="str">
        <x:v>2020 supplement MeanTL</x:v>
      </x:c>
      <x:c r="D137" s="25" t="str">
        <x:v>high</x:v>
      </x:c>
      <x:c r="E137" s="35" t="n">
        <x:v>51</x:v>
      </x:c>
      <x:c r="F137" s="32" t="n">
        <x:v>305316.6234173204</x:v>
      </x:c>
      <x:c r="G137" s="32" t="n">
        <x:v>1092021.837449823</x:v>
      </x:c>
      <x:c r="H137" s="25" t="n">
        <x:v>143</x:v>
      </x:c>
      <x:c r="I137" s="34" t="n">
        <x:v>0.35664335664335667</x:v>
      </x:c>
      <x:c r="J137" s="34" t="n">
        <x:v>0.27958838637359146</x:v>
      </x:c>
    </x:row>
    <x:row r="138" ht="18" customHeight="1">
      <x:c r="A138" s="25" t="str">
        <x:v>LME_052</x:v>
      </x:c>
      <x:c r="B138" s="25" t="str">
        <x:v>exact_sea_around_us</x:v>
      </x:c>
      <x:c r="C138" s="33" t="str">
        <x:v>Sea Around Us exploited organisms</x:v>
      </x:c>
      <x:c r="D138" s="25" t="str">
        <x:v>high</x:v>
      </x:c>
      <x:c r="E138" s="35" t="n">
        <x:v>84</x:v>
      </x:c>
      <x:c r="F138" s="32" t="n">
        <x:v>3826894.734182435</x:v>
      </x:c>
      <x:c r="G138" s="32" t="n">
        <x:v>4800852.125625119</x:v>
      </x:c>
      <x:c r="H138" s="25" t="n">
        <x:v>131</x:v>
      </x:c>
      <x:c r="I138" s="34" t="n">
        <x:v>0.6412213740458015</x:v>
      </x:c>
      <x:c r="J138" s="34" t="n">
        <x:v>0.7971282251656804</x:v>
      </x:c>
    </x:row>
    <x:row r="139" ht="18" customHeight="1">
      <x:c r="A139" s="25" t="str">
        <x:v>LME_052</x:v>
      </x:c>
      <x:c r="B139" s="25" t="str">
        <x:v>exact_2020_supplement</x:v>
      </x:c>
      <x:c r="C139" s="33" t="str">
        <x:v>2020 supplement MeanTL</x:v>
      </x:c>
      <x:c r="D139" s="25" t="str">
        <x:v>high</x:v>
      </x:c>
      <x:c r="E139" s="35" t="n">
        <x:v>47</x:v>
      </x:c>
      <x:c r="F139" s="32" t="n">
        <x:v>973957.3914426834</x:v>
      </x:c>
      <x:c r="G139" s="32" t="n">
        <x:v>4800852.125625119</x:v>
      </x:c>
      <x:c r="H139" s="25" t="n">
        <x:v>131</x:v>
      </x:c>
      <x:c r="I139" s="34" t="n">
        <x:v>0.35877862595419846</x:v>
      </x:c>
      <x:c r="J139" s="34" t="n">
        <x:v>0.20287177483431953</x:v>
      </x:c>
    </x:row>
    <x:row r="140" ht="18" customHeight="1">
      <x:c r="A140" s="25" t="str">
        <x:v>LME_053</x:v>
      </x:c>
      <x:c r="B140" s="25" t="str">
        <x:v>exact_sea_around_us</x:v>
      </x:c>
      <x:c r="C140" s="33" t="str">
        <x:v>Sea Around Us exploited organisms</x:v>
      </x:c>
      <x:c r="D140" s="25" t="str">
        <x:v>high</x:v>
      </x:c>
      <x:c r="E140" s="35" t="n">
        <x:v>39</x:v>
      </x:c>
      <x:c r="F140" s="32" t="n">
        <x:v>517378.1147917534</x:v>
      </x:c>
      <x:c r="G140" s="32" t="n">
        <x:v>705687.5220776038</x:v>
      </x:c>
      <x:c r="H140" s="25" t="n">
        <x:v>63</x:v>
      </x:c>
      <x:c r="I140" s="34" t="n">
        <x:v>0.6190476190476191</x:v>
      </x:c>
      <x:c r="J140" s="34" t="n">
        <x:v>0.7331546875996169</x:v>
      </x:c>
    </x:row>
    <x:row r="141" ht="18" customHeight="1">
      <x:c r="A141" s="25" t="str">
        <x:v>LME_053</x:v>
      </x:c>
      <x:c r="B141" s="25" t="str">
        <x:v>exact_2020_supplement</x:v>
      </x:c>
      <x:c r="C141" s="33" t="str">
        <x:v>2020 supplement MeanTL</x:v>
      </x:c>
      <x:c r="D141" s="25" t="str">
        <x:v>high</x:v>
      </x:c>
      <x:c r="E141" s="35" t="n">
        <x:v>24</x:v>
      </x:c>
      <x:c r="F141" s="32" t="n">
        <x:v>188309.4072858504</x:v>
      </x:c>
      <x:c r="G141" s="32" t="n">
        <x:v>705687.5220776038</x:v>
      </x:c>
      <x:c r="H141" s="25" t="n">
        <x:v>63</x:v>
      </x:c>
      <x:c r="I141" s="34" t="n">
        <x:v>0.38095238095238093</x:v>
      </x:c>
      <x:c r="J141" s="34" t="n">
        <x:v>0.26684531240038306</x:v>
      </x:c>
    </x:row>
    <x:row r="142" ht="18" customHeight="1">
      <x:c r="A142" s="25" t="str">
        <x:v>LME_054</x:v>
      </x:c>
      <x:c r="B142" s="25" t="str">
        <x:v>exact_sea_around_us</x:v>
      </x:c>
      <x:c r="C142" s="33" t="str">
        <x:v>Sea Around Us exploited organisms</x:v>
      </x:c>
      <x:c r="D142" s="25" t="str">
        <x:v>high</x:v>
      </x:c>
      <x:c r="E142" s="35" t="n">
        <x:v>52</x:v>
      </x:c>
      <x:c r="F142" s="32" t="n">
        <x:v>280191.1913609018</x:v>
      </x:c>
      <x:c r="G142" s="32" t="n">
        <x:v>348828.221273396</x:v>
      </x:c>
      <x:c r="H142" s="25" t="n">
        <x:v>93</x:v>
      </x:c>
      <x:c r="I142" s="34" t="n">
        <x:v>0.5591397849462365</x:v>
      </x:c>
      <x:c r="J142" s="34" t="n">
        <x:v>0.8032354444777002</x:v>
      </x:c>
    </x:row>
    <x:row r="143" ht="18" customHeight="1">
      <x:c r="A143" s="25" t="str">
        <x:v>LME_054</x:v>
      </x:c>
      <x:c r="B143" s="25" t="str">
        <x:v>exact_2020_supplement</x:v>
      </x:c>
      <x:c r="C143" s="33" t="str">
        <x:v>2020 supplement MeanTL</x:v>
      </x:c>
      <x:c r="D143" s="25" t="str">
        <x:v>high</x:v>
      </x:c>
      <x:c r="E143" s="35" t="n">
        <x:v>41</x:v>
      </x:c>
      <x:c r="F143" s="32" t="n">
        <x:v>68637.0299124942</x:v>
      </x:c>
      <x:c r="G143" s="32" t="n">
        <x:v>348828.221273396</x:v>
      </x:c>
      <x:c r="H143" s="25" t="n">
        <x:v>93</x:v>
      </x:c>
      <x:c r="I143" s="34" t="n">
        <x:v>0.44086021505376344</x:v>
      </x:c>
      <x:c r="J143" s="34" t="n">
        <x:v>0.19676455552229977</x:v>
      </x:c>
    </x:row>
    <x:row r="144" ht="18" customHeight="1">
      <x:c r="A144" s="25" t="str">
        <x:v>LME_055</x:v>
      </x:c>
      <x:c r="B144" s="25" t="str">
        <x:v>exact_sea_around_us</x:v>
      </x:c>
      <x:c r="C144" s="33" t="str">
        <x:v>Sea Around Us exploited organisms</x:v>
      </x:c>
      <x:c r="D144" s="25" t="str">
        <x:v>high</x:v>
      </x:c>
      <x:c r="E144" s="35" t="n">
        <x:v>8</x:v>
      </x:c>
      <x:c r="F144" s="32" t="n">
        <x:v>175.1248022034</x:v>
      </x:c>
      <x:c r="G144" s="32" t="n">
        <x:v>212.78852302800001</x:v>
      </x:c>
      <x:c r="H144" s="25" t="n">
        <x:v>19</x:v>
      </x:c>
      <x:c r="I144" s="34" t="n">
        <x:v>0.42105263157894735</x:v>
      </x:c>
      <x:c r="J144" s="34" t="n">
        <x:v>0.8229992845072571</x:v>
      </x:c>
    </x:row>
    <x:row r="145" ht="18" customHeight="1">
      <x:c r="A145" s="25" t="str">
        <x:v>LME_055</x:v>
      </x:c>
      <x:c r="B145" s="25" t="str">
        <x:v>exact_2020_supplement</x:v>
      </x:c>
      <x:c r="C145" s="33" t="str">
        <x:v>2020 supplement MeanTL</x:v>
      </x:c>
      <x:c r="D145" s="25" t="str">
        <x:v>high</x:v>
      </x:c>
      <x:c r="E145" s="35" t="n">
        <x:v>11</x:v>
      </x:c>
      <x:c r="F145" s="32" t="n">
        <x:v>37.6637208246</x:v>
      </x:c>
      <x:c r="G145" s="32" t="n">
        <x:v>212.78852302800001</x:v>
      </x:c>
      <x:c r="H145" s="25" t="n">
        <x:v>19</x:v>
      </x:c>
      <x:c r="I145" s="34" t="n">
        <x:v>0.5789473684210527</x:v>
      </x:c>
      <x:c r="J145" s="34" t="n">
        <x:v>0.17700071549274288</x:v>
      </x:c>
    </x:row>
    <x:row r="146" ht="18" customHeight="1">
      <x:c r="A146" s="25" t="str">
        <x:v>LME_056</x:v>
      </x:c>
      <x:c r="B146" s="25" t="str">
        <x:v>exact_2020_supplement</x:v>
      </x:c>
      <x:c r="C146" s="33" t="str">
        <x:v>2020 supplement MeanTL</x:v>
      </x:c>
      <x:c r="D146" s="25" t="str">
        <x:v>high</x:v>
      </x:c>
      <x:c r="E146" s="35" t="n">
        <x:v>2</x:v>
      </x:c>
      <x:c r="F146" s="32" t="n">
        <x:v>818.6706854780999</x:v>
      </x:c>
      <x:c r="G146" s="32" t="n">
        <x:v>1304.0687744917</x:v>
      </x:c>
      <x:c r="H146" s="25" t="n">
        <x:v>4</x:v>
      </x:c>
      <x:c r="I146" s="34" t="n">
        <x:v>0.5</x:v>
      </x:c>
      <x:c r="J146" s="34" t="n">
        <x:v>0.6277818329000335</x:v>
      </x:c>
    </x:row>
    <x:row r="147" ht="18" customHeight="1">
      <x:c r="A147" s="25" t="str">
        <x:v>LME_056</x:v>
      </x:c>
      <x:c r="B147" s="25" t="str">
        <x:v>exact_sea_around_us</x:v>
      </x:c>
      <x:c r="C147" s="33" t="str">
        <x:v>Sea Around Us exploited organisms</x:v>
      </x:c>
      <x:c r="D147" s="25" t="str">
        <x:v>high</x:v>
      </x:c>
      <x:c r="E147" s="35" t="n">
        <x:v>2</x:v>
      </x:c>
      <x:c r="F147" s="32" t="n">
        <x:v>485.39808901360004</x:v>
      </x:c>
      <x:c r="G147" s="32" t="n">
        <x:v>1304.0687744917</x:v>
      </x:c>
      <x:c r="H147" s="25" t="n">
        <x:v>4</x:v>
      </x:c>
      <x:c r="I147" s="34" t="n">
        <x:v>0.5</x:v>
      </x:c>
      <x:c r="J147" s="34" t="n">
        <x:v>0.37221816709996647</x:v>
      </x:c>
    </x:row>
    <x:row r="148" ht="18" customHeight="1">
      <x:c r="A148" s="25" t="str">
        <x:v>LME_057</x:v>
      </x:c>
      <x:c r="B148" s="25" t="str">
        <x:v>exact_sea_around_us</x:v>
      </x:c>
      <x:c r="C148" s="33" t="str">
        <x:v>Sea Around Us exploited organisms</x:v>
      </x:c>
      <x:c r="D148" s="25" t="str">
        <x:v>high</x:v>
      </x:c>
      <x:c r="E148" s="35" t="n">
        <x:v>3</x:v>
      </x:c>
      <x:c r="F148" s="32" t="n">
        <x:v>1803.0208838031</x:v>
      </x:c>
      <x:c r="G148" s="32" t="n">
        <x:v>2616.1834162357</x:v>
      </x:c>
      <x:c r="H148" s="25" t="n">
        <x:v>5</x:v>
      </x:c>
      <x:c r="I148" s="34" t="n">
        <x:v>0.6</x:v>
      </x:c>
      <x:c r="J148" s="34" t="n">
        <x:v>0.6891798459594931</x:v>
      </x:c>
    </x:row>
    <x:row r="149" ht="18" customHeight="1">
      <x:c r="A149" s="25" t="str">
        <x:v>LME_057</x:v>
      </x:c>
      <x:c r="B149" s="25" t="str">
        <x:v>exact_2020_supplement</x:v>
      </x:c>
      <x:c r="C149" s="33" t="str">
        <x:v>2020 supplement MeanTL</x:v>
      </x:c>
      <x:c r="D149" s="25" t="str">
        <x:v>high</x:v>
      </x:c>
      <x:c r="E149" s="35" t="n">
        <x:v>2</x:v>
      </x:c>
      <x:c r="F149" s="32" t="n">
        <x:v>813.1625324326</x:v>
      </x:c>
      <x:c r="G149" s="32" t="n">
        <x:v>2616.1834162357</x:v>
      </x:c>
      <x:c r="H149" s="25" t="n">
        <x:v>5</x:v>
      </x:c>
      <x:c r="I149" s="34" t="n">
        <x:v>0.4</x:v>
      </x:c>
      <x:c r="J149" s="34" t="n">
        <x:v>0.31082015404050695</x:v>
      </x:c>
    </x:row>
    <x:row r="150" ht="18" customHeight="1">
      <x:c r="A150" s="25" t="str">
        <x:v>LME_058</x:v>
      </x:c>
      <x:c r="B150" s="25" t="str">
        <x:v>exact_sea_around_us</x:v>
      </x:c>
      <x:c r="C150" s="33" t="str">
        <x:v>Sea Around Us exploited organisms</x:v>
      </x:c>
      <x:c r="D150" s="25" t="str">
        <x:v>high</x:v>
      </x:c>
      <x:c r="E150" s="35" t="n">
        <x:v>3</x:v>
      </x:c>
      <x:c r="F150" s="32" t="n">
        <x:v>593.8297840942</x:v>
      </x:c>
      <x:c r="G150" s="32" t="n">
        <x:v>719.2892019078</x:v>
      </x:c>
      <x:c r="H150" s="25" t="n">
        <x:v>5</x:v>
      </x:c>
      <x:c r="I150" s="34" t="n">
        <x:v>0.6</x:v>
      </x:c>
      <x:c r="J150" s="34" t="n">
        <x:v>0.8255786163884584</x:v>
      </x:c>
    </x:row>
    <x:row r="151" ht="18" customHeight="1">
      <x:c r="A151" s="25" t="str">
        <x:v>LME_058</x:v>
      </x:c>
      <x:c r="B151" s="25" t="str">
        <x:v>exact_2020_supplement</x:v>
      </x:c>
      <x:c r="C151" s="33" t="str">
        <x:v>2020 supplement MeanTL</x:v>
      </x:c>
      <x:c r="D151" s="25" t="str">
        <x:v>high</x:v>
      </x:c>
      <x:c r="E151" s="35" t="n">
        <x:v>2</x:v>
      </x:c>
      <x:c r="F151" s="32" t="n">
        <x:v>125.4594178136</x:v>
      </x:c>
      <x:c r="G151" s="32" t="n">
        <x:v>719.2892019078</x:v>
      </x:c>
      <x:c r="H151" s="25" t="n">
        <x:v>5</x:v>
      </x:c>
      <x:c r="I151" s="34" t="n">
        <x:v>0.4</x:v>
      </x:c>
      <x:c r="J151" s="34" t="n">
        <x:v>0.1744213836115416</x:v>
      </x:c>
    </x:row>
    <x:row r="152" ht="18" customHeight="1">
      <x:c r="A152" s="25" t="str">
        <x:v>LME_059</x:v>
      </x:c>
      <x:c r="B152" s="25" t="str">
        <x:v>exact_2020_supplement</x:v>
      </x:c>
      <x:c r="C152" s="33" t="str">
        <x:v>2020 supplement MeanTL</x:v>
      </x:c>
      <x:c r="D152" s="25" t="str">
        <x:v>high</x:v>
      </x:c>
      <x:c r="E152" s="35" t="n">
        <x:v>52</x:v>
      </x:c>
      <x:c r="F152" s="32" t="n">
        <x:v>575061.2813650751</x:v>
      </x:c>
      <x:c r="G152" s="32" t="n">
        <x:v>697974.9116856114</x:v>
      </x:c>
      <x:c r="H152" s="25" t="n">
        <x:v>74</x:v>
      </x:c>
      <x:c r="I152" s="34" t="n">
        <x:v>0.7027027027027027</x:v>
      </x:c>
      <x:c r="J152" s="34" t="n">
        <x:v>0.8238996441523959</x:v>
      </x:c>
    </x:row>
    <x:row r="153" ht="18" customHeight="1">
      <x:c r="A153" s="25" t="str">
        <x:v>LME_059</x:v>
      </x:c>
      <x:c r="B153" s="25" t="str">
        <x:v>exact_sea_around_us</x:v>
      </x:c>
      <x:c r="C153" s="33" t="str">
        <x:v>Sea Around Us exploited organisms</x:v>
      </x:c>
      <x:c r="D153" s="25" t="str">
        <x:v>high</x:v>
      </x:c>
      <x:c r="E153" s="35" t="n">
        <x:v>22</x:v>
      </x:c>
      <x:c r="F153" s="32" t="n">
        <x:v>122913.6303205362</x:v>
      </x:c>
      <x:c r="G153" s="32" t="n">
        <x:v>697974.9116856114</x:v>
      </x:c>
      <x:c r="H153" s="25" t="n">
        <x:v>74</x:v>
      </x:c>
      <x:c r="I153" s="34" t="n">
        <x:v>0.2972972972972973</x:v>
      </x:c>
      <x:c r="J153" s="34" t="n">
        <x:v>0.1761003558476041</x:v>
      </x:c>
    </x:row>
    <x:row r="154" ht="18" customHeight="1">
      <x:c r="A154" s="25" t="str">
        <x:v>LME_060</x:v>
      </x:c>
      <x:c r="B154" s="25" t="str">
        <x:v>exact_2020_supplement</x:v>
      </x:c>
      <x:c r="C154" s="33" t="str">
        <x:v>2020 supplement MeanTL</x:v>
      </x:c>
      <x:c r="D154" s="25" t="str">
        <x:v>high</x:v>
      </x:c>
      <x:c r="E154" s="35" t="n">
        <x:v>60</x:v>
      </x:c>
      <x:c r="F154" s="32" t="n">
        <x:v>378656.5320043856</x:v>
      </x:c>
      <x:c r="G154" s="32" t="n">
        <x:v>420222.2010145739</x:v>
      </x:c>
      <x:c r="H154" s="25" t="n">
        <x:v>114</x:v>
      </x:c>
      <x:c r="I154" s="34" t="n">
        <x:v>0.5263157894736842</x:v>
      </x:c>
      <x:c r="J154" s="34" t="n">
        <x:v>0.901086451620516</x:v>
      </x:c>
    </x:row>
    <x:row r="155" ht="18" customHeight="1">
      <x:c r="A155" s="25" t="str">
        <x:v>LME_060</x:v>
      </x:c>
      <x:c r="B155" s="25" t="str">
        <x:v>exact_sea_around_us</x:v>
      </x:c>
      <x:c r="C155" s="33" t="str">
        <x:v>Sea Around Us exploited organisms</x:v>
      </x:c>
      <x:c r="D155" s="25" t="str">
        <x:v>high</x:v>
      </x:c>
      <x:c r="E155" s="35" t="n">
        <x:v>54</x:v>
      </x:c>
      <x:c r="F155" s="32" t="n">
        <x:v>41565.6690101883</x:v>
      </x:c>
      <x:c r="G155" s="32" t="n">
        <x:v>420222.2010145739</x:v>
      </x:c>
      <x:c r="H155" s="25" t="n">
        <x:v>114</x:v>
      </x:c>
      <x:c r="I155" s="34" t="n">
        <x:v>0.47368421052631576</x:v>
      </x:c>
      <x:c r="J155" s="34" t="n">
        <x:v>0.09891354837948398</x:v>
      </x:c>
    </x:row>
    <x:row r="156" ht="18" customHeight="1">
      <x:c r="A156" s="25" t="str">
        <x:v>LME_061</x:v>
      </x:c>
      <x:c r="B156" s="25" t="str">
        <x:v>exact_sea_around_us</x:v>
      </x:c>
      <x:c r="C156" s="33" t="str">
        <x:v>Sea Around Us exploited organisms</x:v>
      </x:c>
      <x:c r="D156" s="25" t="str">
        <x:v>high</x:v>
      </x:c>
      <x:c r="E156" s="35" t="n">
        <x:v>6</x:v>
      </x:c>
      <x:c r="F156" s="32" t="n">
        <x:v>0.2214252491</x:v>
      </x:c>
      <x:c r="G156" s="32" t="n">
        <x:v>0.2496140134</x:v>
      </x:c>
      <x:c r="H156" s="25" t="n">
        <x:v>10</x:v>
      </x:c>
      <x:c r="I156" s="34" t="n">
        <x:v>0.6</x:v>
      </x:c>
      <x:c r="J156" s="34" t="n">
        <x:v>0.8870705858375497</x:v>
      </x:c>
    </x:row>
    <x:row r="157" ht="18" customHeight="1">
      <x:c r="A157" s="25" t="str">
        <x:v>LME_061</x:v>
      </x:c>
      <x:c r="B157" s="25" t="str">
        <x:v>exact_2020_supplement</x:v>
      </x:c>
      <x:c r="C157" s="33" t="str">
        <x:v>2020 supplement MeanTL</x:v>
      </x:c>
      <x:c r="D157" s="25" t="str">
        <x:v>high</x:v>
      </x:c>
      <x:c r="E157" s="35" t="n">
        <x:v>4</x:v>
      </x:c>
      <x:c r="F157" s="32" t="n">
        <x:v>0.028188764300000002</x:v>
      </x:c>
      <x:c r="G157" s="32" t="n">
        <x:v>0.2496140134</x:v>
      </x:c>
      <x:c r="H157" s="25" t="n">
        <x:v>10</x:v>
      </x:c>
      <x:c r="I157" s="34" t="n">
        <x:v>0.4</x:v>
      </x:c>
      <x:c r="J157" s="34" t="n">
        <x:v>0.11292941416245023</x:v>
      </x:c>
    </x:row>
    <x:row r="158" ht="18" customHeight="1">
      <x:c r="A158" s="25" t="str">
        <x:v>LME_062</x:v>
      </x:c>
      <x:c r="B158" s="25" t="str">
        <x:v>exact_2020_supplement</x:v>
      </x:c>
      <x:c r="C158" s="33" t="str">
        <x:v>2020 supplement MeanTL</x:v>
      </x:c>
      <x:c r="D158" s="25" t="str">
        <x:v>high</x:v>
      </x:c>
      <x:c r="E158" s="35" t="n">
        <x:v>64</x:v>
      </x:c>
      <x:c r="F158" s="32" t="n">
        <x:v>959859.9003196299</x:v>
      </x:c>
      <x:c r="G158" s="32" t="n">
        <x:v>1145168.185954724</x:v>
      </x:c>
      <x:c r="H158" s="25" t="n">
        <x:v>120</x:v>
      </x:c>
      <x:c r="I158" s="34" t="n">
        <x:v>0.5333333333333333</x:v>
      </x:c>
      <x:c r="J158" s="34" t="n">
        <x:v>0.8381824714414303</x:v>
      </x:c>
    </x:row>
    <x:row r="159" ht="18" customHeight="1">
      <x:c r="A159" s="25" t="str">
        <x:v>LME_062</x:v>
      </x:c>
      <x:c r="B159" s="25" t="str">
        <x:v>exact_sea_around_us</x:v>
      </x:c>
      <x:c r="C159" s="33" t="str">
        <x:v>Sea Around Us exploited organisms</x:v>
      </x:c>
      <x:c r="D159" s="25" t="str">
        <x:v>high</x:v>
      </x:c>
      <x:c r="E159" s="35" t="n">
        <x:v>56</x:v>
      </x:c>
      <x:c r="F159" s="32" t="n">
        <x:v>185308.2856350941</x:v>
      </x:c>
      <x:c r="G159" s="32" t="n">
        <x:v>1145168.185954724</x:v>
      </x:c>
      <x:c r="H159" s="25" t="n">
        <x:v>120</x:v>
      </x:c>
      <x:c r="I159" s="34" t="n">
        <x:v>0.4666666666666667</x:v>
      </x:c>
      <x:c r="J159" s="34" t="n">
        <x:v>0.1618175285585698</x:v>
      </x:c>
    </x:row>
    <x:row r="160" ht="18" customHeight="1">
      <x:c r="A160" s="25" t="str">
        <x:v>LME_063</x:v>
      </x:c>
      <x:c r="B160" s="25" t="str">
        <x:v>exact_sea_around_us</x:v>
      </x:c>
      <x:c r="C160" s="33" t="str">
        <x:v>Sea Around Us exploited organisms</x:v>
      </x:c>
      <x:c r="D160" s="25" t="str">
        <x:v>high</x:v>
      </x:c>
      <x:c r="E160" s="35" t="n">
        <x:v>26</x:v>
      </x:c>
      <x:c r="F160" s="32" t="n">
        <x:v>857.0044020437</x:v>
      </x:c>
      <x:c r="G160" s="32" t="n">
        <x:v>1269.735630608</x:v>
      </x:c>
      <x:c r="H160" s="25" t="n">
        <x:v>44</x:v>
      </x:c>
      <x:c r="I160" s="34" t="n">
        <x:v>0.5909090909090909</x:v>
      </x:c>
      <x:c r="J160" s="34" t="n">
        <x:v>0.6749471160648868</x:v>
      </x:c>
    </x:row>
    <x:row r="161" ht="18" customHeight="1">
      <x:c r="A161" s="25" t="str">
        <x:v>LME_063</x:v>
      </x:c>
      <x:c r="B161" s="25" t="str">
        <x:v>exact_2020_supplement</x:v>
      </x:c>
      <x:c r="C161" s="33" t="str">
        <x:v>2020 supplement MeanTL</x:v>
      </x:c>
      <x:c r="D161" s="25" t="str">
        <x:v>high</x:v>
      </x:c>
      <x:c r="E161" s="35" t="n">
        <x:v>18</x:v>
      </x:c>
      <x:c r="F161" s="32" t="n">
        <x:v>412.73122856429995</x:v>
      </x:c>
      <x:c r="G161" s="32" t="n">
        <x:v>1269.735630608</x:v>
      </x:c>
      <x:c r="H161" s="25" t="n">
        <x:v>44</x:v>
      </x:c>
      <x:c r="I161" s="34" t="n">
        <x:v>0.4090909090909091</x:v>
      </x:c>
      <x:c r="J161" s="34" t="n">
        <x:v>0.32505288393511317</x:v>
      </x:c>
    </x:row>
    <x:row r="162" ht="18" customHeight="1">
      <x:c r="A162" s="25" t="str">
        <x:v>LME_065</x:v>
      </x:c>
      <x:c r="B162" s="25" t="str">
        <x:v>exact_sea_around_us</x:v>
      </x:c>
      <x:c r="C162" s="33" t="str">
        <x:v>Sea Around Us exploited organisms</x:v>
      </x:c>
      <x:c r="D162" s="25" t="str">
        <x:v>high</x:v>
      </x:c>
      <x:c r="E162" s="35" t="n">
        <x:v>39</x:v>
      </x:c>
      <x:c r="F162" s="32" t="n">
        <x:v>99013.32729659039</x:v>
      </x:c>
      <x:c r="G162" s="32" t="n">
        <x:v>151507.6717909796</x:v>
      </x:c>
      <x:c r="H162" s="25" t="n">
        <x:v>68</x:v>
      </x:c>
      <x:c r="I162" s="34" t="n">
        <x:v>0.5735294117647058</x:v>
      </x:c>
      <x:c r="J162" s="34" t="n">
        <x:v>0.6535202219541031</x:v>
      </x:c>
    </x:row>
    <x:row r="163" ht="18" customHeight="1">
      <x:c r="A163" s="25" t="str">
        <x:v>LME_065</x:v>
      </x:c>
      <x:c r="B163" s="25" t="str">
        <x:v>exact_2020_supplement</x:v>
      </x:c>
      <x:c r="C163" s="33" t="str">
        <x:v>2020 supplement MeanTL</x:v>
      </x:c>
      <x:c r="D163" s="25" t="str">
        <x:v>high</x:v>
      </x:c>
      <x:c r="E163" s="35" t="n">
        <x:v>29</x:v>
      </x:c>
      <x:c r="F163" s="32" t="n">
        <x:v>52494.3444943892</x:v>
      </x:c>
      <x:c r="G163" s="32" t="n">
        <x:v>151507.6717909796</x:v>
      </x:c>
      <x:c r="H163" s="25" t="n">
        <x:v>68</x:v>
      </x:c>
      <x:c r="I163" s="34" t="n">
        <x:v>0.4264705882352941</x:v>
      </x:c>
      <x:c r="J163" s="34" t="n">
        <x:v>0.34647977804589686</x:v>
      </x:c>
    </x:row>
    <x:row r="164" ht="18" customHeight="1">
      <x:c r="A164" s="25" t="str">
        <x:v>LME_066</x:v>
      </x:c>
      <x:c r="B164" s="25" t="str">
        <x:v>exact_sea_around_us</x:v>
      </x:c>
      <x:c r="C164" s="33" t="str">
        <x:v>Sea Around Us exploited organisms</x:v>
      </x:c>
      <x:c r="D164" s="25" t="str">
        <x:v>high</x:v>
      </x:c>
      <x:c r="E164" s="35" t="n">
        <x:v>18</x:v>
      </x:c>
      <x:c r="F164" s="32" t="n">
        <x:v>53.560771256600006</x:v>
      </x:c>
      <x:c r="G164" s="32" t="n">
        <x:v>53.5919340839</x:v>
      </x:c>
      <x:c r="H164" s="25" t="n">
        <x:v>21</x:v>
      </x:c>
      <x:c r="I164" s="34" t="n">
        <x:v>0.8571428571428571</x:v>
      </x:c>
      <x:c r="J164" s="34" t="n">
        <x:v>0.9994185164646007</x:v>
      </x:c>
    </x:row>
    <x:row r="165" ht="18" customHeight="1">
      <x:c r="A165" s="25" t="str">
        <x:v>LME_066</x:v>
      </x:c>
      <x:c r="B165" s="25" t="str">
        <x:v>exact_2020_supplement</x:v>
      </x:c>
      <x:c r="C165" s="33" t="str">
        <x:v>2020 supplement MeanTL</x:v>
      </x:c>
      <x:c r="D165" s="25" t="str">
        <x:v>high</x:v>
      </x:c>
      <x:c r="E165" s="35" t="n">
        <x:v>3</x:v>
      </x:c>
      <x:c r="F165" s="32" t="n">
        <x:v>0.031162827299999998</x:v>
      </x:c>
      <x:c r="G165" s="32" t="n">
        <x:v>53.5919340839</x:v>
      </x:c>
      <x:c r="H165" s="25" t="n">
        <x:v>21</x:v>
      </x:c>
      <x:c r="I165" s="34" t="n">
        <x:v>0.14285714285714285</x:v>
      </x:c>
      <x:c r="J165" s="34" t="n">
        <x:v>0.0005814835353994414</x:v>
      </x:c>
    </x:row>
  </x:sheetData>
  <x:conditionalFormatting sqref="J2:J165">
    <x:cfRule type="dataBar" priority="1">
      <x:dataBar>
        <x:cfvo type="min"/>
        <x:cfvo type="max"/>
        <x:color rgb="FF147D9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d286d96756247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36" hidden="0" customWidth="1"/>
  </x:cols>
  <x:sheetData>
    <x:row r="1" ht="32" customHeight="1">
      <x:c r="A1" s="30" t="str">
        <x:v>unit_id</x:v>
      </x:c>
      <x:c r="B1" s="30" t="str">
        <x:v>area_name</x:v>
      </x:c>
      <x:c r="C1" s="30" t="str">
        <x:v>area_type</x:v>
      </x:c>
      <x:c r="D1" s="30" t="str">
        <x:v>year</x:v>
      </x:c>
      <x:c r="E1" s="30" t="str">
        <x:v>raw_rows_selected</x:v>
      </x:c>
      <x:c r="F1" s="30" t="str">
        <x:v>taxon_rows_standardized</x:v>
      </x:c>
      <x:c r="G1" s="30" t="str">
        <x:v>raw_filtered_tonnes</x:v>
      </x:c>
      <x:c r="H1" s="30" t="str">
        <x:v>standardized_tonnes</x:v>
      </x:c>
      <x:c r="I1" s="30" t="str">
        <x:v>difference_tonnes</x:v>
      </x:c>
      <x:c r="J1" s="30" t="str">
        <x:v>reconciled</x:v>
      </x:c>
      <x:c r="K1" s="30" t="str">
        <x:v>source_data_status</x:v>
      </x:c>
    </x:row>
    <x:row r="2" ht="18" customHeight="1">
      <x:c r="A2" s="25" t="str">
        <x:v>HS_018</x:v>
      </x:c>
      <x:c r="B2" s="25" t="str"/>
      <x:c r="C2" s="25" t="str"/>
      <x:c r="D2" s="31" t="n">
        <x:v>2019</x:v>
      </x:c>
      <x:c r="E2" s="25" t="n">
        <x:v>0</x:v>
      </x:c>
      <x:c r="F2" s="25" t="n">
        <x:v>0</x:v>
      </x:c>
      <x:c r="G2" s="32" t="n">
        <x:v>0</x:v>
      </x:c>
      <x:c r="H2" s="32" t="n">
        <x:v>0</x:v>
      </x:c>
      <x:c r="I2" s="32" t="n">
        <x:v>0</x:v>
      </x:c>
      <x:c r="J2" s="36" t="b">
        <x:v>1</x:v>
      </x:c>
      <x:c r="K2" s="25" t="str">
        <x:v>empty_catch_archive</x:v>
      </x:c>
    </x:row>
    <x:row r="3" ht="18" customHeight="1">
      <x:c r="A3" s="25" t="str">
        <x:v>HS_021</x:v>
      </x:c>
      <x:c r="B3" s="25" t="str">
        <x:v>Atlantic, Northwest</x:v>
      </x:c>
      <x:c r="C3" s="25" t="str">
        <x:v>high_seas</x:v>
      </x:c>
      <x:c r="D3" s="31" t="n">
        <x:v>2019</x:v>
      </x:c>
      <x:c r="E3" s="25" t="n">
        <x:v>561</x:v>
      </x:c>
      <x:c r="F3" s="25" t="n">
        <x:v>67</x:v>
      </x:c>
      <x:c r="G3" s="32" t="n">
        <x:v>87745.0994728874</x:v>
      </x:c>
      <x:c r="H3" s="32" t="n">
        <x:v>87745.09947288739</x:v>
      </x:c>
      <x:c r="I3" s="32" t="n">
        <x:v>-1.4551915228366852e-11</x:v>
      </x:c>
      <x:c r="J3" s="36" t="b">
        <x:v>1</x:v>
      </x:c>
      <x:c r="K3" s="25" t="str">
        <x:v>available</x:v>
      </x:c>
    </x:row>
    <x:row r="4" ht="18" customHeight="1">
      <x:c r="A4" s="25" t="str">
        <x:v>HS_027</x:v>
      </x:c>
      <x:c r="B4" s="25" t="str">
        <x:v>Atlantic, Northeast</x:v>
      </x:c>
      <x:c r="C4" s="25" t="str">
        <x:v>high_seas</x:v>
      </x:c>
      <x:c r="D4" s="31" t="n">
        <x:v>2019</x:v>
      </x:c>
      <x:c r="E4" s="25" t="n">
        <x:v>1237</x:v>
      </x:c>
      <x:c r="F4" s="25" t="n">
        <x:v>131</x:v>
      </x:c>
      <x:c r="G4" s="32" t="n">
        <x:v>734932.2904610422</x:v>
      </x:c>
      <x:c r="H4" s="32" t="n">
        <x:v>734932.2904610422</x:v>
      </x:c>
      <x:c r="I4" s="32" t="n">
        <x:v>0</x:v>
      </x:c>
      <x:c r="J4" s="36" t="b">
        <x:v>1</x:v>
      </x:c>
      <x:c r="K4" s="25" t="str">
        <x:v>available</x:v>
      </x:c>
    </x:row>
    <x:row r="5" ht="18" customHeight="1">
      <x:c r="A5" s="25" t="str">
        <x:v>HS_031</x:v>
      </x:c>
      <x:c r="B5" s="25" t="str">
        <x:v>Atlantic, Western Central</x:v>
      </x:c>
      <x:c r="C5" s="25" t="str">
        <x:v>high_seas</x:v>
      </x:c>
      <x:c r="D5" s="31" t="n">
        <x:v>2019</x:v>
      </x:c>
      <x:c r="E5" s="25" t="n">
        <x:v>290</x:v>
      </x:c>
      <x:c r="F5" s="25" t="n">
        <x:v>32</x:v>
      </x:c>
      <x:c r="G5" s="32" t="n">
        <x:v>16859.0112032287</x:v>
      </x:c>
      <x:c r="H5" s="32" t="n">
        <x:v>16859.0112032287</x:v>
      </x:c>
      <x:c r="I5" s="32" t="n">
        <x:v>0</x:v>
      </x:c>
      <x:c r="J5" s="36" t="b">
        <x:v>1</x:v>
      </x:c>
      <x:c r="K5" s="25" t="str">
        <x:v>available</x:v>
      </x:c>
    </x:row>
    <x:row r="6" ht="18" customHeight="1">
      <x:c r="A6" s="25" t="str">
        <x:v>HS_034</x:v>
      </x:c>
      <x:c r="B6" s="25" t="str">
        <x:v>Atlantic, Eastern Central</x:v>
      </x:c>
      <x:c r="C6" s="25" t="str">
        <x:v>high_seas</x:v>
      </x:c>
      <x:c r="D6" s="31" t="n">
        <x:v>2019</x:v>
      </x:c>
      <x:c r="E6" s="25" t="n">
        <x:v>437</x:v>
      </x:c>
      <x:c r="F6" s="25" t="n">
        <x:v>37</x:v>
      </x:c>
      <x:c r="G6" s="32" t="n">
        <x:v>235319.4552726861</x:v>
      </x:c>
      <x:c r="H6" s="32" t="n">
        <x:v>235319.4552726861</x:v>
      </x:c>
      <x:c r="I6" s="32" t="n">
        <x:v>0</x:v>
      </x:c>
      <x:c r="J6" s="36" t="b">
        <x:v>1</x:v>
      </x:c>
      <x:c r="K6" s="25" t="str">
        <x:v>available</x:v>
      </x:c>
    </x:row>
    <x:row r="7" ht="18" customHeight="1">
      <x:c r="A7" s="25" t="str">
        <x:v>HS_041</x:v>
      </x:c>
      <x:c r="B7" s="25" t="str">
        <x:v>Atlantic, Southwest</x:v>
      </x:c>
      <x:c r="C7" s="25" t="str">
        <x:v>high_seas</x:v>
      </x:c>
      <x:c r="D7" s="31" t="n">
        <x:v>2019</x:v>
      </x:c>
      <x:c r="E7" s="25" t="n">
        <x:v>321</x:v>
      </x:c>
      <x:c r="F7" s="25" t="n">
        <x:v>33</x:v>
      </x:c>
      <x:c r="G7" s="32" t="n">
        <x:v>62238.3652132951</x:v>
      </x:c>
      <x:c r="H7" s="32" t="n">
        <x:v>62238.365213295096</x:v>
      </x:c>
      <x:c r="I7" s="32" t="n">
        <x:v>-7.275957614183426e-12</x:v>
      </x:c>
      <x:c r="J7" s="36" t="b">
        <x:v>1</x:v>
      </x:c>
      <x:c r="K7" s="25" t="str">
        <x:v>available</x:v>
      </x:c>
    </x:row>
    <x:row r="8" ht="18" customHeight="1">
      <x:c r="A8" s="25" t="str">
        <x:v>HS_047</x:v>
      </x:c>
      <x:c r="B8" s="25" t="str">
        <x:v>Atlantic, Southeast</x:v>
      </x:c>
      <x:c r="C8" s="25" t="str">
        <x:v>high_seas</x:v>
      </x:c>
      <x:c r="D8" s="31" t="n">
        <x:v>2019</x:v>
      </x:c>
      <x:c r="E8" s="25" t="n">
        <x:v>257</x:v>
      </x:c>
      <x:c r="F8" s="25" t="n">
        <x:v>35</x:v>
      </x:c>
      <x:c r="G8" s="32" t="n">
        <x:v>41830.7267805337</x:v>
      </x:c>
      <x:c r="H8" s="32" t="n">
        <x:v>41830.7267805337</x:v>
      </x:c>
      <x:c r="I8" s="32" t="n">
        <x:v>0</x:v>
      </x:c>
      <x:c r="J8" s="36" t="b">
        <x:v>1</x:v>
      </x:c>
      <x:c r="K8" s="25" t="str">
        <x:v>available</x:v>
      </x:c>
    </x:row>
    <x:row r="9" ht="18" customHeight="1">
      <x:c r="A9" s="25" t="str">
        <x:v>HS_048</x:v>
      </x:c>
      <x:c r="B9" s="25" t="str">
        <x:v>Atlantic, Antarctic</x:v>
      </x:c>
      <x:c r="C9" s="25" t="str">
        <x:v>high_seas</x:v>
      </x:c>
      <x:c r="D9" s="31" t="n">
        <x:v>2019</x:v>
      </x:c>
      <x:c r="E9" s="25" t="n">
        <x:v>43</x:v>
      </x:c>
      <x:c r="F9" s="25" t="n">
        <x:v>6</x:v>
      </x:c>
      <x:c r="G9" s="32" t="n">
        <x:v>154127.6154029508</x:v>
      </x:c>
      <x:c r="H9" s="32" t="n">
        <x:v>154127.6154029508</x:v>
      </x:c>
      <x:c r="I9" s="32" t="n">
        <x:v>0</x:v>
      </x:c>
      <x:c r="J9" s="36" t="b">
        <x:v>1</x:v>
      </x:c>
      <x:c r="K9" s="25" t="str">
        <x:v>available</x:v>
      </x:c>
    </x:row>
    <x:row r="10" ht="18" customHeight="1">
      <x:c r="A10" s="25" t="str">
        <x:v>HS_051</x:v>
      </x:c>
      <x:c r="B10" s="25" t="str">
        <x:v>Indian Ocean, Western</x:v>
      </x:c>
      <x:c r="C10" s="25" t="str">
        <x:v>high_seas</x:v>
      </x:c>
      <x:c r="D10" s="31" t="n">
        <x:v>2019</x:v>
      </x:c>
      <x:c r="E10" s="25" t="n">
        <x:v>262</x:v>
      </x:c>
      <x:c r="F10" s="25" t="n">
        <x:v>36</x:v>
      </x:c>
      <x:c r="G10" s="32" t="n">
        <x:v>377854.0083285441</x:v>
      </x:c>
      <x:c r="H10" s="32" t="n">
        <x:v>377854.0083285441</x:v>
      </x:c>
      <x:c r="I10" s="32" t="n">
        <x:v>0</x:v>
      </x:c>
      <x:c r="J10" s="36" t="b">
        <x:v>1</x:v>
      </x:c>
      <x:c r="K10" s="25" t="str">
        <x:v>available</x:v>
      </x:c>
    </x:row>
    <x:row r="11" ht="18" customHeight="1">
      <x:c r="A11" s="25" t="str">
        <x:v>HS_057</x:v>
      </x:c>
      <x:c r="B11" s="25" t="str">
        <x:v>Indian Ocean, Eastern</x:v>
      </x:c>
      <x:c r="C11" s="25" t="str">
        <x:v>high_seas</x:v>
      </x:c>
      <x:c r="D11" s="31" t="n">
        <x:v>2019</x:v>
      </x:c>
      <x:c r="E11" s="25" t="n">
        <x:v>257</x:v>
      </x:c>
      <x:c r="F11" s="25" t="n">
        <x:v>34</x:v>
      </x:c>
      <x:c r="G11" s="32" t="n">
        <x:v>249459.5239463328</x:v>
      </x:c>
      <x:c r="H11" s="32" t="n">
        <x:v>249459.5239463328</x:v>
      </x:c>
      <x:c r="I11" s="32" t="n">
        <x:v>0</x:v>
      </x:c>
      <x:c r="J11" s="36" t="b">
        <x:v>1</x:v>
      </x:c>
      <x:c r="K11" s="25" t="str">
        <x:v>available</x:v>
      </x:c>
    </x:row>
    <x:row r="12" ht="18" customHeight="1">
      <x:c r="A12" s="25" t="str">
        <x:v>HS_058</x:v>
      </x:c>
      <x:c r="B12" s="25" t="str">
        <x:v>Indian Ocean, Antarctic</x:v>
      </x:c>
      <x:c r="C12" s="25" t="str">
        <x:v>high_seas</x:v>
      </x:c>
      <x:c r="D12" s="31" t="n">
        <x:v>2019</x:v>
      </x:c>
      <x:c r="E12" s="25" t="n">
        <x:v>51</x:v>
      </x:c>
      <x:c r="F12" s="25" t="n">
        <x:v>6</x:v>
      </x:c>
      <x:c r="G12" s="32" t="n">
        <x:v>1622.2799593135</x:v>
      </x:c>
      <x:c r="H12" s="32" t="n">
        <x:v>1622.2799593135003</x:v>
      </x:c>
      <x:c r="I12" s="32" t="n">
        <x:v>2.2737367544323206e-13</x:v>
      </x:c>
      <x:c r="J12" s="36" t="b">
        <x:v>1</x:v>
      </x:c>
      <x:c r="K12" s="25" t="str">
        <x:v>available</x:v>
      </x:c>
    </x:row>
    <x:row r="13" ht="18" customHeight="1">
      <x:c r="A13" s="25" t="str">
        <x:v>HS_061</x:v>
      </x:c>
      <x:c r="B13" s="25" t="str">
        <x:v>Pacific, Northwest</x:v>
      </x:c>
      <x:c r="C13" s="25" t="str">
        <x:v>high_seas</x:v>
      </x:c>
      <x:c r="D13" s="31" t="n">
        <x:v>2019</x:v>
      </x:c>
      <x:c r="E13" s="25" t="n">
        <x:v>467</x:v>
      </x:c>
      <x:c r="F13" s="25" t="n">
        <x:v>21</x:v>
      </x:c>
      <x:c r="G13" s="32" t="n">
        <x:v>132995.67933726677</x:v>
      </x:c>
      <x:c r="H13" s="32" t="n">
        <x:v>132995.6793372668</x:v>
      </x:c>
      <x:c r="I13" s="32" t="n">
        <x:v>2.9103830456733704e-11</x:v>
      </x:c>
      <x:c r="J13" s="36" t="b">
        <x:v>1</x:v>
      </x:c>
      <x:c r="K13" s="25" t="str">
        <x:v>available</x:v>
      </x:c>
    </x:row>
    <x:row r="14" ht="18" customHeight="1">
      <x:c r="A14" s="25" t="str">
        <x:v>HS_067</x:v>
      </x:c>
      <x:c r="B14" s="25" t="str">
        <x:v>Pacific, Northeast</x:v>
      </x:c>
      <x:c r="C14" s="25" t="str">
        <x:v>high_seas</x:v>
      </x:c>
      <x:c r="D14" s="31" t="n">
        <x:v>2019</x:v>
      </x:c>
      <x:c r="E14" s="25" t="n">
        <x:v>77</x:v>
      </x:c>
      <x:c r="F14" s="25" t="n">
        <x:v>16</x:v>
      </x:c>
      <x:c r="G14" s="32" t="n">
        <x:v>402.2913954087</x:v>
      </x:c>
      <x:c r="H14" s="32" t="n">
        <x:v>402.2913954087</x:v>
      </x:c>
      <x:c r="I14" s="32" t="n">
        <x:v>0</x:v>
      </x:c>
      <x:c r="J14" s="36" t="b">
        <x:v>1</x:v>
      </x:c>
      <x:c r="K14" s="25" t="str">
        <x:v>available</x:v>
      </x:c>
    </x:row>
    <x:row r="15" ht="18" customHeight="1">
      <x:c r="A15" s="25" t="str">
        <x:v>HS_071</x:v>
      </x:c>
      <x:c r="B15" s="25" t="str">
        <x:v>Pacific, Western Central</x:v>
      </x:c>
      <x:c r="C15" s="25" t="str">
        <x:v>high_seas</x:v>
      </x:c>
      <x:c r="D15" s="31" t="n">
        <x:v>2019</x:v>
      </x:c>
      <x:c r="E15" s="25" t="n">
        <x:v>764</x:v>
      </x:c>
      <x:c r="F15" s="25" t="n">
        <x:v>23</x:v>
      </x:c>
      <x:c r="G15" s="32" t="n">
        <x:v>571817.786555246</x:v>
      </x:c>
      <x:c r="H15" s="32" t="n">
        <x:v>571817.786555246</x:v>
      </x:c>
      <x:c r="I15" s="32" t="n">
        <x:v>0</x:v>
      </x:c>
      <x:c r="J15" s="36" t="b">
        <x:v>1</x:v>
      </x:c>
      <x:c r="K15" s="25" t="str">
        <x:v>available</x:v>
      </x:c>
    </x:row>
    <x:row r="16" ht="18" customHeight="1">
      <x:c r="A16" s="25" t="str">
        <x:v>HS_077</x:v>
      </x:c>
      <x:c r="B16" s="25" t="str">
        <x:v>Pacific, Eastern Central</x:v>
      </x:c>
      <x:c r="C16" s="25" t="str">
        <x:v>high_seas</x:v>
      </x:c>
      <x:c r="D16" s="31" t="n">
        <x:v>2019</x:v>
      </x:c>
      <x:c r="E16" s="25" t="n">
        <x:v>1083</x:v>
      </x:c>
      <x:c r="F16" s="25" t="n">
        <x:v>26</x:v>
      </x:c>
      <x:c r="G16" s="32" t="n">
        <x:v>860671.2076084926</x:v>
      </x:c>
      <x:c r="H16" s="32" t="n">
        <x:v>860671.2076084926</x:v>
      </x:c>
      <x:c r="I16" s="32" t="n">
        <x:v>0</x:v>
      </x:c>
      <x:c r="J16" s="36" t="b">
        <x:v>1</x:v>
      </x:c>
      <x:c r="K16" s="25" t="str">
        <x:v>available</x:v>
      </x:c>
    </x:row>
    <x:row r="17" ht="18" customHeight="1">
      <x:c r="A17" s="25" t="str">
        <x:v>HS_081</x:v>
      </x:c>
      <x:c r="B17" s="25" t="str">
        <x:v>Pacific, Southwest</x:v>
      </x:c>
      <x:c r="C17" s="25" t="str">
        <x:v>high_seas</x:v>
      </x:c>
      <x:c r="D17" s="31" t="n">
        <x:v>2019</x:v>
      </x:c>
      <x:c r="E17" s="25" t="n">
        <x:v>728</x:v>
      </x:c>
      <x:c r="F17" s="25" t="n">
        <x:v>27</x:v>
      </x:c>
      <x:c r="G17" s="32" t="n">
        <x:v>45252.4668227171</x:v>
      </x:c>
      <x:c r="H17" s="32" t="n">
        <x:v>45252.46682271709</x:v>
      </x:c>
      <x:c r="I17" s="32" t="n">
        <x:v>-7.275957614183426e-12</x:v>
      </x:c>
      <x:c r="J17" s="36" t="b">
        <x:v>1</x:v>
      </x:c>
      <x:c r="K17" s="25" t="str">
        <x:v>available</x:v>
      </x:c>
    </x:row>
    <x:row r="18" ht="18" customHeight="1">
      <x:c r="A18" s="25" t="str">
        <x:v>HS_087</x:v>
      </x:c>
      <x:c r="B18" s="25" t="str">
        <x:v>Pacific, Southeast</x:v>
      </x:c>
      <x:c r="C18" s="25" t="str">
        <x:v>high_seas</x:v>
      </x:c>
      <x:c r="D18" s="31" t="n">
        <x:v>2019</x:v>
      </x:c>
      <x:c r="E18" s="25" t="n">
        <x:v>543</x:v>
      </x:c>
      <x:c r="F18" s="25" t="n">
        <x:v>25</x:v>
      </x:c>
      <x:c r="G18" s="32" t="n">
        <x:v>245882.4176735426</x:v>
      </x:c>
      <x:c r="H18" s="32" t="n">
        <x:v>245882.41767354263</x:v>
      </x:c>
      <x:c r="I18" s="32" t="n">
        <x:v>2.9103830456733704e-11</x:v>
      </x:c>
      <x:c r="J18" s="36" t="b">
        <x:v>1</x:v>
      </x:c>
      <x:c r="K18" s="25" t="str">
        <x:v>available</x:v>
      </x:c>
    </x:row>
    <x:row r="19" ht="18" customHeight="1">
      <x:c r="A19" s="25" t="str">
        <x:v>HS_088</x:v>
      </x:c>
      <x:c r="B19" s="25" t="str">
        <x:v>Pacific, Antarctic</x:v>
      </x:c>
      <x:c r="C19" s="25" t="str">
        <x:v>high_seas</x:v>
      </x:c>
      <x:c r="D19" s="31" t="n">
        <x:v>2019</x:v>
      </x:c>
      <x:c r="E19" s="25" t="n">
        <x:v>353</x:v>
      </x:c>
      <x:c r="F19" s="25" t="n">
        <x:v>32</x:v>
      </x:c>
      <x:c r="G19" s="32" t="n">
        <x:v>3559.327863</x:v>
      </x:c>
      <x:c r="H19" s="32" t="n">
        <x:v>3559.327863</x:v>
      </x:c>
      <x:c r="I19" s="32" t="n">
        <x:v>0</x:v>
      </x:c>
      <x:c r="J19" s="36" t="b">
        <x:v>1</x:v>
      </x:c>
      <x:c r="K19" s="25" t="str">
        <x:v>available</x:v>
      </x:c>
    </x:row>
    <x:row r="20" ht="18" customHeight="1">
      <x:c r="A20" s="25" t="str">
        <x:v>LME_001</x:v>
      </x:c>
      <x:c r="B20" s="25" t="str">
        <x:v>East Bering Sea</x:v>
      </x:c>
      <x:c r="C20" s="25" t="str">
        <x:v>lme</x:v>
      </x:c>
      <x:c r="D20" s="31" t="n">
        <x:v>2019</x:v>
      </x:c>
      <x:c r="E20" s="25" t="n">
        <x:v>453</x:v>
      </x:c>
      <x:c r="F20" s="25" t="n">
        <x:v>73</x:v>
      </x:c>
      <x:c r="G20" s="32" t="n">
        <x:v>1300999.7714510455</x:v>
      </x:c>
      <x:c r="H20" s="32" t="n">
        <x:v>1300999.771451045</x:v>
      </x:c>
      <x:c r="I20" s="32" t="n">
        <x:v>-4.656612873077393e-10</x:v>
      </x:c>
      <x:c r="J20" s="36" t="b">
        <x:v>1</x:v>
      </x:c>
      <x:c r="K20" s="25" t="str">
        <x:v>available</x:v>
      </x:c>
    </x:row>
    <x:row r="21" ht="18" customHeight="1">
      <x:c r="A21" s="25" t="str">
        <x:v>LME_002</x:v>
      </x:c>
      <x:c r="B21" s="25" t="str">
        <x:v>Gulf of Alaska</x:v>
      </x:c>
      <x:c r="C21" s="25" t="str">
        <x:v>lme</x:v>
      </x:c>
      <x:c r="D21" s="31" t="n">
        <x:v>2019</x:v>
      </x:c>
      <x:c r="E21" s="25" t="n">
        <x:v>1528</x:v>
      </x:c>
      <x:c r="F21" s="25" t="n">
        <x:v>170</x:v>
      </x:c>
      <x:c r="G21" s="32" t="n">
        <x:v>1102866.6258441233</x:v>
      </x:c>
      <x:c r="H21" s="32" t="n">
        <x:v>1102866.6258441233</x:v>
      </x:c>
      <x:c r="I21" s="32" t="n">
        <x:v>0</x:v>
      </x:c>
      <x:c r="J21" s="36" t="b">
        <x:v>1</x:v>
      </x:c>
      <x:c r="K21" s="25" t="str">
        <x:v>available</x:v>
      </x:c>
    </x:row>
    <x:row r="22" ht="18" customHeight="1">
      <x:c r="A22" s="25" t="str">
        <x:v>LME_003</x:v>
      </x:c>
      <x:c r="B22" s="25" t="str">
        <x:v>California Current</x:v>
      </x:c>
      <x:c r="C22" s="25" t="str">
        <x:v>lme</x:v>
      </x:c>
      <x:c r="D22" s="31" t="n">
        <x:v>2019</x:v>
      </x:c>
      <x:c r="E22" s="25" t="n">
        <x:v>2433</x:v>
      </x:c>
      <x:c r="F22" s="25" t="n">
        <x:v>277</x:v>
      </x:c>
      <x:c r="G22" s="32" t="n">
        <x:v>1037537.6190575529</x:v>
      </x:c>
      <x:c r="H22" s="32" t="n">
        <x:v>1037537.6190575529</x:v>
      </x:c>
      <x:c r="I22" s="32" t="n">
        <x:v>0</x:v>
      </x:c>
      <x:c r="J22" s="36" t="b">
        <x:v>1</x:v>
      </x:c>
      <x:c r="K22" s="25" t="str">
        <x:v>available</x:v>
      </x:c>
    </x:row>
    <x:row r="23" ht="18" customHeight="1">
      <x:c r="A23" s="25" t="str">
        <x:v>LME_004</x:v>
      </x:c>
      <x:c r="B23" s="25" t="str">
        <x:v>Gulf of California</x:v>
      </x:c>
      <x:c r="C23" s="25" t="str">
        <x:v>lme</x:v>
      </x:c>
      <x:c r="D23" s="31" t="n">
        <x:v>2019</x:v>
      </x:c>
      <x:c r="E23" s="25" t="n">
        <x:v>644</x:v>
      </x:c>
      <x:c r="F23" s="25" t="n">
        <x:v>129</x:v>
      </x:c>
      <x:c r="G23" s="32" t="n">
        <x:v>664877.8552277526</x:v>
      </x:c>
      <x:c r="H23" s="32" t="n">
        <x:v>664877.8552277526</x:v>
      </x:c>
      <x:c r="I23" s="32" t="n">
        <x:v>0</x:v>
      </x:c>
      <x:c r="J23" s="36" t="b">
        <x:v>1</x:v>
      </x:c>
      <x:c r="K23" s="25" t="str">
        <x:v>available</x:v>
      </x:c>
    </x:row>
    <x:row r="24" ht="18" customHeight="1">
      <x:c r="A24" s="25" t="str">
        <x:v>LME_005</x:v>
      </x:c>
      <x:c r="B24" s="25" t="str">
        <x:v>Gulf of Mexico</x:v>
      </x:c>
      <x:c r="C24" s="25" t="str">
        <x:v>lme</x:v>
      </x:c>
      <x:c r="D24" s="31" t="n">
        <x:v>2019</x:v>
      </x:c>
      <x:c r="E24" s="25" t="n">
        <x:v>12968</x:v>
      </x:c>
      <x:c r="F24" s="25" t="n">
        <x:v>418</x:v>
      </x:c>
      <x:c r="G24" s="32" t="n">
        <x:v>1549275.8254257175</x:v>
      </x:c>
      <x:c r="H24" s="32" t="n">
        <x:v>1549275.8254257175</x:v>
      </x:c>
      <x:c r="I24" s="32" t="n">
        <x:v>0</x:v>
      </x:c>
      <x:c r="J24" s="36" t="b">
        <x:v>1</x:v>
      </x:c>
      <x:c r="K24" s="25" t="str">
        <x:v>available</x:v>
      </x:c>
    </x:row>
    <x:row r="25" ht="18" customHeight="1">
      <x:c r="A25" s="25" t="str">
        <x:v>LME_006</x:v>
      </x:c>
      <x:c r="B25" s="25" t="str">
        <x:v>Southeast U.S. Continental Shelf</x:v>
      </x:c>
      <x:c r="C25" s="25" t="str">
        <x:v>lme</x:v>
      </x:c>
      <x:c r="D25" s="31" t="n">
        <x:v>2019</x:v>
      </x:c>
      <x:c r="E25" s="25" t="n">
        <x:v>5973</x:v>
      </x:c>
      <x:c r="F25" s="25" t="n">
        <x:v>283</x:v>
      </x:c>
      <x:c r="G25" s="32" t="n">
        <x:v>115599.57003481101</x:v>
      </x:c>
      <x:c r="H25" s="32" t="n">
        <x:v>115599.570034811</x:v>
      </x:c>
      <x:c r="I25" s="32" t="n">
        <x:v>-1.4551915228366852e-11</x:v>
      </x:c>
      <x:c r="J25" s="36" t="b">
        <x:v>1</x:v>
      </x:c>
      <x:c r="K25" s="25" t="str">
        <x:v>available</x:v>
      </x:c>
    </x:row>
    <x:row r="26" ht="18" customHeight="1">
      <x:c r="A26" s="25" t="str">
        <x:v>LME_007</x:v>
      </x:c>
      <x:c r="B26" s="25" t="str">
        <x:v>Northeast U.S. Continental Shelf</x:v>
      </x:c>
      <x:c r="C26" s="25" t="str">
        <x:v>lme</x:v>
      </x:c>
      <x:c r="D26" s="31" t="n">
        <x:v>2019</x:v>
      </x:c>
      <x:c r="E26" s="25" t="n">
        <x:v>5309</x:v>
      </x:c>
      <x:c r="F26" s="25" t="n">
        <x:v>232</x:v>
      </x:c>
      <x:c r="G26" s="32" t="n">
        <x:v>700878.7473042158</x:v>
      </x:c>
      <x:c r="H26" s="32" t="n">
        <x:v>700878.7473042159</x:v>
      </x:c>
      <x:c r="I26" s="32" t="n">
        <x:v>1.1641532182693481e-10</x:v>
      </x:c>
      <x:c r="J26" s="36" t="b">
        <x:v>1</x:v>
      </x:c>
      <x:c r="K26" s="25" t="str">
        <x:v>available</x:v>
      </x:c>
    </x:row>
    <x:row r="27" ht="18" customHeight="1">
      <x:c r="A27" s="25" t="str">
        <x:v>LME_008</x:v>
      </x:c>
      <x:c r="B27" s="25" t="str">
        <x:v>Scotian Shelf</x:v>
      </x:c>
      <x:c r="C27" s="25" t="str">
        <x:v>lme</x:v>
      </x:c>
      <x:c r="D27" s="31" t="n">
        <x:v>2019</x:v>
      </x:c>
      <x:c r="E27" s="25" t="n">
        <x:v>574</x:v>
      </x:c>
      <x:c r="F27" s="25" t="n">
        <x:v>92</x:v>
      </x:c>
      <x:c r="G27" s="32" t="n">
        <x:v>148680.2607308072</x:v>
      </x:c>
      <x:c r="H27" s="32" t="n">
        <x:v>148680.2607308072</x:v>
      </x:c>
      <x:c r="I27" s="32" t="n">
        <x:v>0</x:v>
      </x:c>
      <x:c r="J27" s="36" t="b">
        <x:v>1</x:v>
      </x:c>
      <x:c r="K27" s="25" t="str">
        <x:v>available</x:v>
      </x:c>
    </x:row>
    <x:row r="28" ht="18" customHeight="1">
      <x:c r="A28" s="25" t="str">
        <x:v>LME_009</x:v>
      </x:c>
      <x:c r="B28" s="25" t="str">
        <x:v>Newfoundland-Labrador Shelf</x:v>
      </x:c>
      <x:c r="C28" s="25" t="str">
        <x:v>lme</x:v>
      </x:c>
      <x:c r="D28" s="31" t="n">
        <x:v>2019</x:v>
      </x:c>
      <x:c r="E28" s="25" t="n">
        <x:v>1041</x:v>
      </x:c>
      <x:c r="F28" s="25" t="n">
        <x:v>111</x:v>
      </x:c>
      <x:c r="G28" s="32" t="n">
        <x:v>506689.99406100804</x:v>
      </x:c>
      <x:c r="H28" s="32" t="n">
        <x:v>506689.99406100804</x:v>
      </x:c>
      <x:c r="I28" s="32" t="n">
        <x:v>0</x:v>
      </x:c>
      <x:c r="J28" s="36" t="b">
        <x:v>1</x:v>
      </x:c>
      <x:c r="K28" s="25" t="str">
        <x:v>available</x:v>
      </x:c>
    </x:row>
    <x:row r="29" ht="18" customHeight="1">
      <x:c r="A29" s="25" t="str">
        <x:v>LME_010</x:v>
      </x:c>
      <x:c r="B29" s="25" t="str">
        <x:v>Insular Pacific-Hawaiian</x:v>
      </x:c>
      <x:c r="C29" s="25" t="str">
        <x:v>lme</x:v>
      </x:c>
      <x:c r="D29" s="31" t="n">
        <x:v>2019</x:v>
      </x:c>
      <x:c r="E29" s="25" t="n">
        <x:v>632</x:v>
      </x:c>
      <x:c r="F29" s="25" t="n">
        <x:v>140</x:v>
      </x:c>
      <x:c r="G29" s="32" t="n">
        <x:v>21171.953396398498</x:v>
      </x:c>
      <x:c r="H29" s="32" t="n">
        <x:v>21171.9533963985</x:v>
      </x:c>
      <x:c r="I29" s="32" t="n">
        <x:v>3.637978807091713e-12</x:v>
      </x:c>
      <x:c r="J29" s="36" t="b">
        <x:v>1</x:v>
      </x:c>
      <x:c r="K29" s="25" t="str">
        <x:v>available</x:v>
      </x:c>
    </x:row>
    <x:row r="30" ht="18" customHeight="1">
      <x:c r="A30" s="25" t="str">
        <x:v>LME_011</x:v>
      </x:c>
      <x:c r="B30" s="25" t="str">
        <x:v>Pacific Central-American Coastal</x:v>
      </x:c>
      <x:c r="C30" s="25" t="str">
        <x:v>lme</x:v>
      </x:c>
      <x:c r="D30" s="31" t="n">
        <x:v>2019</x:v>
      </x:c>
      <x:c r="E30" s="25" t="n">
        <x:v>4398</x:v>
      </x:c>
      <x:c r="F30" s="25" t="n">
        <x:v>270</x:v>
      </x:c>
      <x:c r="G30" s="32" t="n">
        <x:v>1587670.7135199134</x:v>
      </x:c>
      <x:c r="H30" s="32" t="n">
        <x:v>1587670.7135199131</x:v>
      </x:c>
      <x:c r="I30" s="32" t="n">
        <x:v>-2.3283064365386963e-10</x:v>
      </x:c>
      <x:c r="J30" s="36" t="b">
        <x:v>1</x:v>
      </x:c>
      <x:c r="K30" s="25" t="str">
        <x:v>available</x:v>
      </x:c>
    </x:row>
    <x:row r="31" ht="18" customHeight="1">
      <x:c r="A31" s="25" t="str">
        <x:v>LME_012</x:v>
      </x:c>
      <x:c r="B31" s="25" t="str">
        <x:v>Caribbean Sea</x:v>
      </x:c>
      <x:c r="C31" s="25" t="str">
        <x:v>lme</x:v>
      </x:c>
      <x:c r="D31" s="31" t="n">
        <x:v>2019</x:v>
      </x:c>
      <x:c r="E31" s="25" t="n">
        <x:v>19871</x:v>
      </x:c>
      <x:c r="F31" s="25" t="n">
        <x:v>507</x:v>
      </x:c>
      <x:c r="G31" s="32" t="n">
        <x:v>625707.9632201534</x:v>
      </x:c>
      <x:c r="H31" s="32" t="n">
        <x:v>625707.9632201535</x:v>
      </x:c>
      <x:c r="I31" s="32" t="n">
        <x:v>1.1641532182693481e-10</x:v>
      </x:c>
      <x:c r="J31" s="36" t="b">
        <x:v>1</x:v>
      </x:c>
      <x:c r="K31" s="25" t="str">
        <x:v>available</x:v>
      </x:c>
    </x:row>
    <x:row r="32" ht="18" customHeight="1">
      <x:c r="A32" s="25" t="str">
        <x:v>LME_013</x:v>
      </x:c>
      <x:c r="B32" s="25" t="str">
        <x:v>Humboldt Current</x:v>
      </x:c>
      <x:c r="C32" s="25" t="str">
        <x:v>lme</x:v>
      </x:c>
      <x:c r="D32" s="31" t="n">
        <x:v>2019</x:v>
      </x:c>
      <x:c r="E32" s="25" t="n">
        <x:v>2211</x:v>
      </x:c>
      <x:c r="F32" s="25" t="n">
        <x:v>184</x:v>
      </x:c>
      <x:c r="G32" s="32" t="n">
        <x:v>7390380.680601614</x:v>
      </x:c>
      <x:c r="H32" s="32" t="n">
        <x:v>7390380.680601613</x:v>
      </x:c>
      <x:c r="I32" s="32" t="n">
        <x:v>-9.313225746154785e-10</x:v>
      </x:c>
      <x:c r="J32" s="36" t="b">
        <x:v>1</x:v>
      </x:c>
      <x:c r="K32" s="25" t="str">
        <x:v>available</x:v>
      </x:c>
    </x:row>
    <x:row r="33" ht="18" customHeight="1">
      <x:c r="A33" s="25" t="str">
        <x:v>LME_014</x:v>
      </x:c>
      <x:c r="B33" s="25" t="str">
        <x:v>Patagonian Shelf</x:v>
      </x:c>
      <x:c r="C33" s="25" t="str">
        <x:v>lme</x:v>
      </x:c>
      <x:c r="D33" s="31" t="n">
        <x:v>2019</x:v>
      </x:c>
      <x:c r="E33" s="25" t="n">
        <x:v>5190</x:v>
      </x:c>
      <x:c r="F33" s="25" t="n">
        <x:v>195</x:v>
      </x:c>
      <x:c r="G33" s="32" t="n">
        <x:v>1589890.9385366845</x:v>
      </x:c>
      <x:c r="H33" s="32" t="n">
        <x:v>1589890.9385366838</x:v>
      </x:c>
      <x:c r="I33" s="32" t="n">
        <x:v>-6.984919309616089e-10</x:v>
      </x:c>
      <x:c r="J33" s="36" t="b">
        <x:v>1</x:v>
      </x:c>
      <x:c r="K33" s="25" t="str">
        <x:v>available</x:v>
      </x:c>
    </x:row>
    <x:row r="34" ht="18" customHeight="1">
      <x:c r="A34" s="25" t="str">
        <x:v>LME_015</x:v>
      </x:c>
      <x:c r="B34" s="25" t="str">
        <x:v>South Brazil Shelf</x:v>
      </x:c>
      <x:c r="C34" s="25" t="str">
        <x:v>lme</x:v>
      </x:c>
      <x:c r="D34" s="31" t="n">
        <x:v>2019</x:v>
      </x:c>
      <x:c r="E34" s="25" t="n">
        <x:v>7388</x:v>
      </x:c>
      <x:c r="F34" s="25" t="n">
        <x:v>264</x:v>
      </x:c>
      <x:c r="G34" s="32" t="n">
        <x:v>292432.0999772061</x:v>
      </x:c>
      <x:c r="H34" s="32" t="n">
        <x:v>292432.0999772061</x:v>
      </x:c>
      <x:c r="I34" s="32" t="n">
        <x:v>0</x:v>
      </x:c>
      <x:c r="J34" s="36" t="b">
        <x:v>1</x:v>
      </x:c>
      <x:c r="K34" s="25" t="str">
        <x:v>available</x:v>
      </x:c>
    </x:row>
    <x:row r="35" ht="18" customHeight="1">
      <x:c r="A35" s="25" t="str">
        <x:v>LME_016</x:v>
      </x:c>
      <x:c r="B35" s="25" t="str">
        <x:v>East Brazil Shelf</x:v>
      </x:c>
      <x:c r="C35" s="25" t="str">
        <x:v>lme</x:v>
      </x:c>
      <x:c r="D35" s="31" t="n">
        <x:v>2019</x:v>
      </x:c>
      <x:c r="E35" s="25" t="n">
        <x:v>7252</x:v>
      </x:c>
      <x:c r="F35" s="25" t="n">
        <x:v>254</x:v>
      </x:c>
      <x:c r="G35" s="32" t="n">
        <x:v>306003.2887419415</x:v>
      </x:c>
      <x:c r="H35" s="32" t="n">
        <x:v>306003.2887419415</x:v>
      </x:c>
      <x:c r="I35" s="32" t="n">
        <x:v>0</x:v>
      </x:c>
      <x:c r="J35" s="36" t="b">
        <x:v>1</x:v>
      </x:c>
      <x:c r="K35" s="25" t="str">
        <x:v>available</x:v>
      </x:c>
    </x:row>
    <x:row r="36" ht="18" customHeight="1">
      <x:c r="A36" s="25" t="str">
        <x:v>LME_017</x:v>
      </x:c>
      <x:c r="B36" s="25" t="str">
        <x:v>North Brazil Shelf</x:v>
      </x:c>
      <x:c r="C36" s="25" t="str">
        <x:v>lme</x:v>
      </x:c>
      <x:c r="D36" s="31" t="n">
        <x:v>2019</x:v>
      </x:c>
      <x:c r="E36" s="25" t="n">
        <x:v>9018</x:v>
      </x:c>
      <x:c r="F36" s="25" t="n">
        <x:v>311</x:v>
      </x:c>
      <x:c r="G36" s="32" t="n">
        <x:v>453226.0308527972</x:v>
      </x:c>
      <x:c r="H36" s="32" t="n">
        <x:v>453226.0308527972</x:v>
      </x:c>
      <x:c r="I36" s="32" t="n">
        <x:v>0</x:v>
      </x:c>
      <x:c r="J36" s="36" t="b">
        <x:v>1</x:v>
      </x:c>
      <x:c r="K36" s="25" t="str">
        <x:v>available</x:v>
      </x:c>
    </x:row>
    <x:row r="37" ht="18" customHeight="1">
      <x:c r="A37" s="25" t="str">
        <x:v>LME_018</x:v>
      </x:c>
      <x:c r="B37" s="25" t="str">
        <x:v>Canadian Eastern Arctic -West Greenland</x:v>
      </x:c>
      <x:c r="C37" s="25" t="str">
        <x:v>lme</x:v>
      </x:c>
      <x:c r="D37" s="31" t="n">
        <x:v>2019</x:v>
      </x:c>
      <x:c r="E37" s="25" t="n">
        <x:v>448</x:v>
      </x:c>
      <x:c r="F37" s="25" t="n">
        <x:v>61</x:v>
      </x:c>
      <x:c r="G37" s="32" t="n">
        <x:v>219045.6241691814</x:v>
      </x:c>
      <x:c r="H37" s="32" t="n">
        <x:v>219045.62416918145</x:v>
      </x:c>
      <x:c r="I37" s="32" t="n">
        <x:v>5.820766091346741e-11</x:v>
      </x:c>
      <x:c r="J37" s="36" t="b">
        <x:v>1</x:v>
      </x:c>
      <x:c r="K37" s="25" t="str">
        <x:v>available</x:v>
      </x:c>
    </x:row>
    <x:row r="38" ht="18" customHeight="1">
      <x:c r="A38" s="25" t="str">
        <x:v>LME_019</x:v>
      </x:c>
      <x:c r="B38" s="25" t="str">
        <x:v>Greenland Sea</x:v>
      </x:c>
      <x:c r="C38" s="25" t="str">
        <x:v>lme</x:v>
      </x:c>
      <x:c r="D38" s="31" t="n">
        <x:v>2019</x:v>
      </x:c>
      <x:c r="E38" s="25" t="n">
        <x:v>1241</x:v>
      </x:c>
      <x:c r="F38" s="25" t="n">
        <x:v>64</x:v>
      </x:c>
      <x:c r="G38" s="32" t="n">
        <x:v>87093.82357372019</x:v>
      </x:c>
      <x:c r="H38" s="32" t="n">
        <x:v>87093.82357372019</x:v>
      </x:c>
      <x:c r="I38" s="32" t="n">
        <x:v>0</x:v>
      </x:c>
      <x:c r="J38" s="36" t="b">
        <x:v>1</x:v>
      </x:c>
      <x:c r="K38" s="25" t="str">
        <x:v>available</x:v>
      </x:c>
    </x:row>
    <x:row r="39" ht="18" customHeight="1">
      <x:c r="A39" s="25" t="str">
        <x:v>LME_020</x:v>
      </x:c>
      <x:c r="B39" s="25" t="str">
        <x:v>Barents Sea</x:v>
      </x:c>
      <x:c r="C39" s="25" t="str">
        <x:v>lme</x:v>
      </x:c>
      <x:c r="D39" s="31" t="n">
        <x:v>2019</x:v>
      </x:c>
      <x:c r="E39" s="25" t="n">
        <x:v>1939</x:v>
      </x:c>
      <x:c r="F39" s="25" t="n">
        <x:v>138</x:v>
      </x:c>
      <x:c r="G39" s="32" t="n">
        <x:v>675569.0179631643</x:v>
      </x:c>
      <x:c r="H39" s="32" t="n">
        <x:v>675569.0179631643</x:v>
      </x:c>
      <x:c r="I39" s="32" t="n">
        <x:v>0</x:v>
      </x:c>
      <x:c r="J39" s="36" t="b">
        <x:v>1</x:v>
      </x:c>
      <x:c r="K39" s="25" t="str">
        <x:v>available</x:v>
      </x:c>
    </x:row>
    <x:row r="40" ht="18" customHeight="1">
      <x:c r="A40" s="25" t="str">
        <x:v>LME_021</x:v>
      </x:c>
      <x:c r="B40" s="25" t="str">
        <x:v>Norwegian Sea</x:v>
      </x:c>
      <x:c r="C40" s="25" t="str">
        <x:v>lme</x:v>
      </x:c>
      <x:c r="D40" s="31" t="n">
        <x:v>2019</x:v>
      </x:c>
      <x:c r="E40" s="25" t="n">
        <x:v>1552</x:v>
      </x:c>
      <x:c r="F40" s="25" t="n">
        <x:v>162</x:v>
      </x:c>
      <x:c r="G40" s="32" t="n">
        <x:v>707251.5165434973</x:v>
      </x:c>
      <x:c r="H40" s="32" t="n">
        <x:v>707251.5165434972</x:v>
      </x:c>
      <x:c r="I40" s="32" t="n">
        <x:v>-1.1641532182693481e-10</x:v>
      </x:c>
      <x:c r="J40" s="36" t="b">
        <x:v>1</x:v>
      </x:c>
      <x:c r="K40" s="25" t="str">
        <x:v>available</x:v>
      </x:c>
    </x:row>
    <x:row r="41" ht="18" customHeight="1">
      <x:c r="A41" s="25" t="str">
        <x:v>LME_022</x:v>
      </x:c>
      <x:c r="B41" s="25" t="str">
        <x:v>North Sea</x:v>
      </x:c>
      <x:c r="C41" s="25" t="str">
        <x:v>lme</x:v>
      </x:c>
      <x:c r="D41" s="31" t="n">
        <x:v>2019</x:v>
      </x:c>
      <x:c r="E41" s="25" t="n">
        <x:v>13340</x:v>
      </x:c>
      <x:c r="F41" s="25" t="n">
        <x:v>312</x:v>
      </x:c>
      <x:c r="G41" s="32" t="n">
        <x:v>2717260.6982051707</x:v>
      </x:c>
      <x:c r="H41" s="32" t="n">
        <x:v>2717260.6982051707</x:v>
      </x:c>
      <x:c r="I41" s="32" t="n">
        <x:v>0</x:v>
      </x:c>
      <x:c r="J41" s="36" t="b">
        <x:v>1</x:v>
      </x:c>
      <x:c r="K41" s="25" t="str">
        <x:v>available</x:v>
      </x:c>
    </x:row>
    <x:row r="42" ht="18" customHeight="1">
      <x:c r="A42" s="25" t="str">
        <x:v>LME_023</x:v>
      </x:c>
      <x:c r="B42" s="25" t="str">
        <x:v>Baltic Sea</x:v>
      </x:c>
      <x:c r="C42" s="25" t="str">
        <x:v>lme</x:v>
      </x:c>
      <x:c r="D42" s="31" t="n">
        <x:v>2019</x:v>
      </x:c>
      <x:c r="E42" s="25" t="n">
        <x:v>9364</x:v>
      </x:c>
      <x:c r="F42" s="25" t="n">
        <x:v>117</x:v>
      </x:c>
      <x:c r="G42" s="32" t="n">
        <x:v>937172.6469930056</x:v>
      </x:c>
      <x:c r="H42" s="32" t="n">
        <x:v>937172.6469930056</x:v>
      </x:c>
      <x:c r="I42" s="32" t="n">
        <x:v>0</x:v>
      </x:c>
      <x:c r="J42" s="36" t="b">
        <x:v>1</x:v>
      </x:c>
      <x:c r="K42" s="25" t="str">
        <x:v>available</x:v>
      </x:c>
    </x:row>
    <x:row r="43" ht="18" customHeight="1">
      <x:c r="A43" s="25" t="str">
        <x:v>LME_024</x:v>
      </x:c>
      <x:c r="B43" s="25" t="str">
        <x:v>Celtic-Biscay Shelf</x:v>
      </x:c>
      <x:c r="C43" s="25" t="str">
        <x:v>lme</x:v>
      </x:c>
      <x:c r="D43" s="31" t="n">
        <x:v>2019</x:v>
      </x:c>
      <x:c r="E43" s="25" t="n">
        <x:v>14673</x:v>
      </x:c>
      <x:c r="F43" s="25" t="n">
        <x:v>383</x:v>
      </x:c>
      <x:c r="G43" s="32" t="n">
        <x:v>1139679.567089067</x:v>
      </x:c>
      <x:c r="H43" s="32" t="n">
        <x:v>1139679.567089067</x:v>
      </x:c>
      <x:c r="I43" s="32" t="n">
        <x:v>0</x:v>
      </x:c>
      <x:c r="J43" s="36" t="b">
        <x:v>1</x:v>
      </x:c>
      <x:c r="K43" s="25" t="str">
        <x:v>available</x:v>
      </x:c>
    </x:row>
    <x:row r="44" ht="18" customHeight="1">
      <x:c r="A44" s="25" t="str">
        <x:v>LME_025</x:v>
      </x:c>
      <x:c r="B44" s="25" t="str">
        <x:v>Iberian Coastal</x:v>
      </x:c>
      <x:c r="C44" s="25" t="str">
        <x:v>lme</x:v>
      </x:c>
      <x:c r="D44" s="31" t="n">
        <x:v>2019</x:v>
      </x:c>
      <x:c r="E44" s="25" t="n">
        <x:v>10442</x:v>
      </x:c>
      <x:c r="F44" s="25" t="n">
        <x:v>432</x:v>
      </x:c>
      <x:c r="G44" s="32" t="n">
        <x:v>429516.3330948258</x:v>
      </x:c>
      <x:c r="H44" s="32" t="n">
        <x:v>429516.33309482585</x:v>
      </x:c>
      <x:c r="I44" s="32" t="n">
        <x:v>5.820766091346741e-11</x:v>
      </x:c>
      <x:c r="J44" s="36" t="b">
        <x:v>1</x:v>
      </x:c>
      <x:c r="K44" s="25" t="str">
        <x:v>available</x:v>
      </x:c>
    </x:row>
    <x:row r="45" ht="18" customHeight="1">
      <x:c r="A45" s="25" t="str">
        <x:v>LME_026</x:v>
      </x:c>
      <x:c r="B45" s="25" t="str">
        <x:v>Mediterranean Sea</x:v>
      </x:c>
      <x:c r="C45" s="25" t="str">
        <x:v>lme</x:v>
      </x:c>
      <x:c r="D45" s="31" t="n">
        <x:v>2019</x:v>
      </x:c>
      <x:c r="E45" s="25" t="n">
        <x:v>25132</x:v>
      </x:c>
      <x:c r="F45" s="25" t="n">
        <x:v>482</x:v>
      </x:c>
      <x:c r="G45" s="32" t="n">
        <x:v>1487741.6269238535</x:v>
      </x:c>
      <x:c r="H45" s="32" t="n">
        <x:v>1487741.6269238533</x:v>
      </x:c>
      <x:c r="I45" s="32" t="n">
        <x:v>-2.3283064365386963e-10</x:v>
      </x:c>
      <x:c r="J45" s="36" t="b">
        <x:v>1</x:v>
      </x:c>
      <x:c r="K45" s="25" t="str">
        <x:v>available</x:v>
      </x:c>
    </x:row>
    <x:row r="46" ht="18" customHeight="1">
      <x:c r="A46" s="25" t="str">
        <x:v>LME_027</x:v>
      </x:c>
      <x:c r="B46" s="25" t="str">
        <x:v>Canary Current</x:v>
      </x:c>
      <x:c r="C46" s="25" t="str">
        <x:v>lme</x:v>
      </x:c>
      <x:c r="D46" s="31" t="n">
        <x:v>2019</x:v>
      </x:c>
      <x:c r="E46" s="25" t="n">
        <x:v>8933</x:v>
      </x:c>
      <x:c r="F46" s="25" t="n">
        <x:v>412</x:v>
      </x:c>
      <x:c r="G46" s="32" t="n">
        <x:v>5771015.257329413</x:v>
      </x:c>
      <x:c r="H46" s="32" t="n">
        <x:v>5771015.257329413</x:v>
      </x:c>
      <x:c r="I46" s="32" t="n">
        <x:v>0</x:v>
      </x:c>
      <x:c r="J46" s="36" t="b">
        <x:v>1</x:v>
      </x:c>
      <x:c r="K46" s="25" t="str">
        <x:v>available</x:v>
      </x:c>
    </x:row>
    <x:row r="47" ht="18" customHeight="1">
      <x:c r="A47" s="25" t="str">
        <x:v>LME_028</x:v>
      </x:c>
      <x:c r="B47" s="25" t="str">
        <x:v>Guinea Current</x:v>
      </x:c>
      <x:c r="C47" s="25" t="str">
        <x:v>lme</x:v>
      </x:c>
      <x:c r="D47" s="31" t="n">
        <x:v>2019</x:v>
      </x:c>
      <x:c r="E47" s="25" t="n">
        <x:v>9016</x:v>
      </x:c>
      <x:c r="F47" s="25" t="n">
        <x:v>325</x:v>
      </x:c>
      <x:c r="G47" s="32" t="n">
        <x:v>4469154.981144244</x:v>
      </x:c>
      <x:c r="H47" s="32" t="n">
        <x:v>4469154.981144244</x:v>
      </x:c>
      <x:c r="I47" s="32" t="n">
        <x:v>0</x:v>
      </x:c>
      <x:c r="J47" s="36" t="b">
        <x:v>1</x:v>
      </x:c>
      <x:c r="K47" s="25" t="str">
        <x:v>available</x:v>
      </x:c>
    </x:row>
    <x:row r="48" ht="18" customHeight="1">
      <x:c r="A48" s="25" t="str">
        <x:v>LME_029</x:v>
      </x:c>
      <x:c r="B48" s="25" t="str">
        <x:v>Benguela Current</x:v>
      </x:c>
      <x:c r="C48" s="25" t="str">
        <x:v>lme</x:v>
      </x:c>
      <x:c r="D48" s="31" t="n">
        <x:v>2019</x:v>
      </x:c>
      <x:c r="E48" s="25" t="n">
        <x:v>2387</x:v>
      </x:c>
      <x:c r="F48" s="25" t="n">
        <x:v>147</x:v>
      </x:c>
      <x:c r="G48" s="32" t="n">
        <x:v>1592518.0818040827</x:v>
      </x:c>
      <x:c r="H48" s="32" t="n">
        <x:v>1592518.0818040827</x:v>
      </x:c>
      <x:c r="I48" s="32" t="n">
        <x:v>0</x:v>
      </x:c>
      <x:c r="J48" s="36" t="b">
        <x:v>1</x:v>
      </x:c>
      <x:c r="K48" s="25" t="str">
        <x:v>available</x:v>
      </x:c>
    </x:row>
    <x:row r="49" ht="18" customHeight="1">
      <x:c r="A49" s="25" t="str">
        <x:v>LME_030</x:v>
      </x:c>
      <x:c r="B49" s="25" t="str">
        <x:v>Agulhas Current</x:v>
      </x:c>
      <x:c r="C49" s="25" t="str">
        <x:v>lme</x:v>
      </x:c>
      <x:c r="D49" s="31" t="n">
        <x:v>2019</x:v>
      </x:c>
      <x:c r="E49" s="25" t="n">
        <x:v>3912</x:v>
      </x:c>
      <x:c r="F49" s="25" t="n">
        <x:v>272</x:v>
      </x:c>
      <x:c r="G49" s="32" t="n">
        <x:v>794215.4259763143</x:v>
      </x:c>
      <x:c r="H49" s="32" t="n">
        <x:v>794215.4259763142</x:v>
      </x:c>
      <x:c r="I49" s="32" t="n">
        <x:v>-1.1641532182693481e-10</x:v>
      </x:c>
      <x:c r="J49" s="36" t="b">
        <x:v>1</x:v>
      </x:c>
      <x:c r="K49" s="25" t="str">
        <x:v>available</x:v>
      </x:c>
    </x:row>
    <x:row r="50" ht="18" customHeight="1">
      <x:c r="A50" s="25" t="str">
        <x:v>LME_031</x:v>
      </x:c>
      <x:c r="B50" s="25" t="str">
        <x:v>Somali Coastal Current</x:v>
      </x:c>
      <x:c r="C50" s="25" t="str">
        <x:v>lme</x:v>
      </x:c>
      <x:c r="D50" s="31" t="n">
        <x:v>2019</x:v>
      </x:c>
      <x:c r="E50" s="25" t="n">
        <x:v>2021</x:v>
      </x:c>
      <x:c r="F50" s="25" t="n">
        <x:v>205</x:v>
      </x:c>
      <x:c r="G50" s="32" t="n">
        <x:v>237379.07863162042</x:v>
      </x:c>
      <x:c r="H50" s="32" t="n">
        <x:v>237379.0786316204</x:v>
      </x:c>
      <x:c r="I50" s="32" t="n">
        <x:v>-2.9103830456733704e-11</x:v>
      </x:c>
      <x:c r="J50" s="36" t="b">
        <x:v>1</x:v>
      </x:c>
      <x:c r="K50" s="25" t="str">
        <x:v>available</x:v>
      </x:c>
    </x:row>
    <x:row r="51" ht="18" customHeight="1">
      <x:c r="A51" s="25" t="str">
        <x:v>LME_032</x:v>
      </x:c>
      <x:c r="B51" s="25" t="str">
        <x:v>Arabian Sea</x:v>
      </x:c>
      <x:c r="C51" s="25" t="str">
        <x:v>lme</x:v>
      </x:c>
      <x:c r="D51" s="31" t="n">
        <x:v>2019</x:v>
      </x:c>
      <x:c r="E51" s="25" t="n">
        <x:v>16251</x:v>
      </x:c>
      <x:c r="F51" s="25" t="n">
        <x:v>393</x:v>
      </x:c>
      <x:c r="G51" s="32" t="n">
        <x:v>5436428.793803818</x:v>
      </x:c>
      <x:c r="H51" s="32" t="n">
        <x:v>5436428.7938038185</x:v>
      </x:c>
      <x:c r="I51" s="32" t="n">
        <x:v>9.313225746154785e-10</x:v>
      </x:c>
      <x:c r="J51" s="36" t="b">
        <x:v>1</x:v>
      </x:c>
      <x:c r="K51" s="25" t="str">
        <x:v>available</x:v>
      </x:c>
    </x:row>
    <x:row r="52" ht="18" customHeight="1">
      <x:c r="A52" s="25" t="str">
        <x:v>LME_033</x:v>
      </x:c>
      <x:c r="B52" s="25" t="str">
        <x:v>Red Sea</x:v>
      </x:c>
      <x:c r="C52" s="25" t="str">
        <x:v>lme</x:v>
      </x:c>
      <x:c r="D52" s="31" t="n">
        <x:v>2019</x:v>
      </x:c>
      <x:c r="E52" s="25" t="n">
        <x:v>4755</x:v>
      </x:c>
      <x:c r="F52" s="25" t="n">
        <x:v>193</x:v>
      </x:c>
      <x:c r="G52" s="32" t="n">
        <x:v>147100.3417814472</x:v>
      </x:c>
      <x:c r="H52" s="32" t="n">
        <x:v>147100.34178144718</x:v>
      </x:c>
      <x:c r="I52" s="32" t="n">
        <x:v>-2.9103830456733704e-11</x:v>
      </x:c>
      <x:c r="J52" s="36" t="b">
        <x:v>1</x:v>
      </x:c>
      <x:c r="K52" s="25" t="str">
        <x:v>available</x:v>
      </x:c>
    </x:row>
    <x:row r="53" ht="18" customHeight="1">
      <x:c r="A53" s="25" t="str">
        <x:v>LME_034</x:v>
      </x:c>
      <x:c r="B53" s="25" t="str">
        <x:v>Bay of Bengal</x:v>
      </x:c>
      <x:c r="C53" s="25" t="str">
        <x:v>lme</x:v>
      </x:c>
      <x:c r="D53" s="31" t="n">
        <x:v>2019</x:v>
      </x:c>
      <x:c r="E53" s="25" t="n">
        <x:v>8639</x:v>
      </x:c>
      <x:c r="F53" s="25" t="n">
        <x:v>288</x:v>
      </x:c>
      <x:c r="G53" s="32" t="n">
        <x:v>6697725.785375867</x:v>
      </x:c>
      <x:c r="H53" s="32" t="n">
        <x:v>6697725.785375867</x:v>
      </x:c>
      <x:c r="I53" s="32" t="n">
        <x:v>0</x:v>
      </x:c>
      <x:c r="J53" s="36" t="b">
        <x:v>1</x:v>
      </x:c>
      <x:c r="K53" s="25" t="str">
        <x:v>available</x:v>
      </x:c>
    </x:row>
    <x:row r="54" ht="18" customHeight="1">
      <x:c r="A54" s="25" t="str">
        <x:v>LME_035</x:v>
      </x:c>
      <x:c r="B54" s="25" t="str">
        <x:v>Gulf of Thailand</x:v>
      </x:c>
      <x:c r="C54" s="25" t="str">
        <x:v>lme</x:v>
      </x:c>
      <x:c r="D54" s="31" t="n">
        <x:v>2019</x:v>
      </x:c>
      <x:c r="E54" s="25" t="n">
        <x:v>8389</x:v>
      </x:c>
      <x:c r="F54" s="25" t="n">
        <x:v>214</x:v>
      </x:c>
      <x:c r="G54" s="32" t="n">
        <x:v>2615825.056861822</x:v>
      </x:c>
      <x:c r="H54" s="32" t="n">
        <x:v>2615825.056861822</x:v>
      </x:c>
      <x:c r="I54" s="32" t="n">
        <x:v>0</x:v>
      </x:c>
      <x:c r="J54" s="36" t="b">
        <x:v>1</x:v>
      </x:c>
      <x:c r="K54" s="25" t="str">
        <x:v>available</x:v>
      </x:c>
    </x:row>
    <x:row r="55" ht="18" customHeight="1">
      <x:c r="A55" s="25" t="str">
        <x:v>LME_036</x:v>
      </x:c>
      <x:c r="B55" s="25" t="str">
        <x:v>South China Sea</x:v>
      </x:c>
      <x:c r="C55" s="25" t="str">
        <x:v>lme</x:v>
      </x:c>
      <x:c r="D55" s="31" t="n">
        <x:v>2019</x:v>
      </x:c>
      <x:c r="E55" s="25" t="n">
        <x:v>14092</x:v>
      </x:c>
      <x:c r="F55" s="25" t="n">
        <x:v>340</x:v>
      </x:c>
      <x:c r="G55" s="32" t="n">
        <x:v>11101666.087778974</x:v>
      </x:c>
      <x:c r="H55" s="32" t="n">
        <x:v>11101666.087778976</x:v>
      </x:c>
      <x:c r="I55" s="32" t="n">
        <x:v>1.862645149230957e-9</x:v>
      </x:c>
      <x:c r="J55" s="36" t="b">
        <x:v>1</x:v>
      </x:c>
      <x:c r="K55" s="25" t="str">
        <x:v>available</x:v>
      </x:c>
    </x:row>
    <x:row r="56" ht="18" customHeight="1">
      <x:c r="A56" s="25" t="str">
        <x:v>LME_037</x:v>
      </x:c>
      <x:c r="B56" s="25" t="str">
        <x:v>Sulu-Celebes Sea</x:v>
      </x:c>
      <x:c r="C56" s="25" t="str">
        <x:v>lme</x:v>
      </x:c>
      <x:c r="D56" s="31" t="n">
        <x:v>2019</x:v>
      </x:c>
      <x:c r="E56" s="25" t="n">
        <x:v>5616</x:v>
      </x:c>
      <x:c r="F56" s="25" t="n">
        <x:v>219</x:v>
      </x:c>
      <x:c r="G56" s="32" t="n">
        <x:v>1731971.9673227617</x:v>
      </x:c>
      <x:c r="H56" s="32" t="n">
        <x:v>1731971.9673227617</x:v>
      </x:c>
      <x:c r="I56" s="32" t="n">
        <x:v>0</x:v>
      </x:c>
      <x:c r="J56" s="36" t="b">
        <x:v>1</x:v>
      </x:c>
      <x:c r="K56" s="25" t="str">
        <x:v>available</x:v>
      </x:c>
    </x:row>
    <x:row r="57" ht="18" customHeight="1">
      <x:c r="A57" s="25" t="str">
        <x:v>LME_038</x:v>
      </x:c>
      <x:c r="B57" s="25" t="str">
        <x:v>Indonesian Sea</x:v>
      </x:c>
      <x:c r="C57" s="25" t="str">
        <x:v>lme</x:v>
      </x:c>
      <x:c r="D57" s="31" t="n">
        <x:v>2019</x:v>
      </x:c>
      <x:c r="E57" s="25" t="n">
        <x:v>2314</x:v>
      </x:c>
      <x:c r="F57" s="25" t="n">
        <x:v>142</x:v>
      </x:c>
      <x:c r="G57" s="32" t="n">
        <x:v>2883541.9537540907</x:v>
      </x:c>
      <x:c r="H57" s="32" t="n">
        <x:v>2883541.9537540907</x:v>
      </x:c>
      <x:c r="I57" s="32" t="n">
        <x:v>0</x:v>
      </x:c>
      <x:c r="J57" s="36" t="b">
        <x:v>1</x:v>
      </x:c>
      <x:c r="K57" s="25" t="str">
        <x:v>available</x:v>
      </x:c>
    </x:row>
    <x:row r="58" ht="18" customHeight="1">
      <x:c r="A58" s="25" t="str">
        <x:v>LME_039</x:v>
      </x:c>
      <x:c r="B58" s="25" t="str">
        <x:v>North Australian Shelf</x:v>
      </x:c>
      <x:c r="C58" s="25" t="str">
        <x:v>lme</x:v>
      </x:c>
      <x:c r="D58" s="31" t="n">
        <x:v>2019</x:v>
      </x:c>
      <x:c r="E58" s="25" t="n">
        <x:v>5676</x:v>
      </x:c>
      <x:c r="F58" s="25" t="n">
        <x:v>452</x:v>
      </x:c>
      <x:c r="G58" s="32" t="n">
        <x:v>44872.4444403339</x:v>
      </x:c>
      <x:c r="H58" s="32" t="n">
        <x:v>44872.4444403339</x:v>
      </x:c>
      <x:c r="I58" s="32" t="n">
        <x:v>0</x:v>
      </x:c>
      <x:c r="J58" s="36" t="b">
        <x:v>1</x:v>
      </x:c>
      <x:c r="K58" s="25" t="str">
        <x:v>available</x:v>
      </x:c>
    </x:row>
    <x:row r="59" ht="18" customHeight="1">
      <x:c r="A59" s="25" t="str">
        <x:v>LME_040</x:v>
      </x:c>
      <x:c r="B59" s="25" t="str">
        <x:v>Northeast Australian Shelf-Great Barrier Reef</x:v>
      </x:c>
      <x:c r="C59" s="25" t="str">
        <x:v>lme</x:v>
      </x:c>
      <x:c r="D59" s="31" t="n">
        <x:v>2019</x:v>
      </x:c>
      <x:c r="E59" s="25" t="n">
        <x:v>3146</x:v>
      </x:c>
      <x:c r="F59" s="25" t="n">
        <x:v>332</x:v>
      </x:c>
      <x:c r="G59" s="32" t="n">
        <x:v>22842.5316976432</x:v>
      </x:c>
      <x:c r="H59" s="32" t="n">
        <x:v>22842.5316976432</x:v>
      </x:c>
      <x:c r="I59" s="32" t="n">
        <x:v>0</x:v>
      </x:c>
      <x:c r="J59" s="36" t="b">
        <x:v>1</x:v>
      </x:c>
      <x:c r="K59" s="25" t="str">
        <x:v>available</x:v>
      </x:c>
    </x:row>
    <x:row r="60" ht="18" customHeight="1">
      <x:c r="A60" s="25" t="str">
        <x:v>LME_041</x:v>
      </x:c>
      <x:c r="B60" s="25" t="str">
        <x:v>East-Central Australian Shelf</x:v>
      </x:c>
      <x:c r="C60" s="25" t="str">
        <x:v>lme</x:v>
      </x:c>
      <x:c r="D60" s="31" t="n">
        <x:v>2019</x:v>
      </x:c>
      <x:c r="E60" s="25" t="n">
        <x:v>4133</x:v>
      </x:c>
      <x:c r="F60" s="25" t="n">
        <x:v>382</x:v>
      </x:c>
      <x:c r="G60" s="32" t="n">
        <x:v>39281.0247337031</x:v>
      </x:c>
      <x:c r="H60" s="32" t="n">
        <x:v>39281.0247337031</x:v>
      </x:c>
      <x:c r="I60" s="32" t="n">
        <x:v>0</x:v>
      </x:c>
      <x:c r="J60" s="36" t="b">
        <x:v>1</x:v>
      </x:c>
      <x:c r="K60" s="25" t="str">
        <x:v>available</x:v>
      </x:c>
    </x:row>
    <x:row r="61" ht="18" customHeight="1">
      <x:c r="A61" s="25" t="str">
        <x:v>LME_042</x:v>
      </x:c>
      <x:c r="B61" s="25" t="str">
        <x:v>Southeast Australian Shelf</x:v>
      </x:c>
      <x:c r="C61" s="25" t="str">
        <x:v>lme</x:v>
      </x:c>
      <x:c r="D61" s="31" t="n">
        <x:v>2019</x:v>
      </x:c>
      <x:c r="E61" s="25" t="n">
        <x:v>2895</x:v>
      </x:c>
      <x:c r="F61" s="25" t="n">
        <x:v>246</x:v>
      </x:c>
      <x:c r="G61" s="32" t="n">
        <x:v>32645.754357906102</x:v>
      </x:c>
      <x:c r="H61" s="32" t="n">
        <x:v>32645.754357906095</x:v>
      </x:c>
      <x:c r="I61" s="32" t="n">
        <x:v>-7.275957614183426e-12</x:v>
      </x:c>
      <x:c r="J61" s="36" t="b">
        <x:v>1</x:v>
      </x:c>
      <x:c r="K61" s="25" t="str">
        <x:v>available</x:v>
      </x:c>
    </x:row>
    <x:row r="62" ht="18" customHeight="1">
      <x:c r="A62" s="25" t="str">
        <x:v>LME_043</x:v>
      </x:c>
      <x:c r="B62" s="25" t="str">
        <x:v>Southwest Australian Shelf</x:v>
      </x:c>
      <x:c r="C62" s="25" t="str">
        <x:v>lme</x:v>
      </x:c>
      <x:c r="D62" s="31" t="n">
        <x:v>2019</x:v>
      </x:c>
      <x:c r="E62" s="25" t="n">
        <x:v>2139</x:v>
      </x:c>
      <x:c r="F62" s="25" t="n">
        <x:v>245</x:v>
      </x:c>
      <x:c r="G62" s="32" t="n">
        <x:v>30450.9174249122</x:v>
      </x:c>
      <x:c r="H62" s="32" t="n">
        <x:v>30450.9174249122</x:v>
      </x:c>
      <x:c r="I62" s="32" t="n">
        <x:v>0</x:v>
      </x:c>
      <x:c r="J62" s="36" t="b">
        <x:v>1</x:v>
      </x:c>
      <x:c r="K62" s="25" t="str">
        <x:v>available</x:v>
      </x:c>
    </x:row>
    <x:row r="63" ht="18" customHeight="1">
      <x:c r="A63" s="25" t="str">
        <x:v>LME_044</x:v>
      </x:c>
      <x:c r="B63" s="25" t="str">
        <x:v>West-Central Australian Shelf</x:v>
      </x:c>
      <x:c r="C63" s="25" t="str">
        <x:v>lme</x:v>
      </x:c>
      <x:c r="D63" s="31" t="n">
        <x:v>2019</x:v>
      </x:c>
      <x:c r="E63" s="25" t="n">
        <x:v>2969</x:v>
      </x:c>
      <x:c r="F63" s="25" t="n">
        <x:v>411</x:v>
      </x:c>
      <x:c r="G63" s="32" t="n">
        <x:v>19839.0729312876</x:v>
      </x:c>
      <x:c r="H63" s="32" t="n">
        <x:v>19839.0729312876</x:v>
      </x:c>
      <x:c r="I63" s="32" t="n">
        <x:v>0</x:v>
      </x:c>
      <x:c r="J63" s="36" t="b">
        <x:v>1</x:v>
      </x:c>
      <x:c r="K63" s="25" t="str">
        <x:v>available</x:v>
      </x:c>
    </x:row>
    <x:row r="64" ht="18" customHeight="1">
      <x:c r="A64" s="25" t="str">
        <x:v>LME_045</x:v>
      </x:c>
      <x:c r="B64" s="25" t="str">
        <x:v>Northwest Australian Shelf</x:v>
      </x:c>
      <x:c r="C64" s="25" t="str">
        <x:v>lme</x:v>
      </x:c>
      <x:c r="D64" s="31" t="n">
        <x:v>2019</x:v>
      </x:c>
      <x:c r="E64" s="25" t="n">
        <x:v>3021</x:v>
      </x:c>
      <x:c r="F64" s="25" t="n">
        <x:v>410</x:v>
      </x:c>
      <x:c r="G64" s="32" t="n">
        <x:v>44647.944981429304</x:v>
      </x:c>
      <x:c r="H64" s="32" t="n">
        <x:v>44647.9449814293</x:v>
      </x:c>
      <x:c r="I64" s="32" t="n">
        <x:v>-7.275957614183426e-12</x:v>
      </x:c>
      <x:c r="J64" s="36" t="b">
        <x:v>1</x:v>
      </x:c>
      <x:c r="K64" s="25" t="str">
        <x:v>available</x:v>
      </x:c>
    </x:row>
    <x:row r="65" ht="18" customHeight="1">
      <x:c r="A65" s="25" t="str">
        <x:v>LME_046</x:v>
      </x:c>
      <x:c r="B65" s="25" t="str">
        <x:v>New Zealand Shelf</x:v>
      </x:c>
      <x:c r="C65" s="25" t="str">
        <x:v>lme</x:v>
      </x:c>
      <x:c r="D65" s="31" t="n">
        <x:v>2019</x:v>
      </x:c>
      <x:c r="E65" s="25" t="n">
        <x:v>4667</x:v>
      </x:c>
      <x:c r="F65" s="25" t="n">
        <x:v>197</x:v>
      </x:c>
      <x:c r="G65" s="32" t="n">
        <x:v>431127.77716673305</x:v>
      </x:c>
      <x:c r="H65" s="32" t="n">
        <x:v>431127.77716673305</x:v>
      </x:c>
      <x:c r="I65" s="32" t="n">
        <x:v>0</x:v>
      </x:c>
      <x:c r="J65" s="36" t="b">
        <x:v>1</x:v>
      </x:c>
      <x:c r="K65" s="25" t="str">
        <x:v>available</x:v>
      </x:c>
    </x:row>
    <x:row r="66" ht="18" customHeight="1">
      <x:c r="A66" s="25" t="str">
        <x:v>LME_047</x:v>
      </x:c>
      <x:c r="B66" s="25" t="str">
        <x:v>East China Sea</x:v>
      </x:c>
      <x:c r="C66" s="25" t="str">
        <x:v>lme</x:v>
      </x:c>
      <x:c r="D66" s="31" t="n">
        <x:v>2019</x:v>
      </x:c>
      <x:c r="E66" s="25" t="n">
        <x:v>6581</x:v>
      </x:c>
      <x:c r="F66" s="25" t="n">
        <x:v>254</x:v>
      </x:c>
      <x:c r="G66" s="32" t="n">
        <x:v>5649829.984210193</x:v>
      </x:c>
      <x:c r="H66" s="32" t="n">
        <x:v>5649829.984210193</x:v>
      </x:c>
      <x:c r="I66" s="32" t="n">
        <x:v>0</x:v>
      </x:c>
      <x:c r="J66" s="36" t="b">
        <x:v>1</x:v>
      </x:c>
      <x:c r="K66" s="25" t="str">
        <x:v>available</x:v>
      </x:c>
    </x:row>
    <x:row r="67" ht="18" customHeight="1">
      <x:c r="A67" s="25" t="str">
        <x:v>LME_048</x:v>
      </x:c>
      <x:c r="B67" s="25" t="str">
        <x:v>Yellow Sea</x:v>
      </x:c>
      <x:c r="C67" s="25" t="str">
        <x:v>lme</x:v>
      </x:c>
      <x:c r="D67" s="31" t="n">
        <x:v>2019</x:v>
      </x:c>
      <x:c r="E67" s="25" t="n">
        <x:v>3922</x:v>
      </x:c>
      <x:c r="F67" s="25" t="n">
        <x:v>175</x:v>
      </x:c>
      <x:c r="G67" s="32" t="n">
        <x:v>2658977.968899307</x:v>
      </x:c>
      <x:c r="H67" s="32" t="n">
        <x:v>2658977.968899307</x:v>
      </x:c>
      <x:c r="I67" s="32" t="n">
        <x:v>0</x:v>
      </x:c>
      <x:c r="J67" s="36" t="b">
        <x:v>1</x:v>
      </x:c>
      <x:c r="K67" s="25" t="str">
        <x:v>available</x:v>
      </x:c>
    </x:row>
    <x:row r="68" ht="18" customHeight="1">
      <x:c r="A68" s="25" t="str">
        <x:v>LME_049</x:v>
      </x:c>
      <x:c r="B68" s="25" t="str">
        <x:v>Kuroshio Current</x:v>
      </x:c>
      <x:c r="C68" s="25" t="str">
        <x:v>lme</x:v>
      </x:c>
      <x:c r="D68" s="31" t="n">
        <x:v>2019</x:v>
      </x:c>
      <x:c r="E68" s="25" t="n">
        <x:v>5722</x:v>
      </x:c>
      <x:c r="F68" s="25" t="n">
        <x:v>229</x:v>
      </x:c>
      <x:c r="G68" s="32" t="n">
        <x:v>3090456.2651244747</x:v>
      </x:c>
      <x:c r="H68" s="32" t="n">
        <x:v>3090456.2651244747</x:v>
      </x:c>
      <x:c r="I68" s="32" t="n">
        <x:v>0</x:v>
      </x:c>
      <x:c r="J68" s="36" t="b">
        <x:v>1</x:v>
      </x:c>
      <x:c r="K68" s="25" t="str">
        <x:v>available</x:v>
      </x:c>
    </x:row>
    <x:row r="69" ht="18" customHeight="1">
      <x:c r="A69" s="25" t="str">
        <x:v>LME_050</x:v>
      </x:c>
      <x:c r="B69" s="25" t="str">
        <x:v>Sea of Japan / East Sea</x:v>
      </x:c>
      <x:c r="C69" s="25" t="str">
        <x:v>lme</x:v>
      </x:c>
      <x:c r="D69" s="31" t="n">
        <x:v>2019</x:v>
      </x:c>
      <x:c r="E69" s="25" t="n">
        <x:v>3380</x:v>
      </x:c>
      <x:c r="F69" s="25" t="n">
        <x:v>218</x:v>
      </x:c>
      <x:c r="G69" s="32" t="n">
        <x:v>2586941.83669577</x:v>
      </x:c>
      <x:c r="H69" s="32" t="n">
        <x:v>2586941.83669577</x:v>
      </x:c>
      <x:c r="I69" s="32" t="n">
        <x:v>0</x:v>
      </x:c>
      <x:c r="J69" s="36" t="b">
        <x:v>1</x:v>
      </x:c>
      <x:c r="K69" s="25" t="str">
        <x:v>available</x:v>
      </x:c>
    </x:row>
    <x:row r="70" ht="18" customHeight="1">
      <x:c r="A70" s="25" t="str">
        <x:v>LME_051</x:v>
      </x:c>
      <x:c r="B70" s="25" t="str">
        <x:v>Oyashio Current</x:v>
      </x:c>
      <x:c r="C70" s="25" t="str">
        <x:v>lme</x:v>
      </x:c>
      <x:c r="D70" s="31" t="n">
        <x:v>2019</x:v>
      </x:c>
      <x:c r="E70" s="25" t="n">
        <x:v>1944</x:v>
      </x:c>
      <x:c r="F70" s="25" t="n">
        <x:v>143</x:v>
      </x:c>
      <x:c r="G70" s="32" t="n">
        <x:v>1092021.8374498228</x:v>
      </x:c>
      <x:c r="H70" s="32" t="n">
        <x:v>1092021.837449823</x:v>
      </x:c>
      <x:c r="I70" s="32" t="n">
        <x:v>2.3283064365386963e-10</x:v>
      </x:c>
      <x:c r="J70" s="36" t="b">
        <x:v>1</x:v>
      </x:c>
      <x:c r="K70" s="25" t="str">
        <x:v>available</x:v>
      </x:c>
    </x:row>
    <x:row r="71" ht="18" customHeight="1">
      <x:c r="A71" s="25" t="str">
        <x:v>LME_052</x:v>
      </x:c>
      <x:c r="B71" s="25" t="str">
        <x:v>Sea of Okhotsk</x:v>
      </x:c>
      <x:c r="C71" s="25" t="str">
        <x:v>lme</x:v>
      </x:c>
      <x:c r="D71" s="31" t="n">
        <x:v>2019</x:v>
      </x:c>
      <x:c r="E71" s="25" t="n">
        <x:v>1732</x:v>
      </x:c>
      <x:c r="F71" s="25" t="n">
        <x:v>131</x:v>
      </x:c>
      <x:c r="G71" s="32" t="n">
        <x:v>4800852.125625119</x:v>
      </x:c>
      <x:c r="H71" s="32" t="n">
        <x:v>4800852.125625119</x:v>
      </x:c>
      <x:c r="I71" s="32" t="n">
        <x:v>0</x:v>
      </x:c>
      <x:c r="J71" s="36" t="b">
        <x:v>1</x:v>
      </x:c>
      <x:c r="K71" s="25" t="str">
        <x:v>available</x:v>
      </x:c>
    </x:row>
    <x:row r="72" ht="18" customHeight="1">
      <x:c r="A72" s="25" t="str">
        <x:v>LME_053</x:v>
      </x:c>
      <x:c r="B72" s="25" t="str">
        <x:v>West Bering Sea</x:v>
      </x:c>
      <x:c r="C72" s="25" t="str">
        <x:v>lme</x:v>
      </x:c>
      <x:c r="D72" s="31" t="n">
        <x:v>2019</x:v>
      </x:c>
      <x:c r="E72" s="25" t="n">
        <x:v>512</x:v>
      </x:c>
      <x:c r="F72" s="25" t="n">
        <x:v>63</x:v>
      </x:c>
      <x:c r="G72" s="32" t="n">
        <x:v>705687.5220776038</x:v>
      </x:c>
      <x:c r="H72" s="32" t="n">
        <x:v>705687.5220776038</x:v>
      </x:c>
      <x:c r="I72" s="32" t="n">
        <x:v>0</x:v>
      </x:c>
      <x:c r="J72" s="36" t="b">
        <x:v>1</x:v>
      </x:c>
      <x:c r="K72" s="25" t="str">
        <x:v>available</x:v>
      </x:c>
    </x:row>
    <x:row r="73" ht="18" customHeight="1">
      <x:c r="A73" s="25" t="str">
        <x:v>LME_054</x:v>
      </x:c>
      <x:c r="B73" s="25" t="str">
        <x:v>Northern Bering - Chukchi Seas</x:v>
      </x:c>
      <x:c r="C73" s="25" t="str">
        <x:v>lme</x:v>
      </x:c>
      <x:c r="D73" s="31" t="n">
        <x:v>2019</x:v>
      </x:c>
      <x:c r="E73" s="25" t="n">
        <x:v>871</x:v>
      </x:c>
      <x:c r="F73" s="25" t="n">
        <x:v>93</x:v>
      </x:c>
      <x:c r="G73" s="32" t="n">
        <x:v>348828.221273396</x:v>
      </x:c>
      <x:c r="H73" s="32" t="n">
        <x:v>348828.221273396</x:v>
      </x:c>
      <x:c r="I73" s="32" t="n">
        <x:v>0</x:v>
      </x:c>
      <x:c r="J73" s="36" t="b">
        <x:v>1</x:v>
      </x:c>
      <x:c r="K73" s="25" t="str">
        <x:v>available</x:v>
      </x:c>
    </x:row>
    <x:row r="74" ht="18" customHeight="1">
      <x:c r="A74" s="25" t="str">
        <x:v>LME_055</x:v>
      </x:c>
      <x:c r="B74" s="25" t="str">
        <x:v>Beaufort Sea</x:v>
      </x:c>
      <x:c r="C74" s="25" t="str">
        <x:v>lme</x:v>
      </x:c>
      <x:c r="D74" s="31" t="n">
        <x:v>2019</x:v>
      </x:c>
      <x:c r="E74" s="25" t="n">
        <x:v>97</x:v>
      </x:c>
      <x:c r="F74" s="25" t="n">
        <x:v>19</x:v>
      </x:c>
      <x:c r="G74" s="32" t="n">
        <x:v>212.78852302800001</x:v>
      </x:c>
      <x:c r="H74" s="32" t="n">
        <x:v>212.78852302800001</x:v>
      </x:c>
      <x:c r="I74" s="32" t="n">
        <x:v>0</x:v>
      </x:c>
      <x:c r="J74" s="36" t="b">
        <x:v>1</x:v>
      </x:c>
      <x:c r="K74" s="25" t="str">
        <x:v>available</x:v>
      </x:c>
    </x:row>
    <x:row r="75" ht="18" customHeight="1">
      <x:c r="A75" s="25" t="str">
        <x:v>LME_056</x:v>
      </x:c>
      <x:c r="B75" s="25" t="str">
        <x:v>East Siberian Sea</x:v>
      </x:c>
      <x:c r="C75" s="25" t="str">
        <x:v>lme</x:v>
      </x:c>
      <x:c r="D75" s="31" t="n">
        <x:v>2019</x:v>
      </x:c>
      <x:c r="E75" s="25" t="n">
        <x:v>4</x:v>
      </x:c>
      <x:c r="F75" s="25" t="n">
        <x:v>4</x:v>
      </x:c>
      <x:c r="G75" s="32" t="n">
        <x:v>1304.0687744917</x:v>
      </x:c>
      <x:c r="H75" s="32" t="n">
        <x:v>1304.0687744917</x:v>
      </x:c>
      <x:c r="I75" s="32" t="n">
        <x:v>0</x:v>
      </x:c>
      <x:c r="J75" s="36" t="b">
        <x:v>1</x:v>
      </x:c>
      <x:c r="K75" s="25" t="str">
        <x:v>available</x:v>
      </x:c>
    </x:row>
    <x:row r="76" ht="18" customHeight="1">
      <x:c r="A76" s="25" t="str">
        <x:v>LME_057</x:v>
      </x:c>
      <x:c r="B76" s="25" t="str">
        <x:v>Laptev Sea</x:v>
      </x:c>
      <x:c r="C76" s="25" t="str">
        <x:v>lme</x:v>
      </x:c>
      <x:c r="D76" s="31" t="n">
        <x:v>2019</x:v>
      </x:c>
      <x:c r="E76" s="25" t="n">
        <x:v>5</x:v>
      </x:c>
      <x:c r="F76" s="25" t="n">
        <x:v>5</x:v>
      </x:c>
      <x:c r="G76" s="32" t="n">
        <x:v>2616.1834162357</x:v>
      </x:c>
      <x:c r="H76" s="32" t="n">
        <x:v>2616.1834162357</x:v>
      </x:c>
      <x:c r="I76" s="32" t="n">
        <x:v>0</x:v>
      </x:c>
      <x:c r="J76" s="36" t="b">
        <x:v>1</x:v>
      </x:c>
      <x:c r="K76" s="25" t="str">
        <x:v>available</x:v>
      </x:c>
    </x:row>
    <x:row r="77" ht="18" customHeight="1">
      <x:c r="A77" s="25" t="str">
        <x:v>LME_058</x:v>
      </x:c>
      <x:c r="B77" s="25" t="str">
        <x:v>Kara Sea</x:v>
      </x:c>
      <x:c r="C77" s="25" t="str">
        <x:v>lme</x:v>
      </x:c>
      <x:c r="D77" s="31" t="n">
        <x:v>2019</x:v>
      </x:c>
      <x:c r="E77" s="25" t="n">
        <x:v>5</x:v>
      </x:c>
      <x:c r="F77" s="25" t="n">
        <x:v>5</x:v>
      </x:c>
      <x:c r="G77" s="32" t="n">
        <x:v>719.2892019077999</x:v>
      </x:c>
      <x:c r="H77" s="32" t="n">
        <x:v>719.2892019077999</x:v>
      </x:c>
      <x:c r="I77" s="32" t="n">
        <x:v>0</x:v>
      </x:c>
      <x:c r="J77" s="36" t="b">
        <x:v>1</x:v>
      </x:c>
      <x:c r="K77" s="25" t="str">
        <x:v>available</x:v>
      </x:c>
    </x:row>
    <x:row r="78" ht="18" customHeight="1">
      <x:c r="A78" s="25" t="str">
        <x:v>LME_059</x:v>
      </x:c>
      <x:c r="B78" s="25" t="str">
        <x:v>Iceland Shelf and Sea</x:v>
      </x:c>
      <x:c r="C78" s="25" t="str">
        <x:v>lme</x:v>
      </x:c>
      <x:c r="D78" s="31" t="n">
        <x:v>2019</x:v>
      </x:c>
      <x:c r="E78" s="25" t="n">
        <x:v>1595</x:v>
      </x:c>
      <x:c r="F78" s="25" t="n">
        <x:v>74</x:v>
      </x:c>
      <x:c r="G78" s="32" t="n">
        <x:v>697974.9116856115</x:v>
      </x:c>
      <x:c r="H78" s="32" t="n">
        <x:v>697974.9116856112</x:v>
      </x:c>
      <x:c r="I78" s="32" t="n">
        <x:v>-2.3283064365386963e-10</x:v>
      </x:c>
      <x:c r="J78" s="36" t="b">
        <x:v>1</x:v>
      </x:c>
      <x:c r="K78" s="25" t="str">
        <x:v>available</x:v>
      </x:c>
    </x:row>
    <x:row r="79" ht="18" customHeight="1">
      <x:c r="A79" s="25" t="str">
        <x:v>LME_060</x:v>
      </x:c>
      <x:c r="B79" s="25" t="str">
        <x:v>Faroe Plateau</x:v>
      </x:c>
      <x:c r="C79" s="25" t="str">
        <x:v>lme</x:v>
      </x:c>
      <x:c r="D79" s="31" t="n">
        <x:v>2019</x:v>
      </x:c>
      <x:c r="E79" s="25" t="n">
        <x:v>1872</x:v>
      </x:c>
      <x:c r="F79" s="25" t="n">
        <x:v>114</x:v>
      </x:c>
      <x:c r="G79" s="32" t="n">
        <x:v>420222.2010145739</x:v>
      </x:c>
      <x:c r="H79" s="32" t="n">
        <x:v>420222.20101457386</x:v>
      </x:c>
      <x:c r="I79" s="32" t="n">
        <x:v>-5.820766091346741e-11</x:v>
      </x:c>
      <x:c r="J79" s="36" t="b">
        <x:v>1</x:v>
      </x:c>
      <x:c r="K79" s="25" t="str">
        <x:v>available</x:v>
      </x:c>
    </x:row>
    <x:row r="80" ht="18" customHeight="1">
      <x:c r="A80" s="25" t="str">
        <x:v>LME_061</x:v>
      </x:c>
      <x:c r="B80" s="25" t="str">
        <x:v>Antarctic</x:v>
      </x:c>
      <x:c r="C80" s="25" t="str">
        <x:v>lme</x:v>
      </x:c>
      <x:c r="D80" s="31" t="n">
        <x:v>2019</x:v>
      </x:c>
      <x:c r="E80" s="25" t="n">
        <x:v>73</x:v>
      </x:c>
      <x:c r="F80" s="25" t="n">
        <x:v>10</x:v>
      </x:c>
      <x:c r="G80" s="32" t="n">
        <x:v>0.2496140134</x:v>
      </x:c>
      <x:c r="H80" s="32" t="n">
        <x:v>0.24961401340000003</x:v>
      </x:c>
      <x:c r="I80" s="32" t="n">
        <x:v>2.7755575615628914e-17</x:v>
      </x:c>
      <x:c r="J80" s="36" t="b">
        <x:v>1</x:v>
      </x:c>
      <x:c r="K80" s="25" t="str">
        <x:v>available</x:v>
      </x:c>
    </x:row>
    <x:row r="81" ht="18" customHeight="1">
      <x:c r="A81" s="25" t="str">
        <x:v>LME_062</x:v>
      </x:c>
      <x:c r="B81" s="25" t="str">
        <x:v>Black Sea</x:v>
      </x:c>
      <x:c r="C81" s="25" t="str">
        <x:v>lme</x:v>
      </x:c>
      <x:c r="D81" s="31" t="n">
        <x:v>2019</x:v>
      </x:c>
      <x:c r="E81" s="25" t="n">
        <x:v>3337</x:v>
      </x:c>
      <x:c r="F81" s="25" t="n">
        <x:v>120</x:v>
      </x:c>
      <x:c r="G81" s="32" t="n">
        <x:v>1145168.185954724</x:v>
      </x:c>
      <x:c r="H81" s="32" t="n">
        <x:v>1145168.185954724</x:v>
      </x:c>
      <x:c r="I81" s="32" t="n">
        <x:v>0</x:v>
      </x:c>
      <x:c r="J81" s="36" t="b">
        <x:v>1</x:v>
      </x:c>
      <x:c r="K81" s="25" t="str">
        <x:v>available</x:v>
      </x:c>
    </x:row>
    <x:row r="82" ht="18" customHeight="1">
      <x:c r="A82" s="25" t="str">
        <x:v>LME_063</x:v>
      </x:c>
      <x:c r="B82" s="25" t="str">
        <x:v>Hudson Bay Complex</x:v>
      </x:c>
      <x:c r="C82" s="25" t="str">
        <x:v>lme</x:v>
      </x:c>
      <x:c r="D82" s="31" t="n">
        <x:v>2019</x:v>
      </x:c>
      <x:c r="E82" s="25" t="n">
        <x:v>154</x:v>
      </x:c>
      <x:c r="F82" s="25" t="n">
        <x:v>44</x:v>
      </x:c>
      <x:c r="G82" s="32" t="n">
        <x:v>1269.735630608</x:v>
      </x:c>
      <x:c r="H82" s="32" t="n">
        <x:v>1269.735630608</x:v>
      </x:c>
      <x:c r="I82" s="32" t="n">
        <x:v>0</x:v>
      </x:c>
      <x:c r="J82" s="36" t="b">
        <x:v>1</x:v>
      </x:c>
      <x:c r="K82" s="25" t="str">
        <x:v>available</x:v>
      </x:c>
    </x:row>
    <x:row r="83" ht="18" customHeight="1">
      <x:c r="A83" s="25" t="str">
        <x:v>LME_064</x:v>
      </x:c>
      <x:c r="B83" s="25" t="str"/>
      <x:c r="C83" s="25" t="str"/>
      <x:c r="D83" s="31" t="n">
        <x:v>2019</x:v>
      </x:c>
      <x:c r="E83" s="25" t="n">
        <x:v>0</x:v>
      </x:c>
      <x:c r="F83" s="25" t="n">
        <x:v>0</x:v>
      </x:c>
      <x:c r="G83" s="32" t="n">
        <x:v>0</x:v>
      </x:c>
      <x:c r="H83" s="32" t="n">
        <x:v>0</x:v>
      </x:c>
      <x:c r="I83" s="32" t="n">
        <x:v>0</x:v>
      </x:c>
      <x:c r="J83" s="36" t="b">
        <x:v>1</x:v>
      </x:c>
      <x:c r="K83" s="25" t="str">
        <x:v>empty_catch_archive</x:v>
      </x:c>
    </x:row>
    <x:row r="84" ht="18" customHeight="1">
      <x:c r="A84" s="25" t="str">
        <x:v>LME_065</x:v>
      </x:c>
      <x:c r="B84" s="25" t="str">
        <x:v>Aleutian Islands</x:v>
      </x:c>
      <x:c r="C84" s="25" t="str">
        <x:v>lme</x:v>
      </x:c>
      <x:c r="D84" s="31" t="n">
        <x:v>2019</x:v>
      </x:c>
      <x:c r="E84" s="25" t="n">
        <x:v>435</x:v>
      </x:c>
      <x:c r="F84" s="25" t="n">
        <x:v>68</x:v>
      </x:c>
      <x:c r="G84" s="32" t="n">
        <x:v>151507.6717909796</x:v>
      </x:c>
      <x:c r="H84" s="32" t="n">
        <x:v>151507.6717909796</x:v>
      </x:c>
      <x:c r="I84" s="32" t="n">
        <x:v>0</x:v>
      </x:c>
      <x:c r="J84" s="36" t="b">
        <x:v>1</x:v>
      </x:c>
      <x:c r="K84" s="25" t="str">
        <x:v>available</x:v>
      </x:c>
    </x:row>
    <x:row r="85" ht="18" customHeight="1">
      <x:c r="A85" s="25" t="str">
        <x:v>LME_066</x:v>
      </x:c>
      <x:c r="B85" s="25" t="str">
        <x:v>Canadian High Arctic - North Greenland</x:v>
      </x:c>
      <x:c r="C85" s="25" t="str">
        <x:v>lme</x:v>
      </x:c>
      <x:c r="D85" s="31" t="n">
        <x:v>2019</x:v>
      </x:c>
      <x:c r="E85" s="25" t="n">
        <x:v>110</x:v>
      </x:c>
      <x:c r="F85" s="25" t="n">
        <x:v>21</x:v>
      </x:c>
      <x:c r="G85" s="32" t="n">
        <x:v>53.591934083899986</x:v>
      </x:c>
      <x:c r="H85" s="32" t="n">
        <x:v>53.5919340839</x:v>
      </x:c>
      <x:c r="I85" s="32" t="n">
        <x:v>1.4210854715202004e-14</x:v>
      </x:c>
      <x:c r="J85" s="36" t="b">
        <x:v>1</x:v>
      </x:c>
      <x:c r="K85" s="25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292bc16496e242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PPR global configuration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Scope</x:v>
      </x:c>
      <x:c r="B4" s="17" t="str">
        <x:v>all Sea Around Us LMEs and High Seas units</x:v>
      </x:c>
      <x:c r="C4" s="18" t="str">
        <x:v>All Sea Around Us-defined LME and High Seas units</x:v>
      </x:c>
    </x:row>
    <x:row r="5">
      <x:c r="A5" s="22" t="str">
        <x:v>Spatial units</x:v>
      </x:c>
      <x:c r="B5" s="17" t="n">
        <x:v>84</x:v>
      </x:c>
      <x:c r="C5" s="18" t="str">
        <x:v>66 LMEs + 18 High Seas units + 0 EEZs</x:v>
      </x:c>
    </x:row>
    <x:row r="6">
      <x:c r="A6" s="22" t="str">
        <x:v>Year</x:v>
      </x:c>
      <x:c r="B6" s="17" t="n">
        <x:v>2019</x:v>
      </x:c>
      <x:c r="C6" s="18" t="str">
        <x:v>Latest year present in every configured catch archive</x:v>
      </x:c>
    </x:row>
    <x:row r="7">
      <x:c r="A7" s="22" t="str">
        <x:v>Transfer efficiency</x:v>
      </x:c>
      <x:c r="B7" s="24" t="n">
        <x:v>0.1</x:v>
      </x:c>
      <x:c r="C7" s="18" t="str">
        <x:v>Fixed TE for the approved 1995 trophic-chain method</x:v>
      </x:c>
    </x:row>
    <x:row r="8">
      <x:c r="A8" s="22" t="str">
        <x:v>SPPR</x:v>
      </x:c>
      <x:c r="B8" s="17" t="str">
        <x:v>(1 / TE)^(TL - 1)</x:v>
      </x:c>
      <x:c r="C8" s="18" t="str">
        <x:v>With TE=0.10, SPPR = 10^(TL-1)</x:v>
      </x:c>
    </x:row>
    <x:row r="9">
      <x:c r="A9" s="22" t="str">
        <x:v>PPR</x:v>
      </x:c>
      <x:c r="B9" s="17" t="str">
        <x:v>Catch tonnes × SPPR</x:v>
      </x:c>
      <x:c r="C9" s="18" t="str">
        <x:v>Unit: tonnes primary-production equivalent</x:v>
      </x:c>
    </x:row>
    <x:row r="10">
      <x:c r="A10" s="22" t="str">
        <x:v>Wet-weight/carbon divisor</x:v>
      </x:c>
      <x:c r="B10" s="17" t="str">
        <x:v>Not applied</x:v>
      </x:c>
      <x:c r="C10" s="18" t="str">
        <x:v>The paper's separate /9 conversion is omitted per the approved specification</x:v>
      </x:c>
    </x:row>
    <x:row r="11">
      <x:c r="A11" s="22" t="str">
        <x:v>Catch types</x:v>
      </x:c>
      <x:c r="B11" s="17" t="str">
        <x:v>Landings, Discards</x:v>
      </x:c>
      <x:c r="C11" s="18" t="str">
        <x:v>Sea Around Us reconstructed catch scope</x:v>
      </x:c>
    </x:row>
    <x:row r="12">
      <x:c r="A12" s="22" t="str">
        <x:v>Reporting status</x:v>
      </x:c>
      <x:c r="B12" s="17" t="str">
        <x:v>Reported, Unreported</x:v>
      </x:c>
      <x:c r="C12" s="18" t="str">
        <x:v>Both reported and reconstructed unreported catch</x:v>
      </x:c>
    </x:row>
    <x:row r="13">
      <x:c r="A13" s="22" t="str">
        <x:v>TL primary source</x:v>
      </x:c>
      <x:c r="B13" s="17" t="str">
        <x:v>2020 supplement MeanTL</x:v>
      </x:c>
      <x:c r="C13" s="18" t="str">
        <x:v>The supplement's alternative SPPR columns are not used</x:v>
      </x:c>
    </x:row>
    <x:row r="14">
      <x:c r="A14" s="23" t="str">
        <x:v>TL secondary source</x:v>
      </x:c>
      <x:c r="B14" s="20" t="str">
        <x:v>Sea Around Us exploited organisms</x:v>
      </x:c>
      <x:c r="C14" s="21" t="str">
        <x:v>Exact scientific-name matches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Sources and reproducibility notes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Sea Around Us data</x:v>
      </x:c>
      <x:c r="B4" s="17" t="str">
        <x:v>https://www.seaaroundus.org/data/</x:v>
      </x:c>
      <x:c r="C4" s="18" t="str">
        <x:v>Region, catch, and High Seas definitions</x:v>
      </x:c>
    </x:row>
    <x:row r="5">
      <x:c r="A5" s="22" t="str">
        <x:v>Sea Around Us guide</x:v>
      </x:c>
      <x:c r="B5" s="17" t="str">
        <x:v>https://www.seaaroundus.org/tools-guide/</x:v>
      </x:c>
      <x:c r="C5" s="18" t="str">
        <x:v>Download fields and reconstructed-catch notes</x:v>
      </x:c>
    </x:row>
    <x:row r="6">
      <x:c r="A6" s="22" t="str">
        <x:v>Sea Around Us API</x:v>
      </x:c>
      <x:c r="B6" s="17" t="str">
        <x:v>https://api.seaaroundus.org/api/v1/</x:v>
      </x:c>
      <x:c r="C6" s="18" t="str">
        <x:v>Frozen raw downloads stored with the pipeline</x:v>
      </x:c>
    </x:row>
    <x:row r="7">
      <x:c r="A7" s="22" t="str">
        <x:v>1995 method</x:v>
      </x:c>
      <x:c r="B7" s="17" t="str">
        <x:v>Pauly &amp; Christensen (1995), Nature 374:255-257</x:v>
      </x:c>
      <x:c r="C7" s="18" t="str">
        <x:v>TE=0.10 trophic-chain calculation</x:v>
      </x:c>
    </x:row>
    <x:row r="8">
      <x:c r="A8" s="22" t="str">
        <x:v>2020 supplement</x:v>
      </x:c>
      <x:c r="B8" s="17" t="str">
        <x:v>sources/2020 sup.xlsx</x:v>
      </x:c>
      <x:c r="C8" s="18" t="str">
        <x:v>MeanTL only; no Luong regression SPPR used</x:v>
      </x:c>
    </x:row>
    <x:row r="9">
      <x:c r="A9" s="23" t="str">
        <x:v>Interpretation</x:v>
      </x:c>
      <x:c r="B9" s="20" t="str">
        <x:v>Global fractions sum to 100%</x:v>
      </x:c>
      <x:c r="C9" s="21" t="str">
        <x:v>Fractions and ranks apply to 84 configured units</x:v>
      </x:c>
    </x:row>
  </x:sheetData>
  <x:mergeCells>
    <x:mergeCell ref="A1:C1"/>
  </x:mergeCells>
  <x:pageMargins left="0.7" right="0.7" top="0.75" bottom="0.75" header="0.3" footer="0.3"/>
</x:worksheet>
</file>