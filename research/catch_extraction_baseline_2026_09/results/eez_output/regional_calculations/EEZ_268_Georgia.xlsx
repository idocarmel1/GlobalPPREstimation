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a5b392da2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43030b47d5a4b9f"/>
    <x:sheet xmlns:r="http://schemas.openxmlformats.org/officeDocument/2006/relationships" name="Commercial" sheetId="2" r:id="R943b2d58c22147d8"/>
    <x:sheet xmlns:r="http://schemas.openxmlformats.org/officeDocument/2006/relationships" name="Functional" sheetId="3" r:id="Rc9726386b45e4b1b"/>
    <x:sheet xmlns:r="http://schemas.openxmlformats.org/officeDocument/2006/relationships" name="Missing TL" sheetId="4" r:id="Rcc479be13ab24ce0"/>
    <x:sheet xmlns:r="http://schemas.openxmlformats.org/officeDocument/2006/relationships" name="Validation" sheetId="5" r:id="R410e6c8fd23e43a5"/>
    <x:sheet xmlns:r="http://schemas.openxmlformats.org/officeDocument/2006/relationships" name="Metadata" sheetId="6" r:id="R8fb3f47203cb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600206b784c2f" /><Relationship Type="http://schemas.openxmlformats.org/officeDocument/2006/relationships/theme" Target="/xl/theme/theme1.xml" Id="Rc8e235e57efb4d58" /><Relationship Type="http://schemas.microsoft.com/office/2022/11/relationships/FeaturePropertyBag" Target="/xl/featurePropertyBag/featurePropertyBag.xml" Id="R8143f62ae2b740c6" /><Relationship Type="http://schemas.openxmlformats.org/officeDocument/2006/relationships/sharedStrings" Target="/xl/sharedStrings.xml" Id="Re25afc0c5c464b7c" /><Relationship Type="http://schemas.openxmlformats.org/officeDocument/2006/relationships/worksheet" Target="/xl/worksheets/sheet1.xml" Id="Rc43030b47d5a4b9f" /><Relationship Type="http://schemas.openxmlformats.org/officeDocument/2006/relationships/worksheet" Target="/xl/worksheets/sheet2.xml" Id="R943b2d58c22147d8" /><Relationship Type="http://schemas.openxmlformats.org/officeDocument/2006/relationships/worksheet" Target="/xl/worksheets/sheet3.xml" Id="Rc9726386b45e4b1b" /><Relationship Type="http://schemas.openxmlformats.org/officeDocument/2006/relationships/worksheet" Target="/xl/worksheets/sheet4.xml" Id="Rcc479be13ab24ce0" /><Relationship Type="http://schemas.openxmlformats.org/officeDocument/2006/relationships/worksheet" Target="/xl/worksheets/sheet5.xml" Id="R410e6c8fd23e43a5" /><Relationship Type="http://schemas.openxmlformats.org/officeDocument/2006/relationships/worksheet" Target="/xl/worksheets/sheet6.xml" Id="R8fb3f47203cb4d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68SpeciesTable" displayName="EEZ268SpeciesTable" ref="A1:U30" headerRowCount="1" totalsRowCount="0" totalsRowShown="0">
  <x:autoFilter ref="A1:U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68CommercialTable" displayName="EEZ268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68FunctionalTable" displayName="EEZ268FunctionalTable" ref="A1:E16" headerRowCount="1" totalsRowCount="0" totalsRowShown="0">
  <x:autoFilter ref="A1:E1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68ValidationTable" displayName="EEZ26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8a5b5f9bb04b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78e4cc870b4c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b6b395ca8947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ae64ecfb4e4e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EEZ_268</x:v>
      </x:c>
      <x:c r="B2" s="24" t="str">
        <x:v>Georgia</x:v>
      </x:c>
      <x:c r="C2" s="24" t="str">
        <x:v>EEZ</x:v>
      </x:c>
      <x:c r="D2" s="30" t="n">
        <x:v>2019</x:v>
      </x:c>
      <x:c r="E2" s="24" t="str">
        <x:v>Engraulis encrasicolus</x:v>
      </x:c>
      <x:c r="F2" s="24" t="str">
        <x:v>European anchovy</x:v>
      </x:c>
      <x:c r="G2" s="24" t="str">
        <x:v>Small pelagics (&lt;30 cm)</x:v>
      </x:c>
      <x:c r="H2" s="24" t="str">
        <x:v>Anchovies</x:v>
      </x:c>
      <x:c r="I2" s="31" t="n">
        <x:v>292071.1512066533</x:v>
      </x:c>
      <x:c r="J2" s="31" t="n">
        <x:v>285971.6078281533</x:v>
      </x:c>
      <x:c r="K2" s="31" t="n">
        <x:v>6099.5433785000005</x:v>
      </x:c>
      <x:c r="L2" s="31" t="n">
        <x:v>89812.58</x:v>
      </x:c>
      <x:c r="M2" s="31" t="n">
        <x:v>202258.57120665332</x:v>
      </x:c>
      <x:c r="N2" s="24" t="str">
        <x:v>engraulis encrasicolus</x:v>
      </x:c>
      <x:c r="O2" s="32" t="n">
        <x:v>3.11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encrasicolus</x:v>
      </x:c>
      <x:c r="T2" s="32" t="n">
        <x:f>IF(O2="","",(1/'Metadata'!$B$5)^(O2-1))</x:f>
        <x:v>128.82495516931337</x:v>
      </x:c>
      <x:c r="U2" s="31" t="n">
        <x:f>IF(T2="","",I2*T2)</x:f>
        <x:v>37626052.96044686</x:v>
      </x:c>
    </x:row>
    <x:row r="3" ht="18" customHeight="1">
      <x:c r="A3" s="24" t="str">
        <x:v>EEZ_268</x:v>
      </x:c>
      <x:c r="B3" s="24" t="str">
        <x:v>Georgia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28301.88127405</x:v>
      </x:c>
      <x:c r="J3" s="31" t="n">
        <x:v>0</x:v>
      </x:c>
      <x:c r="K3" s="31" t="n">
        <x:v>28301.88127405</x:v>
      </x:c>
      <x:c r="L3" s="31" t="n">
        <x:v>0</x:v>
      </x:c>
      <x:c r="M3" s="31" t="n">
        <x:v>28301.88127405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2896111.677609725</x:v>
      </x:c>
    </x:row>
    <x:row r="4" ht="18" customHeight="1">
      <x:c r="A4" s="24" t="str">
        <x:v>EEZ_268</x:v>
      </x:c>
      <x:c r="B4" s="24" t="str">
        <x:v>Georgia</x:v>
      </x:c>
      <x:c r="C4" s="24" t="str">
        <x:v>EEZ</x:v>
      </x:c>
      <x:c r="D4" s="30" t="n">
        <x:v>2019</x:v>
      </x:c>
      <x:c r="E4" s="24" t="str">
        <x:v>Squalus acanthias</x:v>
      </x:c>
      <x:c r="F4" s="24" t="str">
        <x:v>Picked dogfish</x:v>
      </x:c>
      <x:c r="G4" s="24" t="str">
        <x:v>Large sharks (&gt;=90 cm)</x:v>
      </x:c>
      <x:c r="H4" s="24" t="str">
        <x:v>Sharks &amp; rays</x:v>
      </x:c>
      <x:c r="I4" s="31" t="n">
        <x:v>5096.4580481801995</x:v>
      </x:c>
      <x:c r="J4" s="31" t="n">
        <x:v>521.8005138002</x:v>
      </x:c>
      <x:c r="K4" s="31" t="n">
        <x:v>4574.65753438</x:v>
      </x:c>
      <x:c r="L4" s="31" t="n">
        <x:v>0</x:v>
      </x:c>
      <x:c r="M4" s="31" t="n">
        <x:v>5096.4580481801995</x:v>
      </x:c>
      <x:c r="N4" s="24" t="str">
        <x:v>squalus acanthias</x:v>
      </x:c>
      <x:c r="O4" s="32" t="n">
        <x:v>4.37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Squalus acanthias</x:v>
      </x:c>
      <x:c r="T4" s="32" t="n">
        <x:f>IF(O4="","",(1/'Metadata'!$B$5)^(O4-1))</x:f>
        <x:v>2344.228815319923</x:v>
      </x:c>
      <x:c r="U4" s="31" t="n">
        <x:f>IF(T4="","",I4*T4)</x:f>
        <x:v>11947263.812613156</x:v>
      </x:c>
    </x:row>
    <x:row r="5" ht="18" customHeight="1">
      <x:c r="A5" s="24" t="str">
        <x:v>EEZ_268</x:v>
      </x:c>
      <x:c r="B5" s="24" t="str">
        <x:v>Georgia</x:v>
      </x:c>
      <x:c r="C5" s="24" t="str">
        <x:v>EEZ</x:v>
      </x:c>
      <x:c r="D5" s="30" t="n">
        <x:v>2019</x:v>
      </x:c>
      <x:c r="E5" s="24" t="str">
        <x:v>Marine finfishes not identified</x:v>
      </x:c>
      <x:c r="F5" s="24" t="str">
        <x:v>Finfishes</x:v>
      </x:c>
      <x:c r="G5" s="24" t="str">
        <x:v>Medium demersals (30 - 89 cm)</x:v>
      </x:c>
      <x:c r="H5" s="24" t="str">
        <x:v>Other fishes &amp; inverts</x:v>
      </x:c>
      <x:c r="I5" s="31" t="n">
        <x:v>4937.27199316</x:v>
      </x:c>
      <x:c r="J5" s="31" t="n">
        <x:v>57.63729016</x:v>
      </x:c>
      <x:c r="K5" s="31" t="n">
        <x:v>4879.634703000001</x:v>
      </x:c>
      <x:c r="L5" s="31" t="n">
        <x:v>0</x:v>
      </x:c>
      <x:c r="M5" s="31" t="n">
        <x:v>4937.27199316</x:v>
      </x:c>
      <x:c r="N5" s="24" t="str">
        <x:v>marine finfishes not identified</x:v>
      </x:c>
      <x:c r="O5" s="32" t="n">
        <x:v>3.23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finfishes not identified</x:v>
      </x:c>
      <x:c r="T5" s="32" t="n">
        <x:f>IF(O5="","",(1/'Metadata'!$B$5)^(O5-1))</x:f>
        <x:v>169.82436524617444</x:v>
      </x:c>
      <x:c r="U5" s="31" t="n">
        <x:f>IF(T5="","",I5*T5)</x:f>
        <x:v>838469.0822861115</x:v>
      </x:c>
    </x:row>
    <x:row r="6" ht="18" customHeight="1">
      <x:c r="A6" s="24" t="str">
        <x:v>EEZ_268</x:v>
      </x:c>
      <x:c r="B6" s="24" t="str">
        <x:v>Georgia</x:v>
      </x:c>
      <x:c r="C6" s="24" t="str">
        <x:v>EEZ</x:v>
      </x:c>
      <x:c r="D6" s="30" t="n">
        <x:v>2019</x:v>
      </x:c>
      <x:c r="E6" s="24" t="str">
        <x:v>Dasyatidae</x:v>
      </x:c>
      <x:c r="F6" s="24" t="str">
        <x:v>Whiptail stingrays</x:v>
      </x:c>
      <x:c r="G6" s="24" t="str">
        <x:v>Large rays (&gt;=90 cm)</x:v>
      </x:c>
      <x:c r="H6" s="24" t="str">
        <x:v>Sharks &amp; rays</x:v>
      </x:c>
      <x:c r="I6" s="31" t="n">
        <x:v>3659.7260275</x:v>
      </x:c>
      <x:c r="J6" s="31" t="n">
        <x:v>0</x:v>
      </x:c>
      <x:c r="K6" s="31" t="n">
        <x:v>3659.7260275</x:v>
      </x:c>
      <x:c r="L6" s="31" t="n">
        <x:v>0</x:v>
      </x:c>
      <x:c r="M6" s="31" t="n">
        <x:v>3659.7260275</x:v>
      </x:c>
      <x:c r="N6" s="24" t="str">
        <x:v>dasyatidae</x:v>
      </x:c>
      <x:c r="O6" s="32" t="n">
        <x:v>3.38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Dasyatidae</x:v>
      </x:c>
      <x:c r="T6" s="32" t="n">
        <x:f>IF(O6="","",(1/'Metadata'!$B$5)^(O6-1))</x:f>
        <x:v>239.88329190194898</x:v>
      </x:c>
      <x:c r="U6" s="31" t="n">
        <x:f>IF(T6="","",I6*T6)</x:f>
        <x:v>877907.1269359427</x:v>
      </x:c>
    </x:row>
    <x:row r="7" ht="18" customHeight="1">
      <x:c r="A7" s="24" t="str">
        <x:v>EEZ_268</x:v>
      </x:c>
      <x:c r="B7" s="24" t="str">
        <x:v>Georgia</x:v>
      </x:c>
      <x:c r="C7" s="24" t="str">
        <x:v>EEZ</x:v>
      </x:c>
      <x:c r="D7" s="30" t="n">
        <x:v>2019</x:v>
      </x:c>
      <x:c r="E7" s="24" t="str">
        <x:v>Rajidae</x:v>
      </x:c>
      <x:c r="F7" s="24" t="str">
        <x:v>Stingrays</x:v>
      </x:c>
      <x:c r="G7" s="24" t="str">
        <x:v>Large rays (&gt;=90 cm)</x:v>
      </x:c>
      <x:c r="H7" s="24" t="str">
        <x:v>Sharks &amp; rays</x:v>
      </x:c>
      <x:c r="I7" s="31" t="n">
        <x:v>3659.7260275</x:v>
      </x:c>
      <x:c r="J7" s="31" t="n">
        <x:v>0</x:v>
      </x:c>
      <x:c r="K7" s="31" t="n">
        <x:v>3659.7260275</x:v>
      </x:c>
      <x:c r="L7" s="31" t="n">
        <x:v>0</x:v>
      </x:c>
      <x:c r="M7" s="31" t="n">
        <x:v>3659.7260275</x:v>
      </x:c>
      <x:c r="N7" s="24" t="str">
        <x:v>rajidae</x:v>
      </x:c>
      <x:c r="O7" s="32" t="n">
        <x:v>3.82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Rajidae</x:v>
      </x:c>
      <x:c r="T7" s="32" t="n">
        <x:f>IF(O7="","",(1/'Metadata'!$B$5)^(O7-1))</x:f>
        <x:v>660.6934480075957</x:v>
      </x:c>
      <x:c r="U7" s="31" t="n">
        <x:f>IF(T7="","",I7*T7)</x:f>
        <x:v>2417957.0078721163</x:v>
      </x:c>
    </x:row>
    <x:row r="8" ht="18" customHeight="1">
      <x:c r="A8" s="24" t="str">
        <x:v>EEZ_268</x:v>
      </x:c>
      <x:c r="B8" s="24" t="str">
        <x:v>Georgia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3335.343973838</x:v>
      </x:c>
      <x:c r="J8" s="31" t="n">
        <x:v>1505.480960182</x:v>
      </x:c>
      <x:c r="K8" s="31" t="n">
        <x:v>1829.863013656</x:v>
      </x:c>
      <x:c r="L8" s="31" t="n">
        <x:v>0</x:v>
      </x:c>
      <x:c r="M8" s="31" t="n">
        <x:v>3335.343973838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635536.6923043742</x:v>
      </x:c>
    </x:row>
    <x:row r="9" ht="18" customHeight="1">
      <x:c r="A9" s="24" t="str">
        <x:v>EEZ_268</x:v>
      </x:c>
      <x:c r="B9" s="24" t="str">
        <x:v>Georgia</x:v>
      </x:c>
      <x:c r="C9" s="24" t="str">
        <x:v>EEZ</x:v>
      </x:c>
      <x:c r="D9" s="30" t="n">
        <x:v>2019</x:v>
      </x:c>
      <x:c r="E9" s="24" t="str">
        <x:v>Gobiidae</x:v>
      </x:c>
      <x:c r="F9" s="24" t="str">
        <x:v>Gobies</x:v>
      </x:c>
      <x:c r="G9" s="24" t="str">
        <x:v>Small reef assoc. fish (&lt;30 cm)</x:v>
      </x:c>
      <x:c r="H9" s="24" t="str">
        <x:v>Perch-likes</x:v>
      </x:c>
      <x:c r="I9" s="31" t="n">
        <x:v>1910.439454326</x:v>
      </x:c>
      <x:c r="J9" s="31" t="n">
        <x:v>995.507947546</x:v>
      </x:c>
      <x:c r="K9" s="31" t="n">
        <x:v>914.9315067800001</x:v>
      </x:c>
      <x:c r="L9" s="31" t="n">
        <x:v>0</x:v>
      </x:c>
      <x:c r="M9" s="31" t="n">
        <x:v>1910.439454326</x:v>
      </x:c>
      <x:c r="N9" s="24" t="str">
        <x:v>gobiidae</x:v>
      </x:c>
      <x:c r="O9" s="32" t="n">
        <x:v>3.11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Gobiidae</x:v>
      </x:c>
      <x:c r="T9" s="32" t="n">
        <x:f>IF(O9="","",(1/'Metadata'!$B$5)^(O9-1))</x:f>
        <x:v>128.82495516931337</x:v>
      </x:c>
      <x:c r="U9" s="31" t="n">
        <x:f>IF(T9="","",I9*T9)</x:f>
        <x:v>246112.27705723446</x:v>
      </x:c>
    </x:row>
    <x:row r="10" ht="18" customHeight="1">
      <x:c r="A10" s="24" t="str">
        <x:v>EEZ_268</x:v>
      </x:c>
      <x:c r="B10" s="24" t="str">
        <x:v>Georgia</x:v>
      </x:c>
      <x:c r="C10" s="24" t="str">
        <x:v>EEZ</x:v>
      </x:c>
      <x:c r="D10" s="30" t="n">
        <x:v>2019</x:v>
      </x:c>
      <x:c r="E10" s="24" t="str">
        <x:v>Miscellaneous marine crustaceans</x:v>
      </x:c>
      <x:c r="F10" s="24" t="str">
        <x:v>Marine crabs, shrimps, lobsters nei</x:v>
      </x:c>
      <x:c r="G10" s="24" t="str">
        <x:v>Shrimps</x:v>
      </x:c>
      <x:c r="H10" s="24" t="str">
        <x:v>Crustaceans</x:v>
      </x:c>
      <x:c r="I10" s="31" t="n">
        <x:v>1829.86301375</x:v>
      </x:c>
      <x:c r="J10" s="31" t="n">
        <x:v>0</x:v>
      </x:c>
      <x:c r="K10" s="31" t="n">
        <x:v>1829.86301375</x:v>
      </x:c>
      <x:c r="L10" s="31" t="n">
        <x:v>0</x:v>
      </x:c>
      <x:c r="M10" s="31" t="n">
        <x:v>1829.86301375</x:v>
      </x:c>
      <x:c r="N10" s="24" t="str">
        <x:v>miscellaneous marine crustaceans</x:v>
      </x:c>
      <x:c r="O10" s="32" t="n">
        <x:v>2.7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Miscellaneous marine crustaceans</x:v>
      </x:c>
      <x:c r="T10" s="32" t="n">
        <x:f>IF(O10="","",(1/'Metadata'!$B$5)^(O10-1))</x:f>
        <x:v>50.11872336272725</x:v>
      </x:c>
      <x:c r="U10" s="31" t="n">
        <x:f>IF(T10="","",I10*T10)</x:f>
        <x:v>91710.39817782262</x:v>
      </x:c>
    </x:row>
    <x:row r="11" ht="18" customHeight="1">
      <x:c r="A11" s="24" t="str">
        <x:v>EEZ_268</x:v>
      </x:c>
      <x:c r="B11" s="24" t="str">
        <x:v>Georgia</x:v>
      </x:c>
      <x:c r="C11" s="24" t="str">
        <x:v>EEZ</x:v>
      </x:c>
      <x:c r="D11" s="30" t="n">
        <x:v>2019</x:v>
      </x:c>
      <x:c r="E11" s="24" t="str">
        <x:v>Mollusca</x:v>
      </x:c>
      <x:c r="F11" s="24" t="str">
        <x:v>Clams, seasnails, squids, octopuses</x:v>
      </x:c>
      <x:c r="G11" s="24" t="str">
        <x:v>Other demersal invertebrates</x:v>
      </x:c>
      <x:c r="H11" s="24" t="str">
        <x:v>Molluscs</x:v>
      </x:c>
      <x:c r="I11" s="31" t="n">
        <x:v>914.9315067800001</x:v>
      </x:c>
      <x:c r="J11" s="31" t="n">
        <x:v>0</x:v>
      </x:c>
      <x:c r="K11" s="31" t="n">
        <x:v>914.9315067800001</x:v>
      </x:c>
      <x:c r="L11" s="31" t="n">
        <x:v>0</x:v>
      </x:c>
      <x:c r="M11" s="31" t="n">
        <x:v>914.9315067800001</x:v>
      </x:c>
      <x:c r="N11" s="24" t="str">
        <x:v>mollusca</x:v>
      </x:c>
      <x:c r="O11" s="32" t="n">
        <x:v>2.1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Mollusca</x:v>
      </x:c>
      <x:c r="T11" s="32" t="n">
        <x:f>IF(O11="","",(1/'Metadata'!$B$5)^(O11-1))</x:f>
        <x:v>12.589254117941675</x:v>
      </x:c>
      <x:c r="U11" s="31" t="n">
        <x:f>IF(T11="","",I11*T11)</x:f>
        <x:v>11518.305239364698</x:v>
      </x:c>
    </x:row>
    <x:row r="12" ht="18" customHeight="1">
      <x:c r="A12" s="24" t="str">
        <x:v>EEZ_268</x:v>
      </x:c>
      <x:c r="B12" s="24" t="str">
        <x:v>Georgia</x:v>
      </x:c>
      <x:c r="C12" s="24" t="str">
        <x:v>EEZ</x:v>
      </x:c>
      <x:c r="D12" s="30" t="n">
        <x:v>2019</x:v>
      </x:c>
      <x:c r="E12" s="24" t="str">
        <x:v>Scorpaenidae</x:v>
      </x:c>
      <x:c r="F12" s="24" t="str">
        <x:v>Scorpionfishes, rockfishes</x:v>
      </x:c>
      <x:c r="G12" s="24" t="str">
        <x:v>Large reef assoc. fish (&gt;=90 cm)</x:v>
      </x:c>
      <x:c r="H12" s="24" t="str">
        <x:v>Scorpionfishes</x:v>
      </x:c>
      <x:c r="I12" s="31" t="n">
        <x:v>914.9315067800001</x:v>
      </x:c>
      <x:c r="J12" s="31" t="n">
        <x:v>0</x:v>
      </x:c>
      <x:c r="K12" s="31" t="n">
        <x:v>914.9315067800001</x:v>
      </x:c>
      <x:c r="L12" s="31" t="n">
        <x:v>0</x:v>
      </x:c>
      <x:c r="M12" s="31" t="n">
        <x:v>914.9315067800001</x:v>
      </x:c>
      <x:c r="N12" s="24" t="str">
        <x:v>scorpaenidae</x:v>
      </x:c>
      <x:c r="O12" s="32" t="n">
        <x:v>3.92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Scorpaenidae</x:v>
      </x:c>
      <x:c r="T12" s="32" t="n">
        <x:f>IF(O12="","",(1/'Metadata'!$B$5)^(O12-1))</x:f>
        <x:v>831.7637711026708</x:v>
      </x:c>
      <x:c r="U12" s="31" t="n">
        <x:f>IF(T12="","",I12*T12)</x:f>
        <x:v>761006.8803799817</x:v>
      </x:c>
    </x:row>
    <x:row r="13" ht="18" customHeight="1">
      <x:c r="A13" s="24" t="str">
        <x:v>EEZ_268</x:v>
      </x:c>
      <x:c r="B13" s="24" t="str">
        <x:v>Georgia</x:v>
      </x:c>
      <x:c r="C13" s="24" t="str">
        <x:v>EEZ</x:v>
      </x:c>
      <x:c r="D13" s="30" t="n">
        <x:v>2019</x:v>
      </x:c>
      <x:c r="E13" s="24" t="str">
        <x:v>Merlangius merlangus</x:v>
      </x:c>
      <x:c r="F13" s="24" t="str">
        <x:v>Whiting</x:v>
      </x:c>
      <x:c r="G13" s="24" t="str">
        <x:v>Medium benthopelagics (30 - 89 cm)</x:v>
      </x:c>
      <x:c r="H13" s="24" t="str">
        <x:v>Cod-likes</x:v>
      </x:c>
      <x:c r="I13" s="31" t="n">
        <x:v>644.4329878801</x:v>
      </x:c>
      <x:c r="J13" s="31" t="n">
        <x:v>644.4329878801</x:v>
      </x:c>
      <x:c r="K13" s="31" t="n">
        <x:v>0</x:v>
      </x:c>
      <x:c r="L13" s="31" t="n">
        <x:v>0</x:v>
      </x:c>
      <x:c r="M13" s="31" t="n">
        <x:v>644.4329878801</x:v>
      </x:c>
      <x:c r="N13" s="24" t="str">
        <x:v>merlangius merlangus</x:v>
      </x:c>
      <x:c r="O13" s="32" t="n">
        <x:v>4.36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Merlangius merlangus</x:v>
      </x:c>
      <x:c r="T13" s="32" t="n">
        <x:f>IF(O13="","",(1/'Metadata'!$B$5)^(O13-1))</x:f>
        <x:v>2290.867652767775</x:v>
      </x:c>
      <x:c r="U13" s="31" t="n">
        <x:f>IF(T13="","",I13*T13)</x:f>
        <x:v>1476310.6863110086</x:v>
      </x:c>
    </x:row>
    <x:row r="14" ht="18" customHeight="1">
      <x:c r="A14" s="24" t="str">
        <x:v>EEZ_268</x:v>
      </x:c>
      <x:c r="B14" s="24" t="str">
        <x:v>Georgia</x:v>
      </x:c>
      <x:c r="C14" s="24" t="str">
        <x:v>EEZ</x:v>
      </x:c>
      <x:c r="D14" s="30" t="n">
        <x:v>2019</x:v>
      </x:c>
      <x:c r="E14" s="24" t="str">
        <x:v>Trachurus mediterraneus</x:v>
      </x:c>
      <x:c r="F14" s="24" t="str">
        <x:v>Mediterranean horse mackerel</x:v>
      </x:c>
      <x:c r="G14" s="24" t="str">
        <x:v>Medium pelagics (30 - 89 cm)</x:v>
      </x:c>
      <x:c r="H14" s="24" t="str">
        <x:v>Perch-likes</x:v>
      </x:c>
      <x:c r="I14" s="31" t="n">
        <x:v>613.3191631214</x:v>
      </x:c>
      <x:c r="J14" s="31" t="n">
        <x:v>613.3191631214</x:v>
      </x:c>
      <x:c r="K14" s="31" t="n">
        <x:v>0</x:v>
      </x:c>
      <x:c r="L14" s="31" t="n">
        <x:v>93.04</x:v>
      </x:c>
      <x:c r="M14" s="31" t="n">
        <x:v>520.2791631214</x:v>
      </x:c>
      <x:c r="N14" s="24" t="str">
        <x:v>trachurus mediterraneus</x:v>
      </x:c>
      <x:c r="O14" s="32" t="n">
        <x:v>3.77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Trachurus mediterraneus</x:v>
      </x:c>
      <x:c r="T14" s="32" t="n">
        <x:f>IF(O14="","",(1/'Metadata'!$B$5)^(O14-1))</x:f>
        <x:v>588.843655355589</x:v>
      </x:c>
      <x:c r="U14" s="31" t="n">
        <x:f>IF(T14="","",I14*T14)</x:f>
        <x:v>361149.09791203594</x:v>
      </x:c>
    </x:row>
    <x:row r="15" ht="18" customHeight="1">
      <x:c r="A15" s="24" t="str">
        <x:v>EEZ_268</x:v>
      </x:c>
      <x:c r="B15" s="24" t="str">
        <x:v>Georgia</x:v>
      </x:c>
      <x:c r="C15" s="24" t="str">
        <x:v>EEZ</x:v>
      </x:c>
      <x:c r="D15" s="30" t="n">
        <x:v>2019</x:v>
      </x:c>
      <x:c r="E15" s="24" t="str">
        <x:v>Mytilus galloprovincialis</x:v>
      </x:c>
      <x:c r="F15" s="24" t="str">
        <x:v>Mediterranean mussel</x:v>
      </x:c>
      <x:c r="G15" s="24" t="str">
        <x:v>Other demersal invertebrates</x:v>
      </x:c>
      <x:c r="H15" s="24" t="str">
        <x:v>Molluscs</x:v>
      </x:c>
      <x:c r="I15" s="31" t="n">
        <x:v>543.5119683501</x:v>
      </x:c>
      <x:c r="J15" s="31" t="n">
        <x:v>543.5119683501</x:v>
      </x:c>
      <x:c r="K15" s="31" t="n">
        <x:v>0</x:v>
      </x:c>
      <x:c r="L15" s="31" t="n">
        <x:v>0</x:v>
      </x:c>
      <x:c r="M15" s="31" t="n">
        <x:v>543.5119683501</x:v>
      </x:c>
      <x:c r="N15" s="24" t="str">
        <x:v>mytilus galloprovincialis</x:v>
      </x:c>
      <x:c r="O15" s="32" t="n">
        <x:v>2.69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Mytilus galloprovincialis</x:v>
      </x:c>
      <x:c r="T15" s="32" t="n">
        <x:f>IF(O15="","",(1/'Metadata'!$B$5)^(O15-1))</x:f>
        <x:v>48.97788193684461</x:v>
      </x:c>
      <x:c r="U15" s="31" t="n">
        <x:f>IF(T15="","",I15*T15)</x:f>
        <x:v>26620.065017113222</x:v>
      </x:c>
    </x:row>
    <x:row r="16" ht="18" customHeight="1">
      <x:c r="A16" s="24" t="str">
        <x:v>EEZ_268</x:v>
      </x:c>
      <x:c r="B16" s="24" t="str">
        <x:v>Georgia</x:v>
      </x:c>
      <x:c r="C16" s="24" t="str">
        <x:v>EEZ</x:v>
      </x:c>
      <x:c r="D16" s="30" t="n">
        <x:v>2019</x:v>
      </x:c>
      <x:c r="E16" s="24" t="str">
        <x:v>Pomatomus saltatrix</x:v>
      </x:c>
      <x:c r="F16" s="24" t="str">
        <x:v>Bluefish</x:v>
      </x:c>
      <x:c r="G16" s="24" t="str">
        <x:v>Large pelagics (&gt;=90 cm)</x:v>
      </x:c>
      <x:c r="H16" s="24" t="str">
        <x:v>Perch-likes</x:v>
      </x:c>
      <x:c r="I16" s="31" t="n">
        <x:v>385.0388071004</x:v>
      </x:c>
      <x:c r="J16" s="31" t="n">
        <x:v>385.0388071004</x:v>
      </x:c>
      <x:c r="K16" s="31" t="n">
        <x:v>0</x:v>
      </x:c>
      <x:c r="L16" s="31" t="n">
        <x:v>0</x:v>
      </x:c>
      <x:c r="M16" s="31" t="n">
        <x:v>385.0388071004</x:v>
      </x:c>
      <x:c r="N16" s="24" t="str">
        <x:v>pomatomus saltatrix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Pomatomus saltatrix</x:v>
      </x:c>
      <x:c r="T16" s="32" t="n">
        <x:f>IF(O16="","",(1/'Metadata'!$B$5)^(O16-1))</x:f>
        <x:v>3388.4415613920273</x:v>
      </x:c>
      <x:c r="U16" s="31" t="n">
        <x:f>IF(T16="","",I16*T16)</x:f>
        <x:v>1304681.496727803</x:v>
      </x:c>
    </x:row>
    <x:row r="17" ht="18" customHeight="1">
      <x:c r="A17" s="24" t="str">
        <x:v>EEZ_268</x:v>
      </x:c>
      <x:c r="B17" s="24" t="str">
        <x:v>Georgia</x:v>
      </x:c>
      <x:c r="C17" s="24" t="str">
        <x:v>EEZ</x:v>
      </x:c>
      <x:c r="D17" s="30" t="n">
        <x:v>2019</x:v>
      </x:c>
      <x:c r="E17" s="24" t="str">
        <x:v>Rajiformes</x:v>
      </x:c>
      <x:c r="F17" s="24" t="str">
        <x:v>Skates and rays</x:v>
      </x:c>
      <x:c r="G17" s="24" t="str">
        <x:v>Large rays (&gt;=90 cm)</x:v>
      </x:c>
      <x:c r="H17" s="24" t="str">
        <x:v>Sharks &amp; rays</x:v>
      </x:c>
      <x:c r="I17" s="31" t="n">
        <x:v>222.45404994</x:v>
      </x:c>
      <x:c r="J17" s="31" t="n">
        <x:v>222.45404994</x:v>
      </x:c>
      <x:c r="K17" s="31" t="n">
        <x:v>0</x:v>
      </x:c>
      <x:c r="L17" s="31" t="n">
        <x:v>0</x:v>
      </x:c>
      <x:c r="M17" s="31" t="n">
        <x:v>222.45404994</x:v>
      </x:c>
      <x:c r="N17" s="24" t="str">
        <x:v>rajiformes</x:v>
      </x:c>
      <x:c r="O17" s="32" t="n">
        <x:v>3.61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Rajiformes</x:v>
      </x:c>
      <x:c r="T17" s="32" t="n">
        <x:f>IF(O17="","",(1/'Metadata'!$B$5)^(O17-1))</x:f>
        <x:v>407.3802778041126</x:v>
      </x:c>
      <x:c r="U17" s="31" t="n">
        <x:f>IF(T17="","",I17*T17)</x:f>
        <x:v>90623.39266320714</x:v>
      </x:c>
    </x:row>
    <x:row r="18" ht="18" customHeight="1">
      <x:c r="A18" s="24" t="str">
        <x:v>EEZ_268</x:v>
      </x:c>
      <x:c r="B18" s="24" t="str">
        <x:v>Georgia</x:v>
      </x:c>
      <x:c r="C18" s="24" t="str">
        <x:v>EEZ</x:v>
      </x:c>
      <x:c r="D18" s="30" t="n">
        <x:v>2019</x:v>
      </x:c>
      <x:c r="E18" s="24" t="str">
        <x:v>Scophthalmus maximus</x:v>
      </x:c>
      <x:c r="F18" s="24" t="str">
        <x:v>Turbot</x:v>
      </x:c>
      <x:c r="G18" s="24" t="str">
        <x:v>Large flatfishes (&gt;=90 cm)</x:v>
      </x:c>
      <x:c r="H18" s="24" t="str">
        <x:v>Flatfishes</x:v>
      </x:c>
      <x:c r="I18" s="31" t="n">
        <x:v>212.2170145408</x:v>
      </x:c>
      <x:c r="J18" s="31" t="n">
        <x:v>212.2170145408</x:v>
      </x:c>
      <x:c r="K18" s="31" t="n">
        <x:v>0</x:v>
      </x:c>
      <x:c r="L18" s="31" t="n">
        <x:v>0</x:v>
      </x:c>
      <x:c r="M18" s="31" t="n">
        <x:v>212.2170145408</x:v>
      </x:c>
      <x:c r="N18" s="24" t="str">
        <x:v>scophthalmus maximus</x:v>
      </x:c>
      <x:c r="O18" s="32" t="n">
        <x:v>4.36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Scophthalmus maximus</x:v>
      </x:c>
      <x:c r="T18" s="32" t="n">
        <x:f>IF(O18="","",(1/'Metadata'!$B$5)^(O18-1))</x:f>
        <x:v>2290.867652767775</x:v>
      </x:c>
      <x:c r="U18" s="31" t="n">
        <x:f>IF(T18="","",I18*T18)</x:f>
        <x:v>486161.0939784672</x:v>
      </x:c>
    </x:row>
    <x:row r="19" ht="18" customHeight="1">
      <x:c r="A19" s="24" t="str">
        <x:v>EEZ_268</x:v>
      </x:c>
      <x:c r="B19" s="24" t="str">
        <x:v>Georgia</x:v>
      </x:c>
      <x:c r="C19" s="24" t="str">
        <x:v>EEZ</x:v>
      </x:c>
      <x:c r="D19" s="30" t="n">
        <x:v>2019</x:v>
      </x:c>
      <x:c r="E19" s="24" t="str">
        <x:v>Mugil</x:v>
      </x:c>
      <x:c r="F19" s="24" t="str">
        <x:v>Grey mullets</x:v>
      </x:c>
      <x:c r="G19" s="24" t="str">
        <x:v>Medium demersals (30 - 89 cm)</x:v>
      </x:c>
      <x:c r="H19" s="24" t="str">
        <x:v>Perch-likes</x:v>
      </x:c>
      <x:c r="I19" s="31" t="n">
        <x:v>181.952045</x:v>
      </x:c>
      <x:c r="J19" s="31" t="n">
        <x:v>181.952045</x:v>
      </x:c>
      <x:c r="K19" s="31" t="n">
        <x:v>0</x:v>
      </x:c>
      <x:c r="L19" s="31" t="n">
        <x:v>0</x:v>
      </x:c>
      <x:c r="M19" s="31" t="n">
        <x:v>181.952045</x:v>
      </x:c>
      <x:c r="N19" s="24" t="str">
        <x:v>mugil</x:v>
      </x:c>
      <x:c r="O19" s="32" t="n">
        <x:v>2.26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</x:v>
      </x:c>
      <x:c r="T19" s="32" t="n">
        <x:f>IF(O19="","",(1/'Metadata'!$B$5)^(O19-1))</x:f>
        <x:v>18.197008586099827</x:v>
      </x:c>
      <x:c r="U19" s="31" t="n">
        <x:f>IF(T19="","",I19*T19)</x:f>
        <x:v>3310.982925123422</x:v>
      </x:c>
    </x:row>
    <x:row r="20" ht="18" customHeight="1">
      <x:c r="A20" s="24" t="str">
        <x:v>EEZ_268</x:v>
      </x:c>
      <x:c r="B20" s="24" t="str">
        <x:v>Georgia</x:v>
      </x:c>
      <x:c r="C20" s="24" t="str">
        <x:v>EEZ</x:v>
      </x:c>
      <x:c r="D20" s="30" t="n">
        <x:v>2019</x:v>
      </x:c>
      <x:c r="E20" s="24" t="str">
        <x:v>Dendrobranchiata</x:v>
      </x:c>
      <x:c r="F20" s="24" t="str">
        <x:v>Shrimps and prawns</x:v>
      </x:c>
      <x:c r="G20" s="24" t="str">
        <x:v>Shrimps</x:v>
      </x:c>
      <x:c r="H20" s="24" t="str">
        <x:v>Crustaceans</x:v>
      </x:c>
      <x:c r="I20" s="31" t="n">
        <x:v>181.952045</x:v>
      </x:c>
      <x:c r="J20" s="31" t="n">
        <x:v>181.952045</x:v>
      </x:c>
      <x:c r="K20" s="31" t="n">
        <x:v>0</x:v>
      </x:c>
      <x:c r="L20" s="31" t="n">
        <x:v>0</x:v>
      </x:c>
      <x:c r="M20" s="31" t="n">
        <x:v>181.952045</x:v>
      </x:c>
      <x:c r="N20" s="24" t="str">
        <x:v>dendrobranchiata</x:v>
      </x:c>
      <x:c r="O20" s="32" t="n">
        <x:v>3.24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Dendrobranchiata</x:v>
      </x:c>
      <x:c r="T20" s="32" t="n">
        <x:f>IF(O20="","",(1/'Metadata'!$B$5)^(O20-1))</x:f>
        <x:v>173.78008287493762</x:v>
      </x:c>
      <x:c r="U20" s="31" t="n">
        <x:f>IF(T20="","",I20*T20)</x:f>
        <x:v>31619.64145936438</x:v>
      </x:c>
    </x:row>
    <x:row r="21" ht="18" customHeight="1">
      <x:c r="A21" s="24" t="str">
        <x:v>EEZ_268</x:v>
      </x:c>
      <x:c r="B21" s="24" t="str">
        <x:v>Georgia</x:v>
      </x:c>
      <x:c r="C21" s="24" t="str">
        <x:v>EEZ</x:v>
      </x:c>
      <x:c r="D21" s="30" t="n">
        <x:v>2019</x:v>
      </x:c>
      <x:c r="E21" s="24" t="str">
        <x:v>Atherinidae</x:v>
      </x:c>
      <x:c r="F21" s="24" t="str">
        <x:v>Silversides</x:v>
      </x:c>
      <x:c r="G21" s="24" t="str">
        <x:v>Small pelagics (&lt;30 cm)</x:v>
      </x:c>
      <x:c r="H21" s="24" t="str">
        <x:v>Other fishes &amp; inverts</x:v>
      </x:c>
      <x:c r="I21" s="31" t="n">
        <x:v>118.3901616043</x:v>
      </x:c>
      <x:c r="J21" s="31" t="n">
        <x:v>118.3901616043</x:v>
      </x:c>
      <x:c r="K21" s="31" t="n">
        <x:v>0</x:v>
      </x:c>
      <x:c r="L21" s="31" t="n">
        <x:v>0</x:v>
      </x:c>
      <x:c r="M21" s="31" t="n">
        <x:v>118.3901616043</x:v>
      </x:c>
      <x:c r="N21" s="24" t="str">
        <x:v>atherinidae</x:v>
      </x:c>
      <x:c r="O21" s="32" t="n">
        <x:v>3.2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Atherinidae</x:v>
      </x:c>
      <x:c r="T21" s="32" t="n">
        <x:f>IF(O21="","",(1/'Metadata'!$B$5)^(O21-1))</x:f>
        <x:v>158.48931924611142</x:v>
      </x:c>
      <x:c r="U21" s="31" t="n">
        <x:f>IF(T21="","",I21*T21)</x:f>
        <x:v>18763.576118102625</x:v>
      </x:c>
    </x:row>
    <x:row r="22" ht="18" customHeight="1">
      <x:c r="A22" s="24" t="str">
        <x:v>EEZ_268</x:v>
      </x:c>
      <x:c r="B22" s="24" t="str">
        <x:v>Georgia</x:v>
      </x:c>
      <x:c r="C22" s="24" t="str">
        <x:v>EEZ</x:v>
      </x:c>
      <x:c r="D22" s="30" t="n">
        <x:v>2019</x:v>
      </x:c>
      <x:c r="E22" s="24" t="str">
        <x:v>Sarda sarda</x:v>
      </x:c>
      <x:c r="F22" s="24" t="str">
        <x:v>Atlantic bonito</x:v>
      </x:c>
      <x:c r="G22" s="24" t="str">
        <x:v>Medium pelagics (30 - 89 cm)</x:v>
      </x:c>
      <x:c r="H22" s="24" t="str">
        <x:v>Tuna &amp; billfishes</x:v>
      </x:c>
      <x:c r="I22" s="31" t="n">
        <x:v>90.2256857621</x:v>
      </x:c>
      <x:c r="J22" s="31" t="n">
        <x:v>90.2256857621</x:v>
      </x:c>
      <x:c r="K22" s="31" t="n">
        <x:v>0</x:v>
      </x:c>
      <x:c r="L22" s="31" t="n">
        <x:v>0</x:v>
      </x:c>
      <x:c r="M22" s="31" t="n">
        <x:v>90.2256857621</x:v>
      </x:c>
      <x:c r="N22" s="24" t="str">
        <x:v>sarda sarda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Sarda sarda</x:v>
      </x:c>
      <x:c r="T22" s="32" t="n">
        <x:f>IF(O22="","",(1/'Metadata'!$B$5)^(O22-1))</x:f>
        <x:v>3162.2776601683795</x:v>
      </x:c>
      <x:c r="U22" s="31" t="n">
        <x:f>IF(T22="","",I22*T22)</x:f>
        <x:v>285318.67045886104</x:v>
      </x:c>
    </x:row>
    <x:row r="23" ht="18" customHeight="1">
      <x:c r="A23" s="24" t="str">
        <x:v>EEZ_268</x:v>
      </x:c>
      <x:c r="B23" s="24" t="str">
        <x:v>Georgia</x:v>
      </x:c>
      <x:c r="C23" s="24" t="str">
        <x:v>EEZ</x:v>
      </x:c>
      <x:c r="D23" s="30" t="n">
        <x:v>2019</x:v>
      </x:c>
      <x:c r="E23" s="24" t="str">
        <x:v>Mullidae</x:v>
      </x:c>
      <x:c r="F23" s="24" t="str">
        <x:v>Goatfishes</x:v>
      </x:c>
      <x:c r="G23" s="24" t="str">
        <x:v>Medium reef assoc. fish (30 - 89 cm)</x:v>
      </x:c>
      <x:c r="H23" s="24" t="str">
        <x:v>Perch-likes</x:v>
      </x:c>
      <x:c r="I23" s="31" t="n">
        <x:v>72.780818</x:v>
      </x:c>
      <x:c r="J23" s="31" t="n">
        <x:v>72.780818</x:v>
      </x:c>
      <x:c r="K23" s="31" t="n">
        <x:v>0</x:v>
      </x:c>
      <x:c r="L23" s="31" t="n">
        <x:v>0</x:v>
      </x:c>
      <x:c r="M23" s="31" t="n">
        <x:v>72.780818</x:v>
      </x:c>
      <x:c r="N23" s="24" t="str">
        <x:v>mullidae</x:v>
      </x:c>
      <x:c r="O23" s="32" t="n">
        <x:v>3.46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Mullidae</x:v>
      </x:c>
      <x:c r="T23" s="32" t="n">
        <x:f>IF(O23="","",(1/'Metadata'!$B$5)^(O23-1))</x:f>
        <x:v>288.40315031266056</x:v>
      </x:c>
      <x:c r="U23" s="31" t="n">
        <x:f>IF(T23="","",I23*T23)</x:f>
        <x:v>20990.21719353239</x:v>
      </x:c>
    </x:row>
    <x:row r="24" ht="18" customHeight="1">
      <x:c r="A24" s="24" t="str">
        <x:v>EEZ_268</x:v>
      </x:c>
      <x:c r="B24" s="24" t="str">
        <x:v>Georgia</x:v>
      </x:c>
      <x:c r="C24" s="24" t="str">
        <x:v>EEZ</x:v>
      </x:c>
      <x:c r="D24" s="30" t="n">
        <x:v>2019</x:v>
      </x:c>
      <x:c r="E24" s="24" t="str">
        <x:v>Mugilidae</x:v>
      </x:c>
      <x:c r="F24" s="24" t="str">
        <x:v>Mullets, grey mullets</x:v>
      </x:c>
      <x:c r="G24" s="24" t="str">
        <x:v>Medium reef assoc. fish (30 - 89 cm)</x:v>
      </x:c>
      <x:c r="H24" s="24" t="str">
        <x:v>Perch-likes</x:v>
      </x:c>
      <x:c r="I24" s="31" t="n">
        <x:v>59.690078209199996</x:v>
      </x:c>
      <x:c r="J24" s="31" t="n">
        <x:v>59.690078209199996</x:v>
      </x:c>
      <x:c r="K24" s="31" t="n">
        <x:v>0</x:v>
      </x:c>
      <x:c r="L24" s="31" t="n">
        <x:v>0</x:v>
      </x:c>
      <x:c r="M24" s="31" t="n">
        <x:v>59.690078209199996</x:v>
      </x:c>
      <x:c r="N24" s="24" t="str">
        <x:v>mugilidae</x:v>
      </x:c>
      <x:c r="O24" s="32" t="n">
        <x:v>2.53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Mugilidae</x:v>
      </x:c>
      <x:c r="T24" s="32" t="n">
        <x:f>IF(O24="","",(1/'Metadata'!$B$5)^(O24-1))</x:f>
        <x:v>33.88441561392024</x:v>
      </x:c>
      <x:c r="U24" s="31" t="n">
        <x:f>IF(T24="","",I24*T24)</x:f>
        <x:v>2022.5634180679367</x:v>
      </x:c>
    </x:row>
    <x:row r="25" ht="18" customHeight="1">
      <x:c r="A25" s="24" t="str">
        <x:v>EEZ_268</x:v>
      </x:c>
      <x:c r="B25" s="24" t="str">
        <x:v>Georgia</x:v>
      </x:c>
      <x:c r="C25" s="24" t="str">
        <x:v>EEZ</x:v>
      </x:c>
      <x:c r="D25" s="30" t="n">
        <x:v>2019</x:v>
      </x:c>
      <x:c r="E25" s="24" t="str">
        <x:v>Acipenser huso</x:v>
      </x:c>
      <x:c r="F25" s="24" t="str">
        <x:v>Beluga</x:v>
      </x:c>
      <x:c r="G25" s="24" t="str">
        <x:v>Large demersals (&gt;=90 cm)</x:v>
      </x:c>
      <x:c r="H25" s="24" t="str">
        <x:v>Other fishes &amp; inverts</x:v>
      </x:c>
      <x:c r="I25" s="31" t="n">
        <x:v>34.4103224799</x:v>
      </x:c>
      <x:c r="J25" s="31" t="n">
        <x:v>34.4103224799</x:v>
      </x:c>
      <x:c r="K25" s="31" t="n">
        <x:v>0</x:v>
      </x:c>
      <x:c r="L25" s="31" t="n">
        <x:v>0</x:v>
      </x:c>
      <x:c r="M25" s="31" t="n">
        <x:v>34.4103224799</x:v>
      </x:c>
      <x:c r="N25" s="24" t="str">
        <x:v>acipenser huso</x:v>
      </x:c>
      <x:c r="O25" s="32" t="n">
        <x:v>4.42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Acipenser huso</x:v>
      </x:c>
      <x:c r="T25" s="32" t="n">
        <x:f>IF(O25="","",(1/'Metadata'!$B$5)^(O25-1))</x:f>
        <x:v>2630.2679918953813</x:v>
      </x:c>
      <x:c r="U25" s="31" t="n">
        <x:f>IF(T25="","",I25*T25)</x:f>
        <x:v>90508.36980967908</x:v>
      </x:c>
    </x:row>
    <x:row r="26" ht="18" customHeight="1">
      <x:c r="A26" s="24" t="str">
        <x:v>EEZ_268</x:v>
      </x:c>
      <x:c r="B26" s="24" t="str">
        <x:v>Georgia</x:v>
      </x:c>
      <x:c r="C26" s="24" t="str">
        <x:v>EEZ</x:v>
      </x:c>
      <x:c r="D26" s="30" t="n">
        <x:v>2019</x:v>
      </x:c>
      <x:c r="E26" s="24" t="str">
        <x:v>Sciaenidae</x:v>
      </x:c>
      <x:c r="F26" s="24" t="str">
        <x:v>Drums, croakers</x:v>
      </x:c>
      <x:c r="G26" s="24" t="str">
        <x:v>Medium demersals (30 - 89 cm)</x:v>
      </x:c>
      <x:c r="H26" s="24" t="str">
        <x:v>Perch-likes</x:v>
      </x:c>
      <x:c r="I26" s="31" t="n">
        <x:v>25.8077418619</x:v>
      </x:c>
      <x:c r="J26" s="31" t="n">
        <x:v>25.8077418619</x:v>
      </x:c>
      <x:c r="K26" s="31" t="n">
        <x:v>0</x:v>
      </x:c>
      <x:c r="L26" s="31" t="n">
        <x:v>0</x:v>
      </x:c>
      <x:c r="M26" s="31" t="n">
        <x:v>25.8077418619</x:v>
      </x:c>
      <x:c r="N26" s="24" t="str">
        <x:v>sciaenidae</x:v>
      </x:c>
      <x:c r="O26" s="32" t="n">
        <x:v>3.76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Sciaenidae</x:v>
      </x:c>
      <x:c r="T26" s="32" t="n">
        <x:f>IF(O26="","",(1/'Metadata'!$B$5)^(O26-1))</x:f>
        <x:v>575.4399373371566</x:v>
      </x:c>
      <x:c r="U26" s="31" t="n">
        <x:f>IF(T26="","",I26*T26)</x:f>
        <x:v>14850.805359825248</x:v>
      </x:c>
    </x:row>
    <x:row r="27" ht="18" customHeight="1">
      <x:c r="A27" s="24" t="str">
        <x:v>EEZ_268</x:v>
      </x:c>
      <x:c r="B27" s="24" t="str">
        <x:v>Georgia</x:v>
      </x:c>
      <x:c r="C27" s="24" t="str">
        <x:v>EEZ</x:v>
      </x:c>
      <x:c r="D27" s="30" t="n">
        <x:v>2019</x:v>
      </x:c>
      <x:c r="E27" s="24" t="str">
        <x:v>Decapoda</x:v>
      </x:c>
      <x:c r="F27" s="24" t="str">
        <x:v>Crabs, lobsters, shrimps</x:v>
      </x:c>
      <x:c r="G27" s="24" t="str">
        <x:v>Lobsters, crabs</x:v>
      </x:c>
      <x:c r="H27" s="24" t="str">
        <x:v>Crustaceans</x:v>
      </x:c>
      <x:c r="I27" s="31" t="n">
        <x:v>23.9081990029</x:v>
      </x:c>
      <x:c r="J27" s="31" t="n">
        <x:v>23.9081990029</x:v>
      </x:c>
      <x:c r="K27" s="31" t="n">
        <x:v>0</x:v>
      </x:c>
      <x:c r="L27" s="31" t="n">
        <x:v>0</x:v>
      </x:c>
      <x:c r="M27" s="31" t="n">
        <x:v>23.9081990029</x:v>
      </x:c>
      <x:c r="N27" s="24" t="str">
        <x:v>decapoda</x:v>
      </x:c>
      <x:c r="O27" s="32" t="n">
        <x:v>3.43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Decapoda</x:v>
      </x:c>
      <x:c r="T27" s="32" t="n">
        <x:f>IF(O27="","",(1/'Metadata'!$B$5)^(O27-1))</x:f>
        <x:v>269.1534803926917</x:v>
      </x:c>
      <x:c r="U27" s="31" t="n">
        <x:f>IF(T27="","",I27*T27)</x:f>
        <x:v>6434.974971551616</x:v>
      </x:c>
    </x:row>
    <x:row r="28" ht="18" customHeight="1">
      <x:c r="A28" s="24" t="str">
        <x:v>EEZ_268</x:v>
      </x:c>
      <x:c r="B28" s="24" t="str">
        <x:v>Georgia</x:v>
      </x:c>
      <x:c r="C28" s="24" t="str">
        <x:v>EEZ</x:v>
      </x:c>
      <x:c r="D28" s="30" t="n">
        <x:v>2019</x:v>
      </x:c>
      <x:c r="E28" s="24" t="str">
        <x:v>Acipenser stellatus</x:v>
      </x:c>
      <x:c r="F28" s="24" t="str">
        <x:v>Starry sturgeon</x:v>
      </x:c>
      <x:c r="G28" s="24" t="str">
        <x:v>Large demersals (&gt;=90 cm)</x:v>
      </x:c>
      <x:c r="H28" s="24" t="str">
        <x:v>Other fishes &amp; inverts</x:v>
      </x:c>
      <x:c r="I28" s="31" t="n">
        <x:v>21.506451552</x:v>
      </x:c>
      <x:c r="J28" s="31" t="n">
        <x:v>21.506451552</x:v>
      </x:c>
      <x:c r="K28" s="31" t="n">
        <x:v>0</x:v>
      </x:c>
      <x:c r="L28" s="31" t="n">
        <x:v>0</x:v>
      </x:c>
      <x:c r="M28" s="31" t="n">
        <x:v>21.506451552</x:v>
      </x:c>
      <x:c r="N28" s="24" t="str">
        <x:v>acipenser stellatus</x:v>
      </x:c>
      <x:c r="O28" s="32" t="n">
        <x:v>3.49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Acipenser stellatus</x:v>
      </x:c>
      <x:c r="T28" s="32" t="n">
        <x:f>IF(O28="","",(1/'Metadata'!$B$5)^(O28-1))</x:f>
        <x:v>309.0295432513592</x:v>
      </x:c>
      <x:c r="U28" s="31" t="n">
        <x:f>IF(T28="","",I28*T28)</x:f>
        <x:v>6646.128900072045</x:v>
      </x:c>
    </x:row>
    <x:row r="29" ht="18" customHeight="1">
      <x:c r="A29" s="24" t="str">
        <x:v>EEZ_268</x:v>
      </x:c>
      <x:c r="B29" s="24" t="str">
        <x:v>Georgia</x:v>
      </x:c>
      <x:c r="C29" s="24" t="str">
        <x:v>EEZ</x:v>
      </x:c>
      <x:c r="D29" s="30" t="n">
        <x:v>2019</x:v>
      </x:c>
      <x:c r="E29" s="24" t="str">
        <x:v>Mullus surmuletus</x:v>
      </x:c>
      <x:c r="F29" s="24" t="str">
        <x:v>Surmullet</x:v>
      </x:c>
      <x:c r="G29" s="24" t="str">
        <x:v>Medium demersals (30 - 89 cm)</x:v>
      </x:c>
      <x:c r="H29" s="24" t="str">
        <x:v>Perch-likes</x:v>
      </x:c>
      <x:c r="I29" s="31" t="n">
        <x:v>16.06</x:v>
      </x:c>
      <x:c r="J29" s="31" t="n">
        <x:v>16.06</x:v>
      </x:c>
      <x:c r="K29" s="31" t="n">
        <x:v>0</x:v>
      </x:c>
      <x:c r="L29" s="31" t="n">
        <x:v>16.06</x:v>
      </x:c>
      <x:c r="M29" s="31" t="n">
        <x:v>0</x:v>
      </x:c>
      <x:c r="N29" s="24" t="str">
        <x:v>mullus surmuletus</x:v>
      </x:c>
      <x:c r="O29" s="32" t="n">
        <x:v>3.45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Mullus surmuletus</x:v>
      </x:c>
      <x:c r="T29" s="32" t="n">
        <x:f>IF(O29="","",(1/'Metadata'!$B$5)^(O29-1))</x:f>
        <x:v>281.8382931264455</x:v>
      </x:c>
      <x:c r="U29" s="31" t="n">
        <x:f>IF(T29="","",I29*T29)</x:f>
        <x:v>4526.322987610714</x:v>
      </x:c>
    </x:row>
    <x:row r="30" ht="18" customHeight="1">
      <x:c r="A30" s="24" t="str">
        <x:v>EEZ_268</x:v>
      </x:c>
      <x:c r="B30" s="24" t="str">
        <x:v>Georgia</x:v>
      </x:c>
      <x:c r="C30" s="24" t="str">
        <x:v>EEZ</x:v>
      </x:c>
      <x:c r="D30" s="30" t="n">
        <x:v>2019</x:v>
      </x:c>
      <x:c r="E30" s="24" t="str">
        <x:v>Acipenser gueldenstaedtii</x:v>
      </x:c>
      <x:c r="F30" s="24" t="str">
        <x:v>Danube sturgeon</x:v>
      </x:c>
      <x:c r="G30" s="24" t="str">
        <x:v>Large demersals (&gt;=90 cm)</x:v>
      </x:c>
      <x:c r="H30" s="24" t="str">
        <x:v>Other fishes &amp; inverts</x:v>
      </x:c>
      <x:c r="I30" s="31" t="n">
        <x:v>12.9038709311</x:v>
      </x:c>
      <x:c r="J30" s="31" t="n">
        <x:v>12.9038709311</x:v>
      </x:c>
      <x:c r="K30" s="31" t="n">
        <x:v>0</x:v>
      </x:c>
      <x:c r="L30" s="31" t="n">
        <x:v>0</x:v>
      </x:c>
      <x:c r="M30" s="31" t="n">
        <x:v>12.9038709311</x:v>
      </x:c>
      <x:c r="N30" s="24" t="str">
        <x:v>acipenser gueldenstaedtii</x:v>
      </x:c>
      <x:c r="O30" s="32" t="n">
        <x:v>3.32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Acipenser gueldenstaedtii</x:v>
      </x:c>
      <x:c r="T30" s="32" t="n">
        <x:f>IF(O30="","",(1/'Metadata'!$B$5)^(O30-1))</x:f>
        <x:v>208.92961308540387</x:v>
      </x:c>
      <x:c r="U30" s="31" t="n">
        <x:f>IF(T30="","",I30*T30)</x:f>
        <x:v>2696.000760938713</x:v>
      </x:c>
    </x:row>
  </x:sheetData>
  <x:conditionalFormatting sqref="R2:R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f8a5b5f9bb04b6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292071.1512066533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37626052.96044686</x:v>
      </x:c>
    </x:row>
    <x:row r="3" ht="18" customHeight="1">
      <x:c r="A3" s="24" t="str">
        <x:v>Cod-likes</x:v>
      </x:c>
      <x:c r="B3" s="31" t="n">
        <x:v>644.4329878801</x:v>
      </x:c>
      <x:c r="C3" s="32" t="n">
        <x:v>4.36</x:v>
      </x:c>
      <x:c r="D3" s="32" t="n">
        <x:f>IF(C3="","",(1/'Metadata'!$B$5)^(C3-1))</x:f>
        <x:v>2290.867652767775</x:v>
      </x:c>
      <x:c r="E3" s="31" t="n">
        <x:f>IF(B3=0,"",B3*D3)</x:f>
        <x:v>1476310.6863110086</x:v>
      </x:c>
    </x:row>
    <x:row r="4" ht="18" customHeight="1">
      <x:c r="A4" s="24" t="str">
        <x:v>Crustaceans</x:v>
      </x:c>
      <x:c r="B4" s="31" t="n">
        <x:v>2035.7232577528998</x:v>
      </x:c>
      <x:c r="C4" s="32" t="n">
        <x:v>2.7568383198116226</x:v>
      </x:c>
      <x:c r="D4" s="32" t="n">
        <x:f>IF(C4="","",(1/'Metadata'!$B$5)^(C4-1))</x:f>
        <x:v>57.12659248351565</x:v>
      </x:c>
      <x:c r="E4" s="31" t="n">
        <x:f>IF(B4=0,"",B4*D4)</x:f>
        <x:v>116293.9329548648</x:v>
      </x:c>
    </x:row>
    <x:row r="5" ht="18" customHeight="1">
      <x:c r="A5" s="24" t="str">
        <x:v>Flatfishes</x:v>
      </x:c>
      <x:c r="B5" s="31" t="n">
        <x:v>212.2170145408</x:v>
      </x:c>
      <x:c r="C5" s="32" t="n">
        <x:v>4.36</x:v>
      </x:c>
      <x:c r="D5" s="32" t="n">
        <x:f>IF(C5="","",(1/'Metadata'!$B$5)^(C5-1))</x:f>
        <x:v>2290.867652767775</x:v>
      </x:c>
      <x:c r="E5" s="31" t="n">
        <x:f>IF(B5=0,"",B5*D5)</x:f>
        <x:v>486161.0939784672</x:v>
      </x:c>
    </x:row>
    <x:row r="6" ht="18" customHeight="1">
      <x:c r="A6" s="24" t="str">
        <x:v>Herring-likes</x:v>
      </x:c>
      <x:c r="B6" s="31" t="n">
        <x:v>28301.88127405</x:v>
      </x:c>
      <x:c r="C6" s="32" t="n">
        <x:v>3.01</x:v>
      </x:c>
      <x:c r="D6" s="32" t="n">
        <x:f>IF(C6="","",(1/'Metadata'!$B$5)^(C6-1))</x:f>
        <x:v>102.32929922807536</x:v>
      </x:c>
      <x:c r="E6" s="31" t="n">
        <x:f>IF(B6=0,"",B6*D6)</x:f>
        <x:v>2896111.677609725</x:v>
      </x:c>
    </x:row>
    <x:row r="7" ht="18" customHeight="1">
      <x:c r="A7" s="24" t="str">
        <x:v>Molluscs</x:v>
      </x:c>
      <x:c r="B7" s="31" t="n">
        <x:v>1458.4434751301</x:v>
      </x:c>
      <x:c r="C7" s="32" t="n">
        <x:v>2.319872807410622</x:v>
      </x:c>
      <x:c r="D7" s="32" t="n">
        <x:f>IF(C7="","",(1/'Metadata'!$B$5)^(C7-1))</x:f>
        <x:v>20.8868432461329</x:v>
      </x:c>
      <x:c r="E7" s="31" t="n">
        <x:f>IF(B7=0,"",B7*D7)</x:f>
        <x:v>30462.280248387728</x:v>
      </x:c>
    </x:row>
    <x:row r="8" ht="18" customHeight="1">
      <x:c r="A8" s="24" t="str">
        <x:v>Other fishes &amp; inverts</x:v>
      </x:c>
      <x:c r="B8" s="31" t="n">
        <x:v>8459.826773565303</x:v>
      </x:c>
      <x:c r="C8" s="32" t="n">
        <x:v>3.254931574726946</x:v>
      </x:c>
      <x:c r="D8" s="32" t="n">
        <x:f>IF(C8="","",(1/'Metadata'!$B$5)^(C8-1))</x:f>
        <x:v>179.85875163231154</x:v>
      </x:c>
      <x:c r="E8" s="31" t="n">
        <x:f>IF(B8=0,"",B8*D8)</x:f>
        <x:v>1521573.8825190612</x:v>
      </x:c>
    </x:row>
    <x:row r="9" ht="18" customHeight="1">
      <x:c r="A9" s="24" t="str">
        <x:v>Perch-likes</x:v>
      </x:c>
      <x:c r="B9" s="31" t="n">
        <x:v>3265.0881076189</x:v>
      </x:c>
      <x:c r="C9" s="32" t="n">
        <x:v>3.3580714032652166</x:v>
      </x:c>
      <x:c r="D9" s="32" t="n">
        <x:f>IF(C9="","",(1/'Metadata'!$B$5)^(C9-1))</x:f>
        <x:v>228.0717018637728</x:v>
      </x:c>
      <x:c r="E9" s="31" t="n">
        <x:f>IF(B9=0,"",B9*D9)</x:f>
        <x:v>744674.2014398079</x:v>
      </x:c>
    </x:row>
    <x:row r="10" ht="18" customHeight="1">
      <x:c r="A10" s="24" t="str">
        <x:v>Scorpionfishes</x:v>
      </x:c>
      <x:c r="B10" s="31" t="n">
        <x:v>914.9315067800001</x:v>
      </x:c>
      <x:c r="C10" s="32" t="n">
        <x:v>3.92</x:v>
      </x:c>
      <x:c r="D10" s="32" t="n">
        <x:f>IF(C10="","",(1/'Metadata'!$B$5)^(C10-1))</x:f>
        <x:v>831.7637711026708</x:v>
      </x:c>
      <x:c r="E10" s="31" t="n">
        <x:f>IF(B10=0,"",B10*D10)</x:f>
        <x:v>761006.8803799817</x:v>
      </x:c>
    </x:row>
    <x:row r="11" ht="18" customHeight="1">
      <x:c r="A11" s="24" t="str">
        <x:v>Sharks &amp; rays</x:v>
      </x:c>
      <x:c r="B11" s="31" t="n">
        <x:v>12638.364153120197</x:v>
      </x:c>
      <x:c r="C11" s="32" t="n">
        <x:v>3.910680812012271</x:v>
      </x:c>
      <x:c r="D11" s="32" t="n">
        <x:f>IF(C11="","",(1/'Metadata'!$B$5)^(C11-1))</x:f>
        <x:v>814.1057309775226</x:v>
      </x:c>
      <x:c r="E11" s="31" t="n">
        <x:f>IF(B11=0,"",B11*D11)</x:f>
        <x:v>10288964.687236037</x:v>
      </x:c>
    </x:row>
    <x:row r="12" ht="18" customHeight="1">
      <x:c r="A12" s="24" t="str">
        <x:v>Tuna &amp; billfishes</x:v>
      </x:c>
      <x:c r="B12" s="31" t="n">
        <x:v>90.2256857621</x:v>
      </x:c>
      <x:c r="C12" s="32" t="n">
        <x:v>4.5</x:v>
      </x:c>
      <x:c r="D12" s="32" t="n">
        <x:f>IF(C12="","",(1/'Metadata'!$B$5)^(C12-1))</x:f>
        <x:v>3162.2776601683795</x:v>
      </x:c>
      <x:c r="E12" s="31" t="n">
        <x:f>IF(B12=0,"",B12*D12)</x:f>
        <x:v>285318.67045886104</x:v>
      </x:c>
    </x:row>
  </x:sheetData>
  <x:pageMargins left="0.7" right="0.7" top="0.75" bottom="0.75" header="0.3" footer="0.3"/>
  <x:tableParts count="1">
    <x:tablePart xmlns:r="http://schemas.openxmlformats.org/officeDocument/2006/relationships" r:id="R3d78e4cc870b4c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demersals (&gt;=90 cm)</x:v>
      </x:c>
      <x:c r="B2" s="31" t="n">
        <x:v>68.820644963</x:v>
      </x:c>
      <x:c r="C2" s="32" t="n">
        <x:v>3.923124999977051</x:v>
      </x:c>
      <x:c r="D2" s="32" t="n">
        <x:f>IF(C2="","",(1/'Metadata'!$B$5)^(C2-1))</x:f>
        <x:v>837.7703770823047</x:v>
      </x:c>
      <x:c r="E2" s="31" t="n">
        <x:f>IF(B2=0,"",B2*D2)</x:f>
        <x:v>57655.89768169993</x:v>
      </x:c>
    </x:row>
    <x:row r="3" ht="18" customHeight="1">
      <x:c r="A3" s="24" t="str">
        <x:v>Large flatfishes (&gt;=90 cm)</x:v>
      </x:c>
      <x:c r="B3" s="31" t="n">
        <x:v>212.2170145408</x:v>
      </x:c>
      <x:c r="C3" s="32" t="n">
        <x:v>4.36</x:v>
      </x:c>
      <x:c r="D3" s="32" t="n">
        <x:f>IF(C3="","",(1/'Metadata'!$B$5)^(C3-1))</x:f>
        <x:v>2290.867652767775</x:v>
      </x:c>
      <x:c r="E3" s="31" t="n">
        <x:f>IF(B3=0,"",B3*D3)</x:f>
        <x:v>486161.0939784672</x:v>
      </x:c>
    </x:row>
    <x:row r="4" ht="18" customHeight="1">
      <x:c r="A4" s="24" t="str">
        <x:v>Large pelagics (&gt;=90 cm)</x:v>
      </x:c>
      <x:c r="B4" s="31" t="n">
        <x:v>385.0388071004</x:v>
      </x:c>
      <x:c r="C4" s="32" t="n">
        <x:v>4.53</x:v>
      </x:c>
      <x:c r="D4" s="32" t="n">
        <x:f>IF(C4="","",(1/'Metadata'!$B$5)^(C4-1))</x:f>
        <x:v>3388.4415613920273</x:v>
      </x:c>
      <x:c r="E4" s="31" t="n">
        <x:f>IF(B4=0,"",B4*D4)</x:f>
        <x:v>1304681.496727803</x:v>
      </x:c>
    </x:row>
    <x:row r="5" ht="18" customHeight="1">
      <x:c r="A5" s="24" t="str">
        <x:v>Large rays (&gt;=90 cm)</x:v>
      </x:c>
      <x:c r="B5" s="31" t="n">
        <x:v>7541.90610494</x:v>
      </x:c>
      <x:c r="C5" s="32" t="n">
        <x:v>3.600294957331535</x:v>
      </x:c>
      <x:c r="D5" s="32" t="n">
        <x:f>IF(C5="","",(1/'Metadata'!$B$5)^(C5-1))</x:f>
        <x:v>398.3776425901588</x:v>
      </x:c>
      <x:c r="E5" s="31" t="n">
        <x:f>IF(B5=0,"",B5*D5)</x:f>
        <x:v>3004526.774722324</x:v>
      </x:c>
    </x:row>
    <x:row r="6" ht="18" customHeight="1">
      <x:c r="A6" s="24" t="str">
        <x:v>Large reef assoc. fish (&gt;=90 cm)</x:v>
      </x:c>
      <x:c r="B6" s="31" t="n">
        <x:v>914.9315067800001</x:v>
      </x:c>
      <x:c r="C6" s="32" t="n">
        <x:v>3.92</x:v>
      </x:c>
      <x:c r="D6" s="32" t="n">
        <x:f>IF(C6="","",(1/'Metadata'!$B$5)^(C6-1))</x:f>
        <x:v>831.7637711026708</x:v>
      </x:c>
      <x:c r="E6" s="31" t="n">
        <x:f>IF(B6=0,"",B6*D6)</x:f>
        <x:v>761006.8803799817</x:v>
      </x:c>
    </x:row>
    <x:row r="7" ht="18" customHeight="1">
      <x:c r="A7" s="24" t="str">
        <x:v>Large sharks (&gt;=90 cm)</x:v>
      </x:c>
      <x:c r="B7" s="31" t="n">
        <x:v>5096.4580481801995</x:v>
      </x:c>
      <x:c r="C7" s="32" t="n">
        <x:v>4.37</x:v>
      </x:c>
      <x:c r="D7" s="32" t="n">
        <x:f>IF(C7="","",(1/'Metadata'!$B$5)^(C7-1))</x:f>
        <x:v>2344.228815319923</x:v>
      </x:c>
      <x:c r="E7" s="31" t="n">
        <x:f>IF(B7=0,"",B7*D7)</x:f>
        <x:v>11947263.812613156</x:v>
      </x:c>
    </x:row>
    <x:row r="8" ht="18" customHeight="1">
      <x:c r="A8" s="24" t="str">
        <x:v>Lobsters, crabs</x:v>
      </x:c>
      <x:c r="B8" s="31" t="n">
        <x:v>23.9081990029</x:v>
      </x:c>
      <x:c r="C8" s="32" t="n">
        <x:v>3.43</x:v>
      </x:c>
      <x:c r="D8" s="32" t="n">
        <x:f>IF(C8="","",(1/'Metadata'!$B$5)^(C8-1))</x:f>
        <x:v>269.1534803926917</x:v>
      </x:c>
      <x:c r="E8" s="31" t="n">
        <x:f>IF(B8=0,"",B8*D8)</x:f>
        <x:v>6434.974971551616</x:v>
      </x:c>
    </x:row>
    <x:row r="9" ht="18" customHeight="1">
      <x:c r="A9" s="24" t="str">
        <x:v>Medium benthopelagics (30 - 89 cm)</x:v>
      </x:c>
      <x:c r="B9" s="31" t="n">
        <x:v>644.4329878801</x:v>
      </x:c>
      <x:c r="C9" s="32" t="n">
        <x:v>4.36</x:v>
      </x:c>
      <x:c r="D9" s="32" t="n">
        <x:f>IF(C9="","",(1/'Metadata'!$B$5)^(C9-1))</x:f>
        <x:v>2290.867652767775</x:v>
      </x:c>
      <x:c r="E9" s="31" t="n">
        <x:f>IF(B9=0,"",B9*D9)</x:f>
        <x:v>1476310.6863110086</x:v>
      </x:c>
    </x:row>
    <x:row r="10" ht="18" customHeight="1">
      <x:c r="A10" s="24" t="str">
        <x:v>Medium demersals (30 - 89 cm)</x:v>
      </x:c>
      <x:c r="B10" s="31" t="n">
        <x:v>8496.4357538599</x:v>
      </x:c>
      <x:c r="C10" s="32" t="n">
        <x:v>3.2308809597866146</x:v>
      </x:c>
      <x:c r="D10" s="32" t="n">
        <x:f>IF(C10="","",(1/'Metadata'!$B$5)^(C10-1))</x:f>
        <x:v>170.16920103084843</x:v>
      </x:c>
      <x:c r="E10" s="31" t="n">
        <x:f>IF(B10=0,"",B10*D10)</x:f>
        <x:v>1445831.6838442734</x:v>
      </x:c>
    </x:row>
    <x:row r="11" ht="18" customHeight="1">
      <x:c r="A11" s="24" t="str">
        <x:v>Medium pelagics (30 - 89 cm)</x:v>
      </x:c>
      <x:c r="B11" s="31" t="n">
        <x:v>703.5448488835</x:v>
      </x:c>
      <x:c r="C11" s="32" t="n">
        <x:v>3.8636184106967146</x:v>
      </x:c>
      <x:c r="D11" s="32" t="n">
        <x:f>IF(C11="","",(1/'Metadata'!$B$5)^(C11-1))</x:f>
        <x:v>730.496956234038</x:v>
      </x:c>
      <x:c r="E11" s="31" t="n">
        <x:f>IF(B11=0,"",B11*D11)</x:f>
        <x:v>513937.3706835329</x:v>
      </x:c>
    </x:row>
    <x:row r="12" ht="18" customHeight="1">
      <x:c r="A12" s="24" t="str">
        <x:v>Medium reef assoc. fish (30 - 89 cm)</x:v>
      </x:c>
      <x:c r="B12" s="31" t="n">
        <x:v>132.4708962092</x:v>
      </x:c>
      <x:c r="C12" s="32" t="n">
        <x:v>3.040951180047193</x:v>
      </x:c>
      <x:c r="D12" s="32" t="n">
        <x:f>IF(C12="","",(1/'Metadata'!$B$5)^(C12-1))</x:f>
        <x:v>109.8882304826584</x:v>
      </x:c>
      <x:c r="E12" s="31" t="n">
        <x:f>IF(B12=0,"",B12*D12)</x:f>
        <x:v>14556.992374880887</x:v>
      </x:c>
    </x:row>
    <x:row r="13" ht="18" customHeight="1">
      <x:c r="A13" s="24" t="str">
        <x:v>Other demersal invertebrates</x:v>
      </x:c>
      <x:c r="B13" s="31" t="n">
        <x:v>1458.4434751301</x:v>
      </x:c>
      <x:c r="C13" s="32" t="n">
        <x:v>2.319872807410622</x:v>
      </x:c>
      <x:c r="D13" s="32" t="n">
        <x:f>IF(C13="","",(1/'Metadata'!$B$5)^(C13-1))</x:f>
        <x:v>20.8868432461329</x:v>
      </x:c>
      <x:c r="E13" s="31" t="n">
        <x:f>IF(B13=0,"",B13*D13)</x:f>
        <x:v>30462.280248387728</x:v>
      </x:c>
    </x:row>
    <x:row r="14" ht="18" customHeight="1">
      <x:c r="A14" s="24" t="str">
        <x:v>Shrimps</x:v>
      </x:c>
      <x:c r="B14" s="31" t="n">
        <x:v>2011.81505875</x:v>
      </x:c>
      <x:c r="C14" s="32" t="n">
        <x:v>2.7488385370576998</x:v>
      </x:c>
      <x:c r="D14" s="32" t="n">
        <x:f>IF(C14="","",(1/'Metadata'!$B$5)^(C14-1))</x:f>
        <x:v>56.08394271716024</x:v>
      </x:c>
      <x:c r="E14" s="31" t="n">
        <x:f>IF(B14=0,"",B14*D14)</x:f>
        <x:v>112830.52051245536</x:v>
      </x:c>
    </x:row>
    <x:row r="15" ht="18" customHeight="1">
      <x:c r="A15" s="24" t="str">
        <x:v>Small pelagics (&lt;30 cm)</x:v>
      </x:c>
      <x:c r="B15" s="31" t="n">
        <x:v>320491.42264230753</x:v>
      </x:c>
      <x:c r="C15" s="32" t="n">
        <x:v>3.1012024696648206</x:v>
      </x:c>
      <x:c r="D15" s="32" t="n">
        <x:f>IF(C15="","",(1/'Metadata'!$B$5)^(C15-1))</x:f>
        <x:v>126.241594031804</x:v>
      </x:c>
      <x:c r="E15" s="31" t="n">
        <x:f>IF(B15=0,"",B15*D15)</x:f>
        <x:v>40459348.0678855</x:v>
      </x:c>
    </x:row>
    <x:row r="16" ht="18" customHeight="1">
      <x:c r="A16" s="24" t="str">
        <x:v>Small reef assoc. fish (&lt;30 cm)</x:v>
      </x:c>
      <x:c r="B16" s="31" t="n">
        <x:v>1910.439454326</x:v>
      </x:c>
      <x:c r="C16" s="32" t="n">
        <x:v>3.11</x:v>
      </x:c>
      <x:c r="D16" s="32" t="n">
        <x:f>IF(C16="","",(1/'Metadata'!$B$5)^(C16-1))</x:f>
        <x:v>128.82495516931337</x:v>
      </x:c>
      <x:c r="E16" s="31" t="n">
        <x:f>IF(B16=0,"",B16*D16)</x:f>
        <x:v>246112.27705723446</x:v>
      </x:c>
    </x:row>
  </x:sheetData>
  <x:pageMargins left="0.7" right="0.7" top="0.75" bottom="0.75" header="0.3" footer="0.3"/>
  <x:tableParts count="1">
    <x:tablePart xmlns:r="http://schemas.openxmlformats.org/officeDocument/2006/relationships" r:id="R9db6b395ca89470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EEZ_268</x:v>
      </x:c>
      <x:c r="B2" s="24" t="str">
        <x:v>raw_filtered_tonnes</x:v>
      </x:c>
      <x:c r="C2" s="24" t="n">
        <x:v>350092.28544285364</x:v>
      </x:c>
      <x:c r="D2" s="24" t="str">
        <x:v>tonnes</x:v>
      </x:c>
    </x:row>
    <x:row r="3" ht="18" customHeight="1">
      <x:c r="A3" s="24" t="str">
        <x:v>EEZ_268</x:v>
      </x:c>
      <x:c r="B3" s="24" t="str">
        <x:v>species_catch_tonnes</x:v>
      </x:c>
      <x:c r="C3" s="24" t="n">
        <x:v>350092.2854428537</x:v>
      </x:c>
      <x:c r="D3" s="24" t="str">
        <x:v>tonnes</x:v>
      </x:c>
    </x:row>
    <x:row r="4" ht="18" customHeight="1">
      <x:c r="A4" s="24" t="str">
        <x:v>EEZ_268</x:v>
      </x:c>
      <x:c r="B4" s="24" t="str">
        <x:v>catch_difference_tonnes</x:v>
      </x:c>
      <x:c r="C4" s="24" t="n">
        <x:v>5.820766091346741e-11</x:v>
      </x:c>
      <x:c r="D4" s="24" t="str">
        <x:v>tonnes</x:v>
      </x:c>
    </x:row>
    <x:row r="5" ht="18" customHeight="1">
      <x:c r="A5" s="24" t="str">
        <x:v>EEZ_268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EEZ_268</x:v>
      </x:c>
      <x:c r="B6" s="24" t="str">
        <x:v>matched_catch_tonnes</x:v>
      </x:c>
      <x:c r="C6" s="24" t="n">
        <x:v>350092.2854428537</x:v>
      </x:c>
      <x:c r="D6" s="24" t="str">
        <x:v>tonnes</x:v>
      </x:c>
    </x:row>
    <x:row r="7" ht="18" customHeight="1">
      <x:c r="A7" s="24" t="str">
        <x:v>EEZ_268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EEZ_268</x:v>
      </x:c>
      <x:c r="B8" s="24" t="str">
        <x:v>taxa_count</x:v>
      </x:c>
      <x:c r="C8" s="24" t="n">
        <x:v>29</x:v>
      </x:c>
      <x:c r="D8" s="24" t="str">
        <x:v>count</x:v>
      </x:c>
    </x:row>
    <x:row r="9" ht="18" customHeight="1">
      <x:c r="A9" s="24" t="str">
        <x:v>EEZ_268</x:v>
      </x:c>
      <x:c r="B9" s="24" t="str">
        <x:v>matched_taxa_count</x:v>
      </x:c>
      <x:c r="C9" s="24" t="n">
        <x:v>29</x:v>
      </x:c>
      <x:c r="D9" s="24" t="str">
        <x:v>count</x:v>
      </x:c>
    </x:row>
    <x:row r="10" ht="18" customHeight="1">
      <x:c r="A10" s="24" t="str">
        <x:v>EEZ_268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EEZ_268</x:v>
      </x:c>
      <x:c r="B11" s="24" t="str">
        <x:v>species_ppr</x:v>
      </x:c>
      <x:c r="C11" s="24" t="n">
        <x:v>62582880.30789505</x:v>
      </x:c>
      <x:c r="D11" s="24" t="str">
        <x:v>tonnes_primary_production_equivalent</x:v>
      </x:c>
    </x:row>
    <x:row r="12" ht="18" customHeight="1">
      <x:c r="A12" s="24" t="str">
        <x:v>EEZ_268</x:v>
      </x:c>
      <x:c r="B12" s="24" t="str">
        <x:v>commercial_ppr</x:v>
      </x:c>
      <x:c r="C12" s="24" t="n">
        <x:v>56232930.953583054</x:v>
      </x:c>
      <x:c r="D12" s="24" t="str">
        <x:v>tonnes_primary_production_equivalent</x:v>
      </x:c>
    </x:row>
    <x:row r="13" ht="18" customHeight="1">
      <x:c r="A13" s="24" t="str">
        <x:v>EEZ_268</x:v>
      </x:c>
      <x:c r="B13" s="24" t="str">
        <x:v>functional_ppr</x:v>
      </x:c>
      <x:c r="C13" s="24" t="n">
        <x:v>61867120.80999226</x:v>
      </x:c>
      <x:c r="D13" s="24" t="str">
        <x:v>tonnes_primary_production_equivalent</x:v>
      </x:c>
    </x:row>
    <x:row r="14" ht="18" customHeight="1">
      <x:c r="A14" s="24" t="str">
        <x:v>EEZ_268</x:v>
      </x:c>
      <x:c r="B14" s="24" t="str">
        <x:v>commercial_ppr_difference</x:v>
      </x:c>
      <x:c r="C14" s="24" t="n">
        <x:v>-6349949.354311995</x:v>
      </x:c>
      <x:c r="D14" s="24" t="str">
        <x:v>tonnes_primary_production_equivalent</x:v>
      </x:c>
    </x:row>
    <x:row r="15" ht="18" customHeight="1">
      <x:c r="A15" s="24" t="str">
        <x:v>EEZ_268</x:v>
      </x:c>
      <x:c r="B15" s="24" t="str">
        <x:v>functional_ppr_difference</x:v>
      </x:c>
      <x:c r="C15" s="24" t="n">
        <x:v>-715759.4979027882</x:v>
      </x:c>
      <x:c r="D15" s="24" t="str">
        <x:v>tonnes_primary_production_equivalent</x:v>
      </x:c>
    </x:row>
    <x:row r="16" ht="18" customHeight="1">
      <x:c r="A16" s="24" t="str">
        <x:v>EEZ_268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EEZ_268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5ae64ecfb4e4e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EEZ_268 - Georgia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EEZ_268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raw_data/SAU_downloads/EEZ_268-catch.zip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