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db6fda907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bde313ea9554d39"/>
    <x:sheet xmlns:r="http://schemas.openxmlformats.org/officeDocument/2006/relationships" name="Commercial" sheetId="2" r:id="Rada863f9923b4c2f"/>
    <x:sheet xmlns:r="http://schemas.openxmlformats.org/officeDocument/2006/relationships" name="Functional" sheetId="3" r:id="R2cd7f9794fe745e1"/>
    <x:sheet xmlns:r="http://schemas.openxmlformats.org/officeDocument/2006/relationships" name="Missing TL" sheetId="4" r:id="R08c7d37cc41f41f1"/>
    <x:sheet xmlns:r="http://schemas.openxmlformats.org/officeDocument/2006/relationships" name="Validation" sheetId="5" r:id="R20c5b00a3a8341be"/>
    <x:sheet xmlns:r="http://schemas.openxmlformats.org/officeDocument/2006/relationships" name="Metadata" sheetId="6" r:id="R0c1a8a36d557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2b4ba9a0448b3" /><Relationship Type="http://schemas.openxmlformats.org/officeDocument/2006/relationships/theme" Target="/xl/theme/theme1.xml" Id="R4cd97b1b56814671" /><Relationship Type="http://schemas.microsoft.com/office/2022/11/relationships/FeaturePropertyBag" Target="/xl/featurePropertyBag/featurePropertyBag.xml" Id="R966226b253354186" /><Relationship Type="http://schemas.openxmlformats.org/officeDocument/2006/relationships/sharedStrings" Target="/xl/sharedStrings.xml" Id="R7113e6dd7ada4415" /><Relationship Type="http://schemas.openxmlformats.org/officeDocument/2006/relationships/worksheet" Target="/xl/worksheets/sheet1.xml" Id="R7bde313ea9554d39" /><Relationship Type="http://schemas.openxmlformats.org/officeDocument/2006/relationships/worksheet" Target="/xl/worksheets/sheet2.xml" Id="Rada863f9923b4c2f" /><Relationship Type="http://schemas.openxmlformats.org/officeDocument/2006/relationships/worksheet" Target="/xl/worksheets/sheet3.xml" Id="R2cd7f9794fe745e1" /><Relationship Type="http://schemas.openxmlformats.org/officeDocument/2006/relationships/worksheet" Target="/xl/worksheets/sheet4.xml" Id="R08c7d37cc41f41f1" /><Relationship Type="http://schemas.openxmlformats.org/officeDocument/2006/relationships/worksheet" Target="/xl/worksheets/sheet5.xml" Id="R20c5b00a3a8341be" /><Relationship Type="http://schemas.openxmlformats.org/officeDocument/2006/relationships/worksheet" Target="/xl/worksheets/sheet6.xml" Id="R0c1a8a36d55743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7SpeciesTable" displayName="EEZ357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7CommercialTable" displayName="EEZ357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7FunctionalTable" displayName="EEZ357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7ValidationTable" displayName="EEZ35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1d39e9d39e4f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c55b6614e044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c9685d7ca443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dc755d0ad47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EEZ_357</x:v>
      </x:c>
      <x:c r="B2" s="24" t="str">
        <x:v>Andaman &amp; Nicobar Isl. (India)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11929.4262915224</x:v>
      </x:c>
      <x:c r="J2" s="31" t="n">
        <x:v>11870.2818083153</x:v>
      </x:c>
      <x:c r="K2" s="31" t="n">
        <x:v>59.1444832071</x:v>
      </x:c>
      <x:c r="L2" s="31" t="n">
        <x:v>9826.8452543983</x:v>
      </x:c>
      <x:c r="M2" s="31" t="n">
        <x:v>2102.5810371241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2273105.31863339</x:v>
      </x:c>
    </x:row>
    <x:row r="3" ht="18" customHeight="1">
      <x:c r="A3" s="24" t="str">
        <x:v>EEZ_357</x:v>
      </x:c>
      <x:c r="B3" s="24" t="str">
        <x:v>Andaman &amp; Nicobar Isl. (India)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6030.006269331</x:v>
      </x:c>
      <x:c r="J3" s="31" t="n">
        <x:v>6030.006269331</x:v>
      </x:c>
      <x:c r="K3" s="31" t="n">
        <x:v>0</x:v>
      </x:c>
      <x:c r="L3" s="31" t="n">
        <x:v>1445.2450033067</x:v>
      </x:c>
      <x:c r="M3" s="31" t="n">
        <x:v>4584.7612660243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5758611.2808738835</x:v>
      </x:c>
    </x:row>
    <x:row r="4" ht="18" customHeight="1">
      <x:c r="A4" s="24" t="str">
        <x:v>EEZ_357</x:v>
      </x:c>
      <x:c r="B4" s="24" t="str">
        <x:v>Andaman &amp; Nicobar Isl. (India)</x:v>
      </x:c>
      <x:c r="C4" s="24" t="str">
        <x:v>EEZ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4883.3928154073</x:v>
      </x:c>
      <x:c r="J4" s="31" t="n">
        <x:v>4883.3928154073</x:v>
      </x:c>
      <x:c r="K4" s="31" t="n">
        <x:v>0</x:v>
      </x:c>
      <x:c r="L4" s="31" t="n">
        <x:v>4548.9836576294</x:v>
      </x:c>
      <x:c r="M4" s="31" t="n">
        <x:v>334.4091577779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287555.48759616556</x:v>
      </x:c>
    </x:row>
    <x:row r="5" ht="18" customHeight="1">
      <x:c r="A5" s="24" t="str">
        <x:v>EEZ_357</x:v>
      </x:c>
      <x:c r="B5" s="24" t="str">
        <x:v>Andaman &amp; Nicobar Isl. (India)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3208.5391494476</x:v>
      </x:c>
      <x:c r="J5" s="31" t="n">
        <x:v>3183.9998303886</x:v>
      </x:c>
      <x:c r="K5" s="31" t="n">
        <x:v>24.539319059</x:v>
      </x:c>
      <x:c r="L5" s="31" t="n">
        <x:v>2905.3255304363</x:v>
      </x:c>
      <x:c r="M5" s="31" t="n">
        <x:v>303.21361901129995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3600040.1370305307</x:v>
      </x:c>
    </x:row>
    <x:row r="6" ht="18" customHeight="1">
      <x:c r="A6" s="24" t="str">
        <x:v>EEZ_357</x:v>
      </x:c>
      <x:c r="B6" s="24" t="str">
        <x:v>Andaman &amp; Nicobar Isl. (India)</x:v>
      </x:c>
      <x:c r="C6" s="24" t="str">
        <x:v>EEZ</x:v>
      </x:c>
      <x:c r="D6" s="30" t="n">
        <x:v>2019</x:v>
      </x:c>
      <x:c r="E6" s="24" t="str">
        <x:v>Coryphaena</x:v>
      </x:c>
      <x:c r="F6" s="24" t="str">
        <x:v>Dolphinfishes</x:v>
      </x:c>
      <x:c r="G6" s="24" t="str">
        <x:v>Large pelagics (&gt;=90 cm)</x:v>
      </x:c>
      <x:c r="H6" s="24" t="str">
        <x:v>Perch-likes</x:v>
      </x:c>
      <x:c r="I6" s="31" t="n">
        <x:v>2635.2621622572</x:v>
      </x:c>
      <x:c r="J6" s="31" t="n">
        <x:v>2635.2621622572</x:v>
      </x:c>
      <x:c r="K6" s="31" t="n">
        <x:v>0</x:v>
      </x:c>
      <x:c r="L6" s="31" t="n">
        <x:v>2635.2621622572</x:v>
      </x:c>
      <x:c r="M6" s="31" t="n">
        <x:v>0</x:v>
      </x:c>
      <x:c r="N6" s="24" t="str">
        <x:v>coryphaena</x:v>
      </x:c>
      <x:c r="O6" s="32" t="n">
        <x:v>4.49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Coryphaena</x:v>
      </x:c>
      <x:c r="T6" s="32" t="n">
        <x:f>IF(O6="","",(1/'Metadata'!$B$5)^(O6-1))</x:f>
        <x:v>3090.295432513592</x:v>
      </x:c>
      <x:c r="U6" s="31" t="n">
        <x:f>IF(T6="","",I6*T6)</x:f>
        <x:v>8143738.623499318</x:v>
      </x:c>
    </x:row>
    <x:row r="7" ht="18" customHeight="1">
      <x:c r="A7" s="24" t="str">
        <x:v>EEZ_357</x:v>
      </x:c>
      <x:c r="B7" s="24" t="str">
        <x:v>Andaman &amp; Nicobar Isl. (India)</x:v>
      </x:c>
      <x:c r="C7" s="24" t="str">
        <x:v>EEZ</x:v>
      </x:c>
      <x:c r="D7" s="30" t="n">
        <x:v>2019</x:v>
      </x:c>
      <x:c r="E7" s="24" t="str">
        <x:v>Anchoviella</x:v>
      </x:c>
      <x:c r="F7" s="24" t="str">
        <x:v>Anchovies</x:v>
      </x:c>
      <x:c r="G7" s="24" t="str">
        <x:v>Small pelagics (&lt;30 cm)</x:v>
      </x:c>
      <x:c r="H7" s="24" t="str">
        <x:v>Anchovies</x:v>
      </x:c>
      <x:c r="I7" s="31" t="n">
        <x:v>2262.4237121923</x:v>
      </x:c>
      <x:c r="J7" s="31" t="n">
        <x:v>2249.4970355173</x:v>
      </x:c>
      <x:c r="K7" s="31" t="n">
        <x:v>12.926676675</x:v>
      </x:c>
      <x:c r="L7" s="31" t="n">
        <x:v>2249.4970355173</x:v>
      </x:c>
      <x:c r="M7" s="31" t="n">
        <x:v>12.926676675</x:v>
      </x:c>
      <x:c r="N7" s="24" t="str">
        <x:v>anchoviella</x:v>
      </x:c>
      <x:c r="O7" s="32" t="n">
        <x:v>3.18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Anchoviella</x:v>
      </x:c>
      <x:c r="T7" s="32" t="n">
        <x:f>IF(O7="","",(1/'Metadata'!$B$5)^(O7-1))</x:f>
        <x:v>151.35612484362088</x:v>
      </x:c>
      <x:c r="U7" s="31" t="n">
        <x:f>IF(T7="","",I7*T7)</x:f>
        <x:v>342431.68583174597</x:v>
      </x:c>
    </x:row>
    <x:row r="8" ht="18" customHeight="1">
      <x:c r="A8" s="24" t="str">
        <x:v>EEZ_357</x:v>
      </x:c>
      <x:c r="B8" s="24" t="str">
        <x:v>Andaman &amp; Nicobar Isl. (India)</x:v>
      </x:c>
      <x:c r="C8" s="24" t="str">
        <x:v>EEZ</x:v>
      </x:c>
      <x:c r="D8" s="30" t="n">
        <x:v>2019</x:v>
      </x:c>
      <x:c r="E8" s="24" t="str">
        <x:v>Chondrichthyes</x:v>
      </x:c>
      <x:c r="F8" s="24" t="str">
        <x:v>Sharks, rays, chimaeras</x:v>
      </x:c>
      <x:c r="G8" s="24" t="str">
        <x:v>Large sharks (&gt;=90 cm)</x:v>
      </x:c>
      <x:c r="H8" s="24" t="str">
        <x:v>Sharks &amp; rays</x:v>
      </x:c>
      <x:c r="I8" s="31" t="n">
        <x:v>2221.8587047459</x:v>
      </x:c>
      <x:c r="J8" s="31" t="n">
        <x:v>2221.8587047459</x:v>
      </x:c>
      <x:c r="K8" s="31" t="n">
        <x:v>0</x:v>
      </x:c>
      <x:c r="L8" s="31" t="n">
        <x:v>2221.8587047459</x:v>
      </x:c>
      <x:c r="M8" s="31" t="n">
        <x:v>0</x:v>
      </x:c>
      <x:c r="N8" s="24" t="str">
        <x:v>chondrichthyes</x:v>
      </x:c>
      <x:c r="O8" s="32" t="n">
        <x:v>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Chondrichthyes</x:v>
      </x:c>
      <x:c r="T8" s="32" t="n">
        <x:f>IF(O8="","",(1/'Metadata'!$B$5)^(O8-1))</x:f>
        <x:v>1000</x:v>
      </x:c>
      <x:c r="U8" s="31" t="n">
        <x:f>IF(T8="","",I8*T8)</x:f>
        <x:v>2221858.7047459</x:v>
      </x:c>
    </x:row>
    <x:row r="9" ht="18" customHeight="1">
      <x:c r="A9" s="24" t="str">
        <x:v>EEZ_357</x:v>
      </x:c>
      <x:c r="B9" s="24" t="str">
        <x:v>Andaman &amp; Nicobar Isl. (India)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2208.6607373243</x:v>
      </x:c>
      <x:c r="J9" s="31" t="n">
        <x:v>2207.7244298043</x:v>
      </x:c>
      <x:c r="K9" s="31" t="n">
        <x:v>0.9363075200000001</x:v>
      </x:c>
      <x:c r="L9" s="31" t="n">
        <x:v>1984.7849913569999</x:v>
      </x:c>
      <x:c r="M9" s="31" t="n">
        <x:v>223.87574596730002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4019101.840087186</x:v>
      </x:c>
    </x:row>
    <x:row r="10" ht="18" customHeight="1">
      <x:c r="A10" s="24" t="str">
        <x:v>EEZ_357</x:v>
      </x:c>
      <x:c r="B10" s="24" t="str">
        <x:v>Andaman &amp; Nicobar Isl. (India)</x:v>
      </x:c>
      <x:c r="C10" s="24" t="str">
        <x:v>EEZ</x:v>
      </x:c>
      <x:c r="D10" s="30" t="n">
        <x:v>2019</x:v>
      </x:c>
      <x:c r="E10" s="24" t="str">
        <x:v>Istiophoridae</x:v>
      </x:c>
      <x:c r="F10" s="24" t="str">
        <x:v>Billfishes</x:v>
      </x:c>
      <x:c r="G10" s="24" t="str">
        <x:v>Large pelagics (&gt;=90 cm)</x:v>
      </x:c>
      <x:c r="H10" s="24" t="str">
        <x:v>Tuna &amp; billfishes</x:v>
      </x:c>
      <x:c r="I10" s="31" t="n">
        <x:v>2024.8282827399998</x:v>
      </x:c>
      <x:c r="J10" s="31" t="n">
        <x:v>2024.8282827399998</x:v>
      </x:c>
      <x:c r="K10" s="31" t="n">
        <x:v>0</x:v>
      </x:c>
      <x:c r="L10" s="31" t="n">
        <x:v>2024.8282827399998</x:v>
      </x:c>
      <x:c r="M10" s="31" t="n">
        <x:v>0</x:v>
      </x:c>
      <x:c r="N10" s="24" t="str">
        <x:v>istiophoridae</x:v>
      </x:c>
      <x:c r="O10" s="32" t="n">
        <x:v>4.48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Istiophoridae</x:v>
      </x:c>
      <x:c r="T10" s="32" t="n">
        <x:f>IF(O10="","",(1/'Metadata'!$B$5)^(O10-1))</x:f>
        <x:v>3019.951720402019</x:v>
      </x:c>
      <x:c r="U10" s="31" t="n">
        <x:f>IF(T10="","",I10*T10)</x:f>
        <x:v>6114883.655979328</x:v>
      </x:c>
    </x:row>
    <x:row r="11" ht="18" customHeight="1">
      <x:c r="A11" s="24" t="str">
        <x:v>EEZ_357</x:v>
      </x:c>
      <x:c r="B11" s="24" t="str">
        <x:v>Andaman &amp; Nicobar Isl. (India)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1987.3064796196</x:v>
      </x:c>
      <x:c r="J11" s="31" t="n">
        <x:v>1987.3064796196</x:v>
      </x:c>
      <x:c r="K11" s="31" t="n">
        <x:v>0</x:v>
      </x:c>
      <x:c r="L11" s="31" t="n">
        <x:v>1987.3064796196</x:v>
      </x:c>
      <x:c r="M11" s="31" t="n">
        <x:v>0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6284414.8844089275</x:v>
      </x:c>
    </x:row>
    <x:row r="12" ht="18" customHeight="1">
      <x:c r="A12" s="24" t="str">
        <x:v>EEZ_357</x:v>
      </x:c>
      <x:c r="B12" s="24" t="str">
        <x:v>Andaman &amp; Nicobar Isl. (India)</x:v>
      </x:c>
      <x:c r="C12" s="24" t="str">
        <x:v>EEZ</x:v>
      </x:c>
      <x:c r="D12" s="30" t="n">
        <x:v>2019</x:v>
      </x:c>
      <x:c r="E12" s="24" t="str">
        <x:v>Euthynnus affinis</x:v>
      </x:c>
      <x:c r="F12" s="24" t="str">
        <x:v>Kawakawa</x:v>
      </x:c>
      <x:c r="G12" s="24" t="str">
        <x:v>Large pelagics (&gt;=90 cm)</x:v>
      </x:c>
      <x:c r="H12" s="24" t="str">
        <x:v>Tuna &amp; billfishes</x:v>
      </x:c>
      <x:c r="I12" s="31" t="n">
        <x:v>1918.2687021888</x:v>
      </x:c>
      <x:c r="J12" s="31" t="n">
        <x:v>1918.2687021888</x:v>
      </x:c>
      <x:c r="K12" s="31" t="n">
        <x:v>0</x:v>
      </x:c>
      <x:c r="L12" s="31" t="n">
        <x:v>1918.2687021888</x:v>
      </x:c>
      <x:c r="M12" s="31" t="n">
        <x:v>0</x:v>
      </x:c>
      <x:c r="N12" s="24" t="str">
        <x:v>euthynnus affinis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affinis</x:v>
      </x:c>
      <x:c r="T12" s="32" t="n">
        <x:f>IF(O12="","",(1/'Metadata'!$B$5)^(O12-1))</x:f>
        <x:v>3162.2776601683795</x:v>
      </x:c>
      <x:c r="U12" s="31" t="n">
        <x:f>IF(T12="","",I12*T12)</x:f>
        <x:v>6066098.263131833</x:v>
      </x:c>
    </x:row>
    <x:row r="13" ht="18" customHeight="1">
      <x:c r="A13" s="24" t="str">
        <x:v>EEZ_357</x:v>
      </x:c>
      <x:c r="B13" s="24" t="str">
        <x:v>Andaman &amp; Nicobar Isl. (India)</x:v>
      </x:c>
      <x:c r="C13" s="24" t="str">
        <x:v>EEZ</x:v>
      </x:c>
      <x:c r="D13" s="30" t="n">
        <x:v>2019</x:v>
      </x:c>
      <x:c r="E13" s="24" t="str">
        <x:v>Thunnus</x:v>
      </x:c>
      <x:c r="F13" s="24" t="str">
        <x:v>Tunas</x:v>
      </x:c>
      <x:c r="G13" s="24" t="str">
        <x:v>Large pelagics (&gt;=90 cm)</x:v>
      </x:c>
      <x:c r="H13" s="24" t="str">
        <x:v>Tuna &amp; billfishes</x:v>
      </x:c>
      <x:c r="I13" s="31" t="n">
        <x:v>1589.3940418789002</x:v>
      </x:c>
      <x:c r="J13" s="31" t="n">
        <x:v>1589.3940418789002</x:v>
      </x:c>
      <x:c r="K13" s="31" t="n">
        <x:v>0</x:v>
      </x:c>
      <x:c r="L13" s="31" t="n">
        <x:v>1589.3940418789002</x:v>
      </x:c>
      <x:c r="M13" s="31" t="n">
        <x:v>0</x:v>
      </x:c>
      <x:c r="N13" s="24" t="str">
        <x:v>thunnus</x:v>
      </x:c>
      <x:c r="O13" s="32" t="n">
        <x:v>4.34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Thunnus</x:v>
      </x:c>
      <x:c r="T13" s="32" t="n">
        <x:f>IF(O13="","",(1/'Metadata'!$B$5)^(O13-1))</x:f>
        <x:v>2187.761623949552</x:v>
      </x:c>
      <x:c r="U13" s="31" t="n">
        <x:f>IF(T13="","",I13*T13)</x:f>
        <x:v>3477215.290156725</x:v>
      </x:c>
    </x:row>
    <x:row r="14" ht="18" customHeight="1">
      <x:c r="A14" s="24" t="str">
        <x:v>EEZ_357</x:v>
      </x:c>
      <x:c r="B14" s="24" t="str">
        <x:v>Andaman &amp; Nicobar Isl. (India)</x:v>
      </x:c>
      <x:c r="C14" s="24" t="str">
        <x:v>EEZ</x:v>
      </x:c>
      <x:c r="D14" s="30" t="n">
        <x:v>2019</x:v>
      </x:c>
      <x:c r="E14" s="24" t="str">
        <x:v>Pampus argenteus</x:v>
      </x:c>
      <x:c r="F14" s="24" t="str">
        <x:v>Silver pomfret</x:v>
      </x:c>
      <x:c r="G14" s="24" t="str">
        <x:v>Medium benthopelagics (30 - 89 cm)</x:v>
      </x:c>
      <x:c r="H14" s="24" t="str">
        <x:v>Perch-likes</x:v>
      </x:c>
      <x:c r="I14" s="31" t="n">
        <x:v>1420.4736104744</x:v>
      </x:c>
      <x:c r="J14" s="31" t="n">
        <x:v>1407.9190828444</x:v>
      </x:c>
      <x:c r="K14" s="31" t="n">
        <x:v>12.55452763</x:v>
      </x:c>
      <x:c r="L14" s="31" t="n">
        <x:v>1407.9190828444</x:v>
      </x:c>
      <x:c r="M14" s="31" t="n">
        <x:v>12.55452763</x:v>
      </x:c>
      <x:c r="N14" s="24" t="str">
        <x:v>pampus argenteus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Pampus argenteus</x:v>
      </x:c>
      <x:c r="T14" s="32" t="n">
        <x:f>IF(O14="","",(1/'Metadata'!$B$5)^(O14-1))</x:f>
        <x:v>199.52623149688787</x:v>
      </x:c>
      <x:c r="U14" s="31" t="n">
        <x:f>IF(T14="","",I14*T14)</x:f>
        <x:v>283421.7464387353</x:v>
      </x:c>
    </x:row>
    <x:row r="15" ht="18" customHeight="1">
      <x:c r="A15" s="24" t="str">
        <x:v>EEZ_357</x:v>
      </x:c>
      <x:c r="B15" s="24" t="str">
        <x:v>Andaman &amp; Nicobar Isl. (India)</x:v>
      </x:c>
      <x:c r="C15" s="24" t="str">
        <x:v>EEZ</x:v>
      </x:c>
      <x:c r="D15" s="30" t="n">
        <x:v>2019</x:v>
      </x:c>
      <x:c r="E15" s="24" t="str">
        <x:v>Scomberomorus guttatus</x:v>
      </x:c>
      <x:c r="F15" s="24" t="str">
        <x:v>Indo-Pacific king mackerel</x:v>
      </x:c>
      <x:c r="G15" s="24" t="str">
        <x:v>Medium pelagics (30 - 89 cm)</x:v>
      </x:c>
      <x:c r="H15" s="24" t="str">
        <x:v>Perch-likes</x:v>
      </x:c>
      <x:c r="I15" s="31" t="n">
        <x:v>1405.384620563</x:v>
      </x:c>
      <x:c r="J15" s="31" t="n">
        <x:v>1405.384620563</x:v>
      </x:c>
      <x:c r="K15" s="31" t="n">
        <x:v>0</x:v>
      </x:c>
      <x:c r="L15" s="31" t="n">
        <x:v>1405.384620563</x:v>
      </x:c>
      <x:c r="M15" s="31" t="n">
        <x:v>0</x:v>
      </x:c>
      <x:c r="N15" s="24" t="str">
        <x:v>scomberomorus guttatus</x:v>
      </x:c>
      <x:c r="O15" s="32" t="n">
        <x:v>4.28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guttatus</x:v>
      </x:c>
      <x:c r="T15" s="32" t="n">
        <x:f>IF(O15="","",(1/'Metadata'!$B$5)^(O15-1))</x:f>
        <x:v>1905.4607179632483</x:v>
      </x:c>
      <x:c r="U15" s="31" t="n">
        <x:f>IF(T15="","",I15*T15)</x:f>
        <x:v>2677905.188112481</x:v>
      </x:c>
    </x:row>
    <x:row r="16" ht="18" customHeight="1">
      <x:c r="A16" s="24" t="str">
        <x:v>EEZ_357</x:v>
      </x:c>
      <x:c r="B16" s="24" t="str">
        <x:v>Andaman &amp; Nicobar Isl. (India)</x:v>
      </x:c>
      <x:c r="C16" s="24" t="str">
        <x:v>EEZ</x:v>
      </x:c>
      <x:c r="D16" s="30" t="n">
        <x:v>2019</x:v>
      </x:c>
      <x:c r="E16" s="24" t="str">
        <x:v>Thryssa</x:v>
      </x:c>
      <x:c r="F16" s="24" t="str">
        <x:v>Thryssas</x:v>
      </x:c>
      <x:c r="G16" s="24" t="str">
        <x:v>Small pelagics (&lt;30 cm)</x:v>
      </x:c>
      <x:c r="H16" s="24" t="str">
        <x:v>Anchovies</x:v>
      </x:c>
      <x:c r="I16" s="31" t="n">
        <x:v>1373.0828121389</x:v>
      </x:c>
      <x:c r="J16" s="31" t="n">
        <x:v>1365.2375100109</x:v>
      </x:c>
      <x:c r="K16" s="31" t="n">
        <x:v>7.845302128</x:v>
      </x:c>
      <x:c r="L16" s="31" t="n">
        <x:v>1365.2375100109</x:v>
      </x:c>
      <x:c r="M16" s="31" t="n">
        <x:v>7.845302128</x:v>
      </x:c>
      <x:c r="N16" s="24" t="str">
        <x:v>thryssa</x:v>
      </x:c>
      <x:c r="O16" s="32" t="n">
        <x:v>3.34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Thryssa</x:v>
      </x:c>
      <x:c r="T16" s="32" t="n">
        <x:f>IF(O16="","",(1/'Metadata'!$B$5)^(O16-1))</x:f>
        <x:v>218.77616239495518</x:v>
      </x:c>
      <x:c r="U16" s="31" t="n">
        <x:f>IF(T16="","",I16*T16)</x:f>
        <x:v>300397.7882902217</x:v>
      </x:c>
    </x:row>
    <x:row r="17" ht="18" customHeight="1">
      <x:c r="A17" s="24" t="str">
        <x:v>EEZ_357</x:v>
      </x:c>
      <x:c r="B17" s="24" t="str">
        <x:v>Andaman &amp; Nicobar Isl. (India)</x:v>
      </x:c>
      <x:c r="C17" s="24" t="str">
        <x:v>EEZ</x:v>
      </x:c>
      <x:c r="D17" s="30" t="n">
        <x:v>2019</x:v>
      </x:c>
      <x:c r="E17" s="24" t="str">
        <x:v>Thunnus tonggol</x:v>
      </x:c>
      <x:c r="F17" s="24" t="str">
        <x:v>Longtail tuna</x:v>
      </x:c>
      <x:c r="G17" s="24" t="str">
        <x:v>Large pelagics (&gt;=90 cm)</x:v>
      </x:c>
      <x:c r="H17" s="24" t="str">
        <x:v>Tuna &amp; billfishes</x:v>
      </x:c>
      <x:c r="I17" s="31" t="n">
        <x:v>1107.5164402769</x:v>
      </x:c>
      <x:c r="J17" s="31" t="n">
        <x:v>1107.5164402769</x:v>
      </x:c>
      <x:c r="K17" s="31" t="n">
        <x:v>0</x:v>
      </x:c>
      <x:c r="L17" s="31" t="n">
        <x:v>1107.5164402769</x:v>
      </x:c>
      <x:c r="M17" s="31" t="n">
        <x:v>0</x:v>
      </x:c>
      <x:c r="N17" s="24" t="str">
        <x:v>thunnus tonggol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tonggol</x:v>
      </x:c>
      <x:c r="T17" s="32" t="n">
        <x:f>IF(O17="","",(1/'Metadata'!$B$5)^(O17-1))</x:f>
        <x:v>3162.2776601683795</x:v>
      </x:c>
      <x:c r="U17" s="31" t="n">
        <x:f>IF(T17="","",I17*T17)</x:f>
        <x:v>3502274.4973568483</x:v>
      </x:c>
    </x:row>
    <x:row r="18" ht="18" customHeight="1">
      <x:c r="A18" s="24" t="str">
        <x:v>EEZ_357</x:v>
      </x:c>
      <x:c r="B18" s="24" t="str">
        <x:v>Andaman &amp; Nicobar Isl. (India)</x:v>
      </x:c>
      <x:c r="C18" s="24" t="str">
        <x:v>EEZ</x:v>
      </x:c>
      <x:c r="D18" s="30" t="n">
        <x:v>2019</x:v>
      </x:c>
      <x:c r="E18" s="24" t="str">
        <x:v>Rastrelliger kanagurta</x:v>
      </x:c>
      <x:c r="F18" s="24" t="str">
        <x:v>Indian mackerel</x:v>
      </x:c>
      <x:c r="G18" s="24" t="str">
        <x:v>Medium pelagics (30 - 89 cm)</x:v>
      </x:c>
      <x:c r="H18" s="24" t="str">
        <x:v>Perch-likes</x:v>
      </x:c>
      <x:c r="I18" s="31" t="n">
        <x:v>1085.2939970367</x:v>
      </x:c>
      <x:c r="J18" s="31" t="n">
        <x:v>1064.4261777367</x:v>
      </x:c>
      <x:c r="K18" s="31" t="n">
        <x:v>20.8678193</x:v>
      </x:c>
      <x:c r="L18" s="31" t="n">
        <x:v>1064.4261777367</x:v>
      </x:c>
      <x:c r="M18" s="31" t="n">
        <x:v>20.8678193</x:v>
      </x:c>
      <x:c r="N18" s="24" t="str">
        <x:v>rastrelliger kanagurta</x:v>
      </x:c>
      <x:c r="O18" s="32" t="n">
        <x:v>3.19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Rastrelliger kanagurta</x:v>
      </x:c>
      <x:c r="T18" s="32" t="n">
        <x:f>IF(O18="","",(1/'Metadata'!$B$5)^(O18-1))</x:f>
        <x:v>154.88166189124811</x:v>
      </x:c>
      <x:c r="U18" s="31" t="n">
        <x:f>IF(T18="","",I18*T18)</x:f>
        <x:v>168092.1379016394</x:v>
      </x:c>
    </x:row>
    <x:row r="19" ht="18" customHeight="1">
      <x:c r="A19" s="24" t="str">
        <x:v>EEZ_357</x:v>
      </x:c>
      <x:c r="B19" s="24" t="str">
        <x:v>Andaman &amp; Nicobar Isl. (India)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1021.8448484624</x:v>
      </x:c>
      <x:c r="J19" s="31" t="n">
        <x:v>1021.8448484624</x:v>
      </x:c>
      <x:c r="K19" s="31" t="n">
        <x:v>0</x:v>
      </x:c>
      <x:c r="L19" s="31" t="n">
        <x:v>1021.8448484624</x:v>
      </x:c>
      <x:c r="M19" s="31" t="n">
        <x:v>0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34624.615538243306</x:v>
      </x:c>
    </x:row>
    <x:row r="20" ht="18" customHeight="1">
      <x:c r="A20" s="24" t="str">
        <x:v>EEZ_357</x:v>
      </x:c>
      <x:c r="B20" s="24" t="str">
        <x:v>Andaman &amp; Nicobar Isl. (India)</x:v>
      </x:c>
      <x:c r="C20" s="24" t="str">
        <x:v>EEZ</x:v>
      </x:c>
      <x:c r="D20" s="30" t="n">
        <x:v>2019</x:v>
      </x:c>
      <x:c r="E20" s="24" t="str">
        <x:v>Sphyraenidae</x:v>
      </x:c>
      <x:c r="F20" s="24" t="str">
        <x:v>Barracudas</x:v>
      </x:c>
      <x:c r="G20" s="24" t="str">
        <x:v>Medium reef assoc. fish (30 - 89 cm)</x:v>
      </x:c>
      <x:c r="H20" s="24" t="str">
        <x:v>Perch-likes</x:v>
      </x:c>
      <x:c r="I20" s="31" t="n">
        <x:v>744.4711110642</x:v>
      </x:c>
      <x:c r="J20" s="31" t="n">
        <x:v>744.4711110642</x:v>
      </x:c>
      <x:c r="K20" s="31" t="n">
        <x:v>0</x:v>
      </x:c>
      <x:c r="L20" s="31" t="n">
        <x:v>744.4711110642</x:v>
      </x:c>
      <x:c r="M20" s="31" t="n">
        <x:v>0</x:v>
      </x:c>
      <x:c r="N20" s="24" t="str">
        <x:v>sphyraenidae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Sphyraenidae</x:v>
      </x:c>
      <x:c r="T20" s="32" t="n">
        <x:f>IF(O20="","",(1/'Metadata'!$B$5)^(O20-1))</x:f>
        <x:v>2511.886431509582</x:v>
      </x:c>
      <x:c r="U20" s="31" t="n">
        <x:f>IF(T20="","",I20*T20)</x:f>
        <x:v>1870026.882533027</x:v>
      </x:c>
    </x:row>
    <x:row r="21" ht="18" customHeight="1">
      <x:c r="A21" s="24" t="str">
        <x:v>EEZ_357</x:v>
      </x:c>
      <x:c r="B21" s="24" t="str">
        <x:v>Andaman &amp; Nicobar Isl. (India)</x:v>
      </x:c>
      <x:c r="C21" s="24" t="str">
        <x:v>EEZ</x:v>
      </x:c>
      <x:c r="D21" s="30" t="n">
        <x:v>2019</x:v>
      </x:c>
      <x:c r="E21" s="24" t="str">
        <x:v>Penaeidae</x:v>
      </x:c>
      <x:c r="F21" s="24" t="str">
        <x:v>Commercial shrimps and prawns</x:v>
      </x:c>
      <x:c r="G21" s="24" t="str">
        <x:v>Shrimps</x:v>
      </x:c>
      <x:c r="H21" s="24" t="str">
        <x:v>Crustaceans</x:v>
      </x:c>
      <x:c r="I21" s="31" t="n">
        <x:v>578.9295914662999</x:v>
      </x:c>
      <x:c r="J21" s="31" t="n">
        <x:v>574.2414046283</x:v>
      </x:c>
      <x:c r="K21" s="31" t="n">
        <x:v>4.688186838</x:v>
      </x:c>
      <x:c r="L21" s="31" t="n">
        <x:v>574.2414046283</x:v>
      </x:c>
      <x:c r="M21" s="31" t="n">
        <x:v>4.688186838</x:v>
      </x:c>
      <x:c r="N21" s="24" t="str">
        <x:v>penaeidae</x:v>
      </x:c>
      <x:c r="O21" s="32" t="n">
        <x:v>3.31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Penaeidae</x:v>
      </x:c>
      <x:c r="T21" s="32" t="n">
        <x:f>IF(O21="","",(1/'Metadata'!$B$5)^(O21-1))</x:f>
        <x:v>204.17379446695296</x:v>
      </x:c>
      <x:c r="U21" s="31" t="n">
        <x:f>IF(T21="","",I21*T21)</x:f>
        <x:v>118202.25141887736</x:v>
      </x:c>
    </x:row>
    <x:row r="22" ht="18" customHeight="1">
      <x:c r="A22" s="24" t="str">
        <x:v>EEZ_357</x:v>
      </x:c>
      <x:c r="B22" s="24" t="str">
        <x:v>Andaman &amp; Nicobar Isl. (India)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473.07597714810004</x:v>
      </x:c>
      <x:c r="J22" s="31" t="n">
        <x:v>445.8788769541</x:v>
      </x:c>
      <x:c r="K22" s="31" t="n">
        <x:v>27.197100194</x:v>
      </x:c>
      <x:c r="L22" s="31" t="n">
        <x:v>0</x:v>
      </x:c>
      <x:c r="M22" s="31" t="n">
        <x:v>473.07597714810004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82211.18251493892</x:v>
      </x:c>
    </x:row>
    <x:row r="23" ht="18" customHeight="1">
      <x:c r="A23" s="24" t="str">
        <x:v>EEZ_357</x:v>
      </x:c>
      <x:c r="B23" s="24" t="str">
        <x:v>Andaman &amp; Nicobar Isl. (India)</x:v>
      </x:c>
      <x:c r="C23" s="24" t="str">
        <x:v>EEZ</x:v>
      </x:c>
      <x:c r="D23" s="30" t="n">
        <x:v>2019</x:v>
      </x:c>
      <x:c r="E23" s="24" t="str">
        <x:v>Clupeidae</x:v>
      </x:c>
      <x:c r="F23" s="24" t="str">
        <x:v>Herrings, sardines, menhadens</x:v>
      </x:c>
      <x:c r="G23" s="24" t="str">
        <x:v>Small pelagics (&lt;30 cm)</x:v>
      </x:c>
      <x:c r="H23" s="24" t="str">
        <x:v>Herring-likes</x:v>
      </x:c>
      <x:c r="I23" s="31" t="n">
        <x:v>455.10322503969996</x:v>
      </x:c>
      <x:c r="J23" s="31" t="n">
        <x:v>407.1846464917</x:v>
      </x:c>
      <x:c r="K23" s="31" t="n">
        <x:v>47.918578548</x:v>
      </x:c>
      <x:c r="L23" s="31" t="n">
        <x:v>407.1846464917</x:v>
      </x:c>
      <x:c r="M23" s="31" t="n">
        <x:v>47.918578548</x:v>
      </x:c>
      <x:c r="N23" s="24" t="str">
        <x:v>clupeidae</x:v>
      </x:c>
      <x:c r="O23" s="32" t="n">
        <x:v>3.16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Clupeidae</x:v>
      </x:c>
      <x:c r="T23" s="32" t="n">
        <x:f>IF(O23="","",(1/'Metadata'!$B$5)^(O23-1))</x:f>
        <x:v>144.5439770745928</x:v>
      </x:c>
      <x:c r="U23" s="31" t="n">
        <x:f>IF(T23="","",I23*T23)</x:f>
        <x:v>65782.43012671164</x:v>
      </x:c>
    </x:row>
    <x:row r="24" ht="18" customHeight="1">
      <x:c r="A24" s="24" t="str">
        <x:v>EEZ_357</x:v>
      </x:c>
      <x:c r="B24" s="24" t="str">
        <x:v>Andaman &amp; Nicobar Isl. (India)</x:v>
      </x:c>
      <x:c r="C24" s="24" t="str">
        <x:v>EEZ</x:v>
      </x:c>
      <x:c r="D24" s="30" t="n">
        <x:v>2019</x:v>
      </x:c>
      <x:c r="E24" s="24" t="str">
        <x:v>Ariidae</x:v>
      </x:c>
      <x:c r="F24" s="24" t="str">
        <x:v>Sea catfishes, coblers</x:v>
      </x:c>
      <x:c r="G24" s="24" t="str">
        <x:v>Medium demersals (30 - 89 cm)</x:v>
      </x:c>
      <x:c r="H24" s="24" t="str">
        <x:v>Other fishes &amp; inverts</x:v>
      </x:c>
      <x:c r="I24" s="31" t="n">
        <x:v>438.39869483819996</x:v>
      </x:c>
      <x:c r="J24" s="31" t="n">
        <x:v>436.2225827722</x:v>
      </x:c>
      <x:c r="K24" s="31" t="n">
        <x:v>2.176112066</x:v>
      </x:c>
      <x:c r="L24" s="31" t="n">
        <x:v>157.5482828199</x:v>
      </x:c>
      <x:c r="M24" s="31" t="n">
        <x:v>280.85041201829995</x:v>
      </x:c>
      <x:c r="N24" s="24" t="str">
        <x:v>ariidae</x:v>
      </x:c>
      <x:c r="O24" s="32" t="n">
        <x:v>3.48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Ariidae</x:v>
      </x:c>
      <x:c r="T24" s="32" t="n">
        <x:f>IF(O24="","",(1/'Metadata'!$B$5)^(O24-1))</x:f>
        <x:v>301.9951720402016</x:v>
      </x:c>
      <x:c r="U24" s="31" t="n">
        <x:f>IF(T24="","",I24*T24)</x:f>
        <x:v>132394.28926986206</x:v>
      </x:c>
    </x:row>
    <x:row r="25" ht="18" customHeight="1">
      <x:c r="A25" s="24" t="str">
        <x:v>EEZ_357</x:v>
      </x:c>
      <x:c r="B25" s="24" t="str">
        <x:v>Andaman &amp; Nicobar Isl. (India)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384.3269951073</x:v>
      </x:c>
      <x:c r="J25" s="31" t="n">
        <x:v>384.3269951073</x:v>
      </x:c>
      <x:c r="K25" s="31" t="n">
        <x:v>0</x:v>
      </x:c>
      <x:c r="L25" s="31" t="n">
        <x:v>384.3269951073</x:v>
      </x:c>
      <x:c r="M25" s="31" t="n">
        <x:v>0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506641.6511093337</x:v>
      </x:c>
    </x:row>
    <x:row r="26" ht="18" customHeight="1">
      <x:c r="A26" s="24" t="str">
        <x:v>EEZ_357</x:v>
      </x:c>
      <x:c r="B26" s="24" t="str">
        <x:v>Andaman &amp; Nicobar Isl. (India)</x:v>
      </x:c>
      <x:c r="C26" s="24" t="str">
        <x:v>EEZ</x:v>
      </x:c>
      <x:c r="D26" s="30" t="n">
        <x:v>2019</x:v>
      </x:c>
      <x:c r="E26" s="24" t="str">
        <x:v>Parastromateus niger</x:v>
      </x:c>
      <x:c r="F26" s="24" t="str">
        <x:v>Black pomfret</x:v>
      </x:c>
      <x:c r="G26" s="24" t="str">
        <x:v>Medium benthopelagics (30 - 89 cm)</x:v>
      </x:c>
      <x:c r="H26" s="24" t="str">
        <x:v>Perch-likes</x:v>
      </x:c>
      <x:c r="I26" s="31" t="n">
        <x:v>337.8456731343</x:v>
      </x:c>
      <x:c r="J26" s="31" t="n">
        <x:v>335.0674747273</x:v>
      </x:c>
      <x:c r="K26" s="31" t="n">
        <x:v>2.778198407</x:v>
      </x:c>
      <x:c r="L26" s="31" t="n">
        <x:v>335.0674747273</x:v>
      </x:c>
      <x:c r="M26" s="31" t="n">
        <x:v>2.778198407</x:v>
      </x:c>
      <x:c r="N26" s="24" t="str">
        <x:v>parastromateus niger</x:v>
      </x:c>
      <x:c r="O26" s="32" t="n">
        <x:v>2.93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Parastromateus niger</x:v>
      </x:c>
      <x:c r="T26" s="32" t="n">
        <x:f>IF(O26="","",(1/'Metadata'!$B$5)^(O26-1))</x:f>
        <x:v>85.11380382023768</x:v>
      </x:c>
      <x:c r="U26" s="31" t="n">
        <x:f>IF(T26="","",I26*T26)</x:f>
        <x:v>28755.330344668953</x:v>
      </x:c>
    </x:row>
    <x:row r="27" ht="18" customHeight="1">
      <x:c r="A27" s="24" t="str">
        <x:v>EEZ_357</x:v>
      </x:c>
      <x:c r="B27" s="24" t="str">
        <x:v>Andaman &amp; Nicobar Isl. (India)</x:v>
      </x:c>
      <x:c r="C27" s="24" t="str">
        <x:v>EEZ</x:v>
      </x:c>
      <x:c r="D27" s="30" t="n">
        <x:v>2019</x:v>
      </x:c>
      <x:c r="E27" s="24" t="str">
        <x:v>Auxis thazard</x:v>
      </x:c>
      <x:c r="F27" s="24" t="str">
        <x:v>Frigate tuna</x:v>
      </x:c>
      <x:c r="G27" s="24" t="str">
        <x:v>Medium pelagics (30 - 89 cm)</x:v>
      </x:c>
      <x:c r="H27" s="24" t="str">
        <x:v>Tuna &amp; billfishes</x:v>
      </x:c>
      <x:c r="I27" s="31" t="n">
        <x:v>293.6635900494</x:v>
      </x:c>
      <x:c r="J27" s="31" t="n">
        <x:v>293.6635900494</x:v>
      </x:c>
      <x:c r="K27" s="31" t="n">
        <x:v>0</x:v>
      </x:c>
      <x:c r="L27" s="31" t="n">
        <x:v>293.6635900494</x:v>
      </x:c>
      <x:c r="M27" s="31" t="n">
        <x:v>0</x:v>
      </x:c>
      <x:c r="N27" s="24" t="str">
        <x:v>auxis thazard</x:v>
      </x:c>
      <x:c r="O27" s="32" t="n">
        <x:v>4.37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thazard</x:v>
      </x:c>
      <x:c r="T27" s="32" t="n">
        <x:f>IF(O27="","",(1/'Metadata'!$B$5)^(O27-1))</x:f>
        <x:v>2344.228815319923</x:v>
      </x:c>
      <x:c r="U27" s="31" t="n">
        <x:f>IF(T27="","",I27*T27)</x:f>
        <x:v>688414.6498041005</x:v>
      </x:c>
    </x:row>
    <x:row r="28" ht="18" customHeight="1">
      <x:c r="A28" s="24" t="str">
        <x:v>EEZ_357</x:v>
      </x:c>
      <x:c r="B28" s="24" t="str">
        <x:v>Andaman &amp; Nicobar Isl. (India)</x:v>
      </x:c>
      <x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278.6742999523</x:v>
      </x:c>
      <x:c r="J28" s="31" t="n">
        <x:v>278.6742999523</x:v>
      </x:c>
      <x:c r="K28" s="31" t="n">
        <x:v>0</x:v>
      </x:c>
      <x:c r="L28" s="31" t="n">
        <x:v>0</x:v>
      </x:c>
      <x:c r="M28" s="31" t="n">
        <x:v>278.6742999523</x:v>
      </x:c>
      <x:c r="N28" s="24" t="str">
        <x:v>lutjanus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Lutjanus</x:v>
      </x:c>
      <x:c r="T28" s="32" t="n">
        <x:f>IF(O28="","",(1/'Metadata'!$B$5)^(O28-1))</x:f>
        <x:v>1047.1285480508984</x:v>
      </x:c>
      <x:c r="U28" s="31" t="n">
        <x:f>IF(T28="","",I28*T28)</x:f>
        <x:v>291807.8150881524</x:v>
      </x:c>
    </x:row>
    <x:row r="29" ht="18" customHeight="1">
      <x:c r="A29" s="24" t="str">
        <x:v>EEZ_357</x:v>
      </x:c>
      <x:c r="B29" s="24" t="str">
        <x:v>Andaman &amp; Nicobar Isl. (India)</x:v>
      </x:c>
      <x:c r="C29" s="24" t="str">
        <x:v>EEZ</x:v>
      </x:c>
      <x:c r="D29" s="30" t="n">
        <x:v>2019</x:v>
      </x:c>
      <x:c r="E29" s="24" t="str">
        <x:v>Carcharhinidae</x:v>
      </x:c>
      <x:c r="F29" s="24" t="str">
        <x:v>Requiem sharks</x:v>
      </x:c>
      <x:c r="G29" s="24" t="str">
        <x:v>Large sharks (&gt;=90 cm)</x:v>
      </x:c>
      <x:c r="H29" s="24" t="str">
        <x:v>Sharks &amp; rays</x:v>
      </x:c>
      <x:c r="I29" s="31" t="n">
        <x:v>271.0209458671</x:v>
      </x:c>
      <x:c r="J29" s="31" t="n">
        <x:v>271.0209458671</x:v>
      </x:c>
      <x:c r="K29" s="31" t="n">
        <x:v>0</x:v>
      </x:c>
      <x:c r="L29" s="31" t="n">
        <x:v>0</x:v>
      </x:c>
      <x:c r="M29" s="31" t="n">
        <x:v>271.0209458671</x:v>
      </x:c>
      <x:c r="N29" s="24" t="str">
        <x:v>carcharhinidae</x:v>
      </x:c>
      <x:c r="O29" s="32" t="n">
        <x:v>4.24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Carcharhinidae</x:v>
      </x:c>
      <x:c r="T29" s="32" t="n">
        <x:f>IF(O29="","",(1/'Metadata'!$B$5)^(O29-1))</x:f>
        <x:v>1737.8008287493763</x:v>
      </x:c>
      <x:c r="U29" s="31" t="n">
        <x:f>IF(T29="","",I29*T29)</x:f>
        <x:v>470980.42433628626</x:v>
      </x:c>
    </x:row>
    <x:row r="30" ht="18" customHeight="1">
      <x:c r="A30" s="24" t="str">
        <x:v>EEZ_357</x:v>
      </x:c>
      <x:c r="B30" s="24" t="str">
        <x:v>Andaman &amp; Nicobar Isl. (India)</x:v>
      </x:c>
      <x:c r="C30" s="24" t="str">
        <x:v>EEZ</x:v>
      </x:c>
      <x:c r="D30" s="30" t="n">
        <x:v>2019</x:v>
      </x:c>
      <x:c r="E30" s="24" t="str">
        <x:v>Hemiramphus</x:v>
      </x:c>
      <x:c r="F30" s="24" t="str">
        <x:v>Halfbeaks</x:v>
      </x:c>
      <x:c r="G30" s="24" t="str">
        <x:v>Medium pelagics (30 - 89 cm)</x:v>
      </x:c>
      <x:c r="H30" s="24" t="str">
        <x:v>Other fishes &amp; inverts</x:v>
      </x:c>
      <x:c r="I30" s="31" t="n">
        <x:v>237.4319191949</x:v>
      </x:c>
      <x:c r="J30" s="31" t="n">
        <x:v>237.4319191949</x:v>
      </x:c>
      <x:c r="K30" s="31" t="n">
        <x:v>0</x:v>
      </x:c>
      <x:c r="L30" s="31" t="n">
        <x:v>237.4319191949</x:v>
      </x:c>
      <x:c r="M30" s="31" t="n">
        <x:v>0</x:v>
      </x:c>
      <x:c r="N30" s="24" t="str">
        <x:v>hemiramphus</x:v>
      </x:c>
      <x:c r="O30" s="32" t="n">
        <x:v>3.05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Hemiramphus</x:v>
      </x:c>
      <x:c r="T30" s="32" t="n">
        <x:f>IF(O30="","",(1/'Metadata'!$B$5)^(O30-1))</x:f>
        <x:v>112.2018454301963</x:v>
      </x:c>
      <x:c r="U30" s="31" t="n">
        <x:f>IF(T30="","",I30*T30)</x:f>
        <x:v>26640.299497701028</x:v>
      </x:c>
    </x:row>
    <x:row r="31" ht="18" customHeight="1">
      <x:c r="A31" s="24" t="str">
        <x:v>EEZ_357</x:v>
      </x:c>
      <x:c r="B31" s="24" t="str">
        <x:v>Andaman &amp; Nicobar Isl. (India)</x:v>
      </x:c>
      <x:c r="C31" s="24" t="str">
        <x:v>EEZ</x:v>
      </x:c>
      <x:c r="D31" s="30" t="n">
        <x:v>2019</x:v>
      </x:c>
      <x:c r="E31" s="24" t="str">
        <x:v>Latidae</x:v>
      </x:c>
      <x:c r="F31" s="24" t="str">
        <x:v>Lates perches</x:v>
      </x:c>
      <x:c r="G31" s="24" t="str">
        <x:v>Large demersals (&gt;=90 cm)</x:v>
      </x:c>
      <x:c r="H31" s="24" t="str">
        <x:v>Perch-likes</x:v>
      </x:c>
      <x:c r="I31" s="31" t="n">
        <x:v>222.9394384473</x:v>
      </x:c>
      <x:c r="J31" s="31" t="n">
        <x:v>222.9394384473</x:v>
      </x:c>
      <x:c r="K31" s="31" t="n">
        <x:v>0</x:v>
      </x:c>
      <x:c r="L31" s="31" t="n">
        <x:v>0</x:v>
      </x:c>
      <x:c r="M31" s="31" t="n">
        <x:v>222.9394384473</x:v>
      </x:c>
      <x:c r="N31" s="24" t="str">
        <x:v>latidae</x:v>
      </x:c>
      <x:c r="O31" s="32" t="n">
        <x:v>4.35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Latidae</x:v>
      </x:c>
      <x:c r="T31" s="32" t="n">
        <x:f>IF(O31="","",(1/'Metadata'!$B$5)^(O31-1))</x:f>
        <x:v>2238.7211385683377</x:v>
      </x:c>
      <x:c r="U31" s="31" t="n">
        <x:f>IF(T31="","",I31*T31)</x:f>
        <x:v>499099.2334725253</x:v>
      </x:c>
    </x:row>
    <x:row r="32" ht="18" customHeight="1">
      <x:c r="A32" s="24" t="str">
        <x:v>EEZ_357</x:v>
      </x:c>
      <x:c r="B32" s="24" t="str">
        <x:v>Andaman &amp; Nicobar Isl. (India)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222.9394384473</x:v>
      </x:c>
      <x:c r="J32" s="31" t="n">
        <x:v>222.9394384473</x:v>
      </x:c>
      <x:c r="K32" s="31" t="n">
        <x:v>0</x:v>
      </x:c>
      <x:c r="L32" s="31" t="n">
        <x:v>0</x:v>
      </x:c>
      <x:c r="M32" s="31" t="n">
        <x:v>222.9394384473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154236.40815711798</x:v>
      </x:c>
    </x:row>
    <x:row r="33" ht="18" customHeight="1">
      <x:c r="A33" s="24" t="str">
        <x:v>EEZ_357</x:v>
      </x:c>
      <x:c r="B33" s="24" t="str">
        <x:v>Andaman &amp; Nicobar Isl. (India)</x:v>
      </x:c>
      <x:c r="C33" s="24" t="str">
        <x:v>EEZ</x:v>
      </x:c>
      <x:c r="D33" s="30" t="n">
        <x:v>2019</x:v>
      </x:c>
      <x:c r="E33" s="24" t="str">
        <x:v>Dendrobranchiata</x:v>
      </x:c>
      <x:c r="F33" s="24" t="str">
        <x:v>Shrimps and prawns</x:v>
      </x:c>
      <x:c r="G33" s="24" t="str">
        <x:v>Shrimps</x:v>
      </x:c>
      <x:c r="H33" s="24" t="str">
        <x:v>Crustaceans</x:v>
      </x:c>
      <x:c r="I33" s="31" t="n">
        <x:v>213.5000094732</x:v>
      </x:c>
      <x:c r="J33" s="31" t="n">
        <x:v>213.5000094732</x:v>
      </x:c>
      <x:c r="K33" s="31" t="n">
        <x:v>0</x:v>
      </x:c>
      <x:c r="L33" s="31" t="n">
        <x:v>213.5000094732</x:v>
      </x:c>
      <x:c r="M33" s="31" t="n">
        <x:v>0</x:v>
      </x:c>
      <x:c r="N33" s="24" t="str">
        <x:v>dendrobranchiata</x:v>
      </x:c>
      <x:c r="O33" s="32" t="n">
        <x:v>3.24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Dendrobranchiata</x:v>
      </x:c>
      <x:c r="T33" s="32" t="n">
        <x:f>IF(O33="","",(1/'Metadata'!$B$5)^(O33-1))</x:f>
        <x:v>173.78008287493762</x:v>
      </x:c>
      <x:c r="U33" s="31" t="n">
        <x:f>IF(T33="","",I33*T33)</x:f>
        <x:v>37102.04934005266</x:v>
      </x:c>
    </x:row>
    <x:row r="34" ht="18" customHeight="1">
      <x:c r="A34" s="24" t="str">
        <x:v>EEZ_357</x:v>
      </x:c>
      <x:c r="B34" s="24" t="str">
        <x:v>Andaman &amp; Nicobar Isl. (India)</x:v>
      </x:c>
      <x:c r="C34" s="24" t="str">
        <x:v>EEZ</x:v>
      </x:c>
      <x:c r="D34" s="30" t="n">
        <x:v>2019</x:v>
      </x:c>
      <x:c r="E34" s="24" t="str">
        <x:v>Auxis rochei</x:v>
      </x:c>
      <x:c r="F34" s="24" t="str">
        <x:v>Bullet tuna</x:v>
      </x:c>
      <x:c r="G34" s="24" t="str">
        <x:v>Medium pelagics (30 - 89 cm)</x:v>
      </x:c>
      <x:c r="H34" s="24" t="str">
        <x:v>Tuna &amp; billfishes</x:v>
      </x:c>
      <x:c r="I34" s="31" t="n">
        <x:v>189.76912900029998</x:v>
      </x:c>
      <x:c r="J34" s="31" t="n">
        <x:v>189.76912900029998</x:v>
      </x:c>
      <x:c r="K34" s="31" t="n">
        <x:v>0</x:v>
      </x:c>
      <x:c r="L34" s="31" t="n">
        <x:v>189.76912900029998</x:v>
      </x:c>
      <x:c r="M34" s="31" t="n">
        <x:v>0</x:v>
      </x:c>
      <x:c r="N34" s="24" t="str">
        <x:v>auxis rochei</x:v>
      </x:c>
      <x:c r="O34" s="32" t="n">
        <x:v>4.13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Auxis rochei</x:v>
      </x:c>
      <x:c r="T34" s="32" t="n">
        <x:f>IF(O34="","",(1/'Metadata'!$B$5)^(O34-1))</x:f>
        <x:v>1348.9628825916532</x:v>
      </x:c>
      <x:c r="U34" s="31" t="n">
        <x:f>IF(T34="","",I34*T34)</x:f>
        <x:v>255991.51128315195</x:v>
      </x:c>
    </x:row>
    <x:row r="35" ht="18" customHeight="1">
      <x:c r="A35" s="24" t="str">
        <x:v>EEZ_357</x:v>
      </x:c>
      <x:c r="B35" s="24" t="str">
        <x:v>Andaman &amp; Nicobar Isl. (India)</x:v>
      </x:c>
      <x:c r="C35" s="24" t="str">
        <x:v>EEZ</x:v>
      </x:c>
      <x:c r="D35" s="30" t="n">
        <x:v>2019</x:v>
      </x:c>
      <x:c r="E35" s="24" t="str">
        <x:v>Anodontostoma chacunda</x:v>
      </x:c>
      <x:c r="F35" s="24" t="str">
        <x:v>Chacunda gizzard shad</x:v>
      </x:c>
      <x:c r="G35" s="24" t="str">
        <x:v>Small pelagics (&lt;30 cm)</x:v>
      </x:c>
      <x:c r="H35" s="24" t="str">
        <x:v>Herring-likes</x:v>
      </x:c>
      <x:c r="I35" s="31" t="n">
        <x:v>167.204580685</x:v>
      </x:c>
      <x:c r="J35" s="31" t="n">
        <x:v>167.204580685</x:v>
      </x:c>
      <x:c r="K35" s="31" t="n">
        <x:v>0</x:v>
      </x:c>
      <x:c r="L35" s="31" t="n">
        <x:v>0</x:v>
      </x:c>
      <x:c r="M35" s="31" t="n">
        <x:v>167.204580685</x:v>
      </x:c>
      <x:c r="N35" s="24" t="str">
        <x:v>anodontostoma chacunda</x:v>
      </x:c>
      <x:c r="O35" s="32" t="n">
        <x:v>2.84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Anodontostoma chacunda</x:v>
      </x:c>
      <x:c r="T35" s="32" t="n">
        <x:f>IF(O35="","",(1/'Metadata'!$B$5)^(O35-1))</x:f>
        <x:v>69.18309709189363</x:v>
      </x:c>
      <x:c r="U35" s="31" t="n">
        <x:f>IF(T35="","",I35*T35)</x:f>
        <x:v>11567.730739739716</x:v>
      </x:c>
    </x:row>
    <x:row r="36" ht="18" customHeight="1">
      <x:c r="A36" s="24" t="str">
        <x:v>EEZ_357</x:v>
      </x:c>
      <x:c r="B36" s="24" t="str">
        <x:v>Andaman &amp; Nicobar Isl. (India)</x:v>
      </x:c>
      <x:c r="C36" s="24" t="str">
        <x:v>EEZ</x:v>
      </x:c>
      <x:c r="D36" s="30" t="n">
        <x:v>2019</x:v>
      </x:c>
      <x:c r="E36" s="24" t="str">
        <x:v>Holothuriidae</x:v>
      </x:c>
      <x:c r="F36" s="24" t="str">
        <x:v>Fleshy sea cucumbers</x:v>
      </x:c>
      <x:c r="G36" s="24" t="str">
        <x:v>Other demersal invertebrates</x:v>
      </x:c>
      <x:c r="H36" s="24" t="str">
        <x:v>Other fishes &amp; inverts</x:v>
      </x:c>
      <x:c r="I36" s="31" t="n">
        <x:v>167.204580685</x:v>
      </x:c>
      <x:c r="J36" s="31" t="n">
        <x:v>167.204580685</x:v>
      </x:c>
      <x:c r="K36" s="31" t="n">
        <x:v>0</x:v>
      </x:c>
      <x:c r="L36" s="31" t="n">
        <x:v>0</x:v>
      </x:c>
      <x:c r="M36" s="31" t="n">
        <x:v>167.204580685</x:v>
      </x:c>
      <x:c r="N36" s="24" t="str">
        <x:v>holothuriidae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Holothuriidae</x:v>
      </x:c>
      <x:c r="T36" s="32" t="n">
        <x:f>IF(O36="","",(1/'Metadata'!$B$5)^(O36-1))</x:f>
        <x:v>10</x:v>
      </x:c>
      <x:c r="U36" s="31" t="n">
        <x:f>IF(T36="","",I36*T36)</x:f>
        <x:v>1672.04580685</x:v>
      </x:c>
    </x:row>
    <x:row r="37" ht="18" customHeight="1">
      <x:c r="A37" s="24" t="str">
        <x:v>EEZ_357</x:v>
      </x:c>
      <x:c r="B37" s="24" t="str">
        <x:v>Andaman &amp; Nicobar Isl. (India)</x:v>
      </x:c>
      <x:c r="C37" s="24" t="str">
        <x:v>EEZ</x:v>
      </x:c>
      <x:c r="D37" s="30" t="n">
        <x:v>2019</x:v>
      </x:c>
      <x:c r="E37" s="24" t="str">
        <x:v>Mugil</x:v>
      </x:c>
      <x:c r="F37" s="24" t="str">
        <x:v>Grey mullets</x:v>
      </x:c>
      <x:c r="G37" s="24" t="str">
        <x:v>Medium demersals (30 - 89 cm)</x:v>
      </x:c>
      <x:c r="H37" s="24" t="str">
        <x:v>Perch-likes</x:v>
      </x:c>
      <x:c r="I37" s="31" t="n">
        <x:v>167.204580685</x:v>
      </x:c>
      <x:c r="J37" s="31" t="n">
        <x:v>167.204580685</x:v>
      </x:c>
      <x:c r="K37" s="31" t="n">
        <x:v>0</x:v>
      </x:c>
      <x:c r="L37" s="31" t="n">
        <x:v>0</x:v>
      </x:c>
      <x:c r="M37" s="31" t="n">
        <x:v>167.204580685</x:v>
      </x:c>
      <x:c r="N37" s="24" t="str">
        <x:v>mugil</x:v>
      </x:c>
      <x:c r="O37" s="32" t="n">
        <x:v>2.26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Mugil</x:v>
      </x:c>
      <x:c r="T37" s="32" t="n">
        <x:f>IF(O37="","",(1/'Metadata'!$B$5)^(O37-1))</x:f>
        <x:v>18.197008586099827</x:v>
      </x:c>
      <x:c r="U37" s="31" t="n">
        <x:f>IF(T37="","",I37*T37)</x:f>
        <x:v>3042.623190360166</x:v>
      </x:c>
    </x:row>
    <x:row r="38" ht="18" customHeight="1">
      <x:c r="A38" s="24" t="str">
        <x:v>EEZ_357</x:v>
      </x:c>
      <x:c r="B38" s="24" t="str">
        <x:v>Andaman &amp; Nicobar Isl. (India)</x:v>
      </x:c>
      <x:c r="C38" s="24" t="str">
        <x:v>EEZ</x:v>
      </x:c>
      <x:c r="D38" s="30" t="n">
        <x:v>2019</x:v>
      </x:c>
      <x:c r="E38" s="24" t="str">
        <x:v>Siganidae</x:v>
      </x:c>
      <x:c r="F38" s="24" t="str">
        <x:v>Rabbitfishes</x:v>
      </x:c>
      <x:c r="G38" s="24" t="str">
        <x:v>Medium reef assoc. fish (30 - 89 cm)</x:v>
      </x:c>
      <x:c r="H38" s="24" t="str">
        <x:v>Perch-likes</x:v>
      </x:c>
      <x:c r="I38" s="31" t="n">
        <x:v>167.204580685</x:v>
      </x:c>
      <x:c r="J38" s="31" t="n">
        <x:v>167.204580685</x:v>
      </x:c>
      <x:c r="K38" s="31" t="n">
        <x:v>0</x:v>
      </x:c>
      <x:c r="L38" s="31" t="n">
        <x:v>0</x:v>
      </x:c>
      <x:c r="M38" s="31" t="n">
        <x:v>167.204580685</x:v>
      </x:c>
      <x:c r="N38" s="24" t="str">
        <x:v>siganidae</x:v>
      </x:c>
      <x:c r="O38" s="32" t="n">
        <x:v>2.11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Siganidae</x:v>
      </x:c>
      <x:c r="T38" s="32" t="n">
        <x:f>IF(O38="","",(1/'Metadata'!$B$5)^(O38-1))</x:f>
        <x:v>12.882495516931336</x:v>
      </x:c>
      <x:c r="U38" s="31" t="n">
        <x:f>IF(T38="","",I38*T38)</x:f>
        <x:v>2154.012261084896</x:v>
      </x:c>
    </x:row>
    <x:row r="39" ht="18" customHeight="1">
      <x:c r="A39" s="24" t="str">
        <x:v>EEZ_357</x:v>
      </x:c>
      <x:c r="B39" s="24" t="str">
        <x:v>Andaman &amp; Nicobar Isl. (India)</x:v>
      </x:c>
      <x:c r="C39" s="24" t="str">
        <x:v>EEZ</x:v>
      </x:c>
      <x:c r="D39" s="30" t="n">
        <x:v>2019</x:v>
      </x:c>
      <x:c r="E39" s="24" t="str">
        <x:v>Gerreidae</x:v>
      </x:c>
      <x:c r="F39" s="24" t="str">
        <x:v>Mojarras, silverbellies</x:v>
      </x:c>
      <x:c r="G39" s="24" t="str">
        <x:v>Small benthopelagics (&lt;30 cm)</x:v>
      </x:c>
      <x:c r="H39" s="24" t="str">
        <x:v>Perch-likes</x:v>
      </x:c>
      <x:c r="I39" s="31" t="n">
        <x:v>167.204580685</x:v>
      </x:c>
      <x:c r="J39" s="31" t="n">
        <x:v>167.204580685</x:v>
      </x:c>
      <x:c r="K39" s="31" t="n">
        <x:v>0</x:v>
      </x:c>
      <x:c r="L39" s="31" t="n">
        <x:v>0</x:v>
      </x:c>
      <x:c r="M39" s="31" t="n">
        <x:v>167.204580685</x:v>
      </x:c>
      <x:c r="N39" s="24" t="str">
        <x:v>gerreidae</x:v>
      </x:c>
      <x:c r="O39" s="32" t="n">
        <x:v>3.03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Gerreidae</x:v>
      </x:c>
      <x:c r="T39" s="32" t="n">
        <x:f>IF(O39="","",(1/'Metadata'!$B$5)^(O39-1))</x:f>
        <x:v>107.1519305237606</x:v>
      </x:c>
      <x:c r="U39" s="31" t="n">
        <x:f>IF(T39="","",I39*T39)</x:f>
        <x:v>17916.293612813643</x:v>
      </x:c>
    </x:row>
    <x:row r="40" ht="18" customHeight="1">
      <x:c r="A40" s="24" t="str">
        <x:v>EEZ_357</x:v>
      </x:c>
      <x:c r="B40" s="24" t="str">
        <x:v>Andaman &amp; Nicobar Isl. (India)</x:v>
      </x:c>
      <x:c r="C40" s="24" t="str">
        <x:v>EEZ</x:v>
      </x:c>
      <x:c r="D40" s="30" t="n">
        <x:v>2019</x:v>
      </x:c>
      <x:c r="E40" s="24" t="str">
        <x:v>Holothuria leucospilota</x:v>
      </x:c>
      <x:c r="F40" s="24" t="str">
        <x:v>White threads fish</x:v>
      </x:c>
      <x:c r="G40" s="24" t="str">
        <x:v>Other demersal invertebrates</x:v>
      </x:c>
      <x:c r="H40" s="24" t="str">
        <x:v>Other fishes &amp; inverts</x:v>
      </x:c>
      <x:c r="I40" s="31" t="n">
        <x:v>167.204580685</x:v>
      </x:c>
      <x:c r="J40" s="31" t="n">
        <x:v>167.204580685</x:v>
      </x:c>
      <x:c r="K40" s="31" t="n">
        <x:v>0</x:v>
      </x:c>
      <x:c r="L40" s="31" t="n">
        <x:v>0</x:v>
      </x:c>
      <x:c r="M40" s="31" t="n">
        <x:v>167.204580685</x:v>
      </x:c>
      <x:c r="N40" s="24" t="str">
        <x:v>holothuria leucospilota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Holothuria leucospilota</x:v>
      </x:c>
      <x:c r="T40" s="32" t="n">
        <x:f>IF(O40="","",(1/'Metadata'!$B$5)^(O40-1))</x:f>
        <x:v>10</x:v>
      </x:c>
      <x:c r="U40" s="31" t="n">
        <x:f>IF(T40="","",I40*T40)</x:f>
        <x:v>1672.04580685</x:v>
      </x:c>
    </x:row>
    <x:row r="41" ht="18" customHeight="1">
      <x:c r="A41" s="24" t="str">
        <x:v>EEZ_357</x:v>
      </x:c>
      <x:c r="B41" s="24" t="str">
        <x:v>Andaman &amp; Nicobar Isl. (India)</x:v>
      </x:c>
      <x:c r="C41" s="24" t="str">
        <x:v>EEZ</x:v>
      </x:c>
      <x:c r="D41" s="30" t="n">
        <x:v>2019</x:v>
      </x:c>
      <x:c r="E41" s="24" t="str">
        <x:v>Dussumieria</x:v>
      </x:c>
      <x:c r="F41" s="24" t="str">
        <x:v>Rainbow sardines</x:v>
      </x:c>
      <x:c r="G41" s="24" t="str">
        <x:v>Small pelagics (&lt;30 cm)</x:v>
      </x:c>
      <x:c r="H41" s="24" t="str">
        <x:v>Herring-likes</x:v>
      </x:c>
      <x:c r="I41" s="31" t="n">
        <x:v>167.204580685</x:v>
      </x:c>
      <x:c r="J41" s="31" t="n">
        <x:v>167.204580685</x:v>
      </x:c>
      <x:c r="K41" s="31" t="n">
        <x:v>0</x:v>
      </x:c>
      <x:c r="L41" s="31" t="n">
        <x:v>0</x:v>
      </x:c>
      <x:c r="M41" s="31" t="n">
        <x:v>167.204580685</x:v>
      </x:c>
      <x:c r="N41" s="24" t="str">
        <x:v>dussumieria</x:v>
      </x:c>
      <x:c r="O41" s="32" t="n">
        <x:v>3.4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Dussumieria</x:v>
      </x:c>
      <x:c r="T41" s="32" t="n">
        <x:f>IF(O41="","",(1/'Metadata'!$B$5)^(O41-1))</x:f>
        <x:v>251.18864315095797</x:v>
      </x:c>
      <x:c r="U41" s="31" t="n">
        <x:f>IF(T41="","",I41*T41)</x:f>
        <x:v>41999.89175089003</x:v>
      </x:c>
    </x:row>
    <x:row r="42" ht="18" customHeight="1">
      <x:c r="A42" s="24" t="str">
        <x:v>EEZ_357</x:v>
      </x:c>
      <x:c r="B42" s="24" t="str">
        <x:v>Andaman &amp; Nicobar Isl. (India)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143.1776083384</x:v>
      </x:c>
      <x:c r="J42" s="31" t="n">
        <x:v>143.1776083384</x:v>
      </x:c>
      <x:c r="K42" s="31" t="n">
        <x:v>0</x:v>
      </x:c>
      <x:c r="L42" s="31" t="n">
        <x:v>143.1776083384</x:v>
      </x:c>
      <x:c r="M42" s="31" t="n">
        <x:v>0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368023.1206599556</x:v>
      </x:c>
    </x:row>
    <x:row r="43" ht="18" customHeight="1">
      <x:c r="A43" s="24" t="str">
        <x:v>EEZ_357</x:v>
      </x:c>
      <x:c r="B43" s="24" t="str">
        <x:v>Andaman &amp; Nicobar Isl. (India)</x:v>
      </x:c>
      <x:c r="C43" s="24" t="str">
        <x:v>EEZ</x:v>
      </x:c>
      <x:c r="D43" s="30" t="n">
        <x:v>2019</x:v>
      </x:c>
      <x:c r="E43" s="24" t="str">
        <x:v>Isurus oxyrinchus</x:v>
      </x:c>
      <x:c r="F43" s="24" t="str">
        <x:v>Shortfin mako</x:v>
      </x:c>
      <x:c r="G43" s="24" t="str">
        <x:v>Large sharks (&gt;=90 cm)</x:v>
      </x:c>
      <x:c r="H43" s="24" t="str">
        <x:v>Sharks &amp; rays</x:v>
      </x:c>
      <x:c r="I43" s="31" t="n">
        <x:v>139.88177785780002</x:v>
      </x:c>
      <x:c r="J43" s="31" t="n">
        <x:v>139.88177785780002</x:v>
      </x:c>
      <x:c r="K43" s="31" t="n">
        <x:v>0</x:v>
      </x:c>
      <x:c r="L43" s="31" t="n">
        <x:v>0</x:v>
      </x:c>
      <x:c r="M43" s="31" t="n">
        <x:v>139.88177785780002</x:v>
      </x:c>
      <x:c r="N43" s="24" t="str">
        <x:v>isurus oxyrinchus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Isurus oxyrinchus</x:v>
      </x:c>
      <x:c r="T43" s="32" t="n">
        <x:f>IF(O43="","",(1/'Metadata'!$B$5)^(O43-1))</x:f>
        <x:v>3162.2776601683795</x:v>
      </x:c>
      <x:c r="U43" s="31" t="n">
        <x:f>IF(T43="","",I43*T43)</x:f>
        <x:v>442345.0211843569</x:v>
      </x:c>
    </x:row>
    <x:row r="44" ht="18" customHeight="1">
      <x:c r="A44" s="24" t="str">
        <x:v>EEZ_357</x:v>
      </x:c>
      <x:c r="B44" s="24" t="str">
        <x:v>Andaman &amp; Nicobar Isl. (India)</x:v>
      </x:c>
      <x:c r="C44" s="24" t="str">
        <x:v>EEZ</x:v>
      </x:c>
      <x:c r="D44" s="30" t="n">
        <x:v>2019</x:v>
      </x:c>
      <x:c r="E44" s="24" t="str">
        <x:v>Alopias vulpinus</x:v>
      </x:c>
      <x:c r="F44" s="24" t="str">
        <x:v>Thresher</x:v>
      </x:c>
      <x:c r="G44" s="24" t="str">
        <x:v>Large sharks (&gt;=90 cm)</x:v>
      </x:c>
      <x:c r="H44" s="24" t="str">
        <x:v>Sharks &amp; rays</x:v>
      </x:c>
      <x:c r="I44" s="31" t="n">
        <x:v>139.88177785780002</x:v>
      </x:c>
      <x:c r="J44" s="31" t="n">
        <x:v>139.88177785780002</x:v>
      </x:c>
      <x:c r="K44" s="31" t="n">
        <x:v>0</x:v>
      </x:c>
      <x:c r="L44" s="31" t="n">
        <x:v>0</x:v>
      </x:c>
      <x:c r="M44" s="31" t="n">
        <x:v>139.88177785780002</x:v>
      </x:c>
      <x:c r="N44" s="24" t="str">
        <x:v>alopias vulpinus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Alopias vulpinus</x:v>
      </x:c>
      <x:c r="T44" s="32" t="n">
        <x:f>IF(O44="","",(1/'Metadata'!$B$5)^(O44-1))</x:f>
        <x:v>3162.2776601683795</x:v>
      </x:c>
      <x:c r="U44" s="31" t="n">
        <x:f>IF(T44="","",I44*T44)</x:f>
        <x:v>442345.0211843569</x:v>
      </x:c>
    </x:row>
    <x:row r="45" ht="18" customHeight="1">
      <x:c r="A45" s="24" t="str">
        <x:v>EEZ_357</x:v>
      </x:c>
      <x:c r="B45" s="24" t="str">
        <x:v>Andaman &amp; Nicobar Isl. (India)</x:v>
      </x:c>
      <x:c r="C45" s="24" t="str">
        <x:v>EEZ</x:v>
      </x:c>
      <x:c r="D45" s="30" t="n">
        <x:v>2019</x:v>
      </x:c>
      <x:c r="E45" s="24" t="str">
        <x:v>Sphyrna zygaena</x:v>
      </x:c>
      <x:c r="F45" s="24" t="str">
        <x:v>Smooth hammerhead</x:v>
      </x:c>
      <x:c r="G45" s="24" t="str">
        <x:v>Large sharks (&gt;=90 cm)</x:v>
      </x:c>
      <x:c r="H45" s="24" t="str">
        <x:v>Sharks &amp; rays</x:v>
      </x:c>
      <x:c r="I45" s="31" t="n">
        <x:v>139.88177785780002</x:v>
      </x:c>
      <x:c r="J45" s="31" t="n">
        <x:v>139.88177785780002</x:v>
      </x:c>
      <x:c r="K45" s="31" t="n">
        <x:v>0</x:v>
      </x:c>
      <x:c r="L45" s="31" t="n">
        <x:v>0</x:v>
      </x:c>
      <x:c r="M45" s="31" t="n">
        <x:v>139.88177785780002</x:v>
      </x:c>
      <x:c r="N45" s="24" t="str">
        <x:v>sphyrna zygaena</x:v>
      </x:c>
      <x:c r="O45" s="32" t="n">
        <x:v>4.94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Sphyrna zygaena</x:v>
      </x:c>
      <x:c r="T45" s="32" t="n">
        <x:f>IF(O45="","",(1/'Metadata'!$B$5)^(O45-1))</x:f>
        <x:v>8709.635899560813</x:v>
      </x:c>
      <x:c r="U45" s="31" t="n">
        <x:f>IF(T45="","",I45*T45)</x:f>
        <x:v>1218319.354124686</x:v>
      </x:c>
    </x:row>
    <x:row r="46" ht="18" customHeight="1">
      <x:c r="A46" s="24" t="str">
        <x:v>EEZ_357</x:v>
      </x:c>
      <x:c r="B46" s="24" t="str">
        <x:v>Andaman &amp; Nicobar Isl. (India)</x:v>
      </x:c>
      <x:c r="C46" s="24" t="str">
        <x:v>EEZ</x:v>
      </x:c>
      <x:c r="D46" s="30" t="n">
        <x:v>2019</x:v>
      </x:c>
      <x:c r="E46" s="24" t="str">
        <x:v>Carcharhinus albimarginatus</x:v>
      </x:c>
      <x:c r="F46" s="24" t="str">
        <x:v>Silvertip shark</x:v>
      </x:c>
      <x:c r="G46" s="24" t="str">
        <x:v>Large sharks (&gt;=90 cm)</x:v>
      </x:c>
      <x:c r="H46" s="24" t="str">
        <x:v>Sharks &amp; rays</x:v>
      </x:c>
      <x:c r="I46" s="31" t="n">
        <x:v>139.88177785780002</x:v>
      </x:c>
      <x:c r="J46" s="31" t="n">
        <x:v>139.88177785780002</x:v>
      </x:c>
      <x:c r="K46" s="31" t="n">
        <x:v>0</x:v>
      </x:c>
      <x:c r="L46" s="31" t="n">
        <x:v>0</x:v>
      </x:c>
      <x:c r="M46" s="31" t="n">
        <x:v>139.88177785780002</x:v>
      </x:c>
      <x:c r="N46" s="24" t="str">
        <x:v>carcharhinus albimarginatus</x:v>
      </x:c>
      <x:c r="O46" s="32" t="n">
        <x:v>4.21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albimarginatus</x:v>
      </x:c>
      <x:c r="T46" s="32" t="n">
        <x:f>IF(O46="","",(1/'Metadata'!$B$5)^(O46-1))</x:f>
        <x:v>1621.8100973589299</x:v>
      </x:c>
      <x:c r="U46" s="31" t="n">
        <x:f>IF(T46="","",I46*T46)</x:f>
        <x:v>226861.67976629885</x:v>
      </x:c>
    </x:row>
    <x:row r="47" ht="18" customHeight="1">
      <x:c r="A47" s="24" t="str">
        <x:v>EEZ_357</x:v>
      </x:c>
      <x:c r="B47" s="24" t="str">
        <x:v>Andaman &amp; Nicobar Isl. (India)</x:v>
      </x:c>
      <x:c r="C47" s="24" t="str">
        <x:v>EEZ</x:v>
      </x:c>
      <x:c r="D47" s="30" t="n">
        <x:v>2019</x:v>
      </x:c>
      <x:c r="E47" s="24" t="str">
        <x:v>Carcharhinus amblyrhynchos</x:v>
      </x:c>
      <x:c r="F47" s="24" t="str">
        <x:v>Blacktail reef shark</x:v>
      </x:c>
      <x:c r="G47" s="24" t="str">
        <x:v>Large sharks (&gt;=90 cm)</x:v>
      </x:c>
      <x:c r="H47" s="24" t="str">
        <x:v>Sharks &amp; rays</x:v>
      </x:c>
      <x:c r="I47" s="31" t="n">
        <x:v>139.88177785780002</x:v>
      </x:c>
      <x:c r="J47" s="31" t="n">
        <x:v>139.88177785780002</x:v>
      </x:c>
      <x:c r="K47" s="31" t="n">
        <x:v>0</x:v>
      </x:c>
      <x:c r="L47" s="31" t="n">
        <x:v>0</x:v>
      </x:c>
      <x:c r="M47" s="31" t="n">
        <x:v>139.88177785780002</x:v>
      </x:c>
      <x:c r="N47" s="24" t="str">
        <x:v>carcharhinus amblyrhynchos</x:v>
      </x:c>
      <x:c r="O47" s="32" t="n">
        <x:v>4.11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amblyrhynchos</x:v>
      </x:c>
      <x:c r="T47" s="32" t="n">
        <x:f>IF(O47="","",(1/'Metadata'!$B$5)^(O47-1))</x:f>
        <x:v>1288.249551693135</x:v>
      </x:c>
      <x:c r="U47" s="31" t="n">
        <x:f>IF(T47="","",I47*T47)</x:f>
        <x:v>180202.63761534955</x:v>
      </x:c>
    </x:row>
    <x:row r="48" ht="18" customHeight="1">
      <x:c r="A48" s="24" t="str">
        <x:v>EEZ_357</x:v>
      </x:c>
      <x:c r="B48" s="24" t="str">
        <x:v>Andaman &amp; Nicobar Isl. (India)</x:v>
      </x:c>
      <x:c r="C48" s="24" t="str">
        <x:v>EEZ</x:v>
      </x:c>
      <x:c r="D48" s="30" t="n">
        <x:v>2019</x:v>
      </x:c>
      <x:c r="E48" s="24" t="str">
        <x:v>Alopias pelagicus</x:v>
      </x:c>
      <x:c r="F48" s="24" t="str">
        <x:v>Pelagic thresher</x:v>
      </x:c>
      <x:c r="G48" s="24" t="str">
        <x:v>Large sharks (&gt;=90 cm)</x:v>
      </x:c>
      <x:c r="H48" s="24" t="str">
        <x:v>Sharks &amp; rays</x:v>
      </x:c>
      <x:c r="I48" s="31" t="n">
        <x:v>139.88177785780002</x:v>
      </x:c>
      <x:c r="J48" s="31" t="n">
        <x:v>139.88177785780002</x:v>
      </x:c>
      <x:c r="K48" s="31" t="n">
        <x:v>0</x:v>
      </x:c>
      <x:c r="L48" s="31" t="n">
        <x:v>0</x:v>
      </x:c>
      <x:c r="M48" s="31" t="n">
        <x:v>139.88177785780002</x:v>
      </x:c>
      <x:c r="N48" s="24" t="str">
        <x:v>alopias pelagicus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Alopias pelagicus</x:v>
      </x:c>
      <x:c r="T48" s="32" t="n">
        <x:f>IF(O48="","",(1/'Metadata'!$B$5)^(O48-1))</x:f>
        <x:v>3162.2776601683795</x:v>
      </x:c>
      <x:c r="U48" s="31" t="n">
        <x:f>IF(T48="","",I48*T48)</x:f>
        <x:v>442345.0211843569</x:v>
      </x:c>
    </x:row>
    <x:row r="49" ht="18" customHeight="1">
      <x:c r="A49" s="24" t="str">
        <x:v>EEZ_357</x:v>
      </x:c>
      <x:c r="B49" s="24" t="str">
        <x:v>Andaman &amp; Nicobar Isl. (India)</x:v>
      </x:c>
      <x:c r="C49" s="24" t="str">
        <x:v>EEZ</x:v>
      </x:c>
      <x:c r="D49" s="30" t="n">
        <x:v>2019</x:v>
      </x:c>
      <x:c r="E49" s="24" t="str">
        <x:v>Alopias superciliosus</x:v>
      </x:c>
      <x:c r="F49" s="24" t="str">
        <x:v>Bigeye thresher</x:v>
      </x:c>
      <x:c r="G49" s="24" t="str">
        <x:v>Large sharks (&gt;=90 cm)</x:v>
      </x:c>
      <x:c r="H49" s="24" t="str">
        <x:v>Sharks &amp; rays</x:v>
      </x:c>
      <x:c r="I49" s="31" t="n">
        <x:v>139.88177785780002</x:v>
      </x:c>
      <x:c r="J49" s="31" t="n">
        <x:v>139.88177785780002</x:v>
      </x:c>
      <x:c r="K49" s="31" t="n">
        <x:v>0</x:v>
      </x:c>
      <x:c r="L49" s="31" t="n">
        <x:v>0</x:v>
      </x:c>
      <x:c r="M49" s="31" t="n">
        <x:v>139.88177785780002</x:v>
      </x:c>
      <x:c r="N49" s="24" t="str">
        <x:v>alopias superciliosus</x:v>
      </x:c>
      <x:c r="O49" s="32" t="n">
        <x:v>4.51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Alopias superciliosus</x:v>
      </x:c>
      <x:c r="T49" s="32" t="n">
        <x:f>IF(O49="","",(1/'Metadata'!$B$5)^(O49-1))</x:f>
        <x:v>3235.936569296281</x:v>
      </x:c>
      <x:c r="U49" s="31" t="n">
        <x:f>IF(T49="","",I49*T49)</x:f>
        <x:v>452648.5603482339</x:v>
      </x:c>
    </x:row>
    <x:row r="50" ht="18" customHeight="1">
      <x:c r="A50" s="24" t="str">
        <x:v>EEZ_357</x:v>
      </x:c>
      <x:c r="B50" s="24" t="str">
        <x:v>Andaman &amp; Nicobar Isl. (India)</x:v>
      </x:c>
      <x:c r="C50" s="24" t="str">
        <x:v>EEZ</x:v>
      </x:c>
      <x:c r="D50" s="30" t="n">
        <x:v>2019</x:v>
      </x:c>
      <x:c r="E50" s="24" t="str">
        <x:v>Carcharhinus longimanus</x:v>
      </x:c>
      <x:c r="F50" s="24" t="str">
        <x:v>Oceanic whitetip shark</x:v>
      </x:c>
      <x:c r="G50" s="24" t="str">
        <x:v>Large sharks (&gt;=90 cm)</x:v>
      </x:c>
      <x:c r="H50" s="24" t="str">
        <x:v>Sharks &amp; rays</x:v>
      </x:c>
      <x:c r="I50" s="31" t="n">
        <x:v>139.88177785780002</x:v>
      </x:c>
      <x:c r="J50" s="31" t="n">
        <x:v>139.88177785780002</x:v>
      </x:c>
      <x:c r="K50" s="31" t="n">
        <x:v>0</x:v>
      </x:c>
      <x:c r="L50" s="31" t="n">
        <x:v>0</x:v>
      </x:c>
      <x:c r="M50" s="31" t="n">
        <x:v>139.88177785780002</x:v>
      </x:c>
      <x:c r="N50" s="24" t="str">
        <x:v>carcharhinus longimanus</x:v>
      </x:c>
      <x:c r="O50" s="32" t="n">
        <x:v>4.16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Carcharhinus longimanus</x:v>
      </x:c>
      <x:c r="T50" s="32" t="n">
        <x:f>IF(O50="","",(1/'Metadata'!$B$5)^(O50-1))</x:f>
        <x:v>1445.439770745928</x:v>
      </x:c>
      <x:c r="U50" s="31" t="n">
        <x:f>IF(T50="","",I50*T50)</x:f>
        <x:v>202190.68491831128</x:v>
      </x:c>
    </x:row>
    <x:row r="51" ht="18" customHeight="1">
      <x:c r="A51" s="24" t="str">
        <x:v>EEZ_357</x:v>
      </x:c>
      <x:c r="B51" s="24" t="str">
        <x:v>Andaman &amp; Nicobar Isl. (India)</x:v>
      </x:c>
      <x:c r="C51" s="24" t="str">
        <x:v>EEZ</x:v>
      </x:c>
      <x:c r="D51" s="30" t="n">
        <x:v>2019</x:v>
      </x:c>
      <x:c r="E51" s="24" t="str">
        <x:v>Carcharhinus melanopterus</x:v>
      </x:c>
      <x:c r="F51" s="24" t="str">
        <x:v>Blacktip reef shark</x:v>
      </x:c>
      <x:c r="G51" s="24" t="str">
        <x:v>Large sharks (&gt;=90 cm)</x:v>
      </x:c>
      <x:c r="H51" s="24" t="str">
        <x:v>Sharks &amp; rays</x:v>
      </x:c>
      <x:c r="I51" s="31" t="n">
        <x:v>139.88177785780002</x:v>
      </x:c>
      <x:c r="J51" s="31" t="n">
        <x:v>139.88177785780002</x:v>
      </x:c>
      <x:c r="K51" s="31" t="n">
        <x:v>0</x:v>
      </x:c>
      <x:c r="L51" s="31" t="n">
        <x:v>0</x:v>
      </x:c>
      <x:c r="M51" s="31" t="n">
        <x:v>139.88177785780002</x:v>
      </x:c>
      <x:c r="N51" s="24" t="str">
        <x:v>carcharhinus melanopterus</x:v>
      </x:c>
      <x:c r="O51" s="32" t="n">
        <x:v>3.94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melanopterus</x:v>
      </x:c>
      <x:c r="T51" s="32" t="n">
        <x:f>IF(O51="","",(1/'Metadata'!$B$5)^(O51-1))</x:f>
        <x:v>870.9635899560806</x:v>
      </x:c>
      <x:c r="U51" s="31" t="n">
        <x:f>IF(T51="","",I51*T51)</x:f>
        <x:v>121831.93541246849</x:v>
      </x:c>
    </x:row>
    <x:row r="52" ht="18" customHeight="1">
      <x:c r="A52" s="24" t="str">
        <x:v>EEZ_357</x:v>
      </x:c>
      <x:c r="B52" s="24" t="str">
        <x:v>Andaman &amp; Nicobar Isl. (India)</x:v>
      </x:c>
      <x:c r="C52" s="24" t="str">
        <x:v>EEZ</x:v>
      </x:c>
      <x:c r="D52" s="30" t="n">
        <x:v>2019</x:v>
      </x:c>
      <x:c r="E52" s="24" t="str">
        <x:v>Carcharhinus</x:v>
      </x:c>
      <x:c r="F52" s="24" t="str">
        <x:v>Sharp-nosed sharks</x:v>
      </x:c>
      <x:c r="G52" s="24" t="str">
        <x:v>Large sharks (&gt;=90 cm)</x:v>
      </x:c>
      <x:c r="H52" s="24" t="str">
        <x:v>Sharks &amp; rays</x:v>
      </x:c>
      <x:c r="I52" s="31" t="n">
        <x:v>139.88177785780002</x:v>
      </x:c>
      <x:c r="J52" s="31" t="n">
        <x:v>139.88177785780002</x:v>
      </x:c>
      <x:c r="K52" s="31" t="n">
        <x:v>0</x:v>
      </x:c>
      <x:c r="L52" s="31" t="n">
        <x:v>0</x:v>
      </x:c>
      <x:c r="M52" s="31" t="n">
        <x:v>139.88177785780002</x:v>
      </x:c>
      <x:c r="N52" s="24" t="str">
        <x:v>carcharhinus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Carcharhinus</x:v>
      </x:c>
      <x:c r="T52" s="32" t="n">
        <x:f>IF(O52="","",(1/'Metadata'!$B$5)^(O52-1))</x:f>
        <x:v>1819.7008586099826</x:v>
      </x:c>
      <x:c r="U52" s="31" t="n">
        <x:f>IF(T52="","",I52*T52)</x:f>
        <x:v>254542.99127172955</x:v>
      </x:c>
    </x:row>
    <x:row r="53" ht="18" customHeight="1">
      <x:c r="A53" s="24" t="str">
        <x:v>EEZ_357</x:v>
      </x:c>
      <x:c r="B53" s="24" t="str">
        <x:v>Andaman &amp; Nicobar Isl. (India)</x:v>
      </x:c>
      <x:c r="C53" s="24" t="str">
        <x:v>EEZ</x:v>
      </x:c>
      <x:c r="D53" s="30" t="n">
        <x:v>2019</x:v>
      </x:c>
      <x:c r="E53" s="24" t="str">
        <x:v>Carcharhinus limbatus</x:v>
      </x:c>
      <x:c r="F53" s="24" t="str">
        <x:v>Blacktip shark</x:v>
      </x:c>
      <x:c r="G53" s="24" t="str">
        <x:v>Large sharks (&gt;=90 cm)</x:v>
      </x:c>
      <x:c r="H53" s="24" t="str">
        <x:v>Sharks &amp; rays</x:v>
      </x:c>
      <x:c r="I53" s="31" t="n">
        <x:v>139.88177785780002</x:v>
      </x:c>
      <x:c r="J53" s="31" t="n">
        <x:v>139.88177785780002</x:v>
      </x:c>
      <x:c r="K53" s="31" t="n">
        <x:v>0</x:v>
      </x:c>
      <x:c r="L53" s="31" t="n">
        <x:v>0</x:v>
      </x:c>
      <x:c r="M53" s="31" t="n">
        <x:v>139.88177785780002</x:v>
      </x:c>
      <x:c r="N53" s="24" t="str">
        <x:v>carcharhinus limbatus</x:v>
      </x:c>
      <x:c r="O53" s="32" t="n">
        <x:v>4.37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Carcharhinus limbatus</x:v>
      </x:c>
      <x:c r="T53" s="32" t="n">
        <x:f>IF(O53="","",(1/'Metadata'!$B$5)^(O53-1))</x:f>
        <x:v>2344.228815319923</x:v>
      </x:c>
      <x:c r="U53" s="31" t="n">
        <x:f>IF(T53="","",I53*T53)</x:f>
        <x:v>327914.89439243515</x:v>
      </x:c>
    </x:row>
    <x:row r="54" ht="18" customHeight="1">
      <x:c r="A54" s="24" t="str">
        <x:v>EEZ_357</x:v>
      </x:c>
      <x:c r="B54" s="24" t="str">
        <x:v>Andaman &amp; Nicobar Isl. (India)</x:v>
      </x:c>
      <x:c r="C54" s="24" t="str">
        <x:v>EEZ</x:v>
      </x:c>
      <x:c r="D54" s="30" t="n">
        <x:v>2019</x:v>
      </x:c>
      <x:c r="E54" s="24" t="str">
        <x:v>Carcharhinus sorrah</x:v>
      </x:c>
      <x:c r="F54" s="24" t="str">
        <x:v>Spottail shark</x:v>
      </x:c>
      <x:c r="G54" s="24" t="str">
        <x:v>Large sharks (&gt;=90 cm)</x:v>
      </x:c>
      <x:c r="H54" s="24" t="str">
        <x:v>Sharks &amp; rays</x:v>
      </x:c>
      <x:c r="I54" s="31" t="n">
        <x:v>139.88177785780002</x:v>
      </x:c>
      <x:c r="J54" s="31" t="n">
        <x:v>139.88177785780002</x:v>
      </x:c>
      <x:c r="K54" s="31" t="n">
        <x:v>0</x:v>
      </x:c>
      <x:c r="L54" s="31" t="n">
        <x:v>0</x:v>
      </x:c>
      <x:c r="M54" s="31" t="n">
        <x:v>139.88177785780002</x:v>
      </x:c>
      <x:c r="N54" s="24" t="str">
        <x:v>carcharhinus sorrah</x:v>
      </x:c>
      <x:c r="O54" s="32" t="n">
        <x:v>4.15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Carcharhinus sorrah</x:v>
      </x:c>
      <x:c r="T54" s="32" t="n">
        <x:f>IF(O54="","",(1/'Metadata'!$B$5)^(O54-1))</x:f>
        <x:v>1412.5375446227554</x:v>
      </x:c>
      <x:c r="U54" s="31" t="n">
        <x:f>IF(T54="","",I54*T54)</x:f>
        <x:v>197588.26303272255</x:v>
      </x:c>
    </x:row>
    <x:row r="55" ht="18" customHeight="1">
      <x:c r="A55" s="24" t="str">
        <x:v>EEZ_357</x:v>
      </x:c>
      <x:c r="B55" s="24" t="str">
        <x:v>Andaman &amp; Nicobar Isl. (India)</x:v>
      </x:c>
      <x:c r="C55" s="24" t="str">
        <x:v>EEZ</x:v>
      </x:c>
      <x:c r="D55" s="30" t="n">
        <x:v>2019</x:v>
      </x:c>
      <x:c r="E55" s="24" t="str">
        <x:v>Sphyrna mokarran</x:v>
      </x:c>
      <x:c r="F55" s="24" t="str">
        <x:v>Great hammerhead</x:v>
      </x:c>
      <x:c r="G55" s="24" t="str">
        <x:v>Large sharks (&gt;=90 cm)</x:v>
      </x:c>
      <x:c r="H55" s="24" t="str">
        <x:v>Sharks &amp; rays</x:v>
      </x:c>
      <x:c r="I55" s="31" t="n">
        <x:v>135.5104729578</x:v>
      </x:c>
      <x:c r="J55" s="31" t="n">
        <x:v>135.5104729578</x:v>
      </x:c>
      <x:c r="K55" s="31" t="n">
        <x:v>0</x:v>
      </x:c>
      <x:c r="L55" s="31" t="n">
        <x:v>0</x:v>
      </x:c>
      <x:c r="M55" s="31" t="n">
        <x:v>135.5104729578</x:v>
      </x:c>
      <x:c r="N55" s="24" t="str">
        <x:v>sphyrna mokarran</x:v>
      </x:c>
      <x:c r="O55" s="32" t="n">
        <x:v>4.32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Sphyrna mokarran</x:v>
      </x:c>
      <x:c r="T55" s="32" t="n">
        <x:f>IF(O55="","",(1/'Metadata'!$B$5)^(O55-1))</x:f>
        <x:v>2089.2961308540407</x:v>
      </x:c>
      <x:c r="U55" s="31" t="n">
        <x:f>IF(T55="","",I55*T55)</x:f>
        <x:v>283121.50684093265</x:v>
      </x:c>
    </x:row>
    <x:row r="56" ht="18" customHeight="1">
      <x:c r="A56" s="24" t="str">
        <x:v>EEZ_357</x:v>
      </x:c>
      <x:c r="B56" s="24" t="str">
        <x:v>Andaman &amp; Nicobar Isl. (India)</x:v>
      </x:c>
      <x:c r="C56" s="24" t="str">
        <x:v>EEZ</x:v>
      </x:c>
      <x:c r="D56" s="30" t="n">
        <x:v>2019</x:v>
      </x:c>
      <x:c r="E56" s="24" t="str">
        <x:v>Galeocerdo cuvier</x:v>
      </x:c>
      <x:c r="F56" s="24" t="str">
        <x:v>Tiger shark</x:v>
      </x:c>
      <x:c r="G56" s="24" t="str">
        <x:v>Large sharks (&gt;=90 cm)</x:v>
      </x:c>
      <x:c r="H56" s="24" t="str">
        <x:v>Sharks &amp; rays</x:v>
      </x:c>
      <x:c r="I56" s="31" t="n">
        <x:v>135.5104729578</x:v>
      </x:c>
      <x:c r="J56" s="31" t="n">
        <x:v>135.5104729578</x:v>
      </x:c>
      <x:c r="K56" s="31" t="n">
        <x:v>0</x:v>
      </x:c>
      <x:c r="L56" s="31" t="n">
        <x:v>0</x:v>
      </x:c>
      <x:c r="M56" s="31" t="n">
        <x:v>135.5104729578</x:v>
      </x:c>
      <x:c r="N56" s="24" t="str">
        <x:v>galeocerdo cuvier</x:v>
      </x:c>
      <x:c r="O56" s="32" t="n">
        <x:v>4.54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Galeocerdo cuvier</x:v>
      </x:c>
      <x:c r="T56" s="32" t="n">
        <x:f>IF(O56="","",(1/'Metadata'!$B$5)^(O56-1))</x:f>
        <x:v>3467.368504525317</x:v>
      </x:c>
      <x:c r="U56" s="31" t="n">
        <x:f>IF(T56="","",I56*T56)</x:f>
        <x:v>469864.7459672054</x:v>
      </x:c>
    </x:row>
    <x:row r="57" ht="18" customHeight="1">
      <x:c r="A57" s="24" t="str">
        <x:v>EEZ_357</x:v>
      </x:c>
      <x:c r="B57" s="24" t="str">
        <x:v>Andaman &amp; Nicobar Isl. (India)</x:v>
      </x:c>
      <x:c r="C57" s="24" t="str">
        <x:v>EEZ</x:v>
      </x:c>
      <x:c r="D57" s="30" t="n">
        <x:v>2019</x:v>
      </x:c>
      <x:c r="E57" s="24" t="str">
        <x:v>Sphyrna lewini</x:v>
      </x:c>
      <x:c r="F57" s="24" t="str">
        <x:v>Scalloped hammerhead</x:v>
      </x:c>
      <x:c r="G57" s="24" t="str">
        <x:v>Large sharks (&gt;=90 cm)</x:v>
      </x:c>
      <x:c r="H57" s="24" t="str">
        <x:v>Sharks &amp; rays</x:v>
      </x:c>
      <x:c r="I57" s="31" t="n">
        <x:v>135.5104729578</x:v>
      </x:c>
      <x:c r="J57" s="31" t="n">
        <x:v>135.5104729578</x:v>
      </x:c>
      <x:c r="K57" s="31" t="n">
        <x:v>0</x:v>
      </x:c>
      <x:c r="L57" s="31" t="n">
        <x:v>0</x:v>
      </x:c>
      <x:c r="M57" s="31" t="n">
        <x:v>135.5104729578</x:v>
      </x:c>
      <x:c r="N57" s="24" t="str">
        <x:v>sphyrna lewini</x:v>
      </x:c>
      <x:c r="O57" s="32" t="n">
        <x:v>4.08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Sphyrna lewini</x:v>
      </x:c>
      <x:c r="T57" s="32" t="n">
        <x:f>IF(O57="","",(1/'Metadata'!$B$5)^(O57-1))</x:f>
        <x:v>1202.2644346174131</x:v>
      </x:c>
      <x:c r="U57" s="31" t="n">
        <x:f>IF(T57="","",I57*T57)</x:f>
        <x:v>162919.42215534768</x:v>
      </x:c>
    </x:row>
    <x:row r="58" ht="18" customHeight="1">
      <x:c r="A58" s="24" t="str">
        <x:v>EEZ_357</x:v>
      </x:c>
      <x:c r="B58" s="24" t="str">
        <x:v>Andaman &amp; Nicobar Isl. (India)</x:v>
      </x:c>
      <x:c r="C58" s="24" t="str">
        <x:v>EEZ</x:v>
      </x:c>
      <x:c r="D58" s="30" t="n">
        <x:v>2019</x:v>
      </x:c>
      <x:c r="E58" s="24" t="str">
        <x:v>Istiophorus platypterus</x:v>
      </x:c>
      <x:c r="F58" s="24" t="str">
        <x:v>Indo-Pacific sailfish</x:v>
      </x:c>
      <x:c r="G58" s="24" t="str">
        <x:v>Large pelagics (&gt;=90 cm)</x:v>
      </x:c>
      <x:c r="H58" s="24" t="str">
        <x:v>Tuna &amp; billfishes</x:v>
      </x:c>
      <x:c r="I58" s="31" t="n">
        <x:v>131.1392280053</x:v>
      </x:c>
      <x:c r="J58" s="31" t="n">
        <x:v>131.1392280053</x:v>
      </x:c>
      <x:c r="K58" s="31" t="n">
        <x:v>0</x:v>
      </x:c>
      <x:c r="L58" s="31" t="n">
        <x:v>0.0000609298</x:v>
      </x:c>
      <x:c r="M58" s="31" t="n">
        <x:v>131.13916707549998</x:v>
      </x:c>
      <x:c r="N58" s="24" t="str">
        <x:v>istiophorus platypterus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Istiophorus platypterus</x:v>
      </x:c>
      <x:c r="T58" s="32" t="n">
        <x:f>IF(O58="","",(1/'Metadata'!$B$5)^(O58-1))</x:f>
        <x:v>3162.2776601683795</x:v>
      </x:c>
      <x:c r="U58" s="31" t="n">
        <x:f>IF(T58="","",I58*T58)</x:f>
        <x:v>414698.6510928877</x:v>
      </x:c>
    </x:row>
    <x:row r="59" ht="18" customHeight="1">
      <x:c r="A59" s="24" t="str">
        <x:v>EEZ_357</x:v>
      </x:c>
      <x:c r="B59" s="24" t="str">
        <x:v>Andaman &amp; Nicobar Isl. (India)</x:v>
      </x:c>
      <x:c r="C59" s="24" t="str">
        <x:v>EEZ</x:v>
      </x:c>
      <x:c r="D59" s="30" t="n">
        <x:v>2019</x:v>
      </x:c>
      <x:c r="E59" s="24" t="str">
        <x:v>Mullidae</x:v>
      </x:c>
      <x:c r="F59" s="24" t="str">
        <x:v>Goatfishes</x:v>
      </x:c>
      <x:c r="G59" s="24" t="str">
        <x:v>Medium reef assoc. fish (30 - 89 cm)</x:v>
      </x:c>
      <x:c r="H59" s="24" t="str">
        <x:v>Perch-likes</x:v>
      </x:c>
      <x:c r="I59" s="31" t="n">
        <x:v>120.4574948821</x:v>
      </x:c>
      <x:c r="J59" s="31" t="n">
        <x:v>120.3456788461</x:v>
      </x:c>
      <x:c r="K59" s="31" t="n">
        <x:v>0.11181603600000001</x:v>
      </x:c>
      <x:c r="L59" s="31" t="n">
        <x:v>8.8759595955</x:v>
      </x:c>
      <x:c r="M59" s="31" t="n">
        <x:v>111.58153528659999</x:v>
      </x:c>
      <x:c r="N59" s="24" t="str">
        <x:v>mullidae</x:v>
      </x:c>
      <x:c r="O59" s="32" t="n">
        <x:v>3.46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Mullidae</x:v>
      </x:c>
      <x:c r="T59" s="32" t="n">
        <x:f>IF(O59="","",(1/'Metadata'!$B$5)^(O59-1))</x:f>
        <x:v>288.40315031266056</x:v>
      </x:c>
      <x:c r="U59" s="31" t="n">
        <x:f>IF(T59="","",I59*T59)</x:f>
        <x:v>34740.321002768826</x:v>
      </x:c>
    </x:row>
    <x:row r="60" ht="18" customHeight="1">
      <x:c r="A60" s="24" t="str">
        <x:v>EEZ_357</x:v>
      </x:c>
      <x:c r="B60" s="24" t="str">
        <x:v>Andaman &amp; Nicobar Isl. (India)</x:v>
      </x:c>
      <x:c r="C60" s="24" t="str">
        <x:v>EEZ</x:v>
      </x:c>
      <x:c r="D60" s="30" t="n">
        <x:v>2019</x:v>
      </x:c>
      <x:c r="E60" s="24" t="str">
        <x:v>Sciaenidae</x:v>
      </x:c>
      <x:c r="F60" s="24" t="str">
        <x:v>Drums, croakers</x:v>
      </x:c>
      <x:c r="G60" s="24" t="str">
        <x:v>Medium demersals (30 - 89 cm)</x:v>
      </x:c>
      <x:c r="H60" s="24" t="str">
        <x:v>Perch-likes</x:v>
      </x:c>
      <x:c r="I60" s="31" t="n">
        <x:v>119.13341826359999</x:v>
      </x:c>
      <x:c r="J60" s="31" t="n">
        <x:v>111.4697192506</x:v>
      </x:c>
      <x:c r="K60" s="31" t="n">
        <x:v>7.663699013</x:v>
      </x:c>
      <x:c r="L60" s="31" t="n">
        <x:v>0</x:v>
      </x:c>
      <x:c r="M60" s="31" t="n">
        <x:v>119.13341826359999</x:v>
      </x:c>
      <x:c r="N60" s="24" t="str">
        <x:v>sciaenidae</x:v>
      </x:c>
      <x:c r="O60" s="32" t="n">
        <x:v>3.76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Sciaenidae</x:v>
      </x:c>
      <x:c r="T60" s="32" t="n">
        <x:f>IF(O60="","",(1/'Metadata'!$B$5)^(O60-1))</x:f>
        <x:v>575.4399373371566</x:v>
      </x:c>
      <x:c r="U60" s="31" t="n">
        <x:f>IF(T60="","",I60*T60)</x:f>
        <x:v>68554.12674036725</x:v>
      </x:c>
    </x:row>
    <x:row r="61" ht="18" customHeight="1">
      <x:c r="A61" s="24" t="str">
        <x:v>EEZ_357</x:v>
      </x:c>
      <x:c r="B61" s="24" t="str">
        <x:v>Andaman &amp; Nicobar Isl. (India)</x:v>
      </x:c>
      <x:c r="C61" s="24" t="str">
        <x:v>EEZ</x:v>
      </x:c>
      <x:c r="D61" s="30" t="n">
        <x:v>2019</x:v>
      </x:c>
      <x:c r="E61" s="24" t="str">
        <x:v>Muraenesocidae</x:v>
      </x:c>
      <x:c r="F61" s="24" t="str">
        <x:v>Pike congers</x:v>
      </x:c>
      <x:c r="G61" s="24" t="str">
        <x:v>Large demersals (&gt;=90 cm)</x:v>
      </x:c>
      <x:c r="H61" s="24" t="str">
        <x:v>Other fishes &amp; inverts</x:v>
      </x:c>
      <x:c r="I61" s="31" t="n">
        <x:v>111.4769831906</x:v>
      </x:c>
      <x:c r="J61" s="31" t="n">
        <x:v>111.4697192506</x:v>
      </x:c>
      <x:c r="K61" s="31" t="n">
        <x:v>0.00726394</x:v>
      </x:c>
      <x:c r="L61" s="31" t="n">
        <x:v>0</x:v>
      </x:c>
      <x:c r="M61" s="31" t="n">
        <x:v>111.4769831906</x:v>
      </x:c>
      <x:c r="N61" s="24" t="str">
        <x:v>muraenesocidae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Muraenesocidae</x:v>
      </x:c>
      <x:c r="T61" s="32" t="n">
        <x:f>IF(O61="","",(1/'Metadata'!$B$5)^(O61-1))</x:f>
        <x:v>794.3282347242813</x:v>
      </x:c>
      <x:c r="U61" s="31" t="n">
        <x:f>IF(T61="","",I61*T61)</x:f>
        <x:v>88549.31527017767</x:v>
      </x:c>
    </x:row>
    <x:row r="62" ht="18" customHeight="1">
      <x:c r="A62" s="24" t="str">
        <x:v>EEZ_357</x:v>
      </x:c>
      <x:c r="B62" s="24" t="str">
        <x:v>Andaman &amp; Nicobar Isl. (India)</x:v>
      </x:c>
      <x:c r="C62" s="24" t="str">
        <x:v>EEZ</x:v>
      </x:c>
      <x:c r="D62" s="30" t="n">
        <x:v>2019</x:v>
      </x:c>
      <x:c r="E62" s="24" t="str">
        <x:v>Lethrinidae</x:v>
      </x:c>
      <x:c r="F62" s="24" t="str">
        <x:v>Emperors, scavengers</x:v>
      </x:c>
      <x:c r="G62" s="24" t="str">
        <x:v>Medium reef assoc. fish (30 - 89 cm)</x:v>
      </x:c>
      <x:c r="H62" s="24" t="str">
        <x:v>Perch-likes</x:v>
      </x:c>
      <x:c r="I62" s="31" t="n">
        <x:v>111.4697192506</x:v>
      </x:c>
      <x:c r="J62" s="31" t="n">
        <x:v>111.4697192506</x:v>
      </x:c>
      <x:c r="K62" s="31" t="n">
        <x:v>0</x:v>
      </x:c>
      <x:c r="L62" s="31" t="n">
        <x:v>0</x:v>
      </x:c>
      <x:c r="M62" s="31" t="n">
        <x:v>111.4697192506</x:v>
      </x:c>
      <x:c r="N62" s="24" t="str">
        <x:v>lethrinidae</x:v>
      </x:c>
      <x:c r="O62" s="32" t="n">
        <x:v>3.59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Lethrinidae</x:v>
      </x:c>
      <x:c r="T62" s="32" t="n">
        <x:f>IF(O62="","",(1/'Metadata'!$B$5)^(O62-1))</x:f>
        <x:v>389.04514499428046</x:v>
      </x:c>
      <x:c r="U62" s="31" t="n">
        <x:f>IF(T62="","",I62*T62)</x:f>
        <x:v>43366.75308832141</x:v>
      </x:c>
    </x:row>
    <x:row r="63" ht="18" customHeight="1">
      <x:c r="A63" s="24" t="str">
        <x:v>EEZ_357</x:v>
      </x:c>
      <x:c r="B63" s="24" t="str">
        <x:v>Andaman &amp; Nicobar Isl. (India)</x:v>
      </x:c>
      <x:c r="C63" s="24" t="str">
        <x:v>EEZ</x:v>
      </x:c>
      <x:c r="D63" s="30" t="n">
        <x:v>2019</x:v>
      </x:c>
      <x:c r="E63" s="24" t="str">
        <x:v>Haemulidae</x:v>
      </x:c>
      <x:c r="F63" s="24" t="str">
        <x:v>Grunts, sweetlips, bonnetmouths</x:v>
      </x:c>
      <x:c r="G63" s="24" t="str">
        <x:v>Medium demersals (30 - 89 cm)</x:v>
      </x:c>
      <x:c r="H63" s="24" t="str">
        <x:v>Perch-likes</x:v>
      </x:c>
      <x:c r="I63" s="31" t="n">
        <x:v>111.4697192506</x:v>
      </x:c>
      <x:c r="J63" s="31" t="n">
        <x:v>111.4697192506</x:v>
      </x:c>
      <x:c r="K63" s="31" t="n">
        <x:v>0</x:v>
      </x:c>
      <x:c r="L63" s="31" t="n">
        <x:v>0</x:v>
      </x:c>
      <x:c r="M63" s="31" t="n">
        <x:v>111.4697192506</x:v>
      </x:c>
      <x:c r="N63" s="24" t="str">
        <x:v>haemulidae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Haemulidae</x:v>
      </x:c>
      <x:c r="T63" s="32" t="n">
        <x:f>IF(O63="","",(1/'Metadata'!$B$5)^(O63-1))</x:f>
        <x:v>229.08676527677724</x:v>
      </x:c>
      <x:c r="U63" s="31" t="n">
        <x:f>IF(T63="","",I63*T63)</x:f>
        <x:v>25536.237409430458</x:v>
      </x:c>
    </x:row>
    <x:row r="64" ht="18" customHeight="1">
      <x:c r="A64" s="24" t="str">
        <x:v>EEZ_357</x:v>
      </x:c>
      <x:c r="B64" s="24" t="str">
        <x:v>Andaman &amp; Nicobar Isl. (India)</x:v>
      </x:c>
      <x:c r="C64" s="24" t="str">
        <x:v>EEZ</x:v>
      </x:c>
      <x:c r="D64" s="30" t="n">
        <x:v>2019</x:v>
      </x:c>
      <x:c r="E64" s="24" t="str">
        <x:v>Bivalvia</x:v>
      </x:c>
      <x:c r="F64" s="24" t="str">
        <x:v>Clams</x:v>
      </x:c>
      <x:c r="G64" s="24" t="str">
        <x:v>Other demersal invertebrates</x:v>
      </x:c>
      <x:c r="H64" s="24" t="str">
        <x:v>Molluscs</x:v>
      </x:c>
      <x:c r="I64" s="31" t="n">
        <x:v>111.4697192506</x:v>
      </x:c>
      <x:c r="J64" s="31" t="n">
        <x:v>111.4697192506</x:v>
      </x:c>
      <x:c r="K64" s="31" t="n">
        <x:v>0</x:v>
      </x:c>
      <x:c r="L64" s="31" t="n">
        <x:v>0</x:v>
      </x:c>
      <x:c r="M64" s="31" t="n">
        <x:v>111.4697192506</x:v>
      </x:c>
      <x:c r="N64" s="24" t="str">
        <x:v>bivalvia</x:v>
      </x:c>
      <x:c r="O64" s="32" t="n">
        <x:v>2.23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Bivalvia</x:v>
      </x:c>
      <x:c r="T64" s="32" t="n">
        <x:f>IF(O64="","",(1/'Metadata'!$B$5)^(O64-1))</x:f>
        <x:v>16.982436524617444</x:v>
      </x:c>
      <x:c r="U64" s="31" t="n">
        <x:f>IF(T64="","",I64*T64)</x:f>
        <x:v>1893.0274315902416</x:v>
      </x:c>
    </x:row>
    <x:row r="65" ht="18" customHeight="1">
      <x:c r="A65" s="24" t="str">
        <x:v>EEZ_357</x:v>
      </x:c>
      <x:c r="B65" s="24" t="str">
        <x:v>Andaman &amp; Nicobar Isl. (India)</x:v>
      </x:c>
      <x:c r="C65" s="24" t="str">
        <x:v>EEZ</x:v>
      </x:c>
      <x:c r="D65" s="30" t="n">
        <x:v>2019</x:v>
      </x:c>
      <x:c r="E65" s="24" t="str">
        <x:v>Chanos chanos</x:v>
      </x:c>
      <x:c r="F65" s="24" t="str">
        <x:v>Milkfish</x:v>
      </x:c>
      <x:c r="G65" s="24" t="str">
        <x:v>Large benthopelagics (&gt;=90 cm)</x:v>
      </x:c>
      <x:c r="H65" s="24" t="str">
        <x:v>Other fishes &amp; inverts</x:v>
      </x:c>
      <x:c r="I65" s="31" t="n">
        <x:v>111.4697192506</x:v>
      </x:c>
      <x:c r="J65" s="31" t="n">
        <x:v>111.4697192506</x:v>
      </x:c>
      <x:c r="K65" s="31" t="n">
        <x:v>0</x:v>
      </x:c>
      <x:c r="L65" s="31" t="n">
        <x:v>0</x:v>
      </x:c>
      <x:c r="M65" s="31" t="n">
        <x:v>111.4697192506</x:v>
      </x:c>
      <x:c r="N65" s="24" t="str">
        <x:v>chanos chanos</x:v>
      </x:c>
      <x:c r="O65" s="32" t="n">
        <x:v>2.03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Chanos chanos</x:v>
      </x:c>
      <x:c r="T65" s="32" t="n">
        <x:f>IF(O65="","",(1/'Metadata'!$B$5)^(O65-1))</x:f>
        <x:v>10.71519305237606</x:v>
      </x:c>
      <x:c r="U65" s="31" t="n">
        <x:f>IF(T65="","",I65*T65)</x:f>
        <x:v>1194.419561264339</x:v>
      </x:c>
    </x:row>
    <x:row r="66" ht="18" customHeight="1">
      <x:c r="A66" s="24" t="str">
        <x:v>EEZ_357</x:v>
      </x:c>
      <x:c r="B66" s="24" t="str">
        <x:v>Andaman &amp; Nicobar Isl. (India)</x:v>
      </x:c>
      <x:c r="C66" s="24" t="str">
        <x:v>EEZ</x:v>
      </x:c>
      <x:c r="D66" s="30" t="n">
        <x:v>2019</x:v>
      </x:c>
      <x:c r="E66" s="24" t="str">
        <x:v>Acanthuridae</x:v>
      </x:c>
      <x:c r="F66" s="24" t="str">
        <x:v>Surgeons, tangs, unicornfishes</x:v>
      </x:c>
      <x:c r="G66" s="24" t="str">
        <x:v>Small reef assoc. fish (&lt;30 cm)</x:v>
      </x:c>
      <x:c r="H66" s="24" t="str">
        <x:v>Perch-likes</x:v>
      </x:c>
      <x:c r="I66" s="31" t="n">
        <x:v>111.4697192506</x:v>
      </x:c>
      <x:c r="J66" s="31" t="n">
        <x:v>111.4697192506</x:v>
      </x:c>
      <x:c r="K66" s="31" t="n">
        <x:v>0</x:v>
      </x:c>
      <x:c r="L66" s="31" t="n">
        <x:v>0</x:v>
      </x:c>
      <x:c r="M66" s="31" t="n">
        <x:v>111.4697192506</x:v>
      </x:c>
      <x:c r="N66" s="24" t="str">
        <x:v>acanthuridae</x:v>
      </x:c>
      <x:c r="O66" s="32" t="n">
        <x:v>2.28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Acanthuridae</x:v>
      </x:c>
      <x:c r="T66" s="32" t="n">
        <x:f>IF(O66="","",(1/'Metadata'!$B$5)^(O66-1))</x:f>
        <x:v>19.054607179632463</x:v>
      </x:c>
      <x:c r="U66" s="31" t="n">
        <x:f>IF(T66="","",I66*T66)</x:f>
        <x:v>2124.0117127440976</x:v>
      </x:c>
    </x:row>
    <x:row r="67" ht="18" customHeight="1">
      <x:c r="A67" s="24" t="str">
        <x:v>EEZ_357</x:v>
      </x:c>
      <x:c r="B67" s="24" t="str">
        <x:v>Andaman &amp; Nicobar Isl. (India)</x:v>
      </x:c>
      <x:c r="C67" s="24" t="str">
        <x:v>EEZ</x:v>
      </x:c>
      <x:c r="D67" s="30" t="n">
        <x:v>2019</x:v>
      </x:c>
      <x:c r="E67" s="24" t="str">
        <x:v>Tridacna</x:v>
      </x:c>
      <x:c r="F67" s="24" t="str">
        <x:v>Tridacnid clams</x:v>
      </x:c>
      <x:c r="G67" s="24" t="str">
        <x:v>Other demersal invertebrates</x:v>
      </x:c>
      <x:c r="H67" s="24" t="str">
        <x:v>Molluscs</x:v>
      </x:c>
      <x:c r="I67" s="31" t="n">
        <x:v>111.4697192506</x:v>
      </x:c>
      <x:c r="J67" s="31" t="n">
        <x:v>111.4697192506</x:v>
      </x:c>
      <x:c r="K67" s="31" t="n">
        <x:v>0</x:v>
      </x:c>
      <x:c r="L67" s="31" t="n">
        <x:v>0</x:v>
      </x:c>
      <x:c r="M67" s="31" t="n">
        <x:v>111.4697192506</x:v>
      </x:c>
      <x:c r="N67" s="24" t="str">
        <x:v>tridacna</x:v>
      </x:c>
      <x:c r="O67" s="32" t="n">
        <x:v>2.12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Tridacna</x:v>
      </x:c>
      <x:c r="T67" s="32" t="n">
        <x:f>IF(O67="","",(1/'Metadata'!$B$5)^(O67-1))</x:f>
        <x:v>13.182567385564074</x:v>
      </x:c>
      <x:c r="U67" s="31" t="n">
        <x:f>IF(T67="","",I67*T67)</x:f>
        <x:v>1469.4570854709432</x:v>
      </x:c>
    </x:row>
    <x:row r="68" ht="18" customHeight="1">
      <x:c r="A68" s="24" t="str">
        <x:v>EEZ_357</x:v>
      </x:c>
      <x:c r="B68" s="24" t="str">
        <x:v>Andaman &amp; Nicobar Isl. (India)</x:v>
      </x:c>
      <x:c r="C68" s="24" t="str">
        <x:v>EEZ</x:v>
      </x:c>
      <x:c r="D68" s="30" t="n">
        <x:v>2019</x:v>
      </x:c>
      <x:c r="E68" s="24" t="str">
        <x:v>Perciformes</x:v>
      </x:c>
      <x:c r="F68" s="24" t="str">
        <x:v>Perch-likes</x:v>
      </x:c>
      <x:c r="G68" s="24" t="str">
        <x:v>Medium demersals (30 - 89 cm)</x:v>
      </x:c>
      <x:c r="H68" s="24" t="str">
        <x:v>Perch-likes</x:v>
      </x:c>
      <x:c r="I68" s="31" t="n">
        <x:v>111.4697192506</x:v>
      </x:c>
      <x:c r="J68" s="31" t="n">
        <x:v>111.4697192506</x:v>
      </x:c>
      <x:c r="K68" s="31" t="n">
        <x:v>0</x:v>
      </x:c>
      <x:c r="L68" s="31" t="n">
        <x:v>0</x:v>
      </x:c>
      <x:c r="M68" s="31" t="n">
        <x:v>111.4697192506</x:v>
      </x:c>
      <x:c r="N68" s="24" t="str">
        <x:v>perciformes</x:v>
      </x:c>
      <x:c r="O68" s="32" t="n">
        <x:v>3.53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Perciformes</x:v>
      </x:c>
      <x:c r="T68" s="32" t="n">
        <x:f>IF(O68="","",(1/'Metadata'!$B$5)^(O68-1))</x:f>
        <x:v>338.84415613920237</x:v>
      </x:c>
      <x:c r="U68" s="31" t="n">
        <x:f>IF(T68="","",I68*T68)</x:f>
        <x:v>37770.86295454336</x:v>
      </x:c>
    </x:row>
    <x:row r="69" ht="18" customHeight="1">
      <x:c r="A69" s="24" t="str">
        <x:v>EEZ_357</x:v>
      </x:c>
      <x:c r="B69" s="24" t="str">
        <x:v>Andaman &amp; Nicobar Isl. (India)</x:v>
      </x:c>
      <x:c r="C69" s="24" t="str">
        <x:v>EEZ</x:v>
      </x:c>
      <x:c r="D69" s="30" t="n">
        <x:v>2019</x:v>
      </x:c>
      <x:c r="E69" s="24" t="str">
        <x:v>Trichiuridae</x:v>
      </x:c>
      <x:c r="F69" s="24" t="str">
        <x:v>Cutlassfishes</x:v>
      </x:c>
      <x:c r="G69" s="24" t="str">
        <x:v>Large benthopelagics (&gt;=90 cm)</x:v>
      </x:c>
      <x:c r="H69" s="24" t="str">
        <x:v>Perch-likes</x:v>
      </x:c>
      <x:c r="I69" s="31" t="n">
        <x:v>111.4697192506</x:v>
      </x:c>
      <x:c r="J69" s="31" t="n">
        <x:v>111.4697192506</x:v>
      </x:c>
      <x:c r="K69" s="31" t="n">
        <x:v>0</x:v>
      </x:c>
      <x:c r="L69" s="31" t="n">
        <x:v>0</x:v>
      </x:c>
      <x:c r="M69" s="31" t="n">
        <x:v>111.4697192506</x:v>
      </x:c>
      <x:c r="N69" s="24" t="str">
        <x:v>trichiuridae</x:v>
      </x:c>
      <x:c r="O69" s="32" t="n">
        <x:v>4.15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Trichiuridae</x:v>
      </x:c>
      <x:c r="T69" s="32" t="n">
        <x:f>IF(O69="","",(1/'Metadata'!$B$5)^(O69-1))</x:f>
        <x:v>1412.5375446227554</x:v>
      </x:c>
      <x:c r="U69" s="31" t="n">
        <x:f>IF(T69="","",I69*T69)</x:f>
        <x:v>157455.1635300304</x:v>
      </x:c>
    </x:row>
    <x:row r="70" ht="18" customHeight="1">
      <x:c r="A70" s="24" t="str">
        <x:v>EEZ_357</x:v>
      </x:c>
      <x:c r="B70" s="24" t="str">
        <x:v>Andaman &amp; Nicobar Isl. (India)</x:v>
      </x:c>
      <x:c r="C70" s="24" t="str">
        <x:v>EEZ</x:v>
      </x:c>
      <x:c r="D70" s="30" t="n">
        <x:v>2019</x:v>
      </x:c>
      <x:c r="E70" s="24" t="str">
        <x:v>Lactarius lactarius</x:v>
      </x:c>
      <x:c r="F70" s="24" t="str">
        <x:v>False trevally</x:v>
      </x:c>
      <x:c r="G70" s="24" t="str">
        <x:v>Medium pelagics (30 - 89 cm)</x:v>
      </x:c>
      <x:c r="H70" s="24" t="str">
        <x:v>Perch-likes</x:v>
      </x:c>
      <x:c r="I70" s="31" t="n">
        <x:v>96.12393667810001</x:v>
      </x:c>
      <x:c r="J70" s="31" t="n">
        <x:v>96.12393667810001</x:v>
      </x:c>
      <x:c r="K70" s="31" t="n">
        <x:v>0</x:v>
      </x:c>
      <x:c r="L70" s="31" t="n">
        <x:v>96.12393667810001</x:v>
      </x:c>
      <x:c r="M70" s="31" t="n">
        <x:v>0</x:v>
      </x:c>
      <x:c r="N70" s="24" t="str">
        <x:v>lactarius lactarius</x:v>
      </x:c>
      <x:c r="O70" s="32" t="n">
        <x:v>3.97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Lactarius lactarius</x:v>
      </x:c>
      <x:c r="T70" s="32" t="n">
        <x:f>IF(O70="","",(1/'Metadata'!$B$5)^(O70-1))</x:f>
        <x:v>933.2543007969915</x:v>
      </x:c>
      <x:c r="U70" s="31" t="n">
        <x:f>IF(T70="","",I70*T70)</x:f>
        <x:v>89708.07731437452</x:v>
      </x:c>
    </x:row>
    <x:row r="71" ht="18" customHeight="1">
      <x:c r="A71" s="24" t="str">
        <x:v>EEZ_357</x:v>
      </x:c>
      <x:c r="B71" s="24" t="str">
        <x:v>Andaman &amp; Nicobar Isl. (India)</x:v>
      </x:c>
      <x:c r="C71" s="24" t="str">
        <x:v>EEZ</x:v>
      </x:c>
      <x:c r="D71" s="30" t="n">
        <x:v>2019</x:v>
      </x:c>
      <x:c r="E71" s="24" t="str">
        <x:v>Katsuwonus pelamis</x:v>
      </x:c>
      <x:c r="F71" s="24" t="str">
        <x:v>Skipjack tuna</x:v>
      </x:c>
      <x:c r="G71" s="24" t="str">
        <x:v>Large pelagics (&gt;=90 cm)</x:v>
      </x:c>
      <x:c r="H71" s="24" t="str">
        <x:v>Tuna &amp; billfishes</x:v>
      </x:c>
      <x:c r="I71" s="31" t="n">
        <x:v>87.6589982121</x:v>
      </x:c>
      <x:c r="J71" s="31" t="n">
        <x:v>87.6589982121</x:v>
      </x:c>
      <x:c r="K71" s="31" t="n">
        <x:v>0</x:v>
      </x:c>
      <x:c r="L71" s="31" t="n">
        <x:v>87.6589982121</x:v>
      </x:c>
      <x:c r="M71" s="31" t="n">
        <x:v>0</x:v>
      </x:c>
      <x:c r="N71" s="24" t="str">
        <x:v>katsuwonus pelamis</x:v>
      </x:c>
      <x:c r="O71" s="32" t="n">
        <x:v>4.43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Katsuwonus pelamis</x:v>
      </x:c>
      <x:c r="T71" s="32" t="n">
        <x:f>IF(O71="","",(1/'Metadata'!$B$5)^(O71-1))</x:f>
        <x:v>2691.534803926914</x:v>
      </x:c>
      <x:c r="U71" s="31" t="n">
        <x:f>IF(T71="","",I71*T71)</x:f>
        <x:v>235937.24456523426</x:v>
      </x:c>
    </x:row>
    <x:row r="72" ht="18" customHeight="1">
      <x:c r="A72" s="24" t="str">
        <x:v>EEZ_357</x:v>
      </x:c>
      <x:c r="B72" s="24" t="str">
        <x:v>Andaman &amp; Nicobar Isl. (India)</x:v>
      </x:c>
      <x:c r="C72" s="24" t="str">
        <x:v>EEZ</x:v>
      </x:c>
      <x:c r="D72" s="30" t="n">
        <x:v>2019</x:v>
      </x:c>
      <x:c r="E72" s="24" t="str">
        <x:v>Istiompax indica</x:v>
      </x:c>
      <x:c r="F72" s="24" t="str">
        <x:v>Black marlin</x:v>
      </x:c>
      <x:c r="G72" s="24" t="str">
        <x:v>Large pelagics (&gt;=90 cm)</x:v>
      </x:c>
      <x:c r="H72" s="24" t="str">
        <x:v>Tuna &amp; billfishes</x:v>
      </x:c>
      <x:c r="I72" s="31" t="n">
        <x:v>87.4291495845</x:v>
      </x:c>
      <x:c r="J72" s="31" t="n">
        <x:v>87.4291495845</x:v>
      </x:c>
      <x:c r="K72" s="31" t="n">
        <x:v>0</x:v>
      </x:c>
      <x:c r="L72" s="31" t="n">
        <x:v>0.0030385561</x:v>
      </x:c>
      <x:c r="M72" s="31" t="n">
        <x:v>87.4261110284</x:v>
      </x:c>
      <x:c r="N72" s="24" t="str">
        <x:v>istiompax indica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Istiompax indica</x:v>
      </x:c>
      <x:c r="T72" s="32" t="n">
        <x:f>IF(O72="","",(1/'Metadata'!$B$5)^(O72-1))</x:f>
        <x:v>3162.2776601683795</x:v>
      </x:c>
      <x:c r="U72" s="31" t="n">
        <x:f>IF(T72="","",I72*T72)</x:f>
        <x:v>276475.2465785839</x:v>
      </x:c>
    </x:row>
    <x:row r="73" ht="18" customHeight="1">
      <x:c r="A73" s="24" t="str">
        <x:v>EEZ_357</x:v>
      </x:c>
      <x:c r="B73" s="24" t="str">
        <x:v>Andaman &amp; Nicobar Isl. (India)</x:v>
      </x:c>
      <x:c r="C73" s="24" t="str">
        <x:v>EEZ</x:v>
      </x:c>
      <x:c r="D73" s="30" t="n">
        <x:v>2019</x:v>
      </x:c>
      <x:c r="E73" s="24" t="str">
        <x:v>Makaira mazara</x:v>
      </x:c>
      <x:c r="F73" s="24" t="str">
        <x:v>Indo-Pacific blue marlin</x:v>
      </x:c>
      <x:c r="G73" s="24" t="str">
        <x:v>Large pelagics (&gt;=90 cm)</x:v>
      </x:c>
      <x:c r="H73" s="24" t="str">
        <x:v>Tuna &amp; billfishes</x:v>
      </x:c>
      <x:c r="I73" s="31" t="n">
        <x:v>87.4261110368</x:v>
      </x:c>
      <x:c r="J73" s="31" t="n">
        <x:v>87.4261110368</x:v>
      </x:c>
      <x:c r="K73" s="31" t="n">
        <x:v>0</x:v>
      </x:c>
      <x:c r="L73" s="31" t="n">
        <x:v>0</x:v>
      </x:c>
      <x:c r="M73" s="31" t="n">
        <x:v>87.4261110368</x:v>
      </x:c>
      <x:c r="N73" s="24" t="str">
        <x:v>makaira mazara</x:v>
      </x:c>
      <x:c r="O73" s="32" t="n">
        <x:v>4.46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Makaira mazara</x:v>
      </x:c>
      <x:c r="T73" s="32" t="n">
        <x:f>IF(O73="","",(1/'Metadata'!$B$5)^(O73-1))</x:f>
        <x:v>2884.031503126606</x:v>
      </x:c>
      <x:c r="U73" s="31" t="n">
        <x:f>IF(T73="","",I73*T73)</x:f>
        <x:v>252139.65842597585</x:v>
      </x:c>
    </x:row>
    <x:row r="74" ht="18" customHeight="1">
      <x:c r="A74" s="24" t="str">
        <x:v>EEZ_357</x:v>
      </x:c>
      <x:c r="B74" s="24" t="str">
        <x:v>Andaman &amp; Nicobar Isl. (India)</x:v>
      </x:c>
      <x:c r="C74" s="24" t="str">
        <x:v>EEZ</x:v>
      </x:c>
      <x:c r="D74" s="30" t="n">
        <x:v>2019</x:v>
      </x:c>
      <x:c r="E74" s="24" t="str">
        <x:v>Kajikia audax</x:v>
      </x:c>
      <x:c r="F74" s="24" t="str">
        <x:v>Striped marlin</x:v>
      </x:c>
      <x:c r="G74" s="24" t="str">
        <x:v>Large pelagics (&gt;=90 cm)</x:v>
      </x:c>
      <x:c r="H74" s="24" t="str">
        <x:v>Tuna &amp; billfishes</x:v>
      </x:c>
      <x:c r="I74" s="31" t="n">
        <x:v>87.4261110284</x:v>
      </x:c>
      <x:c r="J74" s="31" t="n">
        <x:v>87.4261110284</x:v>
      </x:c>
      <x:c r="K74" s="31" t="n">
        <x:v>0</x:v>
      </x:c>
      <x:c r="L74" s="31" t="n">
        <x:v>0</x:v>
      </x:c>
      <x:c r="M74" s="31" t="n">
        <x:v>87.4261110284</x:v>
      </x:c>
      <x:c r="N74" s="24" t="str">
        <x:v>kajikia audax</x:v>
      </x:c>
      <x:c r="O74" s="32" t="n">
        <x:v>4.58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Kajikia audax</x:v>
      </x:c>
      <x:c r="T74" s="32" t="n">
        <x:f>IF(O74="","",(1/'Metadata'!$B$5)^(O74-1))</x:f>
        <x:v>3801.8939632056126</x:v>
      </x:c>
      <x:c r="U74" s="31" t="n">
        <x:f>IF(T74="","",I74*T74)</x:f>
        <x:v>332384.8037454176</x:v>
      </x:c>
    </x:row>
    <x:row r="75" ht="18" customHeight="1">
      <x:c r="A75" s="24" t="str">
        <x:v>EEZ_357</x:v>
      </x:c>
      <x:c r="B75" s="24" t="str">
        <x:v>Andaman &amp; Nicobar Isl. (India)</x:v>
      </x:c>
      <x:c r="C75" s="24" t="str">
        <x:v>EEZ</x:v>
      </x:c>
      <x:c r="D75" s="30" t="n">
        <x:v>2019</x:v>
      </x:c>
      <x:c r="E75" s="24" t="str">
        <x:v>Cephalopoda</x:v>
      </x:c>
      <x:c r="F75" s="24" t="str">
        <x:v>Squids, cuttlefishes, octopuses</x:v>
      </x:c>
      <x:c r="G75" s="24" t="str">
        <x:v>Cephalopods</x:v>
      </x:c>
      <x:c r="H75" s="24" t="str">
        <x:v>Other fishes &amp; inverts</x:v>
      </x:c>
      <x:c r="I75" s="31" t="n">
        <x:v>83.58197426059999</x:v>
      </x:c>
      <x:c r="J75" s="31" t="n">
        <x:v>83.2121212216</x:v>
      </x:c>
      <x:c r="K75" s="31" t="n">
        <x:v>0.369853039</x:v>
      </x:c>
      <x:c r="L75" s="31" t="n">
        <x:v>83.2121212216</x:v>
      </x:c>
      <x:c r="M75" s="31" t="n">
        <x:v>0.369853039</x:v>
      </x:c>
      <x:c r="N75" s="24" t="str">
        <x:v>cephalopoda</x:v>
      </x:c>
      <x:c r="O75" s="32" t="n">
        <x:v>3.81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Cephalopoda</x:v>
      </x:c>
      <x:c r="T75" s="32" t="n">
        <x:f>IF(O75="","",(1/'Metadata'!$B$5)^(O75-1))</x:f>
        <x:v>645.6542290346556</x:v>
      </x:c>
      <x:c r="U75" s="31" t="n">
        <x:f>IF(T75="","",I75*T75)</x:f>
        <x:v>53965.055152422115</x:v>
      </x:c>
    </x:row>
    <x:row r="76" ht="18" customHeight="1">
      <x:c r="A76" s="24" t="str">
        <x:v>EEZ_357</x:v>
      </x:c>
      <x:c r="B76" s="24" t="str">
        <x:v>Andaman &amp; Nicobar Isl. (India)</x:v>
      </x:c>
      <x:c r="C76" s="24" t="str">
        <x:v>EEZ</x:v>
      </x:c>
      <x:c r="D76" s="30" t="n">
        <x:v>2019</x:v>
      </x:c>
      <x:c r="E76" s="24" t="str">
        <x:v>Chirocentrus</x:v>
      </x:c>
      <x:c r="F76" s="24" t="str">
        <x:v>Wolf herrings</x:v>
      </x:c>
      <x:c r="G76" s="24" t="str">
        <x:v>Large pelagics (&gt;=90 cm)</x:v>
      </x:c>
      <x:c r="H76" s="24" t="str">
        <x:v>Herring-likes</x:v>
      </x:c>
      <x:c r="I76" s="31" t="n">
        <x:v>71.0076767682</x:v>
      </x:c>
      <x:c r="J76" s="31" t="n">
        <x:v>71.0076767682</x:v>
      </x:c>
      <x:c r="K76" s="31" t="n">
        <x:v>0</x:v>
      </x:c>
      <x:c r="L76" s="31" t="n">
        <x:v>71.0076767682</x:v>
      </x:c>
      <x:c r="M76" s="31" t="n">
        <x:v>0</x:v>
      </x:c>
      <x:c r="N76" s="24" t="str">
        <x:v>chirocentrus</x:v>
      </x:c>
      <x:c r="O76" s="32" t="n">
        <x:v>4.3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Chirocentrus</x:v>
      </x:c>
      <x:c r="T76" s="32" t="n">
        <x:f>IF(O76="","",(1/'Metadata'!$B$5)^(O76-1))</x:f>
        <x:v>1995.2623149688789</x:v>
      </x:c>
      <x:c r="U76" s="31" t="n">
        <x:f>IF(T76="","",I76*T76)</x:f>
        <x:v>141678.94152908062</x:v>
      </x:c>
    </x:row>
    <x:row r="77" ht="18" customHeight="1">
      <x:c r="A77" s="24" t="str">
        <x:v>EEZ_357</x:v>
      </x:c>
      <x:c r="B77" s="24" t="str">
        <x:v>Andaman &amp; Nicobar Isl. (India)</x:v>
      </x:c>
      <x:c r="C77" s="24" t="str">
        <x:v>EEZ</x:v>
      </x:c>
      <x:c r="D77" s="30" t="n">
        <x:v>2019</x:v>
      </x:c>
      <x:c r="E77" s="24" t="str">
        <x:v>Xiphias gladius</x:v>
      </x:c>
      <x:c r="F77" s="24" t="str">
        <x:v>Swordfish</x:v>
      </x:c>
      <x:c r="G77" s="24" t="str">
        <x:v>Large pelagics (&gt;=90 cm)</x:v>
      </x:c>
      <x:c r="H77" s="24" t="str">
        <x:v>Tuna &amp; billfishes</x:v>
      </x:c>
      <x:c r="I77" s="31" t="n">
        <x:v>43.9560568519</x:v>
      </x:c>
      <x:c r="J77" s="31" t="n">
        <x:v>43.9560568519</x:v>
      </x:c>
      <x:c r="K77" s="31" t="n">
        <x:v>0</x:v>
      </x:c>
      <x:c r="L77" s="31" t="n">
        <x:v>0.2430008374</x:v>
      </x:c>
      <x:c r="M77" s="31" t="n">
        <x:v>43.713056014500005</x:v>
      </x:c>
      <x:c r="N77" s="24" t="str">
        <x:v>xiphias gladius</x:v>
      </x:c>
      <x:c r="O77" s="32" t="n">
        <x:v>4.53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Xiphias gladius</x:v>
      </x:c>
      <x:c r="T77" s="32" t="n">
        <x:f>IF(O77="","",(1/'Metadata'!$B$5)^(O77-1))</x:f>
        <x:v>3388.4415613920273</x:v>
      </x:c>
      <x:c r="U77" s="31" t="n">
        <x:f>IF(T77="","",I77*T77)</x:f>
        <x:v>148942.52991188876</x:v>
      </x:c>
    </x:row>
    <x:row r="78" ht="18" customHeight="1">
      <x:c r="A78" s="24" t="str">
        <x:v>EEZ_357</x:v>
      </x:c>
      <x:c r="B78" s="24" t="str">
        <x:v>Andaman &amp; Nicobar Isl. (India)</x:v>
      </x:c>
      <x:c r="C78" s="24" t="str">
        <x:v>EEZ</x:v>
      </x:c>
      <x:c r="D78" s="30" t="n">
        <x:v>2019</x:v>
      </x:c>
      <x:c r="E78" s="24" t="str">
        <x:v>Polynemidae</x:v>
      </x:c>
      <x:c r="F78" s="24" t="str">
        <x:v>Threadfins</x:v>
      </x:c>
      <x:c r="G78" s="24" t="str">
        <x:v>Small demersals (&lt;30 cm)</x:v>
      </x:c>
      <x:c r="H78" s="24" t="str">
        <x:v>Perch-likes</x:v>
      </x:c>
      <x:c r="I78" s="31" t="n">
        <x:v>43.640156067300005</x:v>
      </x:c>
      <x:c r="J78" s="31" t="n">
        <x:v>43.2703030293</x:v>
      </x:c>
      <x:c r="K78" s="31" t="n">
        <x:v>0.369853038</x:v>
      </x:c>
      <x:c r="L78" s="31" t="n">
        <x:v>43.2703030293</x:v>
      </x:c>
      <x:c r="M78" s="31" t="n">
        <x:v>0.369853038</x:v>
      </x:c>
      <x:c r="N78" s="24" t="str">
        <x:v>polynemidae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Polynemidae</x:v>
      </x:c>
      <x:c r="T78" s="32" t="n">
        <x:f>IF(O78="","",(1/'Metadata'!$B$5)^(O78-1))</x:f>
        <x:v>416.8693834703355</x:v>
      </x:c>
      <x:c r="U78" s="31" t="n">
        <x:f>IF(T78="","",I78*T78)</x:f>
        <x:v>18192.244954324575</x:v>
      </x:c>
    </x:row>
    <x:row r="79" ht="18" customHeight="1">
      <x:c r="A79" s="24" t="str">
        <x:v>EEZ_357</x:v>
      </x:c>
      <x:c r="B79" s="24" t="str">
        <x:v>Andaman &amp; Nicobar Isl. (India)</x:v>
      </x:c>
      <x:c r="C79" s="24" t="str">
        <x:v>EEZ</x:v>
      </x:c>
      <x:c r="D79" s="30" t="n">
        <x:v>2019</x:v>
      </x:c>
      <x:c r="E79" s="24" t="str">
        <x:v>Acanthocybium solandri</x:v>
      </x:c>
      <x:c r="F79" s="24" t="str">
        <x:v>Wahoo</x:v>
      </x:c>
      <x:c r="G79" s="24" t="str">
        <x:v>Large pelagics (&gt;=90 cm)</x:v>
      </x:c>
      <x:c r="H79" s="24" t="str">
        <x:v>Perch-likes</x:v>
      </x:c>
      <x:c r="I79" s="31" t="n">
        <x:v>30.625412736</x:v>
      </x:c>
      <x:c r="J79" s="31" t="n">
        <x:v>30.625412736</x:v>
      </x:c>
      <x:c r="K79" s="31" t="n">
        <x:v>0</x:v>
      </x:c>
      <x:c r="L79" s="31" t="n">
        <x:v>0.0262734293</x:v>
      </x:c>
      <x:c r="M79" s="31" t="n">
        <x:v>30.5991393067</x:v>
      </x:c>
      <x:c r="N79" s="24" t="str">
        <x:v>acanthocybium solandri</x:v>
      </x:c>
      <x:c r="O79" s="32" t="n">
        <x:v>4.26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Acanthocybium solandri</x:v>
      </x:c>
      <x:c r="T79" s="32" t="n">
        <x:f>IF(O79="","",(1/'Metadata'!$B$5)^(O79-1))</x:f>
        <x:v>1819.7008586099826</x:v>
      </x:c>
      <x:c r="U79" s="31" t="n">
        <x:f>IF(T79="","",I79*T79)</x:f>
        <x:v>55729.089850984295</x:v>
      </x:c>
    </x:row>
    <x:row r="80" ht="18" customHeight="1">
      <x:c r="A80" s="24" t="str">
        <x:v>EEZ_357</x:v>
      </x:c>
      <x:c r="B80" s="24" t="str">
        <x:v>Andaman &amp; Nicobar Isl. (India)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30.6236634827</x:v>
      </x:c>
      <x:c r="J80" s="31" t="n">
        <x:v>30.6236634827</x:v>
      </x:c>
      <x:c r="K80" s="31" t="n">
        <x:v>0</x:v>
      </x:c>
      <x:c r="L80" s="31" t="n">
        <x:v>0.0245241741</x:v>
      </x:c>
      <x:c r="M80" s="31" t="n">
        <x:v>30.599139308599998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71788.8743668058</x:v>
      </x:c>
    </x:row>
    <x:row r="81" ht="18" customHeight="1">
      <x:c r="A81" s="24" t="str">
        <x:v>EEZ_357</x:v>
      </x:c>
      <x:c r="B81" s="24" t="str">
        <x:v>Andaman &amp; Nicobar Isl. (India)</x:v>
      </x:c>
      <x:c r="C81" s="24" t="str">
        <x:v>EEZ</x:v>
      </x:c>
      <x:c r="D81" s="30" t="n">
        <x:v>2019</x:v>
      </x:c>
      <x:c r="E81" s="24" t="str">
        <x:v>Sphyraena jello</x:v>
      </x:c>
      <x:c r="F81" s="24" t="str">
        <x:v>Pickhandle barracuda</x:v>
      </x:c>
      <x:c r="G81" s="24" t="str">
        <x:v>Large reef assoc. fish (&gt;=90 cm)</x:v>
      </x:c>
      <x:c r="H81" s="24" t="str">
        <x:v>Perch-likes</x:v>
      </x:c>
      <x:c r="I81" s="31" t="n">
        <x:v>30.5991393089</x:v>
      </x:c>
      <x:c r="J81" s="31" t="n">
        <x:v>30.5991393089</x:v>
      </x:c>
      <x:c r="K81" s="31" t="n">
        <x:v>0</x:v>
      </x:c>
      <x:c r="L81" s="31" t="n">
        <x:v>0</x:v>
      </x:c>
      <x:c r="M81" s="31" t="n">
        <x:v>30.5991393089</x:v>
      </x:c>
      <x:c r="N81" s="24" t="str">
        <x:v>sphyraena jello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Sphyraena jello</x:v>
      </x:c>
      <x:c r="T81" s="32" t="n">
        <x:f>IF(O81="","",(1/'Metadata'!$B$5)^(O81-1))</x:f>
        <x:v>3162.2776601683795</x:v>
      </x:c>
      <x:c r="U81" s="31" t="n">
        <x:f>IF(T81="","",I81*T81)</x:f>
        <x:v>96762.97465691458</x:v>
      </x:c>
    </x:row>
    <x:row r="82" ht="18" customHeight="1">
      <x:c r="A82" s="24" t="str">
        <x:v>EEZ_357</x:v>
      </x:c>
      <x:c r="B82" s="24" t="str">
        <x:v>Andaman &amp; Nicobar Isl. (India)</x:v>
      </x:c>
      <x:c r="C82" s="24" t="str">
        <x:v>EEZ</x:v>
      </x:c>
      <x:c r="D82" s="30" t="n">
        <x:v>2019</x:v>
      </x:c>
      <x:c r="E82" s="24" t="str">
        <x:v>Scombroidei</x:v>
      </x:c>
      <x:c r="F82" s="24" t="str">
        <x:v>Tunas, bonitos, billfishes</x:v>
      </x:c>
      <x:c r="G82" s="24" t="str">
        <x:v>Large pelagics (&gt;=90 cm)</x:v>
      </x:c>
      <x:c r="H82" s="24" t="str">
        <x:v>Tuna &amp; billfishes</x:v>
      </x:c>
      <x:c r="I82" s="31" t="n">
        <x:v>29.154689464100002</x:v>
      </x:c>
      <x:c r="J82" s="31" t="n">
        <x:v>29.154689464100002</x:v>
      </x:c>
      <x:c r="K82" s="31" t="n">
        <x:v>0</x:v>
      </x:c>
      <x:c r="L82" s="31" t="n">
        <x:v>29.154689464100002</x:v>
      </x:c>
      <x:c r="M82" s="31" t="n">
        <x:v>0</x:v>
      </x:c>
      <x:c r="N82" s="24" t="str">
        <x:v>scombroidei</x:v>
      </x:c>
      <x:c r="O82" s="32" t="n">
        <x:v>4.2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Scombroidei</x:v>
      </x:c>
      <x:c r="T82" s="32" t="n">
        <x:f>IF(O82="","",(1/'Metadata'!$B$5)^(O82-1))</x:f>
        <x:v>1584.893192461114</x:v>
      </x:c>
      <x:c r="U82" s="31" t="n">
        <x:f>IF(T82="","",I82*T82)</x:f>
        <x:v>46207.068859969855</x:v>
      </x:c>
    </x:row>
    <x:row r="83" ht="18" customHeight="1">
      <x:c r="A83" s="24" t="str">
        <x:v>EEZ_357</x:v>
      </x:c>
      <x:c r="B83" s="24" t="str">
        <x:v>Andaman &amp; Nicobar Isl. (India)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17.3774133357</x:v>
      </x:c>
      <x:c r="J83" s="31" t="n">
        <x:v>17.3774133357</x:v>
      </x:c>
      <x:c r="K83" s="31" t="n">
        <x:v>0</x:v>
      </x:c>
      <x:c r="L83" s="31" t="n">
        <x:v>17.3774133357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3890.3182568270954</x:v>
      </x:c>
    </x:row>
    <x:row r="84" ht="18" customHeight="1">
      <x:c r="A84" s="24" t="str">
        <x:v>EEZ_357</x:v>
      </x:c>
      <x:c r="B84" s="24" t="str">
        <x:v>Andaman &amp; Nicobar Isl. (India)</x:v>
      </x:c>
      <x:c r="C84" s="24" t="str">
        <x:v>EEZ</x:v>
      </x:c>
      <x:c r="D84" s="30" t="n">
        <x:v>2019</x:v>
      </x:c>
      <x:c r="E84" s="24" t="str">
        <x:v>Thunnus obesus</x:v>
      </x:c>
      <x:c r="F84" s="24" t="str">
        <x:v>Bigeye tuna</x:v>
      </x:c>
      <x:c r="G84" s="24" t="str">
        <x:v>Large pelagics (&gt;=90 cm)</x:v>
      </x:c>
      <x:c r="H84" s="24" t="str">
        <x:v>Tuna &amp; billfishes</x:v>
      </x:c>
      <x:c r="I84" s="31" t="n">
        <x:v>16.447459872</x:v>
      </x:c>
      <x:c r="J84" s="31" t="n">
        <x:v>16.447459872</x:v>
      </x:c>
      <x:c r="K84" s="31" t="n">
        <x:v>0</x:v>
      </x:c>
      <x:c r="L84" s="31" t="n">
        <x:v>16.447459872</x:v>
      </x:c>
      <x:c r="M84" s="31" t="n">
        <x:v>0</x:v>
      </x:c>
      <x:c r="N84" s="24" t="str">
        <x:v>thunnus obesus</x:v>
      </x:c>
      <x:c r="O84" s="32" t="n">
        <x:v>4.49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obesus</x:v>
      </x:c>
      <x:c r="T84" s="32" t="n">
        <x:f>IF(O84="","",(1/'Metadata'!$B$5)^(O84-1))</x:f>
        <x:v>3090.295432513592</x:v>
      </x:c>
      <x:c r="U84" s="31" t="n">
        <x:f>IF(T84="","",I84*T84)</x:f>
        <x:v>50827.51011889219</x:v>
      </x:c>
    </x:row>
    <x:row r="85" ht="18" customHeight="1">
      <x:c r="A85" s="24" t="str">
        <x:v>EEZ_357</x:v>
      </x:c>
      <x:c r="B85" s="24" t="str">
        <x:v>Andaman &amp; Nicobar Isl. (India)</x:v>
      </x:c>
      <x:c r="C85" s="24" t="str">
        <x:v>EEZ</x:v>
      </x:c>
      <x:c r="D85" s="30" t="n">
        <x:v>2019</x:v>
      </x:c>
      <x:c r="E85" s="24" t="str">
        <x:v>Pleuronectiformes</x:v>
      </x:c>
      <x:c r="F85" s="24" t="str">
        <x:v>Flatfishes</x:v>
      </x:c>
      <x:c r="G85" s="24" t="str">
        <x:v>Small to medium flatfishes (&lt;90 cm)</x:v>
      </x:c>
      <x:c r="H85" s="24" t="str">
        <x:v>Flatfishes</x:v>
      </x:c>
      <x:c r="I85" s="31" t="n">
        <x:v>10.2606940146</x:v>
      </x:c>
      <x:c r="J85" s="31" t="n">
        <x:v>9.9854545436</x:v>
      </x:c>
      <x:c r="K85" s="31" t="n">
        <x:v>0.275239471</x:v>
      </x:c>
      <x:c r="L85" s="31" t="n">
        <x:v>9.9854545436</x:v>
      </x:c>
      <x:c r="M85" s="31" t="n">
        <x:v>0.275239471</x:v>
      </x:c>
      <x:c r="N85" s="24" t="str">
        <x:v>pleuronectiformes</x:v>
      </x:c>
      <x:c r="O85" s="32" t="n">
        <x:v>3.57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Pleuronectiformes</x:v>
      </x:c>
      <x:c r="T85" s="32" t="n">
        <x:f>IF(O85="","",(1/'Metadata'!$B$5)^(O85-1))</x:f>
        <x:v>371.5352290971724</x:v>
      </x:c>
      <x:c r="U85" s="31" t="n">
        <x:f>IF(T85="","",I85*T85)</x:f>
        <x:v>3812.209301410397</x:v>
      </x:c>
    </x:row>
    <x:row r="86" ht="18" customHeight="1">
      <x:c r="A86" s="24" t="str">
        <x:v>EEZ_357</x:v>
      </x:c>
      <x:c r="B86" s="24" t="str">
        <x:v>Andaman &amp; Nicobar Isl. (India)</x:v>
      </x:c>
      <x:c r="C86" s="24" t="str">
        <x:v>EEZ</x:v>
      </x:c>
      <x:c r="D86" s="30" t="n">
        <x:v>2019</x:v>
      </x:c>
      <x:c r="E86" s="24" t="str">
        <x:v>Synodontidae</x:v>
      </x:c>
      <x:c r="F86" s="24" t="str">
        <x:v>Lizardfishes, sauries</x:v>
      </x:c>
      <x:c r="G86" s="24" t="str">
        <x:v>Medium demersals (30 - 89 cm)</x:v>
      </x:c>
      <x:c r="H86" s="24" t="str">
        <x:v>Other fishes &amp; inverts</x:v>
      </x:c>
      <x:c r="I86" s="31" t="n">
        <x:v>8.875959596600001</x:v>
      </x:c>
      <x:c r="J86" s="31" t="n">
        <x:v>8.875959596600001</x:v>
      </x:c>
      <x:c r="K86" s="31" t="n">
        <x:v>0</x:v>
      </x:c>
      <x:c r="L86" s="31" t="n">
        <x:v>8.875959596600001</x:v>
      </x:c>
      <x:c r="M86" s="31" t="n">
        <x:v>0</x:v>
      </x:c>
      <x:c r="N86" s="24" t="str">
        <x:v>synodontidae</x:v>
      </x:c>
      <x:c r="O86" s="32" t="n">
        <x:v>4.3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Synodontidae</x:v>
      </x:c>
      <x:c r="T86" s="32" t="n">
        <x:f>IF(O86="","",(1/'Metadata'!$B$5)^(O86-1))</x:f>
        <x:v>1995.2623149688789</x:v>
      </x:c>
      <x:c r="U86" s="31" t="n">
        <x:f>IF(T86="","",I86*T86)</x:f>
        <x:v>17709.867692282354</x:v>
      </x:c>
    </x:row>
    <x:row r="87" ht="18" customHeight="1">
      <x:c r="A87" s="24" t="str">
        <x:v>EEZ_357</x:v>
      </x:c>
      <x:c r="B87" s="24" t="str">
        <x:v>Andaman &amp; Nicobar Isl. (India)</x:v>
      </x:c>
      <x:c r="C87" s="24" t="str">
        <x:v>EEZ</x:v>
      </x:c>
      <x:c r="D87" s="30" t="n">
        <x:v>2019</x:v>
      </x:c>
      <x:c r="E87" s="24" t="str">
        <x:v>Trochus</x:v>
      </x:c>
      <x:c r="F87" s="24" t="str">
        <x:v>Trochus</x:v>
      </x:c>
      <x:c r="G87" s="24" t="str">
        <x:v>Other demersal invertebrates</x:v>
      </x:c>
      <x:c r="H87" s="24" t="str">
        <x:v>Molluscs</x:v>
      </x:c>
      <x:c r="I87" s="31" t="n">
        <x:v>5.5712565942</x:v>
      </x:c>
      <x:c r="J87" s="31" t="n">
        <x:v>5.5712565942</x:v>
      </x:c>
      <x:c r="K87" s="31" t="n">
        <x:v>0</x:v>
      </x:c>
      <x:c r="L87" s="31" t="n">
        <x:v>0</x:v>
      </x:c>
      <x:c r="M87" s="31" t="n">
        <x:v>5.5712565942</x:v>
      </x:c>
      <x:c r="N87" s="24" t="str">
        <x:v>trochus</x:v>
      </x:c>
      <x:c r="O87" s="32" t="n">
        <x:v>2.1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Trochus</x:v>
      </x:c>
      <x:c r="T87" s="32" t="n">
        <x:f>IF(O87="","",(1/'Metadata'!$B$5)^(O87-1))</x:f>
        <x:v>12.589254117941675</x:v>
      </x:c>
      <x:c r="U87" s="31" t="n">
        <x:f>IF(T87="","",I87*T87)</x:f>
        <x:v>70.13796502064206</x:v>
      </x:c>
    </x:row>
    <x:row r="88" ht="18" customHeight="1">
      <x:c r="A88" s="24" t="str">
        <x:v>EEZ_357</x:v>
      </x:c>
      <x:c r="B88" s="24" t="str">
        <x:v>Andaman &amp; Nicobar Isl. (India)</x:v>
      </x:c>
      <x:c r="C88" s="24" t="str">
        <x:v>EEZ</x:v>
      </x:c>
      <x:c r="D88" s="30" t="n">
        <x:v>2019</x:v>
      </x:c>
      <x:c r="E88" s="24" t="str">
        <x:v>Sphyraena</x:v>
      </x:c>
      <x:c r="F88" s="24" t="str">
        <x:v>Barracudas, sennets</x:v>
      </x:c>
      <x:c r="G88" s="24" t="str">
        <x:v>Large pelagics (&gt;=90 cm)</x:v>
      </x:c>
      <x:c r="H88" s="24" t="str">
        <x:v>Perch-likes</x:v>
      </x:c>
      <x:c r="I88" s="31" t="n">
        <x:v>4.558653733</x:v>
      </x:c>
      <x:c r="J88" s="31" t="n">
        <x:v>0</x:v>
      </x:c>
      <x:c r="K88" s="31" t="n">
        <x:v>4.558653733</x:v>
      </x:c>
      <x:c r="L88" s="31" t="n">
        <x:v>0</x:v>
      </x:c>
      <x:c r="M88" s="31" t="n">
        <x:v>4.558653733</x:v>
      </x:c>
      <x:c r="N88" s="24" t="str">
        <x:v>sphyraena</x:v>
      </x:c>
      <x:c r="O88" s="32" t="n">
        <x:v>4.4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Sphyraena</x:v>
      </x:c>
      <x:c r="T88" s="32" t="n">
        <x:f>IF(O88="","",(1/'Metadata'!$B$5)^(O88-1))</x:f>
        <x:v>2511.886431509582</x:v>
      </x:c>
      <x:c r="U88" s="31" t="n">
        <x:f>IF(T88="","",I88*T88)</x:f>
        <x:v>11450.820457873204</x:v>
      </x:c>
    </x:row>
    <x:row r="89" ht="18" customHeight="1">
      <x:c r="A89" s="24" t="str">
        <x:v>EEZ_357</x:v>
      </x:c>
      <x:c r="B89" s="24" t="str">
        <x:v>Andaman &amp; Nicobar Isl. (India)</x:v>
      </x:c>
      <x:c r="C89" s="24" t="str">
        <x:v>EEZ</x:v>
      </x:c>
      <x:c r="D89" s="30" t="n">
        <x:v>2019</x:v>
      </x:c>
      <x:c r="E89" s="24" t="str">
        <x:v>Nemipteridae</x:v>
      </x:c>
      <x:c r="F89" s="24" t="str">
        <x:v>Threadfins, whiptail breams</x:v>
      </x:c>
      <x:c r="G89" s="24" t="str">
        <x:v>Small demersals (&lt;30 cm)</x:v>
      </x:c>
      <x:c r="H89" s="24" t="str">
        <x:v>Perch-likes</x:v>
      </x:c>
      <x:c r="I89" s="31" t="n">
        <x:v>2.425547835</x:v>
      </x:c>
      <x:c r="J89" s="31" t="n">
        <x:v>0</x:v>
      </x:c>
      <x:c r="K89" s="31" t="n">
        <x:v>2.425547835</x:v>
      </x:c>
      <x:c r="L89" s="31" t="n">
        <x:v>0</x:v>
      </x:c>
      <x:c r="M89" s="31" t="n">
        <x:v>2.425547835</x:v>
      </x:c>
      <x:c r="N89" s="24" t="str">
        <x:v>nemipteridae</x:v>
      </x:c>
      <x:c r="O89" s="32" t="n">
        <x:v>3.51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Nemipteridae</x:v>
      </x:c>
      <x:c r="T89" s="32" t="n">
        <x:f>IF(O89="","",(1/'Metadata'!$B$5)^(O89-1))</x:f>
        <x:v>323.5936569296281</x:v>
      </x:c>
      <x:c r="U89" s="31" t="n">
        <x:f>IF(T89="","",I89*T89)</x:f>
        <x:v>784.8918939853922</x:v>
      </x:c>
    </x:row>
    <x:row r="90" ht="18" customHeight="1">
      <x:c r="A90" s="24" t="str">
        <x:v>EEZ_357</x:v>
      </x:c>
      <x:c r="B90" s="24" t="str">
        <x:v>Andaman &amp; Nicobar Isl. (India)</x:v>
      </x:c>
      <x:c r="C90" s="24" t="str">
        <x:v>EEZ</x:v>
      </x:c>
      <x:c r="D90" s="30" t="n">
        <x:v>2019</x:v>
      </x:c>
      <x:c r="E90" s="24" t="str">
        <x:v>Chirocentrus dorab</x:v>
      </x:c>
      <x:c r="F90" s="24" t="str">
        <x:v>Dorab wolf-herring</x:v>
      </x:c>
      <x:c r="G90" s="24" t="str">
        <x:v>Large benthopelagics (&gt;=90 cm)</x:v>
      </x:c>
      <x:c r="H90" s="24" t="str">
        <x:v>Herring-likes</x:v>
      </x:c>
      <x:c r="I90" s="31" t="n">
        <x:v>0.7053011440000001</x:v>
      </x:c>
      <x:c r="J90" s="31" t="n">
        <x:v>0</x:v>
      </x:c>
      <x:c r="K90" s="31" t="n">
        <x:v>0.7053011440000001</x:v>
      </x:c>
      <x:c r="L90" s="31" t="n">
        <x:v>0</x:v>
      </x:c>
      <x:c r="M90" s="31" t="n">
        <x:v>0.7053011440000001</x:v>
      </x:c>
      <x:c r="N90" s="24" t="str">
        <x:v>chirocentrus dorab</x:v>
      </x:c>
      <x:c r="O90" s="32" t="n">
        <x:v>4.2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Chirocentrus dorab</x:v>
      </x:c>
      <x:c r="T90" s="32" t="n">
        <x:f>IF(O90="","",(1/'Metadata'!$B$5)^(O90-1))</x:f>
        <x:v>1584.893192461114</x:v>
      </x:c>
      <x:c r="U90" s="31" t="n">
        <x:f>IF(T90="","",I90*T90)</x:f>
        <x:v>1117.826981760636</x:v>
      </x:c>
    </x:row>
    <x:row r="91" ht="18" customHeight="1">
      <x:c r="A91" s="24" t="str">
        <x:v>EEZ_357</x:v>
      </x:c>
      <x:c r="B91" s="24" t="str">
        <x:v>Andaman &amp; Nicobar Isl. (India)</x:v>
      </x:c>
      <x:c r="C91" s="24" t="str">
        <x:v>EEZ</x:v>
      </x:c>
      <x:c r="D91" s="30" t="n">
        <x:v>2019</x:v>
      </x:c>
      <x:c r="E91" s="24" t="str">
        <x:v>Saurida</x:v>
      </x:c>
      <x:c r="F91" s="24" t="str">
        <x:v>Lizardfishes</x:v>
      </x:c>
      <x:c r="G91" s="24" t="str">
        <x:v>Medium demersals (30 - 89 cm)</x:v>
      </x:c>
      <x:c r="H91" s="24" t="str">
        <x:v>Other fishes &amp; inverts</x:v>
      </x:c>
      <x:c r="I91" s="31" t="n">
        <x:v>0.09461356800000001</x:v>
      </x:c>
      <x:c r="J91" s="31" t="n">
        <x:v>0</x:v>
      </x:c>
      <x:c r="K91" s="31" t="n">
        <x:v>0.09461356800000001</x:v>
      </x:c>
      <x:c r="L91" s="31" t="n">
        <x:v>0</x:v>
      </x:c>
      <x:c r="M91" s="31" t="n">
        <x:v>0.09461356800000001</x:v>
      </x:c>
      <x:c r="N91" s="24" t="str">
        <x:v>saurida</x:v>
      </x:c>
      <x:c r="O91" s="32" t="n">
        <x:v>4.35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Saurida</x:v>
      </x:c>
      <x:c r="T91" s="32" t="n">
        <x:f>IF(O91="","",(1/'Metadata'!$B$5)^(O91-1))</x:f>
        <x:v>2238.7211385683377</x:v>
      </x:c>
      <x:c r="U91" s="31" t="n">
        <x:f>IF(T91="","",I91*T91)</x:f>
        <x:v>211.81339467697285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e1d39e9d39e4fa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3635.5065243312</x:v>
      </x:c>
      <x:c r="C2" s="32" t="n">
        <x:v>3.2404298874096065</x:v>
      </x:c>
      <x:c r="D2" s="32" t="n">
        <x:f>IF(C2="","",(1/'Metadata'!$B$5)^(C2-1))</x:f>
        <x:v>173.95218466042036</x:v>
      </x:c>
      <x:c r="E2" s="31" t="n">
        <x:f>IF(B2=0,"",B2*D2)</x:f>
        <x:v>632404.302254624</x:v>
      </x:c>
    </x:row>
    <x:row r="3" ht="18" customHeight="1">
      <x:c r="A3" s="24" t="str">
        <x:v>Crustaceans</x:v>
      </x:c>
      <x:c r="B3" s="31" t="n">
        <x:v>792.4296009395</x:v>
      </x:c>
      <x:c r="C3" s="32" t="n">
        <x:v>3.2911402796596625</x:v>
      </x:c>
      <x:c r="D3" s="32" t="n">
        <x:f>IF(C3="","",(1/'Metadata'!$B$5)^(C3-1))</x:f>
        <x:v>195.49708208205416</x:v>
      </x:c>
      <x:c r="E3" s="31" t="n">
        <x:f>IF(B3=0,"",B3*D3)</x:f>
        <x:v>154917.67473911887</x:v>
      </x:c>
    </x:row>
    <x:row r="4" ht="18" customHeight="1">
      <x:c r="A4" s="24" t="str">
        <x:v>Flatfishes</x:v>
      </x:c>
      <x:c r="B4" s="31" t="n">
        <x:v>10.2606940146</x:v>
      </x:c>
      <x:c r="C4" s="32" t="n">
        <x:v>3.57</x:v>
      </x:c>
      <x:c r="D4" s="32" t="n">
        <x:f>IF(C4="","",(1/'Metadata'!$B$5)^(C4-1))</x:f>
        <x:v>371.5352290971724</x:v>
      </x:c>
      <x:c r="E4" s="31" t="n">
        <x:f>IF(B4=0,"",B4*D4)</x:f>
        <x:v>3812.209301410397</x:v>
      </x:c>
    </x:row>
    <x:row r="5" ht="18" customHeight="1">
      <x:c r="A5" s="24" t="str">
        <x:v>Herring-likes</x:v>
      </x:c>
      <x:c r="B5" s="31" t="n">
        <x:v>5744.618179729201</x:v>
      </x:c>
      <x:c r="C5" s="32" t="n">
        <x:v>2.8403586866334254</x:v>
      </x:c>
      <x:c r="D5" s="32" t="n">
        <x:f>IF(C5="","",(1/'Metadata'!$B$5)^(C5-1))</x:f>
        <x:v>69.24025946327622</x:v>
      </x:c>
      <x:c r="E5" s="31" t="n">
        <x:f>IF(B5=0,"",B5*D5)</x:f>
        <x:v>397758.85328190343</x:v>
      </x:c>
    </x:row>
    <x:row r="6" ht="18" customHeight="1">
      <x:c r="A6" s="24" t="str">
        <x:v>Molluscs</x:v>
      </x:c>
      <x:c r="B6" s="31" t="n">
        <x:v>228.5106950954</x:v>
      </x:c>
      <x:c r="C6" s="32" t="n">
        <x:v>2.1731714455667355</x:v>
      </x:c>
      <x:c r="D6" s="32" t="n">
        <x:f>IF(C6="","",(1/'Metadata'!$B$5)^(C6-1))</x:f>
        <x:v>14.899491458817248</x:v>
      </x:c>
      <x:c r="E6" s="31" t="n">
        <x:f>IF(B6=0,"",B6*D6)</x:f>
        <x:v>3404.693149822305</x:v>
      </x:c>
    </x:row>
    <x:row r="7" ht="18" customHeight="1">
      <x:c r="A7" s="24" t="str">
        <x:v>Other fishes &amp; inverts</x:v>
      </x:c>
      <x:c r="B7" s="31" t="n">
        <x:v>13272.542730127603</x:v>
      </x:c>
      <x:c r="C7" s="32" t="n">
        <x:v>3.249069591544346</x:v>
      </x:c>
      <x:c r="D7" s="32" t="n">
        <x:f>IF(C7="","",(1/'Metadata'!$B$5)^(C7-1))</x:f>
        <x:v>177.4473800594749</x:v>
      </x:c>
      <x:c r="E7" s="31" t="n">
        <x:f>IF(B7=0,"",B7*D7)</x:f>
        <x:v>2355177.9341885736</x:v>
      </x:c>
    </x:row>
    <x:row r="8" ht="18" customHeight="1">
      <x:c r="A8" s="24" t="str">
        <x:v>Perch-likes</x:v>
      </x:c>
      <x:c r="B8" s="31" t="n">
        <x:v>25204.1945691117</x:v>
      </x:c>
      <x:c r="C8" s="32" t="n">
        <x:v>3.9363730035567412</x:v>
      </x:c>
      <x:c r="D8" s="32" t="n">
        <x:f>IF(C8="","",(1/'Metadata'!$B$5)^(C8-1))</x:f>
        <x:v>863.720054633119</x:v>
      </x:c>
      <x:c r="E8" s="31" t="n">
        <x:f>IF(B8=0,"",B8*D8)</x:f>
        <x:v>21769368.31021692</x:v>
      </x:c>
    </x:row>
    <x:row r="9" ht="18" customHeight="1">
      <x:c r="A9" s="24" t="str">
        <x:v>Sharks &amp; rays</x:v>
      </x:c>
      <x:c r="B9" s="31" t="n">
        <x:v>4577.99240378</x:v>
      </x:c>
      <x:c r="C9" s="32" t="n">
        <x:v>4.168836944565506</x:v>
      </x:c>
      <x:c r="D9" s="32" t="n">
        <x:f>IF(C9="","",(1/'Metadata'!$B$5)^(C9-1))</x:f>
        <x:v>1475.1525847110238</x:v>
      </x:c>
      <x:c r="E9" s="31" t="n">
        <x:f>IF(B9=0,"",B9*D9)</x:f>
        <x:v>6753237.3272235</x:v>
      </x:c>
    </x:row>
    <x:row r="10" ht="18" customHeight="1">
      <x:c r="A10" s="24" t="str">
        <x:v>Tuna &amp; billfishes</x:v>
      </x:c>
      <x:c r="B10" s="31" t="n">
        <x:v>7837.2555985278</x:v>
      </x:c>
      <x:c r="C10" s="32" t="n">
        <x:v>4.445604973405622</x:v>
      </x:c>
      <x:c r="D10" s="32" t="n">
        <x:f>IF(C10="","",(1/'Metadata'!$B$5)^(C10-1))</x:f>
        <x:v>2790.0049474960965</x:v>
      </x:c>
      <x:c r="E10" s="31" t="n">
        <x:f>IF(B10=0,"",B10*D10)</x:f>
        <x:v>21865981.894684043</x:v>
      </x:c>
    </x:row>
  </x:sheetData>
  <x:pageMargins left="0.7" right="0.7" top="0.75" bottom="0.75" header="0.3" footer="0.3"/>
  <x:tableParts count="1">
    <x:tablePart xmlns:r="http://schemas.openxmlformats.org/officeDocument/2006/relationships" r:id="R18c55b6614e044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83.58197426059999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53965.055152422115</x:v>
      </x:c>
    </x:row>
    <x:row r="3" ht="18" customHeight="1">
      <x:c r="A3" s="24" t="str">
        <x:v>Large benthopelagics (&gt;=90 cm)</x:v>
      </x:c>
      <x:c r="B3" s="31" t="n">
        <x:v>223.6447396452</x:v>
      </x:c>
      <x:c r="C3" s="32" t="n">
        <x:v>3.093500570910284</x:v>
      </x:c>
      <x:c r="D3" s="32" t="n">
        <x:f>IF(C3="","",(1/'Metadata'!$B$5)^(C3-1))</x:f>
        <x:v>124.02252554801217</x:v>
      </x:c>
      <x:c r="E3" s="31" t="n">
        <x:f>IF(B3=0,"",B3*D3)</x:f>
        <x:v>27736.985436325347</x:v>
      </x:c>
    </x:row>
    <x:row r="4" ht="18" customHeight="1">
      <x:c r="A4" s="24" t="str">
        <x:v>Large demersals (&gt;=90 cm)</x:v>
      </x:c>
      <x:c r="B4" s="31" t="n">
        <x:v>334.4164216379</x:v>
      </x:c>
      <x:c r="C4" s="32" t="n">
        <x:v>4.199993483603244</x:v>
      </x:c>
      <x:c r="D4" s="32" t="n">
        <x:f>IF(C4="","",(1/'Metadata'!$B$5)^(C4-1))</x:f>
        <x:v>1584.8694120176424</x:v>
      </x:c>
      <x:c r="E4" s="31" t="n">
        <x:f>IF(B4=0,"",B4*D4)</x:f>
        <x:v>530006.3575303025</x:v>
      </x:c>
    </x:row>
    <x:row r="5" ht="18" customHeight="1">
      <x:c r="A5" s="24" t="str">
        <x:v>Large pelagics (&gt;=90 cm)</x:v>
      </x:c>
      <x:c r="B5" s="31" t="n">
        <x:v>12113.206928074802</x:v>
      </x:c>
      <x:c r="C5" s="32" t="n">
        <x:v>4.469433521434107</x:v>
      </x:c>
      <x:c r="D5" s="32" t="n">
        <x:f>IF(C5="","",(1/'Metadata'!$B$5)^(C5-1))</x:f>
        <x:v>2947.3622818001486</x:v>
      </x:c>
      <x:c r="E5" s="31" t="n">
        <x:f>IF(B5=0,"",B5*D5)</x:f>
        <x:v>35702009.21144792</x:v>
      </x:c>
    </x:row>
    <x:row r="6" ht="18" customHeight="1">
      <x:c r="A6" s="24" t="str">
        <x:v>Large reef assoc. fish (&gt;=90 cm)</x:v>
      </x:c>
      <x:c r="B6" s="31" t="n">
        <x:v>30.5991393089</x:v>
      </x:c>
      <x:c r="C6" s="32" t="n">
        <x:v>4.5</x:v>
      </x:c>
      <x:c r="D6" s="32" t="n">
        <x:f>IF(C6="","",(1/'Metadata'!$B$5)^(C6-1))</x:f>
        <x:v>3162.2776601683795</x:v>
      </x:c>
      <x:c r="E6" s="31" t="n">
        <x:f>IF(B6=0,"",B6*D6)</x:f>
        <x:v>96762.97465691458</x:v>
      </x:c>
    </x:row>
    <x:row r="7" ht="18" customHeight="1">
      <x:c r="A7" s="24" t="str">
        <x:v>Large sharks (&gt;=90 cm)</x:v>
      </x:c>
      <x:c r="B7" s="31" t="n">
        <x:v>4577.99240378</x:v>
      </x:c>
      <x:c r="C7" s="32" t="n">
        <x:v>4.168836944565506</x:v>
      </x:c>
      <x:c r="D7" s="32" t="n">
        <x:f>IF(C7="","",(1/'Metadata'!$B$5)^(C7-1))</x:f>
        <x:v>1475.1525847110238</x:v>
      </x:c>
      <x:c r="E7" s="31" t="n">
        <x:f>IF(B7=0,"",B7*D7)</x:f>
        <x:v>6753237.3272235</x:v>
      </x:c>
    </x:row>
    <x:row r="8" ht="18" customHeight="1">
      <x:c r="A8" s="24" t="str">
        <x:v>Medium benthopelagics (30 - 89 cm)</x:v>
      </x:c>
      <x:c r="B8" s="31" t="n">
        <x:v>1758.3192836087</x:v>
      </x:c>
      <x:c r="C8" s="32" t="n">
        <x:v>3.228907735799188</x:v>
      </x:c>
      <x:c r="D8" s="32" t="n">
        <x:f>IF(C8="","",(1/'Metadata'!$B$5)^(C8-1))</x:f>
        <x:v>169.39778830980512</x:v>
      </x:c>
      <x:c r="E8" s="31" t="n">
        <x:f>IF(B8=0,"",B8*D8)</x:f>
        <x:v>297855.39778579475</x:v>
      </x:c>
    </x:row>
    <x:row r="9" ht="18" customHeight="1">
      <x:c r="A9" s="24" t="str">
        <x:v>Medium demersals (30 - 89 cm)</x:v>
      </x:c>
      <x:c r="B9" s="31" t="n">
        <x:v>12886.072996975001</x:v>
      </x:c>
      <x:c r="C9" s="32" t="n">
        <x:v>3.2815718388448682</x:v>
      </x:c>
      <x:c r="D9" s="32" t="n">
        <x:f>IF(C9="","",(1/'Metadata'!$B$5)^(C9-1))</x:f>
        <x:v>191.23696331674967</x:v>
      </x:c>
      <x:c r="E9" s="31" t="n">
        <x:f>IF(B9=0,"",B9*D9)</x:f>
        <x:v>2464293.4690194665</x:v>
      </x:c>
    </x:row>
    <x:row r="10" ht="18" customHeight="1">
      <x:c r="A10" s="24" t="str">
        <x:v>Medium pelagics (30 - 89 cm)</x:v>
      </x:c>
      <x:c r="B10" s="31" t="n">
        <x:v>8742.24449263</x:v>
      </x:c>
      <x:c r="C10" s="32" t="n">
        <x:v>4.016321261723978</x:v>
      </x:c>
      <x:c r="D10" s="32" t="n">
        <x:f>IF(C10="","",(1/'Metadata'!$B$5)^(C10-1))</x:f>
        <x:v>1038.2961932017329</x:v>
      </x:c>
      <x:c r="E10" s="31" t="n">
        <x:f>IF(B10=0,"",B10*D10)</x:f>
        <x:v>9077039.176736543</x:v>
      </x:c>
    </x:row>
    <x:row r="11" ht="18" customHeight="1">
      <x:c r="A11" s="24" t="str">
        <x:v>Medium reef assoc. fish (30 - 89 cm)</x:v>
      </x:c>
      <x:c r="B11" s="31" t="n">
        <x:v>9081.3947571822</x:v>
      </x:c>
      <x:c r="C11" s="32" t="n">
        <x:v>3.8088765515680993</x:v>
      </x:c>
      <x:c r="D11" s="32" t="n">
        <x:f>IF(C11="","",(1/'Metadata'!$B$5)^(C11-1))</x:f>
        <x:v>643.9861860885436</x:v>
      </x:c>
      <x:c r="E11" s="31" t="n">
        <x:f>IF(B11=0,"",B11*D11)</x:f>
        <x:v>5848292.77404226</x:v>
      </x:c>
    </x:row>
    <x:row r="12" ht="18" customHeight="1">
      <x:c r="A12" s="24" t="str">
        <x:v>Other demersal invertebrates</x:v>
      </x:c>
      <x:c r="B12" s="31" t="n">
        <x:v>562.9198564654</x:v>
      </x:c>
      <x:c r="C12" s="32" t="n">
        <x:v>2.070296911616516</x:v>
      </x:c>
      <x:c r="D12" s="32" t="n">
        <x:f>IF(C12="","",(1/'Metadata'!$B$5)^(C12-1))</x:f>
        <x:v>11.757010650437762</x:v>
      </x:c>
      <x:c r="E12" s="31" t="n">
        <x:f>IF(B12=0,"",B12*D12)</x:f>
        <x:v>6618.254747806604</x:v>
      </x:c>
    </x:row>
    <x:row r="13" ht="18" customHeight="1">
      <x:c r="A13" s="24" t="str">
        <x:v>Shrimps</x:v>
      </x:c>
      <x:c r="B13" s="31" t="n">
        <x:v>792.4296009395</x:v>
      </x:c>
      <x:c r="C13" s="32" t="n">
        <x:v>3.2911402796596625</x:v>
      </x:c>
      <x:c r="D13" s="32" t="n">
        <x:f>IF(C13="","",(1/'Metadata'!$B$5)^(C13-1))</x:f>
        <x:v>195.49708208205416</x:v>
      </x:c>
      <x:c r="E13" s="31" t="n">
        <x:f>IF(B13=0,"",B13*D13)</x:f>
        <x:v>154917.67473911887</x:v>
      </x:c>
    </x:row>
    <x:row r="14" ht="18" customHeight="1">
      <x:c r="A14" s="24" t="str">
        <x:v>Small benthopelagics (&lt;30 cm)</x:v>
      </x:c>
      <x:c r="B14" s="31" t="n">
        <x:v>640.2805578331</x:v>
      </x:c>
      <x:c r="C14" s="32" t="n">
        <x:v>3.1851600372457307</x:v>
      </x:c>
      <x:c r="D14" s="32" t="n">
        <x:f>IF(C14="","",(1/'Metadata'!$B$5)^(C14-1))</x:f>
        <x:v>153.16517704241113</x:v>
      </x:c>
      <x:c r="E14" s="31" t="n">
        <x:f>IF(B14=0,"",B14*D14)</x:f>
        <x:v>98068.68499732052</x:v>
      </x:c>
    </x:row>
    <x:row r="15" ht="18" customHeight="1">
      <x:c r="A15" s="24" t="str">
        <x:v>Small demersals (&lt;30 cm)</x:v>
      </x:c>
      <x:c r="B15" s="31" t="n">
        <x:v>46.06570390230001</x:v>
      </x:c>
      <x:c r="C15" s="32" t="n">
        <x:v>3.6142080498234463</x:v>
      </x:c>
      <x:c r="D15" s="32" t="n">
        <x:f>IF(C15="","",(1/'Metadata'!$B$5)^(C15-1))</x:f>
        <x:v>411.3467305594104</x:v>
      </x:c>
      <x:c r="E15" s="31" t="n">
        <x:f>IF(B15=0,"",B15*D15)</x:f>
        <x:v>18948.97669112898</x:v>
      </x:c>
    </x:row>
    <x:row r="16" ht="18" customHeight="1">
      <x:c r="A16" s="24" t="str">
        <x:v>Small pelagics (&lt;30 cm)</x:v>
      </x:c>
      <x:c r="B16" s="31" t="n">
        <x:v>9308.4117261482</x:v>
      </x:c>
      <x:c r="C16" s="32" t="n">
        <x:v>2.9853734115060004</x:v>
      </x:c>
      <x:c r="D16" s="32" t="n">
        <x:f>IF(C16="","",(1/'Metadata'!$B$5)^(C16-1))</x:f>
        <x:v>96.68818580949623</x:v>
      </x:c>
      <x:c r="E16" s="31" t="n">
        <x:f>IF(B16=0,"",B16*D16)</x:f>
        <x:v>900013.4425691108</x:v>
      </x:c>
    </x:row>
    <x:row r="17" ht="18" customHeight="1">
      <x:c r="A17" s="24" t="str">
        <x:v>Small reef assoc. fish (&lt;30 cm)</x:v>
      </x:c>
      <x:c r="B17" s="31" t="n">
        <x:v>111.4697192506</x:v>
      </x:c>
      <x:c r="C17" s="32" t="n">
        <x:v>2.28</x:v>
      </x:c>
      <x:c r="D17" s="32" t="n">
        <x:f>IF(C17="","",(1/'Metadata'!$B$5)^(C17-1))</x:f>
        <x:v>19.054607179632463</x:v>
      </x:c>
      <x:c r="E17" s="31" t="n">
        <x:f>IF(B17=0,"",B17*D17)</x:f>
        <x:v>2124.0117127440976</x:v>
      </x:c>
    </x:row>
    <x:row r="18" ht="18" customHeight="1">
      <x:c r="A18" s="24" t="str">
        <x:v>Small to medium flatfishes (&lt;90 cm)</x:v>
      </x:c>
      <x:c r="B18" s="31" t="n">
        <x:v>10.2606940146</x:v>
      </x:c>
      <x:c r="C18" s="32" t="n">
        <x:v>3.57</x:v>
      </x:c>
      <x:c r="D18" s="32" t="n">
        <x:f>IF(C18="","",(1/'Metadata'!$B$5)^(C18-1))</x:f>
        <x:v>371.5352290971724</x:v>
      </x:c>
      <x:c r="E18" s="31" t="n">
        <x:f>IF(B18=0,"",B18*D18)</x:f>
        <x:v>3812.209301410397</x:v>
      </x:c>
    </x:row>
  </x:sheetData>
  <x:pageMargins left="0.7" right="0.7" top="0.75" bottom="0.75" header="0.3" footer="0.3"/>
  <x:tableParts count="1">
    <x:tablePart xmlns:r="http://schemas.openxmlformats.org/officeDocument/2006/relationships" r:id="Re9c9685d7ca443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EEZ_357</x:v>
      </x:c>
      <x:c r="B2" s="24" t="str">
        <x:v>raw_filtered_tonnes</x:v>
      </x:c>
      <x:c r="C2" s="24" t="n">
        <x:v>61303.310995657004</x:v>
      </x:c>
      <x:c r="D2" s="24" t="str">
        <x:v>tonnes</x:v>
      </x:c>
    </x:row>
    <x:row r="3" ht="18" customHeight="1">
      <x:c r="A3" s="24" t="str">
        <x:v>EEZ_357</x:v>
      </x:c>
      <x:c r="B3" s="24" t="str">
        <x:v>species_catch_tonnes</x:v>
      </x:c>
      <x:c r="C3" s="24" t="n">
        <x:v>61303.310995657</x:v>
      </x:c>
      <x:c r="D3" s="24" t="str">
        <x:v>tonnes</x:v>
      </x:c>
    </x:row>
    <x:row r="4" ht="18" customHeight="1">
      <x:c r="A4" s="24" t="str">
        <x:v>EEZ_357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EEZ_357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EEZ_357</x:v>
      </x:c>
      <x:c r="B6" s="24" t="str">
        <x:v>matched_catch_tonnes</x:v>
      </x:c>
      <x:c r="C6" s="24" t="n">
        <x:v>61303.310995657</x:v>
      </x:c>
      <x:c r="D6" s="24" t="str">
        <x:v>tonnes</x:v>
      </x:c>
    </x:row>
    <x:row r="7" ht="18" customHeight="1">
      <x:c r="A7" s="24" t="str">
        <x:v>EEZ_357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EEZ_357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EEZ_357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EEZ_357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EEZ_357</x:v>
      </x:c>
      <x:c r="B11" s="24" t="str">
        <x:v>species_ppr</x:v>
      </x:c>
      <x:c r="C11" s="24" t="n">
        <x:v>69444286.60999125</x:v>
      </x:c>
      <x:c r="D11" s="24" t="str">
        <x:v>tonnes_primary_production_equivalent</x:v>
      </x:c>
    </x:row>
    <x:row r="12" ht="18" customHeight="1">
      <x:c r="A12" s="24" t="str">
        <x:v>EEZ_357</x:v>
      </x:c>
      <x:c r="B12" s="24" t="str">
        <x:v>commercial_ppr</x:v>
      </x:c>
      <x:c r="C12" s="24" t="n">
        <x:v>53936063.19903991</x:v>
      </x:c>
      <x:c r="D12" s="24" t="str">
        <x:v>tonnes_primary_production_equivalent</x:v>
      </x:c>
    </x:row>
    <x:row r="13" ht="18" customHeight="1">
      <x:c r="A13" s="24" t="str">
        <x:v>EEZ_357</x:v>
      </x:c>
      <x:c r="B13" s="24" t="str">
        <x:v>functional_ppr</x:v>
      </x:c>
      <x:c r="C13" s="24" t="n">
        <x:v>62035701.98379009</x:v>
      </x:c>
      <x:c r="D13" s="24" t="str">
        <x:v>tonnes_primary_production_equivalent</x:v>
      </x:c>
    </x:row>
    <x:row r="14" ht="18" customHeight="1">
      <x:c r="A14" s="24" t="str">
        <x:v>EEZ_357</x:v>
      </x:c>
      <x:c r="B14" s="24" t="str">
        <x:v>commercial_ppr_difference</x:v>
      </x:c>
      <x:c r="C14" s="24" t="n">
        <x:v>-15508223.410951339</x:v>
      </x:c>
      <x:c r="D14" s="24" t="str">
        <x:v>tonnes_primary_production_equivalent</x:v>
      </x:c>
    </x:row>
    <x:row r="15" ht="18" customHeight="1">
      <x:c r="A15" s="24" t="str">
        <x:v>EEZ_357</x:v>
      </x:c>
      <x:c r="B15" s="24" t="str">
        <x:v>functional_ppr_difference</x:v>
      </x:c>
      <x:c r="C15" s="24" t="n">
        <x:v>-7408584.62620116</x:v>
      </x:c>
      <x:c r="D15" s="24" t="str">
        <x:v>tonnes_primary_production_equivalent</x:v>
      </x:c>
    </x:row>
    <x:row r="16" ht="18" customHeight="1">
      <x:c r="A16" s="24" t="str">
        <x:v>EEZ_357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EEZ_357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34dc755d0ad47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EEZ_357 - Andaman &amp; Nicobar Isl. (India)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