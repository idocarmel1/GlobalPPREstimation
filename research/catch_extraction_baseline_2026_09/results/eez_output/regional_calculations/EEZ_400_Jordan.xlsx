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ebbbfb1b5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f9dd30df0e945d3"/>
    <x:sheet xmlns:r="http://schemas.openxmlformats.org/officeDocument/2006/relationships" name="Commercial" sheetId="2" r:id="R4e3efbdd5d754413"/>
    <x:sheet xmlns:r="http://schemas.openxmlformats.org/officeDocument/2006/relationships" name="Functional" sheetId="3" r:id="R9e6d789dc29e4be5"/>
    <x:sheet xmlns:r="http://schemas.openxmlformats.org/officeDocument/2006/relationships" name="Missing TL" sheetId="4" r:id="Re257f902cf8749d9"/>
    <x:sheet xmlns:r="http://schemas.openxmlformats.org/officeDocument/2006/relationships" name="Validation" sheetId="5" r:id="Rc7ece41beeae4a60"/>
    <x:sheet xmlns:r="http://schemas.openxmlformats.org/officeDocument/2006/relationships" name="Metadata" sheetId="6" r:id="Ra1f77f6c137d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ee40c54de4526" /><Relationship Type="http://schemas.openxmlformats.org/officeDocument/2006/relationships/theme" Target="/xl/theme/theme1.xml" Id="R5078003770b0464a" /><Relationship Type="http://schemas.microsoft.com/office/2022/11/relationships/FeaturePropertyBag" Target="/xl/featurePropertyBag/featurePropertyBag.xml" Id="Re50661d3071c4d02" /><Relationship Type="http://schemas.openxmlformats.org/officeDocument/2006/relationships/sharedStrings" Target="/xl/sharedStrings.xml" Id="Rd4498c7d92594029" /><Relationship Type="http://schemas.openxmlformats.org/officeDocument/2006/relationships/worksheet" Target="/xl/worksheets/sheet1.xml" Id="Raf9dd30df0e945d3" /><Relationship Type="http://schemas.openxmlformats.org/officeDocument/2006/relationships/worksheet" Target="/xl/worksheets/sheet2.xml" Id="R4e3efbdd5d754413" /><Relationship Type="http://schemas.openxmlformats.org/officeDocument/2006/relationships/worksheet" Target="/xl/worksheets/sheet3.xml" Id="R9e6d789dc29e4be5" /><Relationship Type="http://schemas.openxmlformats.org/officeDocument/2006/relationships/worksheet" Target="/xl/worksheets/sheet4.xml" Id="Re257f902cf8749d9" /><Relationship Type="http://schemas.openxmlformats.org/officeDocument/2006/relationships/worksheet" Target="/xl/worksheets/sheet5.xml" Id="Rc7ece41beeae4a60" /><Relationship Type="http://schemas.openxmlformats.org/officeDocument/2006/relationships/worksheet" Target="/xl/worksheets/sheet6.xml" Id="Ra1f77f6c137d46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00SpeciesTable" displayName="EEZ400SpeciesTable" ref="A1:U13" headerRowCount="1" totalsRowCount="0" totalsRowShown="0">
  <x:autoFilter ref="A1:U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00CommercialTable" displayName="EEZ400CommercialTable" ref="A1:E4" headerRowCount="1" totalsRowCount="0" totalsRowShown="0">
  <x:autoFilter ref="A1:E4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00FunctionalTable" displayName="EEZ400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00ValidationTable" displayName="EEZ40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4e3cdca3f049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c32d5a5c9b42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3e95946cd94c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8004475ccd4f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EEZ_400</x:v>
      </x:c>
      <x:c r="B2" s="24" t="str">
        <x:v>Jordan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81.232519825</x:v>
      </x:c>
      <x:c r="J2" s="31" t="n">
        <x:v>81.232519825</x:v>
      </x:c>
      <x:c r="K2" s="31" t="n">
        <x:v>0</x:v>
      </x:c>
      <x:c r="L2" s="31" t="n">
        <x:v>68</x:v>
      </x:c>
      <x:c r="M2" s="31" t="n">
        <x:v>13.232519825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15478.537554770814</x:v>
      </x:c>
    </x:row>
    <x:row r="3" ht="18" customHeight="1">
      <x:c r="A3" s="24" t="str">
        <x:v>EEZ_400</x:v>
      </x:c>
      <x:c r="B3" s="24" t="str">
        <x:v>Jordan</x:v>
      </x:c>
      <x:c r="C3" s="24" t="str">
        <x:v>EEZ</x:v>
      </x:c>
      <x:c r="D3" s="30" t="n">
        <x:v>2019</x:v>
      </x:c>
      <x:c r="E3" s="24" t="str">
        <x:v>Serranidae</x:v>
      </x:c>
      <x:c r="F3" s="24" t="str">
        <x:v>Basses, groupers, hinds</x:v>
      </x:c>
      <x:c r="G3" s="24" t="str">
        <x:v>Medium reef assoc. fish (30 - 89 cm)</x:v>
      </x:c>
      <x:c r="H3" s="24" t="str">
        <x:v>Perch-likes</x:v>
      </x:c>
      <x:c r="I3" s="31" t="n">
        <x:v>68.33216551</x:v>
      </x:c>
      <x:c r="J3" s="31" t="n">
        <x:v>68.33216551</x:v>
      </x:c>
      <x:c r="K3" s="31" t="n">
        <x:v>0</x:v>
      </x:c>
      <x:c r="L3" s="31" t="n">
        <x:v>50</x:v>
      </x:c>
      <x:c r="M3" s="31" t="n">
        <x:v>18.33216551</x:v>
      </x:c>
      <x:c r="N3" s="24" t="str">
        <x:v>serranidae</x:v>
      </x:c>
      <x:c r="O3" s="32" t="n">
        <x:v>3.98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Serranidae</x:v>
      </x:c>
      <x:c r="T3" s="32" t="n">
        <x:f>IF(O3="","",(1/'Metadata'!$B$5)^(O3-1))</x:f>
        <x:v>954.992586021436</x:v>
      </x:c>
      <x:c r="U3" s="31" t="n">
        <x:f>IF(T3="","",I3*T3)</x:f>
        <x:v>65256.71144883967</x:v>
      </x:c>
    </x:row>
    <x:row r="4" ht="18" customHeight="1">
      <x:c r="A4" s="24" t="str">
        <x:v>EEZ_400</x:v>
      </x:c>
      <x:c r="B4" s="24" t="str">
        <x:v>Jordan</x:v>
      </x:c>
      <x:c r="C4" s="24" t="str">
        <x:v>EEZ</x:v>
      </x:c>
      <x:c r="D4" s="30" t="n">
        <x:v>2019</x:v>
      </x:c>
      <x:c r="E4" s="24" t="str">
        <x:v>Lethrinidae</x:v>
      </x:c>
      <x:c r="F4" s="24" t="str">
        <x:v>Emperors, scavengers</x:v>
      </x:c>
      <x:c r="G4" s="24" t="str">
        <x:v>Medium reef assoc. fish (30 - 89 cm)</x:v>
      </x:c>
      <x:c r="H4" s="24" t="str">
        <x:v>Perch-likes</x:v>
      </x:c>
      <x:c r="I4" s="31" t="n">
        <x:v>53.089177941</x:v>
      </x:c>
      <x:c r="J4" s="31" t="n">
        <x:v>53.089177941</x:v>
      </x:c>
      <x:c r="K4" s="31" t="n">
        <x:v>0</x:v>
      </x:c>
      <x:c r="L4" s="31" t="n">
        <x:v>16</x:v>
      </x:c>
      <x:c r="M4" s="31" t="n">
        <x:v>37.089177941</x:v>
      </x:c>
      <x:c r="N4" s="24" t="str">
        <x:v>lethrinidae</x:v>
      </x:c>
      <x:c r="O4" s="32" t="n">
        <x:v>3.59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Lethrinidae</x:v>
      </x:c>
      <x:c r="T4" s="32" t="n">
        <x:f>IF(O4="","",(1/'Metadata'!$B$5)^(O4-1))</x:f>
        <x:v>389.04514499428046</x:v>
      </x:c>
      <x:c r="U4" s="31" t="n">
        <x:f>IF(T4="","",I4*T4)</x:f>
        <x:v>20654.0869296835</x:v>
      </x:c>
    </x:row>
    <x:row r="5" ht="18" customHeight="1">
      <x:c r="A5" s="24" t="str">
        <x:v>EEZ_400</x:v>
      </x:c>
      <x:c r="B5" s="24" t="str">
        <x:v>Jordan</x:v>
      </x:c>
      <x:c r="C5" s="24" t="str">
        <x:v>EEZ</x:v>
      </x:c>
      <x:c r="D5" s="30" t="n">
        <x:v>2019</x:v>
      </x:c>
      <x:c r="E5" s="24" t="str">
        <x:v>Euthynnus affinis</x:v>
      </x:c>
      <x:c r="F5" s="24" t="str">
        <x:v>Kawakawa</x:v>
      </x:c>
      <x:c r="G5" s="24" t="str">
        <x:v>Large pelagics (&gt;=90 cm)</x:v>
      </x:c>
      <x:c r="H5" s="24" t="str">
        <x:v>Tuna &amp; billfishes</x:v>
      </x:c>
      <x:c r="I5" s="31" t="n">
        <x:v>50</x:v>
      </x:c>
      <x:c r="J5" s="31" t="n">
        <x:v>50</x:v>
      </x:c>
      <x:c r="K5" s="31" t="n">
        <x:v>0</x:v>
      </x:c>
      <x:c r="L5" s="31" t="n">
        <x:v>50</x:v>
      </x:c>
      <x:c r="M5" s="31" t="n">
        <x:v>0</x:v>
      </x:c>
      <x:c r="N5" s="24" t="str">
        <x:v>euthynnus affinis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Euthynnus affinis</x:v>
      </x:c>
      <x:c r="T5" s="32" t="n">
        <x:f>IF(O5="","",(1/'Metadata'!$B$5)^(O5-1))</x:f>
        <x:v>3162.2776601683795</x:v>
      </x:c>
      <x:c r="U5" s="31" t="n">
        <x:f>IF(T5="","",I5*T5)</x:f>
        <x:v>158113.88300841898</x:v>
      </x:c>
    </x:row>
    <x:row r="6" ht="18" customHeight="1">
      <x:c r="A6" s="24" t="str">
        <x:v>EEZ_400</x:v>
      </x:c>
      <x:c r="B6" s="24" t="str">
        <x:v>Jordan</x:v>
      </x:c>
      <x:c r="C6" s="24" t="str">
        <x:v>EEZ</x:v>
      </x:c>
      <x:c r="D6" s="30" t="n">
        <x:v>2019</x:v>
      </x:c>
      <x:c r="E6" s="24" t="str">
        <x:v>Sparidae</x:v>
      </x:c>
      <x:c r="F6" s="24" t="str">
        <x:v>Porgies, seabreams</x:v>
      </x:c>
      <x:c r="G6" s="24" t="str">
        <x:v>Medium benthopelagics (30 - 89 cm)</x:v>
      </x:c>
      <x:c r="H6" s="24" t="str">
        <x:v>Perch-likes</x:v>
      </x:c>
      <x:c r="I6" s="31" t="n">
        <x:v>27.13536696</x:v>
      </x:c>
      <x:c r="J6" s="31" t="n">
        <x:v>27.13536696</x:v>
      </x:c>
      <x:c r="K6" s="31" t="n">
        <x:v>0</x:v>
      </x:c>
      <x:c r="L6" s="31" t="n">
        <x:v>0</x:v>
      </x:c>
      <x:c r="M6" s="31" t="n">
        <x:v>27.13536696</x:v>
      </x:c>
      <x:c r="N6" s="24" t="str">
        <x:v>sparidae</x:v>
      </x:c>
      <x:c r="O6" s="32" t="n">
        <x:v>3.31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Sparidae</x:v>
      </x:c>
      <x:c r="T6" s="32" t="n">
        <x:f>IF(O6="","",(1/'Metadata'!$B$5)^(O6-1))</x:f>
        <x:v>204.17379446695296</x:v>
      </x:c>
      <x:c r="U6" s="31" t="n">
        <x:f>IF(T6="","",I6*T6)</x:f>
        <x:v>5540.330836476386</x:v>
      </x:c>
    </x:row>
    <x:row r="7" ht="18" customHeight="1">
      <x:c r="A7" s="24" t="str">
        <x:v>EEZ_400</x:v>
      </x:c>
      <x:c r="B7" s="24" t="str">
        <x:v>Jordan</x:v>
      </x:c>
      <x:c r="C7" s="24" t="str">
        <x:v>EEZ</x:v>
      </x:c>
      <x:c r="D7" s="30" t="n">
        <x:v>2019</x:v>
      </x:c>
      <x:c r="E7" s="24" t="str">
        <x:v>Caesionidae</x:v>
      </x:c>
      <x:c r="F7" s="24" t="str">
        <x:v>Fusiliers</x:v>
      </x:c>
      <x:c r="G7" s="24" t="str">
        <x:v>Medium reef assoc. fish (30 - 89 cm)</x:v>
      </x:c>
      <x:c r="H7" s="24" t="str">
        <x:v>Perch-likes</x:v>
      </x:c>
      <x:c r="I7" s="31" t="n">
        <x:v>23.94830927</x:v>
      </x:c>
      <x:c r="J7" s="31" t="n">
        <x:v>23.94830927</x:v>
      </x:c>
      <x:c r="K7" s="31" t="n">
        <x:v>0</x:v>
      </x:c>
      <x:c r="L7" s="31" t="n">
        <x:v>22</x:v>
      </x:c>
      <x:c r="M7" s="31" t="n">
        <x:v>1.94830927</x:v>
      </x:c>
      <x:c r="N7" s="24" t="str">
        <x:v>caesionidae</x:v>
      </x:c>
      <x:c r="O7" s="32" t="n">
        <x:v>3.39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Caesionidae</x:v>
      </x:c>
      <x:c r="T7" s="32" t="n">
        <x:f>IF(O7="","",(1/'Metadata'!$B$5)^(O7-1))</x:f>
        <x:v>245.4708915685031</x:v>
      </x:c>
      <x:c r="U7" s="31" t="n">
        <x:f>IF(T7="","",I7*T7)</x:f>
        <x:v>5878.612828065147</x:v>
      </x:c>
    </x:row>
    <x:row r="8" ht="18" customHeight="1">
      <x:c r="A8" s="24" t="str">
        <x:v>EEZ_400</x:v>
      </x:c>
      <x:c r="B8" s="24" t="str">
        <x:v>Jordan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23.82951379</x:v>
      </x:c>
      <x:c r="J8" s="31" t="n">
        <x:v>23.82951379</x:v>
      </x:c>
      <x:c r="K8" s="31" t="n">
        <x:v>0</x:v>
      </x:c>
      <x:c r="L8" s="31" t="n">
        <x:v>12</x:v>
      </x:c>
      <x:c r="M8" s="31" t="n">
        <x:v>11.82951379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43362.58670392142</x:v>
      </x:c>
    </x:row>
    <x:row r="9" ht="18" customHeight="1">
      <x:c r="A9" s="24" t="str">
        <x:v>EEZ_400</x:v>
      </x:c>
      <x:c r="B9" s="24" t="str">
        <x:v>Jordan</x:v>
      </x:c>
      <x:c r="C9" s="24" t="str">
        <x:v>EEZ</x:v>
      </x:c>
      <x:c r="D9" s="30" t="n">
        <x:v>2019</x:v>
      </x:c>
      <x:c r="E9" s="24" t="str">
        <x:v>Scomberomorus commerson</x:v>
      </x:c>
      <x:c r="F9" s="24" t="str">
        <x:v>Narrow-barred Spanish mackerel</x:v>
      </x:c>
      <x:c r="G9" s="24" t="str">
        <x:v>Large pelagics (&gt;=90 cm)</x:v>
      </x:c>
      <x:c r="H9" s="24" t="str">
        <x:v>Perch-likes</x:v>
      </x:c>
      <x:c r="I9" s="31" t="n">
        <x:v>18</x:v>
      </x:c>
      <x:c r="J9" s="31" t="n">
        <x:v>18</x:v>
      </x:c>
      <x:c r="K9" s="31" t="n">
        <x:v>0</x:v>
      </x:c>
      <x:c r="L9" s="31" t="n">
        <x:v>18</x:v>
      </x:c>
      <x:c r="M9" s="31" t="n">
        <x:v>0</x:v>
      </x:c>
      <x:c r="N9" s="24" t="str">
        <x:v>scomberomorus commerson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Scomberomorus commerson</x:v>
      </x:c>
      <x:c r="T9" s="32" t="n">
        <x:f>IF(O9="","",(1/'Metadata'!$B$5)^(O9-1))</x:f>
        <x:v>3162.2776601683795</x:v>
      </x:c>
      <x:c r="U9" s="31" t="n">
        <x:f>IF(T9="","",I9*T9)</x:f>
        <x:v>56920.99788303083</x:v>
      </x:c>
    </x:row>
    <x:row r="10" ht="18" customHeight="1">
      <x:c r="A10" s="24" t="str">
        <x:v>EEZ_400</x:v>
      </x:c>
      <x:c r="B10" s="24" t="str">
        <x:v>Jordan</x:v>
      </x:c>
      <x:c r="C10" s="24" t="str">
        <x:v>EEZ</x:v>
      </x:c>
      <x:c r="D10" s="30" t="n">
        <x:v>2019</x:v>
      </x:c>
      <x:c r="E10" s="24" t="str">
        <x:v>Thunnus tonggol</x:v>
      </x:c>
      <x:c r="F10" s="24" t="str">
        <x:v>Longtail tuna</x:v>
      </x:c>
      <x:c r="G10" s="24" t="str">
        <x:v>Large pelagics (&gt;=90 cm)</x:v>
      </x:c>
      <x:c r="H10" s="24" t="str">
        <x:v>Tuna &amp; billfishes</x:v>
      </x:c>
      <x:c r="I10" s="31" t="n">
        <x:v>17</x:v>
      </x:c>
      <x:c r="J10" s="31" t="n">
        <x:v>17</x:v>
      </x:c>
      <x:c r="K10" s="31" t="n">
        <x:v>0</x:v>
      </x:c>
      <x:c r="L10" s="31" t="n">
        <x:v>17</x:v>
      </x:c>
      <x:c r="M10" s="31" t="n">
        <x:v>0</x:v>
      </x:c>
      <x:c r="N10" s="24" t="str">
        <x:v>thunnus tonggol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tonggol</x:v>
      </x:c>
      <x:c r="T10" s="32" t="n">
        <x:f>IF(O10="","",(1/'Metadata'!$B$5)^(O10-1))</x:f>
        <x:v>3162.2776601683795</x:v>
      </x:c>
      <x:c r="U10" s="31" t="n">
        <x:f>IF(T10="","",I10*T10)</x:f>
        <x:v>53758.72022286245</x:v>
      </x:c>
    </x:row>
    <x:row r="11" ht="18" customHeight="1">
      <x:c r="A11" s="24" t="str">
        <x:v>EEZ_400</x:v>
      </x:c>
      <x:c r="B11" s="24" t="str">
        <x:v>Jordan</x:v>
      </x:c>
      <x:c r="C11" s="24" t="str">
        <x:v>EEZ</x:v>
      </x:c>
      <x:c r="D11" s="30" t="n">
        <x:v>2019</x:v>
      </x:c>
      <x:c r="E11" s="24" t="str">
        <x:v>Decapterus</x:v>
      </x:c>
      <x:c r="F11" s="24" t="str">
        <x:v>Scads</x:v>
      </x:c>
      <x:c r="G11" s="24" t="str">
        <x:v>Medium pelagics (30 - 89 cm)</x:v>
      </x:c>
      <x:c r="H11" s="24" t="str">
        <x:v>Perch-likes</x:v>
      </x:c>
      <x:c r="I11" s="31" t="n">
        <x:v>15</x:v>
      </x:c>
      <x:c r="J11" s="31" t="n">
        <x:v>15</x:v>
      </x:c>
      <x:c r="K11" s="31" t="n">
        <x:v>0</x:v>
      </x:c>
      <x:c r="L11" s="31" t="n">
        <x:v>15</x:v>
      </x:c>
      <x:c r="M11" s="31" t="n">
        <x:v>0</x:v>
      </x:c>
      <x:c r="N11" s="24" t="str">
        <x:v>decapterus</x:v>
      </x:c>
      <x:c r="O11" s="32" t="n">
        <x:v>3.63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Decapterus</x:v>
      </x:c>
      <x:c r="T11" s="32" t="n">
        <x:f>IF(O11="","",(1/'Metadata'!$B$5)^(O11-1))</x:f>
        <x:v>426.57951880159254</x:v>
      </x:c>
      <x:c r="U11" s="31" t="n">
        <x:f>IF(T11="","",I11*T11)</x:f>
        <x:v>6398.692782023888</x:v>
      </x:c>
    </x:row>
    <x:row r="12" ht="18" customHeight="1">
      <x:c r="A12" s="24" t="str">
        <x:v>EEZ_400</x:v>
      </x:c>
      <x:c r="B12" s="24" t="str">
        <x:v>Jordan</x:v>
      </x:c>
      <x:c r="C12" s="24" t="str">
        <x:v>EEZ</x:v>
      </x:c>
      <x:c r="D12" s="30" t="n">
        <x:v>2019</x:v>
      </x:c>
      <x:c r="E12" s="24" t="str">
        <x:v>Auxis</x:v>
      </x:c>
      <x:c r="F12" s="24" t="str">
        <x:v>Bullet and frigate tunas</x:v>
      </x:c>
      <x:c r="G12" s="24" t="str">
        <x:v>Medium pelagics (30 - 89 cm)</x:v>
      </x:c>
      <x:c r="H12" s="24" t="str">
        <x:v>Tuna &amp; billfishes</x:v>
      </x:c>
      <x:c r="I12" s="31" t="n">
        <x:v>9</x:v>
      </x:c>
      <x:c r="J12" s="31" t="n">
        <x:v>9</x:v>
      </x:c>
      <x:c r="K12" s="31" t="n">
        <x:v>0</x:v>
      </x:c>
      <x:c r="L12" s="31" t="n">
        <x:v>9</x:v>
      </x:c>
      <x:c r="M12" s="31" t="n">
        <x:v>0</x:v>
      </x:c>
      <x:c r="N12" s="24" t="str">
        <x:v>auxis</x:v>
      </x:c>
      <x:c r="O12" s="32" t="n">
        <x:v>4.24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Auxis</x:v>
      </x:c>
      <x:c r="T12" s="32" t="n">
        <x:f>IF(O12="","",(1/'Metadata'!$B$5)^(O12-1))</x:f>
        <x:v>1737.8008287493763</x:v>
      </x:c>
      <x:c r="U12" s="31" t="n">
        <x:f>IF(T12="","",I12*T12)</x:f>
        <x:v>15640.207458744386</x:v>
      </x:c>
    </x:row>
    <x:row r="13" ht="18" customHeight="1">
      <x:c r="A13" s="24" t="str">
        <x:v>EEZ_400</x:v>
      </x:c>
      <x:c r="B13" s="24" t="str">
        <x:v>Jordan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1.192946703</x:v>
      </x:c>
      <x:c r="J13" s="31" t="n">
        <x:v>1.192946703</x:v>
      </x:c>
      <x:c r="K13" s="31" t="n">
        <x:v>0</x:v>
      </x:c>
      <x:c r="L13" s="31" t="n">
        <x:v>0</x:v>
      </x:c>
      <x:c r="M13" s="31" t="n">
        <x:v>1.192946703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1338.508215764683</x:v>
      </x:c>
    </x:row>
  </x:sheetData>
  <x:conditionalFormatting sqref="R2:R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04e3cdca3f049d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81.232519825</x:v>
      </x:c>
      <x:c r="C2" s="32" t="n">
        <x:v>3.28</x:v>
      </x:c>
      <x:c r="D2" s="32" t="n">
        <x:f>IF(C2="","",(1/'Metadata'!$B$5)^(C2-1))</x:f>
        <x:v>190.54607179632464</x:v>
      </x:c>
      <x:c r="E2" s="31" t="n">
        <x:f>IF(B2=0,"",B2*D2)</x:f>
        <x:v>15478.537554770814</x:v>
      </x:c>
    </x:row>
    <x:row r="3" ht="18" customHeight="1">
      <x:c r="A3" s="24" t="str">
        <x:v>Perch-likes</x:v>
      </x:c>
      <x:c r="B3" s="31" t="n">
        <x:v>230.527480174</x:v>
      </x:c>
      <x:c r="C3" s="32" t="n">
        <x:v>3.797161895114343</x:v>
      </x:c>
      <x:c r="D3" s="32" t="n">
        <x:f>IF(C3="","",(1/'Metadata'!$B$5)^(C3-1))</x:f>
        <x:v>626.8474956259349</x:v>
      </x:c>
      <x:c r="E3" s="31" t="n">
        <x:f>IF(B3=0,"",B3*D3)</x:f>
        <x:v>144505.57362002926</x:v>
      </x:c>
    </x:row>
    <x:row r="4" ht="18" customHeight="1">
      <x:c r="A4" s="24" t="str">
        <x:v>Tuna &amp; billfishes</x:v>
      </x:c>
      <x:c r="B4" s="31" t="n">
        <x:v>76</x:v>
      </x:c>
      <x:c r="C4" s="32" t="n">
        <x:v>4.4692105263157895</x:v>
      </x:c>
      <x:c r="D4" s="32" t="n">
        <x:f>IF(C4="","",(1/'Metadata'!$B$5)^(C4-1))</x:f>
        <x:v>2945.849302197217</x:v>
      </x:c>
      <x:c r="E4" s="31" t="n">
        <x:f>IF(B4=0,"",B4*D4)</x:f>
        <x:v>223884.5469669885</x:v>
      </x:c>
    </x:row>
  </x:sheetData>
  <x:pageMargins left="0.7" right="0.7" top="0.75" bottom="0.75" header="0.3" footer="0.3"/>
  <x:tableParts count="1">
    <x:tablePart xmlns:r="http://schemas.openxmlformats.org/officeDocument/2006/relationships" r:id="Rf6c32d5a5c9b42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85</x:v>
      </x:c>
      <x:c r="C2" s="32" t="n">
        <x:v>4.5</x:v>
      </x:c>
      <x:c r="D2" s="32" t="n">
        <x:f>IF(C2="","",(1/'Metadata'!$B$5)^(C2-1))</x:f>
        <x:v>3162.2776601683795</x:v>
      </x:c>
      <x:c r="E2" s="31" t="n">
        <x:f>IF(B2=0,"",B2*D2)</x:f>
        <x:v>268793.60111431225</x:v>
      </x:c>
    </x:row>
    <x:row r="3" ht="18" customHeight="1">
      <x:c r="A3" s="24" t="str">
        <x:v>Medium benthopelagics (30 - 89 cm)</x:v>
      </x:c>
      <x:c r="B3" s="31" t="n">
        <x:v>27.13536696</x:v>
      </x:c>
      <x:c r="C3" s="32" t="n">
        <x:v>3.31</x:v>
      </x:c>
      <x:c r="D3" s="32" t="n">
        <x:f>IF(C3="","",(1/'Metadata'!$B$5)^(C3-1))</x:f>
        <x:v>204.17379446695296</x:v>
      </x:c>
      <x:c r="E3" s="31" t="n">
        <x:f>IF(B3=0,"",B3*D3)</x:f>
        <x:v>5540.330836476386</x:v>
      </x:c>
    </x:row>
    <x:row r="4" ht="18" customHeight="1">
      <x:c r="A4" s="24" t="str">
        <x:v>Medium demersals (30 - 89 cm)</x:v>
      </x:c>
      <x:c r="B4" s="31" t="n">
        <x:v>81.232519825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15478.537554770814</x:v>
      </x:c>
    </x:row>
    <x:row r="5" ht="18" customHeight="1">
      <x:c r="A5" s="24" t="str">
        <x:v>Medium pelagics (30 - 89 cm)</x:v>
      </x:c>
      <x:c r="B5" s="31" t="n">
        <x:v>49.022460493</x:v>
      </x:c>
      <x:c r="C5" s="32" t="n">
        <x:v>4.0584491453863105</x:v>
      </x:c>
      <x:c r="D5" s="32" t="n">
        <x:f>IF(C5="","",(1/'Metadata'!$B$5)^(C5-1))</x:f>
        <x:v>1144.0609057870183</x:v>
      </x:c>
      <x:c r="E5" s="31" t="n">
        <x:f>IF(B5=0,"",B5*D5)</x:f>
        <x:v>56084.6805555299</x:v>
      </x:c>
    </x:row>
    <x:row r="6" ht="18" customHeight="1">
      <x:c r="A6" s="24" t="str">
        <x:v>Medium reef assoc. fish (30 - 89 cm)</x:v>
      </x:c>
      <x:c r="B6" s="31" t="n">
        <x:v>145.369652721</x:v>
      </x:c>
      <x:c r="C6" s="32" t="n">
        <x:v>3.740374457706482</x:v>
      </x:c>
      <x:c r="D6" s="32" t="n">
        <x:f>IF(C6="","",(1/'Metadata'!$B$5)^(C6-1))</x:f>
        <x:v>550.0149037224636</x:v>
      </x:c>
      <x:c r="E6" s="31" t="n">
        <x:f>IF(B6=0,"",B6*D6)</x:f>
        <x:v>79955.47554550879</x:v>
      </x:c>
    </x:row>
  </x:sheetData>
  <x:pageMargins left="0.7" right="0.7" top="0.75" bottom="0.75" header="0.3" footer="0.3"/>
  <x:tableParts count="1">
    <x:tablePart xmlns:r="http://schemas.openxmlformats.org/officeDocument/2006/relationships" r:id="R363e95946cd94c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EEZ_400</x:v>
      </x:c>
      <x:c r="B2" s="24" t="str">
        <x:v>raw_filtered_tonnes</x:v>
      </x:c>
      <x:c r="C2" s="24" t="n">
        <x:v>387.759999999</x:v>
      </x:c>
      <x:c r="D2" s="24" t="str">
        <x:v>tonnes</x:v>
      </x:c>
    </x:row>
    <x:row r="3" ht="18" customHeight="1">
      <x:c r="A3" s="24" t="str">
        <x:v>EEZ_400</x:v>
      </x:c>
      <x:c r="B3" s="24" t="str">
        <x:v>species_catch_tonnes</x:v>
      </x:c>
      <x:c r="C3" s="24" t="n">
        <x:v>387.759999999</x:v>
      </x:c>
      <x:c r="D3" s="24" t="str">
        <x:v>tonnes</x:v>
      </x:c>
    </x:row>
    <x:row r="4" ht="18" customHeight="1">
      <x:c r="A4" s="24" t="str">
        <x:v>EEZ_400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EEZ_400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EEZ_400</x:v>
      </x:c>
      <x:c r="B6" s="24" t="str">
        <x:v>matched_catch_tonnes</x:v>
      </x:c>
      <x:c r="C6" s="24" t="n">
        <x:v>387.759999999</x:v>
      </x:c>
      <x:c r="D6" s="24" t="str">
        <x:v>tonnes</x:v>
      </x:c>
    </x:row>
    <x:row r="7" ht="18" customHeight="1">
      <x:c r="A7" s="24" t="str">
        <x:v>EEZ_400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EEZ_400</x:v>
      </x:c>
      <x:c r="B8" s="24" t="str">
        <x:v>taxa_count</x:v>
      </x:c>
      <x:c r="C8" s="24" t="n">
        <x:v>12</x:v>
      </x:c>
      <x:c r="D8" s="24" t="str">
        <x:v>count</x:v>
      </x:c>
    </x:row>
    <x:row r="9" ht="18" customHeight="1">
      <x:c r="A9" s="24" t="str">
        <x:v>EEZ_400</x:v>
      </x:c>
      <x:c r="B9" s="24" t="str">
        <x:v>matched_taxa_count</x:v>
      </x:c>
      <x:c r="C9" s="24" t="n">
        <x:v>12</x:v>
      </x:c>
      <x:c r="D9" s="24" t="str">
        <x:v>count</x:v>
      </x:c>
    </x:row>
    <x:row r="10" ht="18" customHeight="1">
      <x:c r="A10" s="24" t="str">
        <x:v>EEZ_400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EEZ_400</x:v>
      </x:c>
      <x:c r="B11" s="24" t="str">
        <x:v>species_ppr</x:v>
      </x:c>
      <x:c r="C11" s="24" t="n">
        <x:v>448341.8758726021</x:v>
      </x:c>
      <x:c r="D11" s="24" t="str">
        <x:v>tonnes_primary_production_equivalent</x:v>
      </x:c>
    </x:row>
    <x:row r="12" ht="18" customHeight="1">
      <x:c r="A12" s="24" t="str">
        <x:v>EEZ_400</x:v>
      </x:c>
      <x:c r="B12" s="24" t="str">
        <x:v>commercial_ppr</x:v>
      </x:c>
      <x:c r="C12" s="24" t="n">
        <x:v>383868.65814178856</x:v>
      </x:c>
      <x:c r="D12" s="24" t="str">
        <x:v>tonnes_primary_production_equivalent</x:v>
      </x:c>
    </x:row>
    <x:row r="13" ht="18" customHeight="1">
      <x:c r="A13" s="24" t="str">
        <x:v>EEZ_400</x:v>
      </x:c>
      <x:c r="B13" s="24" t="str">
        <x:v>functional_ppr</x:v>
      </x:c>
      <x:c r="C13" s="24" t="n">
        <x:v>425852.62560659816</x:v>
      </x:c>
      <x:c r="D13" s="24" t="str">
        <x:v>tonnes_primary_production_equivalent</x:v>
      </x:c>
    </x:row>
    <x:row r="14" ht="18" customHeight="1">
      <x:c r="A14" s="24" t="str">
        <x:v>EEZ_400</x:v>
      </x:c>
      <x:c r="B14" s="24" t="str">
        <x:v>commercial_ppr_difference</x:v>
      </x:c>
      <x:c r="C14" s="24" t="n">
        <x:v>-64473.21773081354</x:v>
      </x:c>
      <x:c r="D14" s="24" t="str">
        <x:v>tonnes_primary_production_equivalent</x:v>
      </x:c>
    </x:row>
    <x:row r="15" ht="18" customHeight="1">
      <x:c r="A15" s="24" t="str">
        <x:v>EEZ_400</x:v>
      </x:c>
      <x:c r="B15" s="24" t="str">
        <x:v>functional_ppr_difference</x:v>
      </x:c>
      <x:c r="C15" s="24" t="n">
        <x:v>-22489.250266003946</x:v>
      </x:c>
      <x:c r="D15" s="24" t="str">
        <x:v>tonnes_primary_production_equivalent</x:v>
      </x:c>
    </x:row>
    <x:row r="16" ht="18" customHeight="1">
      <x:c r="A16" s="24" t="str">
        <x:v>EEZ_400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EEZ_400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18004475ccd4f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EEZ_400 - Jordan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EEZ_400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