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e2189123d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9ed8cac4ddf410b"/>
    <x:sheet xmlns:r="http://schemas.openxmlformats.org/officeDocument/2006/relationships" name="Commercial" sheetId="2" r:id="R1e98643d94fc49e3"/>
    <x:sheet xmlns:r="http://schemas.openxmlformats.org/officeDocument/2006/relationships" name="Functional" sheetId="3" r:id="R96d1e30f452240e5"/>
    <x:sheet xmlns:r="http://schemas.openxmlformats.org/officeDocument/2006/relationships" name="Missing TL" sheetId="4" r:id="R7086d594381b4f20"/>
    <x:sheet xmlns:r="http://schemas.openxmlformats.org/officeDocument/2006/relationships" name="Validation" sheetId="5" r:id="Rc6a8924538064dcd"/>
    <x:sheet xmlns:r="http://schemas.openxmlformats.org/officeDocument/2006/relationships" name="Metadata" sheetId="6" r:id="R679fcc19b950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bb6a7a3304293" /><Relationship Type="http://schemas.openxmlformats.org/officeDocument/2006/relationships/theme" Target="/xl/theme/theme1.xml" Id="Re6d924b71ffa46b5" /><Relationship Type="http://schemas.microsoft.com/office/2022/11/relationships/FeaturePropertyBag" Target="/xl/featurePropertyBag/featurePropertyBag.xml" Id="Rd74d6714c9044b98" /><Relationship Type="http://schemas.openxmlformats.org/officeDocument/2006/relationships/sharedStrings" Target="/xl/sharedStrings.xml" Id="R5c725e6164794bc0" /><Relationship Type="http://schemas.openxmlformats.org/officeDocument/2006/relationships/worksheet" Target="/xl/worksheets/sheet1.xml" Id="Re9ed8cac4ddf410b" /><Relationship Type="http://schemas.openxmlformats.org/officeDocument/2006/relationships/worksheet" Target="/xl/worksheets/sheet2.xml" Id="R1e98643d94fc49e3" /><Relationship Type="http://schemas.openxmlformats.org/officeDocument/2006/relationships/worksheet" Target="/xl/worksheets/sheet3.xml" Id="R96d1e30f452240e5" /><Relationship Type="http://schemas.openxmlformats.org/officeDocument/2006/relationships/worksheet" Target="/xl/worksheets/sheet4.xml" Id="R7086d594381b4f20" /><Relationship Type="http://schemas.openxmlformats.org/officeDocument/2006/relationships/worksheet" Target="/xl/worksheets/sheet5.xml" Id="Rc6a8924538064dcd" /><Relationship Type="http://schemas.openxmlformats.org/officeDocument/2006/relationships/worksheet" Target="/xl/worksheets/sheet6.xml" Id="R679fcc19b9504a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4SpeciesTable" displayName="EEZ274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4CommercialTable" displayName="EEZ27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4FunctionalTable" displayName="EEZ274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4ValidationTable" displayName="EEZ27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5f5df2109344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4a876521c946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0cf5f2199244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da2e7a621f4b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EEZ_274</x:v>
      </x:c>
      <x:c r="B2" s="24" t="str">
        <x:v>Gaza Strip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3815.362850588</x:v>
      </x:c>
      <x:c r="J2" s="31" t="n">
        <x:v>3815.362850588</x:v>
      </x:c>
      <x:c r="K2" s="31" t="n">
        <x:v>0</x:v>
      </x:c>
      <x:c r="L2" s="31" t="n">
        <x:v>2347.78358209</x:v>
      </x:c>
      <x:c r="M2" s="31" t="n">
        <x:v>1467.579268498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727002.403657171</x:v>
      </x:c>
    </x:row>
    <x:row r="3" ht="18" customHeight="1">
      <x:c r="A3" s="24" t="str">
        <x:v>EEZ_274</x:v>
      </x:c>
      <x:c r="B3" s="24" t="str">
        <x:v>Gaza Strip</x:v>
      </x:c>
      <x:c r="C3" s="24" t="str">
        <x:v>EEZ</x:v>
      </x:c>
      <x:c r="D3" s="30" t="n">
        <x:v>2019</x:v>
      </x:c>
      <x:c r="E3" s="24" t="str">
        <x:v>Mobula mobular</x:v>
      </x:c>
      <x:c r="F3" s="24" t="str">
        <x:v>Devil fish</x:v>
      </x:c>
      <x:c r="G3" s="24" t="str">
        <x:v>Large rays (&gt;=90 cm)</x:v>
      </x:c>
      <x:c r="H3" s="24" t="str">
        <x:v>Sharks &amp; rays</x:v>
      </x:c>
      <x:c r="I3" s="31" t="n">
        <x:v>599.5745760990001</x:v>
      </x:c>
      <x:c r="J3" s="31" t="n">
        <x:v>599.5745760990001</x:v>
      </x:c>
      <x:c r="K3" s="31" t="n">
        <x:v>0</x:v>
      </x:c>
      <x:c r="L3" s="31" t="n">
        <x:v>28.78667594</x:v>
      </x:c>
      <x:c r="M3" s="31" t="n">
        <x:v>570.787900159</x:v>
      </x:c>
      <x:c r="N3" s="24" t="str">
        <x:v>mobula mobular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Mobula mobular</x:v>
      </x:c>
      <x:c r="T3" s="32" t="n">
        <x:f>IF(O3="","",(1/'Metadata'!$B$5)^(O3-1))</x:f>
        <x:v>512.8613839913648</x:v>
      </x:c>
      <x:c r="U3" s="31" t="n">
        <x:f>IF(T3="","",I3*T3)</x:f>
        <x:v>307498.64690416906</x:v>
      </x:c>
    </x:row>
    <x:row r="4" ht="18" customHeight="1">
      <x:c r="A4" s="24" t="str">
        <x:v>EEZ_274</x:v>
      </x:c>
      <x:c r="B4" s="24" t="str">
        <x:v>Gaza Strip</x:v>
      </x:c>
      <x:c r="C4" s="24" t="str">
        <x:v>EEZ</x:v>
      </x:c>
      <x:c r="D4" s="30" t="n">
        <x:v>2019</x:v>
      </x:c>
      <x:c r="E4" s="24" t="str">
        <x:v>Portunus</x:v>
      </x:c>
      <x:c r="F4" s="24" t="str">
        <x:v>Swimmer crabs</x:v>
      </x:c>
      <x:c r="G4" s="24" t="str">
        <x:v>Lobsters, crabs</x:v>
      </x:c>
      <x:c r="H4" s="24" t="str">
        <x:v>Crustaceans</x:v>
      </x:c>
      <x:c r="I4" s="31" t="n">
        <x:v>328.9720743</x:v>
      </x:c>
      <x:c r="J4" s="31" t="n">
        <x:v>328.9720743</x:v>
      </x:c>
      <x:c r="K4" s="31" t="n">
        <x:v>0</x:v>
      </x:c>
      <x:c r="L4" s="31" t="n">
        <x:v>328.9720743</x:v>
      </x:c>
      <x:c r="M4" s="31" t="n">
        <x:v>0</x:v>
      </x:c>
      <x:c r="N4" s="24" t="str">
        <x:v>portunus</x:v>
      </x:c>
      <x:c r="O4" s="32" t="n">
        <x:v>3.26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Portunus</x:v>
      </x:c>
      <x:c r="T4" s="32" t="n">
        <x:f>IF(O4="","",(1/'Metadata'!$B$5)^(O4-1))</x:f>
        <x:v>181.97008586099827</x:v>
      </x:c>
      <x:c r="U4" s="31" t="n">
        <x:f>IF(T4="","",I4*T4)</x:f>
        <x:v>59863.076606241695</x:v>
      </x:c>
    </x:row>
    <x:row r="5" ht="18" customHeight="1">
      <x:c r="A5" s="24" t="str">
        <x:v>EEZ_274</x:v>
      </x:c>
      <x:c r="B5" s="24" t="str">
        <x:v>Gaza Strip</x:v>
      </x:c>
      <x:c r="C5" s="24" t="str">
        <x:v>EEZ</x:v>
      </x:c>
      <x:c r="D5" s="30" t="n">
        <x:v>2019</x:v>
      </x:c>
      <x:c r="E5" s="24" t="str">
        <x:v>Mullus surmuletus</x:v>
      </x:c>
      <x:c r="F5" s="24" t="str">
        <x:v>Surmullet</x:v>
      </x:c>
      <x:c r="G5" s="24" t="str">
        <x:v>Medium demersals (30 - 89 cm)</x:v>
      </x:c>
      <x:c r="H5" s="24" t="str">
        <x:v>Perch-likes</x:v>
      </x:c>
      <x:c r="I5" s="31" t="n">
        <x:v>176.13455690199999</x:v>
      </x:c>
      <x:c r="J5" s="31" t="n">
        <x:v>176.13455690199999</x:v>
      </x:c>
      <x:c r="K5" s="31" t="n">
        <x:v>0</x:v>
      </x:c>
      <x:c r="L5" s="31" t="n">
        <x:v>0</x:v>
      </x:c>
      <x:c r="M5" s="31" t="n">
        <x:v>176.13455690199999</x:v>
      </x:c>
      <x:c r="N5" s="24" t="str">
        <x:v>mullus surmuletus</x:v>
      </x:c>
      <x:c r="O5" s="32" t="n">
        <x:v>3.45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Mullus surmuletus</x:v>
      </x:c>
      <x:c r="T5" s="32" t="n">
        <x:f>IF(O5="","",(1/'Metadata'!$B$5)^(O5-1))</x:f>
        <x:v>281.8382931264455</x:v>
      </x:c>
      <x:c r="U5" s="31" t="n">
        <x:f>IF(T5="","",I5*T5)</x:f>
        <x:v>49641.46287784246</x:v>
      </x:c>
    </x:row>
    <x:row r="6" ht="18" customHeight="1">
      <x:c r="A6" s="24" t="str">
        <x:v>EEZ_274</x:v>
      </x:c>
      <x:c r="B6" s="24" t="str">
        <x:v>Gaza Strip</x:v>
      </x:c>
      <x:c r="C6" s="24" t="str">
        <x:v>EEZ</x:v>
      </x:c>
      <x:c r="D6" s="30" t="n">
        <x:v>2019</x:v>
      </x:c>
      <x:c r="E6" s="24" t="str">
        <x:v>Scomber scombrus</x:v>
      </x:c>
      <x:c r="F6" s="24" t="str">
        <x:v>Atlantic mackerel</x:v>
      </x:c>
      <x:c r="G6" s="24" t="str">
        <x:v>Medium pelagics (30 - 89 cm)</x:v>
      </x:c>
      <x:c r="H6" s="24" t="str">
        <x:v>Perch-likes</x:v>
      </x:c>
      <x:c r="I6" s="31" t="n">
        <x:v>176.12899</x:v>
      </x:c>
      <x:c r="J6" s="31" t="n">
        <x:v>176.12899</x:v>
      </x:c>
      <x:c r="K6" s="31" t="n">
        <x:v>0</x:v>
      </x:c>
      <x:c r="L6" s="31" t="n">
        <x:v>176.12899</x:v>
      </x:c>
      <x:c r="M6" s="31" t="n">
        <x:v>0</x:v>
      </x:c>
      <x:c r="N6" s="24" t="str">
        <x:v>scomber scombrus</x:v>
      </x:c>
      <x:c r="O6" s="32" t="n">
        <x:v>3.63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scombrus</x:v>
      </x:c>
      <x:c r="T6" s="32" t="n">
        <x:f>IF(O6="","",(1/'Metadata'!$B$5)^(O6-1))</x:f>
        <x:v>426.57951880159254</x:v>
      </x:c>
      <x:c r="U6" s="31" t="n">
        <x:f>IF(T6="","",I6*T6)</x:f>
        <x:v>75133.0198012105</x:v>
      </x:c>
    </x:row>
    <x:row r="7" ht="18" customHeight="1">
      <x:c r="A7" s="24" t="str">
        <x:v>EEZ_274</x:v>
      </x:c>
      <x:c r="B7" s="24" t="str">
        <x:v>Gaza Strip</x:v>
      </x:c>
      <x:c r="C7" s="24" t="str">
        <x:v>EEZ</x:v>
      </x:c>
      <x:c r="D7" s="30" t="n">
        <x:v>2019</x:v>
      </x:c>
      <x:c r="E7" s="24" t="str">
        <x:v>Decapoda</x:v>
      </x:c>
      <x:c r="F7" s="24" t="str">
        <x:v>Crabs, lobsters, shrimps</x:v>
      </x:c>
      <x:c r="G7" s="24" t="str">
        <x:v>Lobsters, crabs</x:v>
      </x:c>
      <x:c r="H7" s="24" t="str">
        <x:v>Crustaceans</x:v>
      </x:c>
      <x:c r="I7" s="31" t="n">
        <x:v>166.76611745399998</x:v>
      </x:c>
      <x:c r="J7" s="31" t="n">
        <x:v>166.76611745399998</x:v>
      </x:c>
      <x:c r="K7" s="31" t="n">
        <x:v>0</x:v>
      </x:c>
      <x:c r="L7" s="31" t="n">
        <x:v>0</x:v>
      </x:c>
      <x:c r="M7" s="31" t="n">
        <x:v>166.76611745399998</x:v>
      </x:c>
      <x:c r="N7" s="24" t="str">
        <x:v>decapoda</x:v>
      </x:c>
      <x:c r="O7" s="32" t="n">
        <x:v>3.43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Decapoda</x:v>
      </x:c>
      <x:c r="T7" s="32" t="n">
        <x:f>IF(O7="","",(1/'Metadata'!$B$5)^(O7-1))</x:f>
        <x:v>269.1534803926917</x:v>
      </x:c>
      <x:c r="U7" s="31" t="n">
        <x:f>IF(T7="","",I7*T7)</x:f>
        <x:v>44885.6809243205</x:v>
      </x:c>
    </x:row>
    <x:row r="8" ht="18" customHeight="1">
      <x:c r="A8" s="24" t="str">
        <x:v>EEZ_274</x:v>
      </x:c>
      <x:c r="B8" s="24" t="str">
        <x:v>Gaza Strip</x:v>
      </x:c>
      <x:c r="C8" s="24" t="str">
        <x:v>EEZ</x:v>
      </x:c>
      <x:c r="D8" s="30" t="n">
        <x:v>2019</x:v>
      </x:c>
      <x:c r="E8" s="24" t="str">
        <x:v>Penaeus</x:v>
      </x:c>
      <x:c r="F8" s="24" t="str">
        <x:v>Tiger prawns</x:v>
      </x:c>
      <x:c r="G8" s="24" t="str">
        <x:v>Shrimps</x:v>
      </x:c>
      <x:c r="H8" s="24" t="str">
        <x:v>Crustaceans</x:v>
      </x:c>
      <x:c r="I8" s="31" t="n">
        <x:v>163.312969</x:v>
      </x:c>
      <x:c r="J8" s="31" t="n">
        <x:v>163.312969</x:v>
      </x:c>
      <x:c r="K8" s="31" t="n">
        <x:v>0</x:v>
      </x:c>
      <x:c r="L8" s="31" t="n">
        <x:v>163.312969</x:v>
      </x:c>
      <x:c r="M8" s="31" t="n">
        <x:v>0</x:v>
      </x:c>
      <x:c r="N8" s="24" t="str">
        <x:v>penaeus</x:v>
      </x:c>
      <x:c r="O8" s="32" t="n">
        <x:v>2.7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Penaeus</x:v>
      </x:c>
      <x:c r="T8" s="32" t="n">
        <x:f>IF(O8="","",(1/'Metadata'!$B$5)^(O8-1))</x:f>
        <x:v>50.11872336272725</x:v>
      </x:c>
      <x:c r="U8" s="31" t="n">
        <x:f>IF(T8="","",I8*T8)</x:f>
        <x:v>8185.037514856652</x:v>
      </x:c>
    </x:row>
    <x:row r="9" ht="18" customHeight="1">
      <x:c r="A9" s="24" t="str">
        <x:v>EEZ_274</x:v>
      </x:c>
      <x:c r="B9" s="24" t="str">
        <x:v>Gaza Strip</x:v>
      </x:c>
      <x:c r="C9" s="24" t="str">
        <x:v>EEZ</x:v>
      </x:c>
      <x:c r="D9" s="30" t="n">
        <x:v>2019</x:v>
      </x:c>
      <x:c r="E9" s="24" t="str">
        <x:v>Dentex</x:v>
      </x:c>
      <x:c r="F9" s="24" t="str">
        <x:v>Toothed seabreams</x:v>
      </x:c>
      <x:c r="G9" s="24" t="str">
        <x:v>Large benthopelagics (&gt;=90 cm)</x:v>
      </x:c>
      <x:c r="H9" s="24" t="str">
        <x:v>Perch-likes</x:v>
      </x:c>
      <x:c r="I9" s="31" t="n">
        <x:v>139.33139572800002</x:v>
      </x:c>
      <x:c r="J9" s="31" t="n">
        <x:v>139.33139572800002</x:v>
      </x:c>
      <x:c r="K9" s="31" t="n">
        <x:v>0</x:v>
      </x:c>
      <x:c r="L9" s="31" t="n">
        <x:v>0</x:v>
      </x:c>
      <x:c r="M9" s="31" t="n">
        <x:v>139.33139572800002</x:v>
      </x:c>
      <x:c r="N9" s="24" t="str">
        <x:v>dentex</x:v>
      </x:c>
      <x:c r="O9" s="32" t="n">
        <x:v>3.96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Dentex</x:v>
      </x:c>
      <x:c r="T9" s="32" t="n">
        <x:f>IF(O9="","",(1/'Metadata'!$B$5)^(O9-1))</x:f>
        <x:v>912.0108393559096</x:v>
      </x:c>
      <x:c r="U9" s="31" t="n">
        <x:f>IF(T9="","",I9*T9)</x:f>
        <x:v>127071.7431665237</x:v>
      </x:c>
    </x:row>
    <x:row r="10" ht="18" customHeight="1">
      <x:c r="A10" s="24" t="str">
        <x:v>EEZ_274</x:v>
      </x:c>
      <x:c r="B10" s="24" t="str">
        <x:v>Gaza Strip</x:v>
      </x:c>
      <x:c r="C10" s="24" t="str">
        <x:v>EEZ</x:v>
      </x:c>
      <x:c r="D10" s="30" t="n">
        <x:v>2019</x:v>
      </x:c>
      <x:c r="E10" s="24" t="str">
        <x:v>Auxis rochei</x:v>
      </x:c>
      <x:c r="F10" s="24" t="str">
        <x:v>Bullet tuna</x:v>
      </x:c>
      <x:c r="G10" s="24" t="str">
        <x:v>Medium pelagics (30 - 89 cm)</x:v>
      </x:c>
      <x:c r="H10" s="24" t="str">
        <x:v>Tuna &amp; billfishes</x:v>
      </x:c>
      <x:c r="I10" s="31" t="n">
        <x:v>126.961273</x:v>
      </x:c>
      <x:c r="J10" s="31" t="n">
        <x:v>126.961273</x:v>
      </x:c>
      <x:c r="K10" s="31" t="n">
        <x:v>0</x:v>
      </x:c>
      <x:c r="L10" s="31" t="n">
        <x:v>126.961273</x:v>
      </x:c>
      <x:c r="M10" s="31" t="n">
        <x:v>0</x:v>
      </x:c>
      <x:c r="N10" s="24" t="str">
        <x:v>auxis rochei</x:v>
      </x:c>
      <x:c r="O10" s="32" t="n">
        <x:v>4.13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Auxis rochei</x:v>
      </x:c>
      <x:c r="T10" s="32" t="n">
        <x:f>IF(O10="","",(1/'Metadata'!$B$5)^(O10-1))</x:f>
        <x:v>1348.9628825916532</x:v>
      </x:c>
      <x:c r="U10" s="31" t="n">
        <x:f>IF(T10="","",I10*T10)</x:f>
        <x:v>171266.04480358583</x:v>
      </x:c>
    </x:row>
    <x:row r="11" ht="18" customHeight="1">
      <x:c r="A11" s="24" t="str">
        <x:v>EEZ_274</x:v>
      </x:c>
      <x:c r="B11" s="24" t="str">
        <x:v>Gaza Strip</x:v>
      </x:c>
      <x:c r="C11" s="24" t="str">
        <x:v>EEZ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126.6579665</x:v>
      </x:c>
      <x:c r="J11" s="31" t="n">
        <x:v>126.6579665</x:v>
      </x:c>
      <x:c r="K11" s="31" t="n">
        <x:v>0</x:v>
      </x:c>
      <x:c r="L11" s="31" t="n">
        <x:v>126.6579665</x:v>
      </x:c>
      <x:c r="M11" s="31" t="n">
        <x:v>0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62034.3892959782</x:v>
      </x:c>
    </x:row>
    <x:row r="12" ht="18" customHeight="1">
      <x:c r="A12" s="24" t="str">
        <x:v>EEZ_274</x:v>
      </x:c>
      <x:c r="B12" s="24" t="str">
        <x:v>Gaza Strip</x:v>
      </x:c>
      <x:c r="C12" s="24" t="str">
        <x:v>EEZ</x:v>
      </x:c>
      <x:c r="D12" s="30" t="n">
        <x:v>2019</x:v>
      </x:c>
      <x:c r="E12" s="24" t="str">
        <x:v>Loligo</x:v>
      </x:c>
      <x:c r="F12" s="24" t="str">
        <x:v>Common squids</x:v>
      </x:c>
      <x:c r="G12" s="24" t="str">
        <x:v>Cephalopods</x:v>
      </x:c>
      <x:c r="H12" s="24" t="str">
        <x:v>Other fishes &amp; inverts</x:v>
      </x:c>
      <x:c r="I12" s="31" t="n">
        <x:v>115.8240047</x:v>
      </x:c>
      <x:c r="J12" s="31" t="n">
        <x:v>115.8240047</x:v>
      </x:c>
      <x:c r="K12" s="31" t="n">
        <x:v>0</x:v>
      </x:c>
      <x:c r="L12" s="31" t="n">
        <x:v>115.8240047</x:v>
      </x:c>
      <x:c r="M12" s="31" t="n">
        <x:v>0</x:v>
      </x:c>
      <x:c r="N12" s="24" t="str">
        <x:v>loligo</x:v>
      </x:c>
      <x:c r="O12" s="32" t="n">
        <x:v>3.99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Loligo</x:v>
      </x:c>
      <x:c r="T12" s="32" t="n">
        <x:f>IF(O12="","",(1/'Metadata'!$B$5)^(O12-1))</x:f>
        <x:v>977.2372209558112</x:v>
      </x:c>
      <x:c r="U12" s="31" t="n">
        <x:f>IF(T12="","",I12*T12)</x:f>
        <x:v>113187.52847300081</x:v>
      </x:c>
    </x:row>
    <x:row r="13" ht="18" customHeight="1">
      <x:c r="A13" s="24" t="str">
        <x:v>EEZ_274</x:v>
      </x:c>
      <x:c r="B13" s="24" t="str">
        <x:v>Gaza Strip</x:v>
      </x:c>
      <x:c r="C13" s="24" t="str">
        <x:v>EEZ</x:v>
      </x:c>
      <x:c r="D13" s="30" t="n">
        <x:v>2019</x:v>
      </x:c>
      <x:c r="E13" s="24" t="str">
        <x:v>Solea solea</x:v>
      </x:c>
      <x:c r="F13" s="24" t="str">
        <x:v>Common sole</x:v>
      </x:c>
      <x:c r="G13" s="24" t="str">
        <x:v>Small to medium flatfishes (&lt;90 cm)</x:v>
      </x:c>
      <x:c r="H13" s="24" t="str">
        <x:v>Flatfishes</x:v>
      </x:c>
      <x:c r="I13" s="31" t="n">
        <x:v>100.568291722</x:v>
      </x:c>
      <x:c r="J13" s="31" t="n">
        <x:v>100.568291722</x:v>
      </x:c>
      <x:c r="K13" s="31" t="n">
        <x:v>0</x:v>
      </x:c>
      <x:c r="L13" s="31" t="n">
        <x:v>0</x:v>
      </x:c>
      <x:c r="M13" s="31" t="n">
        <x:v>100.568291722</x:v>
      </x:c>
      <x:c r="N13" s="24" t="str">
        <x:v>solea solea</x:v>
      </x:c>
      <x:c r="O13" s="32" t="n">
        <x:v>3.21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Solea solea</x:v>
      </x:c>
      <x:c r="T13" s="32" t="n">
        <x:f>IF(O13="","",(1/'Metadata'!$B$5)^(O13-1))</x:f>
        <x:v>162.18100973589299</x:v>
      </x:c>
      <x:c r="U13" s="31" t="n">
        <x:f>IF(T13="","",I13*T13)</x:f>
        <x:v>16310.267098887807</x:v>
      </x:c>
    </x:row>
    <x:row r="14" ht="18" customHeight="1">
      <x:c r="A14" s="24" t="str">
        <x:v>EEZ_274</x:v>
      </x:c>
      <x:c r="B14" s="24" t="str">
        <x:v>Gaza Strip</x:v>
      </x:c>
      <x:c r="C14" s="24" t="str">
        <x:v>EEZ</x:v>
      </x:c>
      <x:c r="D14" s="30" t="n">
        <x:v>2019</x:v>
      </x:c>
      <x:c r="E14" s="24" t="str">
        <x:v>Boops boops</x:v>
      </x:c>
      <x:c r="F14" s="24" t="str">
        <x:v>Bogue</x:v>
      </x:c>
      <x:c r="G14" s="24" t="str">
        <x:v>Medium demersals (30 - 89 cm)</x:v>
      </x:c>
      <x:c r="H14" s="24" t="str">
        <x:v>Perch-likes</x:v>
      </x:c>
      <x:c r="I14" s="31" t="n">
        <x:v>44.37320142</x:v>
      </x:c>
      <x:c r="J14" s="31" t="n">
        <x:v>44.37320142</x:v>
      </x:c>
      <x:c r="K14" s="31" t="n">
        <x:v>0</x:v>
      </x:c>
      <x:c r="L14" s="31" t="n">
        <x:v>44.37320142</x:v>
      </x:c>
      <x:c r="M14" s="31" t="n">
        <x:v>0</x:v>
      </x:c>
      <x:c r="N14" s="24" t="str">
        <x:v>boops boops</x:v>
      </x:c>
      <x:c r="O14" s="32" t="n">
        <x:v>2.79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Boops boops</x:v>
      </x:c>
      <x:c r="T14" s="32" t="n">
        <x:f>IF(O14="","",(1/'Metadata'!$B$5)^(O14-1))</x:f>
        <x:v>61.65950018614822</x:v>
      </x:c>
      <x:c r="U14" s="31" t="n">
        <x:f>IF(T14="","",I14*T14)</x:f>
        <x:v>2736.0294212164827</x:v>
      </x:c>
    </x:row>
    <x:row r="15" ht="18" customHeight="1">
      <x:c r="A15" s="24" t="str">
        <x:v>EEZ_274</x:v>
      </x:c>
      <x:c r="B15" s="24" t="str">
        <x:v>Gaza Strip</x:v>
      </x:c>
      <x:c r="C15" s="24" t="str">
        <x:v>EEZ</x:v>
      </x:c>
      <x:c r="D15" s="30" t="n">
        <x:v>2019</x:v>
      </x:c>
      <x:c r="E15" s="24" t="str">
        <x:v>Mullus</x:v>
      </x:c>
      <x:c r="F15" s="24" t="str">
        <x:v>Atlantic goatfishes</x:v>
      </x:c>
      <x:c r="G15" s="24" t="str">
        <x:v>Medium demersals (30 - 89 cm)</x:v>
      </x:c>
      <x:c r="H15" s="24" t="str">
        <x:v>Perch-likes</x:v>
      </x:c>
      <x:c r="I15" s="31" t="n">
        <x:v>44.12319991</x:v>
      </x:c>
      <x:c r="J15" s="31" t="n">
        <x:v>44.12319991</x:v>
      </x:c>
      <x:c r="K15" s="31" t="n">
        <x:v>0</x:v>
      </x:c>
      <x:c r="L15" s="31" t="n">
        <x:v>44.12319991</x:v>
      </x:c>
      <x:c r="M15" s="31" t="n">
        <x:v>0</x:v>
      </x:c>
      <x:c r="N15" s="24" t="str">
        <x:v>mullus</x:v>
      </x:c>
      <x:c r="O15" s="32" t="n">
        <x:v>3.29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Mullus</x:v>
      </x:c>
      <x:c r="T15" s="32" t="n">
        <x:f>IF(O15="","",(1/'Metadata'!$B$5)^(O15-1))</x:f>
        <x:v>194.98445997580455</x:v>
      </x:c>
      <x:c r="U15" s="31" t="n">
        <x:f>IF(T15="","",I15*T15)</x:f>
        <x:v>8603.338306855818</x:v>
      </x:c>
    </x:row>
    <x:row r="16" ht="18" customHeight="1">
      <x:c r="A16" s="24" t="str">
        <x:v>EEZ_274</x:v>
      </x:c>
      <x:c r="B16" s="24" t="str">
        <x:v>Gaza Strip</x:v>
      </x:c>
      <x:c r="C16" s="24" t="str">
        <x:v>EEZ</x:v>
      </x:c>
      <x:c r="D16" s="30" t="n">
        <x:v>2019</x:v>
      </x:c>
      <x:c r="E16" s="24" t="str">
        <x:v>Dasyatidae</x:v>
      </x:c>
      <x:c r="F16" s="24" t="str">
        <x:v>Whiptail stingrays</x:v>
      </x:c>
      <x:c r="G16" s="24" t="str">
        <x:v>Large rays (&gt;=90 cm)</x:v>
      </x:c>
      <x:c r="H16" s="24" t="str">
        <x:v>Sharks &amp; rays</x:v>
      </x:c>
      <x:c r="I16" s="31" t="n">
        <x:v>35.55027553</x:v>
      </x:c>
      <x:c r="J16" s="31" t="n">
        <x:v>35.55027553</x:v>
      </x:c>
      <x:c r="K16" s="31" t="n">
        <x:v>0</x:v>
      </x:c>
      <x:c r="L16" s="31" t="n">
        <x:v>0</x:v>
      </x:c>
      <x:c r="M16" s="31" t="n">
        <x:v>35.55027553</x:v>
      </x:c>
      <x:c r="N16" s="24" t="str">
        <x:v>dasyatidae</x:v>
      </x:c>
      <x:c r="O16" s="32" t="n">
        <x:v>3.38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Dasyatidae</x:v>
      </x:c>
      <x:c r="T16" s="32" t="n">
        <x:f>IF(O16="","",(1/'Metadata'!$B$5)^(O16-1))</x:f>
        <x:v>239.88329190194898</x:v>
      </x:c>
      <x:c r="U16" s="31" t="n">
        <x:f>IF(T16="","",I16*T16)</x:f>
        <x:v>8527.917122157703</x:v>
      </x:c>
    </x:row>
    <x:row r="17" ht="18" customHeight="1">
      <x:c r="A17" s="24" t="str">
        <x:v>EEZ_274</x:v>
      </x:c>
      <x:c r="B17" s="24" t="str">
        <x:v>Gaza Strip</x:v>
      </x:c>
      <x:c r="C17" s="24" t="str">
        <x:v>EEZ</x:v>
      </x:c>
      <x:c r="D17" s="30" t="n">
        <x:v>2019</x:v>
      </x:c>
      <x:c r="E17" s="24" t="str">
        <x:v>Scomberomorus</x:v>
      </x:c>
      <x:c r="F17" s="24" t="str">
        <x:v>Spanish mackerels</x:v>
      </x:c>
      <x:c r="G17" s="24" t="str">
        <x:v>Large pelagics (&gt;=90 cm)</x:v>
      </x:c>
      <x:c r="H17" s="24" t="str">
        <x:v>Perch-likes</x:v>
      </x:c>
      <x:c r="I17" s="31" t="n">
        <x:v>32.20018245</x:v>
      </x:c>
      <x:c r="J17" s="31" t="n">
        <x:v>32.20018245</x:v>
      </x:c>
      <x:c r="K17" s="31" t="n">
        <x:v>0</x:v>
      </x:c>
      <x:c r="L17" s="31" t="n">
        <x:v>32.20018245</x:v>
      </x:c>
      <x:c r="M17" s="31" t="n">
        <x:v>0</x:v>
      </x:c>
      <x:c r="N17" s="24" t="str">
        <x:v>scomberomorus</x:v>
      </x:c>
      <x:c r="O17" s="32" t="n">
        <x:v>4.35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Scomberomorus</x:v>
      </x:c>
      <x:c r="T17" s="32" t="n">
        <x:f>IF(O17="","",(1/'Metadata'!$B$5)^(O17-1))</x:f>
        <x:v>2238.7211385683377</x:v>
      </x:c>
      <x:c r="U17" s="31" t="n">
        <x:f>IF(T17="","",I17*T17)</x:f>
        <x:v>72087.2291165722</x:v>
      </x:c>
    </x:row>
    <x:row r="18" ht="18" customHeight="1">
      <x:c r="A18" s="24" t="str">
        <x:v>EEZ_274</x:v>
      </x:c>
      <x:c r="B18" s="24" t="str">
        <x:v>Gaza Strip</x:v>
      </x:c>
      <x:c r="C18" s="24" t="str">
        <x:v>EEZ</x:v>
      </x:c>
      <x:c r="D18" s="30" t="n">
        <x:v>2019</x:v>
      </x:c>
      <x:c r="E18" s="24" t="str">
        <x:v>Balistes capriscus</x:v>
      </x:c>
      <x:c r="F18" s="24" t="str">
        <x:v>Grey triggerfish</x:v>
      </x:c>
      <x:c r="G18" s="24" t="str">
        <x:v>Medium benthopelagics (30 - 89 cm)</x:v>
      </x:c>
      <x:c r="H18" s="24" t="str">
        <x:v>Other fishes &amp; inverts</x:v>
      </x:c>
      <x:c r="I18" s="31" t="n">
        <x:v>31.985903960999998</x:v>
      </x:c>
      <x:c r="J18" s="31" t="n">
        <x:v>31.985903960999998</x:v>
      </x:c>
      <x:c r="K18" s="31" t="n">
        <x:v>0</x:v>
      </x:c>
      <x:c r="L18" s="31" t="n">
        <x:v>2.459186486</x:v>
      </x:c>
      <x:c r="M18" s="31" t="n">
        <x:v>29.526717474999998</x:v>
      </x:c>
      <x:c r="N18" s="24" t="str">
        <x:v>balistes capriscus</x:v>
      </x:c>
      <x:c r="O18" s="32" t="n">
        <x:v>4.06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Balistes capriscus</x:v>
      </x:c>
      <x:c r="T18" s="32" t="n">
        <x:f>IF(O18="","",(1/'Metadata'!$B$5)^(O18-1))</x:f>
        <x:v>1148.1536214968817</x:v>
      </x:c>
      <x:c r="U18" s="31" t="n">
        <x:f>IF(T18="","",I18*T18)</x:f>
        <x:v>36724.7314696736</x:v>
      </x:c>
    </x:row>
    <x:row r="19" ht="18" customHeight="1">
      <x:c r="A19" s="24" t="str">
        <x:v>EEZ_274</x:v>
      </x:c>
      <x:c r="B19" s="24" t="str">
        <x:v>Gaza Strip</x:v>
      </x:c>
      <x:c r="C19" s="24" t="str">
        <x:v>EEZ</x:v>
      </x:c>
      <x:c r="D19" s="30" t="n">
        <x:v>2019</x:v>
      </x:c>
      <x:c r="E19" s="24" t="str">
        <x:v>Dentex gibbosus</x:v>
      </x:c>
      <x:c r="F19" s="24" t="str">
        <x:v>Pink dentex</x:v>
      </x:c>
      <x:c r="G19" s="24" t="str">
        <x:v>Large benthopelagics (&gt;=90 cm)</x:v>
      </x:c>
      <x:c r="H19" s="24" t="str">
        <x:v>Perch-likes</x:v>
      </x:c>
      <x:c r="I19" s="31" t="n">
        <x:v>25.03426655</x:v>
      </x:c>
      <x:c r="J19" s="31" t="n">
        <x:v>25.03426655</x:v>
      </x:c>
      <x:c r="K19" s="31" t="n">
        <x:v>0</x:v>
      </x:c>
      <x:c r="L19" s="31" t="n">
        <x:v>25.03426655</x:v>
      </x:c>
      <x:c r="M19" s="31" t="n">
        <x:v>0</x:v>
      </x:c>
      <x:c r="N19" s="24" t="str">
        <x:v>dentex gibbosus</x:v>
      </x:c>
      <x:c r="O19" s="32" t="n">
        <x:v>4.14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Dentex gibbosus</x:v>
      </x:c>
      <x:c r="T19" s="32" t="n">
        <x:f>IF(O19="","",(1/'Metadata'!$B$5)^(O19-1))</x:f>
        <x:v>1380.3842646028838</x:v>
      </x:c>
      <x:c r="U19" s="31" t="n">
        <x:f>IF(T19="","",I19*T19)</x:f>
        <x:v>34556.90762149433</x:v>
      </x:c>
    </x:row>
    <x:row r="20" ht="18" customHeight="1">
      <x:c r="A20" s="24" t="str">
        <x:v>EEZ_274</x:v>
      </x:c>
      <x:c r="B20" s="24" t="str">
        <x:v>Gaza Strip</x:v>
      </x:c>
      <x:c r="C20" s="24" t="str">
        <x:v>EEZ</x:v>
      </x:c>
      <x:c r="D20" s="30" t="n">
        <x:v>2019</x:v>
      </x:c>
      <x:c r="E20" s="24" t="str">
        <x:v>Pomatomus saltatrix</x:v>
      </x:c>
      <x:c r="F20" s="24" t="str">
        <x:v>Bluefish</x:v>
      </x:c>
      <x:c r="G20" s="24" t="str">
        <x:v>Large pelagics (&gt;=90 cm)</x:v>
      </x:c>
      <x:c r="H20" s="24" t="str">
        <x:v>Perch-likes</x:v>
      </x:c>
      <x:c r="I20" s="31" t="n">
        <x:v>24.802963293</x:v>
      </x:c>
      <x:c r="J20" s="31" t="n">
        <x:v>24.802963293</x:v>
      </x:c>
      <x:c r="K20" s="31" t="n">
        <x:v>0</x:v>
      </x:c>
      <x:c r="L20" s="31" t="n">
        <x:v>0</x:v>
      </x:c>
      <x:c r="M20" s="31" t="n">
        <x:v>24.802963293</x:v>
      </x:c>
      <x:c r="N20" s="24" t="str">
        <x:v>pomatomus saltatrix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Pomatomus saltatrix</x:v>
      </x:c>
      <x:c r="T20" s="32" t="n">
        <x:f>IF(O20="","",(1/'Metadata'!$B$5)^(O20-1))</x:f>
        <x:v>3388.4415613920273</x:v>
      </x:c>
      <x:c r="U20" s="31" t="n">
        <x:f>IF(T20="","",I20*T20)</x:f>
        <x:v>84043.39166768207</x:v>
      </x:c>
    </x:row>
    <x:row r="21" ht="18" customHeight="1">
      <x:c r="A21" s="24" t="str">
        <x:v>EEZ_274</x:v>
      </x:c>
      <x:c r="B21" s="24" t="str">
        <x:v>Gaza Strip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24.43494592</x:v>
      </x:c>
      <x:c r="J21" s="31" t="n">
        <x:v>24.43494592</x:v>
      </x:c>
      <x:c r="K21" s="31" t="n">
        <x:v>0</x:v>
      </x:c>
      <x:c r="L21" s="31" t="n">
        <x:v>24.43494592</x:v>
      </x:c>
      <x:c r="M21" s="31" t="n">
        <x:v>0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61377.809111118426</x:v>
      </x:c>
    </x:row>
    <x:row r="22" ht="18" customHeight="1">
      <x:c r="A22" s="24" t="str">
        <x:v>EEZ_274</x:v>
      </x:c>
      <x:c r="B22" s="24" t="str">
        <x:v>Gaza Strip</x:v>
      </x:c>
      <x:c r="C22" s="24" t="str">
        <x:v>EEZ</x:v>
      </x:c>
      <x:c r="D22" s="30" t="n">
        <x:v>2019</x:v>
      </x:c>
      <x:c r="E22" s="24" t="str">
        <x:v>Lithognathus mormyrus</x:v>
      </x:c>
      <x:c r="F22" s="24" t="str">
        <x:v>Sand steenbras</x:v>
      </x:c>
      <x:c r="G22" s="24" t="str">
        <x:v>Medium benthopelagics (30 - 89 cm)</x:v>
      </x:c>
      <x:c r="H22" s="24" t="str">
        <x:v>Perch-likes</x:v>
      </x:c>
      <x:c r="I22" s="31" t="n">
        <x:v>19.30624269</x:v>
      </x:c>
      <x:c r="J22" s="31" t="n">
        <x:v>19.30624269</x:v>
      </x:c>
      <x:c r="K22" s="31" t="n">
        <x:v>0</x:v>
      </x:c>
      <x:c r="L22" s="31" t="n">
        <x:v>19.30624269</x:v>
      </x:c>
      <x:c r="M22" s="31" t="n">
        <x:v>0</x:v>
      </x:c>
      <x:c r="N22" s="24" t="str">
        <x:v>lithognathus mormyrus</x:v>
      </x:c>
      <x:c r="O22" s="32" t="n">
        <x:v>3.42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Lithognathus mormyrus</x:v>
      </x:c>
      <x:c r="T22" s="32" t="n">
        <x:f>IF(O22="","",(1/'Metadata'!$B$5)^(O22-1))</x:f>
        <x:v>263.02679918953817</x:v>
      </x:c>
      <x:c r="U22" s="31" t="n">
        <x:f>IF(T22="","",I22*T22)</x:f>
        <x:v>5078.05921912712</x:v>
      </x:c>
    </x:row>
    <x:row r="23" ht="18" customHeight="1">
      <x:c r="A23" s="24" t="str">
        <x:v>EEZ_274</x:v>
      </x:c>
      <x:c r="B23" s="24" t="str">
        <x:v>Gaza Strip</x:v>
      </x:c>
      <x:c r="C23" s="24" t="str">
        <x:v>EEZ</x:v>
      </x:c>
      <x:c r="D23" s="30" t="n">
        <x:v>2019</x:v>
      </x:c>
      <x:c r="E23" s="24" t="str">
        <x:v>Pagellus erythrinus</x:v>
      </x:c>
      <x:c r="F23" s="24" t="str">
        <x:v>Common pandora</x:v>
      </x:c>
      <x:c r="G23" s="24" t="str">
        <x:v>Medium benthopelagics (30 - 89 cm)</x:v>
      </x:c>
      <x:c r="H23" s="24" t="str">
        <x:v>Perch-likes</x:v>
      </x:c>
      <x:c r="I23" s="31" t="n">
        <x:v>18.08289902</x:v>
      </x:c>
      <x:c r="J23" s="31" t="n">
        <x:v>18.08289902</x:v>
      </x:c>
      <x:c r="K23" s="31" t="n">
        <x:v>0</x:v>
      </x:c>
      <x:c r="L23" s="31" t="n">
        <x:v>18.08289902</x:v>
      </x:c>
      <x:c r="M23" s="31" t="n">
        <x:v>0</x:v>
      </x:c>
      <x:c r="N23" s="24" t="str">
        <x:v>pagellus erythrinus</x:v>
      </x:c>
      <x:c r="O23" s="32" t="n">
        <x:v>3.48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Pagellus erythrinus</x:v>
      </x:c>
      <x:c r="T23" s="32" t="n">
        <x:f>IF(O23="","",(1/'Metadata'!$B$5)^(O23-1))</x:f>
        <x:v>301.9951720402016</x:v>
      </x:c>
      <x:c r="U23" s="31" t="n">
        <x:f>IF(T23="","",I23*T23)</x:f>
        <x:v>5460.9482005304935</x:v>
      </x:c>
    </x:row>
    <x:row r="24" ht="18" customHeight="1">
      <x:c r="A24" s="24" t="str">
        <x:v>EEZ_274</x:v>
      </x:c>
      <x:c r="B24" s="24" t="str">
        <x:v>Gaza Strip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13.988034</x:v>
      </x:c>
      <x:c r="J24" s="31" t="n">
        <x:v>13.988034</x:v>
      </x:c>
      <x:c r="K24" s="31" t="n">
        <x:v>0</x:v>
      </x:c>
      <x:c r="L24" s="31" t="n">
        <x:v>13.52711876</x:v>
      </x:c>
      <x:c r="M24" s="31" t="n">
        <x:v>0.46091524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9677.355143467092</x:v>
      </x:c>
    </x:row>
    <x:row r="25" ht="18" customHeight="1">
      <x:c r="A25" s="24" t="str">
        <x:v>EEZ_274</x:v>
      </x:c>
      <x:c r="B25" s="24" t="str">
        <x:v>Gaza Strip</x:v>
      </x:c>
      <x:c r="C25" s="24" t="str">
        <x:v>EEZ</x:v>
      </x:c>
      <x:c r="D25" s="30" t="n">
        <x:v>2019</x:v>
      </x:c>
      <x:c r="E25" s="24" t="str">
        <x:v>Sepia</x:v>
      </x:c>
      <x:c r="F25" s="24" t="str">
        <x:v>Sepia cuttlefishes</x:v>
      </x:c>
      <x:c r="G25" s="24" t="str">
        <x:v>Cephalopods</x:v>
      </x:c>
      <x:c r="H25" s="24" t="str">
        <x:v>Other fishes &amp; inverts</x:v>
      </x:c>
      <x:c r="I25" s="31" t="n">
        <x:v>10.78732268</x:v>
      </x:c>
      <x:c r="J25" s="31" t="n">
        <x:v>10.78732268</x:v>
      </x:c>
      <x:c r="K25" s="31" t="n">
        <x:v>0</x:v>
      </x:c>
      <x:c r="L25" s="31" t="n">
        <x:v>10.78732268</x:v>
      </x:c>
      <x:c r="M25" s="31" t="n">
        <x:v>0</x:v>
      </x:c>
      <x:c r="N25" s="24" t="str">
        <x:v>sepia</x:v>
      </x:c>
      <x:c r="O25" s="32" t="n">
        <x:v>3.69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Sepia</x:v>
      </x:c>
      <x:c r="T25" s="32" t="n">
        <x:f>IF(O25="","",(1/'Metadata'!$B$5)^(O25-1))</x:f>
        <x:v>489.77881936844614</x:v>
      </x:c>
      <x:c r="U25" s="31" t="n">
        <x:f>IF(T25="","",I25*T25)</x:f>
        <x:v>5283.402166356863</x:v>
      </x:c>
    </x:row>
    <x:row r="26" ht="18" customHeight="1">
      <x:c r="A26" s="24" t="str">
        <x:v>EEZ_274</x:v>
      </x:c>
      <x:c r="B26" s="24" t="str">
        <x:v>Gaza Strip</x:v>
      </x:c>
      <x:c r="C26" s="24" t="str">
        <x:v>EEZ</x:v>
      </x:c>
      <x:c r="D26" s="30" t="n">
        <x:v>2019</x:v>
      </x:c>
      <x:c r="E26" s="24" t="str">
        <x:v>Sillago sihama</x:v>
      </x:c>
      <x:c r="F26" s="24" t="str">
        <x:v>Silver sillago</x:v>
      </x:c>
      <x:c r="G26" s="24" t="str">
        <x:v>Medium demersals (30 - 89 cm)</x:v>
      </x:c>
      <x:c r="H26" s="24" t="str">
        <x:v>Perch-likes</x:v>
      </x:c>
      <x:c r="I26" s="31" t="n">
        <x:v>10.27573989</x:v>
      </x:c>
      <x:c r="J26" s="31" t="n">
        <x:v>10.27573989</x:v>
      </x:c>
      <x:c r="K26" s="31" t="n">
        <x:v>0</x:v>
      </x:c>
      <x:c r="L26" s="31" t="n">
        <x:v>10.27573989</x:v>
      </x:c>
      <x:c r="M26" s="31" t="n">
        <x:v>0</x:v>
      </x:c>
      <x:c r="N26" s="24" t="str">
        <x:v>sillago sihama</x:v>
      </x:c>
      <x:c r="O26" s="32" t="n">
        <x:v>3.33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Sillago sihama</x:v>
      </x:c>
      <x:c r="T26" s="32" t="n">
        <x:f>IF(O26="","",(1/'Metadata'!$B$5)^(O26-1))</x:f>
        <x:v>213.79620895022325</x:v>
      </x:c>
      <x:c r="U26" s="31" t="n">
        <x:f>IF(T26="","",I26*T26)</x:f>
        <x:v>2196.914232640584</x:v>
      </x:c>
    </x:row>
    <x:row r="27" ht="18" customHeight="1">
      <x:c r="A27" s="24" t="str">
        <x:v>EEZ_274</x:v>
      </x:c>
      <x:c r="B27" s="24" t="str">
        <x:v>Gaza Strip</x:v>
      </x:c>
      <x:c r="C27" s="24" t="str">
        <x:v>EEZ</x:v>
      </x:c>
      <x:c r="D27" s="30" t="n">
        <x:v>2019</x:v>
      </x:c>
      <x:c r="E27" s="24" t="str">
        <x:v>Diplodus</x:v>
      </x:c>
      <x:c r="F27" s="24" t="str">
        <x:v>Two-toothed seabreams</x:v>
      </x:c>
      <x:c r="G27" s="24" t="str">
        <x:v>Medium benthopelagics (30 - 89 cm)</x:v>
      </x:c>
      <x:c r="H27" s="24" t="str">
        <x:v>Perch-likes</x:v>
      </x:c>
      <x:c r="I27" s="31" t="n">
        <x:v>8.680967664</x:v>
      </x:c>
      <x:c r="J27" s="31" t="n">
        <x:v>8.680967664</x:v>
      </x:c>
      <x:c r="K27" s="31" t="n">
        <x:v>0</x:v>
      </x:c>
      <x:c r="L27" s="31" t="n">
        <x:v>8.680967664</x:v>
      </x:c>
      <x:c r="M27" s="31" t="n">
        <x:v>0</x:v>
      </x:c>
      <x:c r="N27" s="24" t="str">
        <x:v>diplodus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Diplodus</x:v>
      </x:c>
      <x:c r="T27" s="32" t="n">
        <x:f>IF(O27="","",(1/'Metadata'!$B$5)^(O27-1))</x:f>
        <x:v>93.32543007969915</x:v>
      </x:c>
      <x:c r="U27" s="31" t="n">
        <x:f>IF(T27="","",I27*T27)</x:f>
        <x:v>810.1550407507613</x:v>
      </x:c>
    </x:row>
    <x:row r="28" ht="18" customHeight="1">
      <x:c r="A28" s="24" t="str">
        <x:v>EEZ_274</x:v>
      </x:c>
      <x:c r="B28" s="24" t="str">
        <x:v>Gaza Strip</x:v>
      </x:c>
      <x:c r="C28" s="24" t="str">
        <x:v>EEZ</x:v>
      </x:c>
      <x:c r="D28" s="30" t="n">
        <x:v>2019</x:v>
      </x:c>
      <x:c r="E28" s="24" t="str">
        <x:v>Liza</x:v>
      </x:c>
      <x:c r="F28" s="24" t="str">
        <x:v>Mullets</x:v>
      </x:c>
      <x:c r="G28" s="24" t="str">
        <x:v>Medium pelagics (30 - 89 cm)</x:v>
      </x:c>
      <x:c r="H28" s="24" t="str">
        <x:v>Perch-likes</x:v>
      </x:c>
      <x:c r="I28" s="31" t="n">
        <x:v>8.625851687</x:v>
      </x:c>
      <x:c r="J28" s="31" t="n">
        <x:v>8.625851687</x:v>
      </x:c>
      <x:c r="K28" s="31" t="n">
        <x:v>0</x:v>
      </x:c>
      <x:c r="L28" s="31" t="n">
        <x:v>8.625851687</x:v>
      </x:c>
      <x:c r="M28" s="31" t="n">
        <x:v>0</x:v>
      </x:c>
      <x:c r="N28" s="24" t="str">
        <x:v>liza</x:v>
      </x:c>
      <x:c r="O28" s="32" t="n">
        <x:v>2.57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Liza</x:v>
      </x:c>
      <x:c r="T28" s="32" t="n">
        <x:f>IF(O28="","",(1/'Metadata'!$B$5)^(O28-1))</x:f>
        <x:v>37.15352290971724</x:v>
      </x:c>
      <x:c r="U28" s="31" t="n">
        <x:f>IF(T28="","",I28*T28)</x:f>
        <x:v>320.4807782687776</x:v>
      </x:c>
    </x:row>
    <x:row r="29" ht="18" customHeight="1">
      <x:c r="A29" s="24" t="str">
        <x:v>EEZ_274</x:v>
      </x:c>
      <x:c r="B29" s="24" t="str">
        <x:v>Gaza Strip</x:v>
      </x:c>
      <x:c r="C29" s="24" t="str">
        <x:v>EEZ</x:v>
      </x:c>
      <x:c r="D29" s="30" t="n">
        <x:v>2019</x:v>
      </x:c>
      <x:c r="E29" s="24" t="str">
        <x:v>Scomberomorus commerson</x:v>
      </x:c>
      <x:c r="F29" s="24" t="str">
        <x:v>Narrow-barred Spanish mackerel</x:v>
      </x:c>
      <x:c r="G29" s="24" t="str">
        <x:v>Large pelagics (&gt;=90 cm)</x:v>
      </x:c>
      <x:c r="H29" s="24" t="str">
        <x:v>Perch-likes</x:v>
      </x:c>
      <x:c r="I29" s="31" t="n">
        <x:v>4.642087027</x:v>
      </x:c>
      <x:c r="J29" s="31" t="n">
        <x:v>4.642087027</x:v>
      </x:c>
      <x:c r="K29" s="31" t="n">
        <x:v>0</x:v>
      </x:c>
      <x:c r="L29" s="31" t="n">
        <x:v>0</x:v>
      </x:c>
      <x:c r="M29" s="31" t="n">
        <x:v>4.642087027</x:v>
      </x:c>
      <x:c r="N29" s="24" t="str">
        <x:v>scomberomorus commerson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Scomberomorus commerson</x:v>
      </x:c>
      <x:c r="T29" s="32" t="n">
        <x:f>IF(O29="","",(1/'Metadata'!$B$5)^(O29-1))</x:f>
        <x:v>3162.2776601683795</x:v>
      </x:c>
      <x:c r="U29" s="31" t="n">
        <x:f>IF(T29="","",I29*T29)</x:f>
        <x:v>14679.568102039548</x:v>
      </x:c>
    </x:row>
    <x:row r="30" ht="18" customHeight="1">
      <x:c r="A30" s="24" t="str">
        <x:v>EEZ_274</x:v>
      </x:c>
      <x:c r="B30" s="24" t="str">
        <x:v>Gaza Strip</x:v>
      </x:c>
      <x:c r="C30" s="24" t="str">
        <x:v>EEZ</x:v>
      </x:c>
      <x:c r="D30" s="30" t="n">
        <x:v>2019</x:v>
      </x:c>
      <x:c r="E30" s="24" t="str">
        <x:v>Argyrosomus regius</x:v>
      </x:c>
      <x:c r="F30" s="24" t="str">
        <x:v>Meagre</x:v>
      </x:c>
      <x:c r="G30" s="24" t="str">
        <x:v>Large benthopelagics (&gt;=90 cm)</x:v>
      </x:c>
      <x:c r="H30" s="24" t="str">
        <x:v>Perch-likes</x:v>
      </x:c>
      <x:c r="I30" s="31" t="n">
        <x:v>4.634758046</x:v>
      </x:c>
      <x:c r="J30" s="31" t="n">
        <x:v>4.634758046</x:v>
      </x:c>
      <x:c r="K30" s="31" t="n">
        <x:v>0</x:v>
      </x:c>
      <x:c r="L30" s="31" t="n">
        <x:v>4.634758046</x:v>
      </x:c>
      <x:c r="M30" s="31" t="n">
        <x:v>0</x:v>
      </x:c>
      <x:c r="N30" s="24" t="str">
        <x:v>argyrosomus regius</x:v>
      </x:c>
      <x:c r="O30" s="32" t="n">
        <x:v>4.29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Argyrosomus regius</x:v>
      </x:c>
      <x:c r="T30" s="32" t="n">
        <x:f>IF(O30="","",(1/'Metadata'!$B$5)^(O30-1))</x:f>
        <x:v>1949.8445997580454</x:v>
      </x:c>
      <x:c r="U30" s="31" t="n">
        <x:f>IF(T30="","",I30*T30)</x:f>
        <x:v>9037.057947178251</x:v>
      </x:c>
    </x:row>
    <x:row r="31" ht="18" customHeight="1">
      <x:c r="A31" s="24" t="str">
        <x:v>EEZ_274</x:v>
      </x:c>
      <x:c r="B31" s="24" t="str">
        <x:v>Gaza Strip</x:v>
      </x:c>
      <x:c r="C31" s="24" t="str">
        <x:v>EEZ</x:v>
      </x:c>
      <x:c r="D31" s="30" t="n">
        <x:v>2019</x:v>
      </x:c>
      <x:c r="E31" s="24" t="str">
        <x:v>Pagrus</x:v>
      </x:c>
      <x:c r="F31" s="24" t="str">
        <x:v>Subtropical seabreams</x:v>
      </x:c>
      <x:c r="G31" s="24" t="str">
        <x:v>Medium benthopelagics (30 - 89 cm)</x:v>
      </x:c>
      <x:c r="H31" s="24" t="str">
        <x:v>Perch-likes</x:v>
      </x:c>
      <x:c r="I31" s="31" t="n">
        <x:v>4.206196088</x:v>
      </x:c>
      <x:c r="J31" s="31" t="n">
        <x:v>4.206196088</x:v>
      </x:c>
      <x:c r="K31" s="31" t="n">
        <x:v>0</x:v>
      </x:c>
      <x:c r="L31" s="31" t="n">
        <x:v>4.206196088</x:v>
      </x:c>
      <x:c r="M31" s="31" t="n">
        <x:v>0</x:v>
      </x:c>
      <x:c r="N31" s="24" t="str">
        <x:v>pagrus</x:v>
      </x:c>
      <x:c r="O31" s="32" t="n">
        <x:v>3.55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Pagrus</x:v>
      </x:c>
      <x:c r="T31" s="32" t="n">
        <x:f>IF(O31="","",(1/'Metadata'!$B$5)^(O31-1))</x:f>
        <x:v>354.8133892335753</x:v>
      </x:c>
      <x:c r="U31" s="31" t="n">
        <x:f>IF(T31="","",I31*T31)</x:f>
        <x:v>1492.414689764286</x:v>
      </x:c>
    </x:row>
    <x:row r="32" ht="18" customHeight="1">
      <x:c r="A32" s="24" t="str">
        <x:v>EEZ_274</x:v>
      </x:c>
      <x:c r="B32" s="24" t="str">
        <x:v>Gaza Strip</x:v>
      </x:c>
      <x:c r="C32" s="24" t="str">
        <x:v>EEZ</x:v>
      </x:c>
      <x:c r="D32" s="30" t="n">
        <x:v>2019</x:v>
      </x:c>
      <x:c r="E32" s="24" t="str">
        <x:v>Mustelus mustelus</x:v>
      </x:c>
      <x:c r="F32" s="24" t="str">
        <x:v>Smooth-hound</x:v>
      </x:c>
      <x:c r="G32" s="24" t="str">
        <x:v>Large sharks (&gt;=90 cm)</x:v>
      </x:c>
      <x:c r="H32" s="24" t="str">
        <x:v>Sharks &amp; rays</x:v>
      </x:c>
      <x:c r="I32" s="31" t="n">
        <x:v>3.5449359540000005</x:v>
      </x:c>
      <x:c r="J32" s="31" t="n">
        <x:v>3.5449359540000005</x:v>
      </x:c>
      <x:c r="K32" s="31" t="n">
        <x:v>0</x:v>
      </x:c>
      <x:c r="L32" s="31" t="n">
        <x:v>0</x:v>
      </x:c>
      <x:c r="M32" s="31" t="n">
        <x:v>3.5449359540000005</x:v>
      </x:c>
      <x:c r="N32" s="24" t="str">
        <x:v>mustelus mustelus</x:v>
      </x:c>
      <x:c r="O32" s="32" t="n">
        <x:v>3.75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Mustelus mustelus</x:v>
      </x:c>
      <x:c r="T32" s="32" t="n">
        <x:f>IF(O32="","",(1/'Metadata'!$B$5)^(O32-1))</x:f>
        <x:v>562.341325190349</x:v>
      </x:c>
      <x:c r="U32" s="31" t="n">
        <x:f>IF(T32="","",I32*T32)</x:f>
        <x:v>1993.4639820872744</x:v>
      </x:c>
    </x:row>
    <x:row r="33" ht="18" customHeight="1">
      <x:c r="A33" s="24" t="str">
        <x:v>EEZ_274</x:v>
      </x:c>
      <x:c r="B33" s="24" t="str">
        <x:v>Gaza Strip</x:v>
      </x:c>
      <x:c r="C33" s="24" t="str">
        <x:v>EEZ</x:v>
      </x:c>
      <x:c r="D33" s="30" t="n">
        <x:v>2019</x:v>
      </x:c>
      <x:c r="E33" s="24" t="str">
        <x:v>Seriola dumerili</x:v>
      </x:c>
      <x:c r="F33" s="24" t="str">
        <x:v>Greater amberjack</x:v>
      </x:c>
      <x:c r="G33" s="24" t="str">
        <x:v>Large reef assoc. fish (&gt;=90 cm)</x:v>
      </x:c>
      <x:c r="H33" s="24" t="str">
        <x:v>Perch-likes</x:v>
      </x:c>
      <x:c r="I33" s="31" t="n">
        <x:v>3.374857356</x:v>
      </x:c>
      <x:c r="J33" s="31" t="n">
        <x:v>3.374857356</x:v>
      </x:c>
      <x:c r="K33" s="31" t="n">
        <x:v>0</x:v>
      </x:c>
      <x:c r="L33" s="31" t="n">
        <x:v>3.374857356</x:v>
      </x:c>
      <x:c r="M33" s="31" t="n">
        <x:v>0</x:v>
      </x:c>
      <x:c r="N33" s="24" t="str">
        <x:v>seriola dumerili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Seriola dumerili</x:v>
      </x:c>
      <x:c r="T33" s="32" t="n">
        <x:f>IF(O33="","",(1/'Metadata'!$B$5)^(O33-1))</x:f>
        <x:v>3162.2776601683795</x:v>
      </x:c>
      <x:c r="U33" s="31" t="n">
        <x:f>IF(T33="","",I33*T33)</x:f>
        <x:v>10672.236023133724</x:v>
      </x:c>
    </x:row>
    <x:row r="34" ht="18" customHeight="1">
      <x:c r="A34" s="24" t="str">
        <x:v>EEZ_274</x:v>
      </x:c>
      <x:c r="B34" s="24" t="str">
        <x:v>Gaza Strip</x:v>
      </x:c>
      <x:c r="C34" s="24" t="str">
        <x:v>EEZ</x:v>
      </x:c>
      <x:c r="D34" s="30" t="n">
        <x:v>2019</x:v>
      </x:c>
      <x:c r="E34" s="24" t="str">
        <x:v>Mugil</x:v>
      </x:c>
      <x:c r="F34" s="24" t="str">
        <x:v>Grey mullets</x:v>
      </x:c>
      <x:c r="G34" s="24" t="str">
        <x:v>Medium demersals (30 - 89 cm)</x:v>
      </x:c>
      <x:c r="H34" s="24" t="str">
        <x:v>Perch-likes</x:v>
      </x:c>
      <x:c r="I34" s="31" t="n">
        <x:v>1.078893551</x:v>
      </x:c>
      <x:c r="J34" s="31" t="n">
        <x:v>1.078893551</x:v>
      </x:c>
      <x:c r="K34" s="31" t="n">
        <x:v>0</x:v>
      </x:c>
      <x:c r="L34" s="31" t="n">
        <x:v>0</x:v>
      </x:c>
      <x:c r="M34" s="31" t="n">
        <x:v>1.078893551</x:v>
      </x:c>
      <x:c r="N34" s="24" t="str">
        <x:v>mugil</x:v>
      </x:c>
      <x:c r="O34" s="32" t="n">
        <x:v>2.26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Mugil</x:v>
      </x:c>
      <x:c r="T34" s="32" t="n">
        <x:f>IF(O34="","",(1/'Metadata'!$B$5)^(O34-1))</x:f>
        <x:v>18.197008586099827</x:v>
      </x:c>
      <x:c r="U34" s="31" t="n">
        <x:f>IF(T34="","",I34*T34)</x:f>
        <x:v>19.63263521103473</x:v>
      </x:c>
    </x:row>
    <x:row r="35" ht="18" customHeight="1">
      <x:c r="A35" s="24" t="str">
        <x:v>EEZ_274</x:v>
      </x:c>
      <x:c r="B35" s="24" t="str">
        <x:v>Gaza Strip</x:v>
      </x:c>
      <x:c r="C35" s="24" t="str">
        <x:v>EEZ</x:v>
      </x:c>
      <x:c r="D35" s="30" t="n">
        <x:v>2019</x:v>
      </x:c>
      <x:c r="E35" s="24" t="str">
        <x:v>Trachinotus ovatus</x:v>
      </x:c>
      <x:c r="F35" s="24" t="str">
        <x:v>Pompano</x:v>
      </x:c>
      <x:c r="G35" s="24" t="str">
        <x:v>Medium pelagics (30 - 89 cm)</x:v>
      </x:c>
      <x:c r="H35" s="24" t="str">
        <x:v>Perch-likes</x:v>
      </x:c>
      <x:c r="I35" s="31" t="n">
        <x:v>1.040760184</x:v>
      </x:c>
      <x:c r="J35" s="31" t="n">
        <x:v>1.040760184</x:v>
      </x:c>
      <x:c r="K35" s="31" t="n">
        <x:v>0</x:v>
      </x:c>
      <x:c r="L35" s="31" t="n">
        <x:v>1.040760184</x:v>
      </x:c>
      <x:c r="M35" s="31" t="n">
        <x:v>0</x:v>
      </x:c>
      <x:c r="N35" s="24" t="str">
        <x:v>trachinotus ovatus</x:v>
      </x:c>
      <x:c r="O35" s="32" t="n">
        <x:v>3.73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Trachinotus ovatus</x:v>
      </x:c>
      <x:c r="T35" s="32" t="n">
        <x:f>IF(O35="","",(1/'Metadata'!$B$5)^(O35-1))</x:f>
        <x:v>537.0317963702527</x:v>
      </x:c>
      <x:c r="U35" s="31" t="n">
        <x:f>IF(T35="","",I35*T35)</x:f>
        <x:v>558.9213112041547</x:v>
      </x:c>
    </x:row>
    <x:row r="36" ht="18" customHeight="1">
      <x:c r="A36" s="24" t="str">
        <x:v>EEZ_274</x:v>
      </x:c>
      <x:c r="B36" s="24" t="str">
        <x:v>Gaza Strip</x:v>
      </x:c>
      <x:c r="C36" s="24" t="str">
        <x:v>EEZ</x:v>
      </x:c>
      <x:c r="D36" s="30" t="n">
        <x:v>2019</x:v>
      </x:c>
      <x:c r="E36" s="24" t="str">
        <x:v>Solea</x:v>
      </x:c>
      <x:c r="F36" s="24" t="str">
        <x:v>Soles</x:v>
      </x:c>
      <x:c r="G36" s="24" t="str">
        <x:v>Small to medium flatfishes (&lt;90 cm)</x:v>
      </x:c>
      <x:c r="H36" s="24" t="str">
        <x:v>Flatfishes</x:v>
      </x:c>
      <x:c r="I36" s="31" t="n">
        <x:v>0.301605306</x:v>
      </x:c>
      <x:c r="J36" s="31" t="n">
        <x:v>0.301605306</x:v>
      </x:c>
      <x:c r="K36" s="31" t="n">
        <x:v>0</x:v>
      </x:c>
      <x:c r="L36" s="31" t="n">
        <x:v>0.301605306</x:v>
      </x:c>
      <x:c r="M36" s="31" t="n">
        <x:v>0</x:v>
      </x:c>
      <x:c r="N36" s="24" t="str">
        <x:v>solea</x:v>
      </x:c>
      <x:c r="O36" s="32" t="n">
        <x:v>3.13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Solea</x:v>
      </x:c>
      <x:c r="T36" s="32" t="n">
        <x:f>IF(O36="","",(1/'Metadata'!$B$5)^(O36-1))</x:f>
        <x:v>134.89628825916532</x:v>
      </x:c>
      <x:c r="U36" s="31" t="n">
        <x:f>IF(T36="","",I36*T36)</x:f>
        <x:v>40.685436298669764</x:v>
      </x:c>
    </x:row>
    <x:row r="37" ht="18" customHeight="1">
      <x:c r="A37" s="24" t="str">
        <x:v>EEZ_274</x:v>
      </x:c>
      <x:c r="B37" s="24" t="str">
        <x:v>Gaza Strip</x:v>
      </x:c>
      <x:c r="C37" s="24" t="str">
        <x:v>EEZ</x:v>
      </x:c>
      <x:c r="D37" s="30" t="n">
        <x:v>2019</x:v>
      </x:c>
      <x:c r="E37" s="24" t="str">
        <x:v>Scyris alexandrina</x:v>
      </x:c>
      <x:c r="F37" s="24" t="str">
        <x:v>Alexandria pompano</x:v>
      </x:c>
      <x:c r="G37" s="24" t="str">
        <x:v>Medium pelagics (30 - 89 cm)</x:v>
      </x:c>
      <x:c r="H37" s="24" t="str">
        <x:v>Perch-likes</x:v>
      </x:c>
      <x:c r="I37" s="31" t="n">
        <x:v>0.103162354</x:v>
      </x:c>
      <x:c r="J37" s="31" t="n">
        <x:v>0.103162354</x:v>
      </x:c>
      <x:c r="K37" s="31" t="n">
        <x:v>0</x:v>
      </x:c>
      <x:c r="L37" s="31" t="n">
        <x:v>0.103162354</x:v>
      </x:c>
      <x:c r="M37" s="31" t="n">
        <x:v>0</x:v>
      </x:c>
      <x:c r="N37" s="24" t="str">
        <x:v>scyris alexandrina</x:v>
      </x:c>
      <x:c r="O37" s="32" t="n">
        <x:v>3.6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Scyris alexandrina</x:v>
      </x:c>
      <x:c r="T37" s="32" t="n">
        <x:f>IF(O37="","",(1/'Metadata'!$B$5)^(O37-1))</x:f>
        <x:v>398.1071705534973</x:v>
      </x:c>
      <x:c r="U37" s="31" t="n">
        <x:f>IF(T37="","",I37*T37)</x:f>
        <x:v>41.069672858578265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5f5df2109344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659.051160754</x:v>
      </x:c>
      <x:c r="C2" s="32" t="n">
        <x:v>3.1642486738045896</x:v>
      </x:c>
      <x:c r="D2" s="32" t="n">
        <x:f>IF(C2="","",(1/'Metadata'!$B$5)^(C2-1))</x:f>
        <x:v>145.96498057096784</x:v>
      </x:c>
      <x:c r="E2" s="31" t="n">
        <x:f>IF(B2=0,"",B2*D2)</x:f>
        <x:v>96198.38987473141</x:v>
      </x:c>
    </x:row>
    <x:row r="3" ht="18" customHeight="1">
      <x:c r="A3" s="24" t="str">
        <x:v>Flatfishes</x:v>
      </x:c>
      <x:c r="B3" s="31" t="n">
        <x:v>100.869897028</x:v>
      </x:c>
      <x:c r="C3" s="32" t="n">
        <x:v>3.2097607965786534</x:v>
      </x:c>
      <x:c r="D3" s="32" t="n">
        <x:f>IF(C3="","",(1/'Metadata'!$B$5)^(C3-1))</x:f>
        <x:v>162.09170726415206</x:v>
      </x:c>
      <x:c r="E3" s="31" t="n">
        <x:f>IF(B3=0,"",B3*D3)</x:f>
        <x:v>16350.173820827738</x:v>
      </x:c>
    </x:row>
    <x:row r="4" ht="18" customHeight="1">
      <x:c r="A4" s="24" t="str">
        <x:v>Other fishes &amp; inverts</x:v>
      </x:c>
      <x:c r="B4" s="31" t="n">
        <x:v>3973.9600819290004</x:v>
      </x:c>
      <x:c r="C4" s="32" t="n">
        <x:v>3.3080845424776397</x:v>
      </x:c>
      <x:c r="D4" s="32" t="n">
        <x:f>IF(C4="","",(1/'Metadata'!$B$5)^(C4-1))</x:f>
        <x:v>203.2752680762168</x:v>
      </x:c>
      <x:c r="E4" s="31" t="n">
        <x:f>IF(B4=0,"",B4*D4)</x:f>
        <x:v>807807.800978302</x:v>
      </x:c>
    </x:row>
    <x:row r="5" ht="18" customHeight="1">
      <x:c r="A5" s="24" t="str">
        <x:v>Perch-likes</x:v>
      </x:c>
      <x:c r="B5" s="31" t="n">
        <x:v>911.2621182299999</x:v>
      </x:c>
      <x:c r="C5" s="32" t="n">
        <x:v>3.6664589773520846</x:v>
      </x:c>
      <x:c r="D5" s="32" t="n">
        <x:f>IF(C5="","",(1/'Metadata'!$B$5)^(C5-1))</x:f>
        <x:v>463.9369652906698</x:v>
      </x:c>
      <x:c r="E5" s="31" t="n">
        <x:f>IF(B5=0,"",B5*D5)</x:f>
        <x:v>422768.1817159737</x:v>
      </x:c>
    </x:row>
    <x:row r="6" ht="18" customHeight="1">
      <x:c r="A6" s="24" t="str">
        <x:v>Sharks &amp; rays</x:v>
      </x:c>
      <x:c r="B6" s="31" t="n">
        <x:v>638.6697875830001</x:v>
      </x:c>
      <x:c r="C6" s="32" t="n">
        <x:v>3.6918532303984493</x:v>
      </x:c>
      <x:c r="D6" s="32" t="n">
        <x:f>IF(C6="","",(1/'Metadata'!$B$5)^(C6-1))</x:f>
        <x:v>491.8732792627615</x:v>
      </x:c>
      <x:c r="E6" s="31" t="n">
        <x:f>IF(B6=0,"",B6*D6)</x:f>
        <x:v>314144.6027845016</x:v>
      </x:c>
    </x:row>
    <x:row r="7" ht="18" customHeight="1">
      <x:c r="A7" s="24" t="str">
        <x:v>Tuna &amp; billfishes</x:v>
      </x:c>
      <x:c r="B7" s="31" t="n">
        <x:v>126.961273</x:v>
      </x:c>
      <x:c r="C7" s="32" t="n">
        <x:v>4.13</x:v>
      </x:c>
      <x:c r="D7" s="32" t="n">
        <x:f>IF(C7="","",(1/'Metadata'!$B$5)^(C7-1))</x:f>
        <x:v>1348.9628825916532</x:v>
      </x:c>
      <x:c r="E7" s="31" t="n">
        <x:f>IF(B7=0,"",B7*D7)</x:f>
        <x:v>171266.04480358583</x:v>
      </x:c>
    </x:row>
  </x:sheetData>
  <x:pageMargins left="0.7" right="0.7" top="0.75" bottom="0.75" header="0.3" footer="0.3"/>
  <x:tableParts count="1">
    <x:tablePart xmlns:r="http://schemas.openxmlformats.org/officeDocument/2006/relationships" r:id="Rcf4a876521c946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126.61132738</x:v>
      </x:c>
      <x:c r="C2" s="32" t="n">
        <x:v>3.9644399109387174</x:v>
      </x:c>
      <x:c r="D2" s="32" t="n">
        <x:f>IF(C2="","",(1/'Metadata'!$B$5)^(C2-1))</x:f>
        <x:v>921.3823972839381</x:v>
      </x:c>
      <x:c r="E2" s="31" t="n">
        <x:f>IF(B2=0,"",B2*D2)</x:f>
        <x:v>116657.44834468591</x:v>
      </x:c>
    </x:row>
    <x:row r="3" ht="18" customHeight="1">
      <x:c r="A3" s="24" t="str">
        <x:v>Large benthopelagics (&gt;=90 cm)</x:v>
      </x:c>
      <x:c r="B3" s="31" t="n">
        <x:v>169.00042032400003</x:v>
      </x:c>
      <x:c r="C3" s="32" t="n">
        <x:v>3.9957137462889656</x:v>
      </x:c>
      <x:c r="D3" s="32" t="n">
        <x:f>IF(C3="","",(1/'Metadata'!$B$5)^(C3-1))</x:f>
        <x:v>990.1790794288812</x:v>
      </x:c>
      <x:c r="E3" s="31" t="n">
        <x:f>IF(B3=0,"",B3*D3)</x:f>
        <x:v>167340.68061951234</x:v>
      </x:c>
    </x:row>
    <x:row r="4" ht="18" customHeight="1">
      <x:c r="A4" s="24" t="str">
        <x:v>Large pelagics (&gt;=90 cm)</x:v>
      </x:c>
      <x:c r="B4" s="31" t="n">
        <x:v>86.08017869000001</x:v>
      </x:c>
      <x:c r="C4" s="32" t="n">
        <x:v>4.4241470782231485</x:v>
      </x:c>
      <x:c r="D4" s="32" t="n">
        <x:f>IF(C4="","",(1/'Metadata'!$B$5)^(C4-1))</x:f>
        <x:v>2655.5047232711067</x:v>
      </x:c>
      <x:c r="E4" s="31" t="n">
        <x:f>IF(B4=0,"",B4*D4)</x:f>
        <x:v>228586.3210913159</x:v>
      </x:c>
    </x:row>
    <x:row r="5" ht="18" customHeight="1">
      <x:c r="A5" s="24" t="str">
        <x:v>Large rays (&gt;=90 cm)</x:v>
      </x:c>
      <x:c r="B5" s="31" t="n">
        <x:v>635.1248516290001</x:v>
      </x:c>
      <x:c r="C5" s="32" t="n">
        <x:v>3.6915286854312024</x:v>
      </x:c>
      <x:c r="D5" s="32" t="n">
        <x:f>IF(C5="","",(1/'Metadata'!$B$5)^(C5-1))</x:f>
        <x:v>491.5058434057519</x:v>
      </x:c>
      <x:c r="E5" s="31" t="n">
        <x:f>IF(B5=0,"",B5*D5)</x:f>
        <x:v>312167.5758678647</x:v>
      </x:c>
    </x:row>
    <x:row r="6" ht="18" customHeight="1">
      <x:c r="A6" s="24" t="str">
        <x:v>Large reef assoc. fish (&gt;=90 cm)</x:v>
      </x:c>
      <x:c r="B6" s="31" t="n">
        <x:v>3.374857356</x:v>
      </x:c>
      <x:c r="C6" s="32" t="n">
        <x:v>4.5</x:v>
      </x:c>
      <x:c r="D6" s="32" t="n">
        <x:f>IF(C6="","",(1/'Metadata'!$B$5)^(C6-1))</x:f>
        <x:v>3162.2776601683795</x:v>
      </x:c>
      <x:c r="E6" s="31" t="n">
        <x:f>IF(B6=0,"",B6*D6)</x:f>
        <x:v>10672.236023133724</x:v>
      </x:c>
    </x:row>
    <x:row r="7" ht="18" customHeight="1">
      <x:c r="A7" s="24" t="str">
        <x:v>Large sharks (&gt;=90 cm)</x:v>
      </x:c>
      <x:c r="B7" s="31" t="n">
        <x:v>3.5449359540000005</x:v>
      </x:c>
      <x:c r="C7" s="32" t="n">
        <x:v>3.75</x:v>
      </x:c>
      <x:c r="D7" s="32" t="n">
        <x:f>IF(C7="","",(1/'Metadata'!$B$5)^(C7-1))</x:f>
        <x:v>562.341325190349</x:v>
      </x:c>
      <x:c r="E7" s="31" t="n">
        <x:f>IF(B7=0,"",B7*D7)</x:f>
        <x:v>1993.4639820872744</x:v>
      </x:c>
    </x:row>
    <x:row r="8" ht="18" customHeight="1">
      <x:c r="A8" s="24" t="str">
        <x:v>Lobsters, crabs</x:v>
      </x:c>
      <x:c r="B8" s="31" t="n">
        <x:v>495.73819175399996</x:v>
      </x:c>
      <x:c r="C8" s="32" t="n">
        <x:v>3.3171879278997496</x:v>
      </x:c>
      <x:c r="D8" s="32" t="n">
        <x:f>IF(C8="","",(1/'Metadata'!$B$5)^(C8-1))</x:f>
        <x:v>207.58115682800207</x:v>
      </x:c>
      <x:c r="E8" s="31" t="n">
        <x:f>IF(B8=0,"",B8*D8)</x:f>
        <x:v>102905.90732811723</x:v>
      </x:c>
    </x:row>
    <x:row r="9" ht="18" customHeight="1">
      <x:c r="A9" s="24" t="str">
        <x:v>Medium benthopelagics (30 - 89 cm)</x:v>
      </x:c>
      <x:c r="B9" s="31" t="n">
        <x:v>82.26220942299999</x:v>
      </x:c>
      <x:c r="C9" s="32" t="n">
        <x:v>3.6411990493145265</x:v>
      </x:c>
      <x:c r="D9" s="32" t="n">
        <x:f>IF(C9="","",(1/'Metadata'!$B$5)^(C9-1))</x:f>
        <x:v>437.7226797438011</x:v>
      </x:c>
      <x:c r="E9" s="31" t="n">
        <x:f>IF(B9=0,"",B9*D9)</x:f>
        <x:v>36008.034750281324</x:v>
      </x:c>
    </x:row>
    <x:row r="10" ht="18" customHeight="1">
      <x:c r="A10" s="24" t="str">
        <x:v>Medium demersals (30 - 89 cm)</x:v>
      </x:c>
      <x:c r="B10" s="31" t="n">
        <x:v>4091.348442261</x:v>
      </x:c>
      <x:c r="C10" s="32" t="n">
        <x:v>3.2819686794373024</x:v>
      </x:c>
      <x:c r="D10" s="32" t="n">
        <x:f>IF(C10="","",(1/'Metadata'!$B$5)^(C10-1))</x:f>
        <x:v>191.4117877191046</x:v>
      </x:c>
      <x:c r="E10" s="31" t="n">
        <x:f>IF(B10=0,"",B10*D10)</x:f>
        <x:v>783132.3195149518</x:v>
      </x:c>
    </x:row>
    <x:row r="11" ht="18" customHeight="1">
      <x:c r="A11" s="24" t="str">
        <x:v>Medium pelagics (30 - 89 cm)</x:v>
      </x:c>
      <x:c r="B11" s="31" t="n">
        <x:v>439.518003725</x:v>
      </x:c>
      <x:c r="C11" s="32" t="n">
        <x:v>3.7711493780090426</x:v>
      </x:c>
      <x:c r="D11" s="32" t="n">
        <x:f>IF(C11="","",(1/'Metadata'!$B$5)^(C11-1))</x:f>
        <x:v>590.4041180408299</x:v>
      </x:c>
      <x:c r="E11" s="31" t="n">
        <x:f>IF(B11=0,"",B11*D11)</x:f>
        <x:v>259493.23935232483</x:v>
      </x:c>
    </x:row>
    <x:row r="12" ht="18" customHeight="1">
      <x:c r="A12" s="24" t="str">
        <x:v>Medium reef assoc. fish (30 - 89 cm)</x:v>
      </x:c>
      <x:c r="B12" s="31" t="n">
        <x:v>13.988034</x:v>
      </x:c>
      <x:c r="C12" s="32" t="n">
        <x:v>3.8400000000000003</x:v>
      </x:c>
      <x:c r="D12" s="32" t="n">
        <x:f>IF(C12="","",(1/'Metadata'!$B$5)^(C12-1))</x:f>
        <x:v>691.8309709189369</x:v>
      </x:c>
      <x:c r="E12" s="31" t="n">
        <x:f>IF(B12=0,"",B12*D12)</x:f>
        <x:v>9677.3551434671</x:v>
      </x:c>
    </x:row>
    <x:row r="13" ht="18" customHeight="1">
      <x:c r="A13" s="24" t="str">
        <x:v>Shrimps</x:v>
      </x:c>
      <x:c r="B13" s="31" t="n">
        <x:v>163.312969</x:v>
      </x:c>
      <x:c r="C13" s="32" t="n">
        <x:v>2.7</x:v>
      </x:c>
      <x:c r="D13" s="32" t="n">
        <x:f>IF(C13="","",(1/'Metadata'!$B$5)^(C13-1))</x:f>
        <x:v>50.11872336272725</x:v>
      </x:c>
      <x:c r="E13" s="31" t="n">
        <x:f>IF(B13=0,"",B13*D13)</x:f>
        <x:v>8185.037514856652</x:v>
      </x:c>
    </x:row>
    <x:row r="14" ht="18" customHeight="1">
      <x:c r="A14" s="24" t="str">
        <x:v>Small to medium flatfishes (&lt;90 cm)</x:v>
      </x:c>
      <x:c r="B14" s="31" t="n">
        <x:v>100.869897028</x:v>
      </x:c>
      <x:c r="C14" s="32" t="n">
        <x:v>3.2097607965786534</x:v>
      </x:c>
      <x:c r="D14" s="32" t="n">
        <x:f>IF(C14="","",(1/'Metadata'!$B$5)^(C14-1))</x:f>
        <x:v>162.09170726415206</x:v>
      </x:c>
      <x:c r="E14" s="31" t="n">
        <x:f>IF(B14=0,"",B14*D14)</x:f>
        <x:v>16350.173820827738</x:v>
      </x:c>
    </x:row>
  </x:sheetData>
  <x:pageMargins left="0.7" right="0.7" top="0.75" bottom="0.75" header="0.3" footer="0.3"/>
  <x:tableParts count="1">
    <x:tablePart xmlns:r="http://schemas.openxmlformats.org/officeDocument/2006/relationships" r:id="Ra20cf5f2199244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EEZ_274</x:v>
      </x:c>
      <x:c r="B2" s="24" t="str">
        <x:v>raw_filtered_tonnes</x:v>
      </x:c>
      <x:c r="C2" s="24" t="n">
        <x:v>6410.774318524</x:v>
      </x:c>
      <x:c r="D2" s="24" t="str">
        <x:v>tonnes</x:v>
      </x:c>
    </x:row>
    <x:row r="3" ht="18" customHeight="1">
      <x:c r="A3" s="24" t="str">
        <x:v>EEZ_274</x:v>
      </x:c>
      <x:c r="B3" s="24" t="str">
        <x:v>species_catch_tonnes</x:v>
      </x:c>
      <x:c r="C3" s="24" t="n">
        <x:v>6410.774318524</x:v>
      </x:c>
      <x:c r="D3" s="24" t="str">
        <x:v>tonnes</x:v>
      </x:c>
    </x:row>
    <x:row r="4" ht="18" customHeight="1">
      <x:c r="A4" s="24" t="str">
        <x:v>EEZ_274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EEZ_274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EEZ_274</x:v>
      </x:c>
      <x:c r="B6" s="24" t="str">
        <x:v>matched_catch_tonnes</x:v>
      </x:c>
      <x:c r="C6" s="24" t="n">
        <x:v>6410.774318524</x:v>
      </x:c>
      <x:c r="D6" s="24" t="str">
        <x:v>tonnes</x:v>
      </x:c>
    </x:row>
    <x:row r="7" ht="18" customHeight="1">
      <x:c r="A7" s="24" t="str">
        <x:v>EEZ_274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EEZ_274</x:v>
      </x:c>
      <x:c r="B8" s="24" t="str">
        <x:v>taxa_count</x:v>
      </x:c>
      <x:c r="C8" s="24" t="n">
        <x:v>36</x:v>
      </x:c>
      <x:c r="D8" s="24" t="str">
        <x:v>count</x:v>
      </x:c>
    </x:row>
    <x:row r="9" ht="18" customHeight="1">
      <x:c r="A9" s="24" t="str">
        <x:v>EEZ_274</x:v>
      </x:c>
      <x:c r="B9" s="24" t="str">
        <x:v>matched_taxa_count</x:v>
      </x:c>
      <x:c r="C9" s="24" t="n">
        <x:v>36</x:v>
      </x:c>
      <x:c r="D9" s="24" t="str">
        <x:v>count</x:v>
      </x:c>
    </x:row>
    <x:row r="10" ht="18" customHeight="1">
      <x:c r="A10" s="24" t="str">
        <x:v>EEZ_274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EEZ_274</x:v>
      </x:c>
      <x:c r="B11" s="24" t="str">
        <x:v>species_ppr</x:v>
      </x:c>
      <x:c r="C11" s="24" t="n">
        <x:v>2138099.0195414764</x:v>
      </x:c>
      <x:c r="D11" s="24" t="str">
        <x:v>tonnes_primary_production_equivalent</x:v>
      </x:c>
    </x:row>
    <x:row r="12" ht="18" customHeight="1">
      <x:c r="A12" s="24" t="str">
        <x:v>EEZ_274</x:v>
      </x:c>
      <x:c r="B12" s="24" t="str">
        <x:v>commercial_ppr</x:v>
      </x:c>
      <x:c r="C12" s="24" t="n">
        <x:v>1828535.1939779224</x:v>
      </x:c>
      <x:c r="D12" s="24" t="str">
        <x:v>tonnes_primary_production_equivalent</x:v>
      </x:c>
    </x:row>
    <x:row r="13" ht="18" customHeight="1">
      <x:c r="A13" s="24" t="str">
        <x:v>EEZ_274</x:v>
      </x:c>
      <x:c r="B13" s="24" t="str">
        <x:v>functional_ppr</x:v>
      </x:c>
      <x:c r="C13" s="24" t="n">
        <x:v>2053169.7933534263</x:v>
      </x:c>
      <x:c r="D13" s="24" t="str">
        <x:v>tonnes_primary_production_equivalent</x:v>
      </x:c>
    </x:row>
    <x:row r="14" ht="18" customHeight="1">
      <x:c r="A14" s="24" t="str">
        <x:v>EEZ_274</x:v>
      </x:c>
      <x:c r="B14" s="24" t="str">
        <x:v>commercial_ppr_difference</x:v>
      </x:c>
      <x:c r="C14" s="24" t="n">
        <x:v>-309563.82556355395</x:v>
      </x:c>
      <x:c r="D14" s="24" t="str">
        <x:v>tonnes_primary_production_equivalent</x:v>
      </x:c>
    </x:row>
    <x:row r="15" ht="18" customHeight="1">
      <x:c r="A15" s="24" t="str">
        <x:v>EEZ_274</x:v>
      </x:c>
      <x:c r="B15" s="24" t="str">
        <x:v>functional_ppr_difference</x:v>
      </x:c>
      <x:c r="C15" s="24" t="n">
        <x:v>-84929.22618805012</x:v>
      </x:c>
      <x:c r="D15" s="24" t="str">
        <x:v>tonnes_primary_production_equivalent</x:v>
      </x:c>
    </x:row>
    <x:row r="16" ht="18" customHeight="1">
      <x:c r="A16" s="24" t="str">
        <x:v>EEZ_274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EEZ_274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9da2e7a621f4b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EEZ_274 - Gaza Strip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