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3f37e08b4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83b747b2ddf4cef"/>
    <x:sheet xmlns:r="http://schemas.openxmlformats.org/officeDocument/2006/relationships" name="Commercial" sheetId="2" r:id="R4f6cc547cd1f4493"/>
    <x:sheet xmlns:r="http://schemas.openxmlformats.org/officeDocument/2006/relationships" name="Functional" sheetId="3" r:id="Rcdd11e9f14374ca5"/>
    <x:sheet xmlns:r="http://schemas.openxmlformats.org/officeDocument/2006/relationships" name="Missing TL" sheetId="4" r:id="R6dd55dcbf857456a"/>
    <x:sheet xmlns:r="http://schemas.openxmlformats.org/officeDocument/2006/relationships" name="Validation" sheetId="5" r:id="Reac8a1b9a28b44b1"/>
    <x:sheet xmlns:r="http://schemas.openxmlformats.org/officeDocument/2006/relationships" name="Metadata" sheetId="6" r:id="Rf4ee1c74da1a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05b129de84500" /><Relationship Type="http://schemas.openxmlformats.org/officeDocument/2006/relationships/theme" Target="/xl/theme/theme1.xml" Id="R18246530d07e48a5" /><Relationship Type="http://schemas.microsoft.com/office/2022/11/relationships/FeaturePropertyBag" Target="/xl/featurePropertyBag/featurePropertyBag.xml" Id="Rd2930a650dd14767" /><Relationship Type="http://schemas.openxmlformats.org/officeDocument/2006/relationships/sharedStrings" Target="/xl/sharedStrings.xml" Id="R74d81593861f499c" /><Relationship Type="http://schemas.openxmlformats.org/officeDocument/2006/relationships/worksheet" Target="/xl/worksheets/sheet1.xml" Id="Rd83b747b2ddf4cef" /><Relationship Type="http://schemas.openxmlformats.org/officeDocument/2006/relationships/worksheet" Target="/xl/worksheets/sheet2.xml" Id="R4f6cc547cd1f4493" /><Relationship Type="http://schemas.openxmlformats.org/officeDocument/2006/relationships/worksheet" Target="/xl/worksheets/sheet3.xml" Id="Rcdd11e9f14374ca5" /><Relationship Type="http://schemas.openxmlformats.org/officeDocument/2006/relationships/worksheet" Target="/xl/worksheets/sheet4.xml" Id="R6dd55dcbf857456a" /><Relationship Type="http://schemas.openxmlformats.org/officeDocument/2006/relationships/worksheet" Target="/xl/worksheets/sheet5.xml" Id="Reac8a1b9a28b44b1" /><Relationship Type="http://schemas.openxmlformats.org/officeDocument/2006/relationships/worksheet" Target="/xl/worksheets/sheet6.xml" Id="Rf4ee1c74da1a42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0SpeciesTable" displayName="EEZ950SpeciesTable" ref="A1:U47" headerRowCount="1" totalsRowCount="0" totalsRowShown="0">
  <x:autoFilter ref="A1:U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0CommercialTable" displayName="EEZ950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0FunctionalTable" displayName="EEZ950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0ValidationTable" displayName="EEZ95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5adf909e054b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756844135d45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3e8cc30fb043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9928c7bb0a475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EEZ_950</x:v>
      </x:c>
      <x:c r="B2" s="24" t="str">
        <x:v>Nicaragua (Pacific)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7431.020486074999</x:v>
      </x:c>
      <x:c r="J2" s="31" t="n">
        <x:v>7364.8508223495</x:v>
      </x:c>
      <x:c r="K2" s="31" t="n">
        <x:v>66.1696637255</x:v>
      </x:c>
      <x:c r="L2" s="31" t="n">
        <x:v>7364.8508223495</x:v>
      </x:c>
      <x:c r="M2" s="31" t="n">
        <x:v>66.1696637255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19100663.719076216</x:v>
      </x:c>
    </x:row>
    <x:row r="3" ht="18" customHeight="1">
      <x:c r="A3" s="24" t="str">
        <x:v>EEZ_950</x:v>
      </x:c>
      <x:c r="B3" s="24" t="str">
        <x:v>Nicaragua (Pacific)</x:v>
      </x:c>
      <x:c r="C3" s="24" t="str">
        <x:v>EEZ</x:v>
      </x:c>
      <x:c r="D3" s="30" t="n">
        <x:v>2019</x:v>
      </x:c>
      <x:c r="E3" s="24" t="str">
        <x:v>Miscellaneous marine crustaceans</x:v>
      </x:c>
      <x:c r="F3" s="24" t="str">
        <x:v>Marine crabs, shrimps, lobsters nei</x:v>
      </x:c>
      <x:c r="G3" s="24" t="str">
        <x:v>Shrimps</x:v>
      </x:c>
      <x:c r="H3" s="24" t="str">
        <x:v>Crustaceans</x:v>
      </x:c>
      <x:c r="I3" s="31" t="n">
        <x:v>4046.9137779659004</x:v>
      </x:c>
      <x:c r="J3" s="31" t="n">
        <x:v>2319.1928958343</x:v>
      </x:c>
      <x:c r="K3" s="31" t="n">
        <x:v>1727.7208821316</x:v>
      </x:c>
      <x:c r="L3" s="31" t="n">
        <x:v>0</x:v>
      </x:c>
      <x:c r="M3" s="31" t="n">
        <x:v>4046.9137779659004</x:v>
      </x:c>
      <x:c r="N3" s="24" t="str">
        <x:v>miscellaneous marine crustaceans</x:v>
      </x:c>
      <x:c r="O3" s="32" t="n">
        <x:v>2.7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Miscellaneous marine crustaceans</x:v>
      </x:c>
      <x:c r="T3" s="32" t="n">
        <x:f>IF(O3="","",(1/'Metadata'!$B$5)^(O3-1))</x:f>
        <x:v>50.11872336272725</x:v>
      </x:c>
      <x:c r="U3" s="31" t="n">
        <x:f>IF(T3="","",I3*T3)</x:f>
        <x:v>202826.1521106824</x:v>
      </x:c>
    </x:row>
    <x:row r="4" ht="18" customHeight="1">
      <x:c r="A4" s="24" t="str">
        <x:v>EEZ_950</x:v>
      </x:c>
      <x:c r="B4" s="24" t="str">
        <x:v>Nicaragua (Pacific)</x:v>
      </x:c>
      <x:c r="C4" s="24" t="str">
        <x:v>EEZ</x:v>
      </x:c>
      <x:c r="D4" s="30" t="n">
        <x:v>2019</x:v>
      </x:c>
      <x:c r="E4" s="24" t="str">
        <x:v>Lutjanidae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3951.8014855781</x:v>
      </x:c>
      <x:c r="J4" s="31" t="n">
        <x:v>3229.4678342362</x:v>
      </x:c>
      <x:c r="K4" s="31" t="n">
        <x:v>722.3336513419</x:v>
      </x:c>
      <x:c r="L4" s="31" t="n">
        <x:v>1616.1748713172</x:v>
      </x:c>
      <x:c r="M4" s="31" t="n">
        <x:v>2335.6266142609</x:v>
      </x:c>
      <x:c r="N4" s="24" t="str">
        <x:v>lutjanidae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Lutjanidae</x:v>
      </x:c>
      <x:c r="T4" s="32" t="n">
        <x:f>IF(O4="","",(1/'Metadata'!$B$5)^(O4-1))</x:f>
        <x:v>1047.1285480508984</x:v>
      </x:c>
      <x:c r="U4" s="31" t="n">
        <x:f>IF(T4="","",I4*T4)</x:f>
        <x:v>4138044.151778779</x:v>
      </x:c>
    </x:row>
    <x:row r="5" ht="18" customHeight="1">
      <x:c r="A5" s="24" t="str">
        <x:v>EEZ_950</x:v>
      </x:c>
      <x:c r="B5" s="24" t="str">
        <x:v>Nicaragua (Pacific)</x:v>
      </x:c>
      <x:c r="C5" s="24" t="str">
        <x:v>EEZ</x:v>
      </x:c>
      <x:c r="D5" s="30" t="n">
        <x:v>2019</x:v>
      </x:c>
      <x:c r="E5" s="24" t="str">
        <x:v>Galatheidae</x:v>
      </x:c>
      <x:c r="F5" s="24" t="str">
        <x:v>Squat lobsters</x:v>
      </x:c>
      <x:c r="G5" s="24" t="str">
        <x:v>Lobsters, crabs</x:v>
      </x:c>
      <x:c r="H5" s="24" t="str">
        <x:v>Crustaceans</x:v>
      </x:c>
      <x:c r="I5" s="31" t="n">
        <x:v>1513.4</x:v>
      </x:c>
      <x:c r="J5" s="31" t="n">
        <x:v>1513.4</x:v>
      </x:c>
      <x:c r="K5" s="31" t="n">
        <x:v>0</x:v>
      </x:c>
      <x:c r="L5" s="31" t="n">
        <x:v>1513.4</x:v>
      </x:c>
      <x:c r="M5" s="31" t="n">
        <x:v>0</x:v>
      </x:c>
      <x:c r="N5" s="24" t="str">
        <x:v>galatheidae</x:v>
      </x:c>
      <x:c r="O5" s="32" t="n">
        <x:v>3.1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Galatheidae</x:v>
      </x:c>
      <x:c r="T5" s="32" t="n">
        <x:f>IF(O5="","",(1/'Metadata'!$B$5)^(O5-1))</x:f>
        <x:v>125.89254117941675</x:v>
      </x:c>
      <x:c r="U5" s="31" t="n">
        <x:f>IF(T5="","",I5*T5)</x:f>
        <x:v>190525.77182092934</x:v>
      </x:c>
    </x:row>
    <x:row r="6" ht="18" customHeight="1">
      <x:c r="A6" s="24" t="str">
        <x:v>EEZ_950</x:v>
      </x:c>
      <x:c r="B6" s="24" t="str">
        <x:v>Nicaragua (Pacific)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1471.0620163672</x:v>
      </x:c>
      <x:c r="J6" s="31" t="n">
        <x:v>1173.4413648101</x:v>
      </x:c>
      <x:c r="K6" s="31" t="n">
        <x:v>297.6206515571</x:v>
      </x:c>
      <x:c r="L6" s="31" t="n">
        <x:v>627.7705218248</x:v>
      </x:c>
      <x:c r="M6" s="31" t="n">
        <x:v>843.2914945424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280305.08858755056</x:v>
      </x:c>
    </x:row>
    <x:row r="7" ht="18" customHeight="1">
      <x:c r="A7" s="24" t="str">
        <x:v>EEZ_950</x:v>
      </x:c>
      <x:c r="B7" s="24" t="str">
        <x:v>Nicaragua (Pacific)</x:v>
      </x:c>
      <x:c r="C7" s="24" t="str">
        <x:v>EEZ</x:v>
      </x:c>
      <x:c r="D7" s="30" t="n">
        <x:v>2019</x:v>
      </x:c>
      <x:c r="E7" s="24" t="str">
        <x:v>Haemulidae</x:v>
      </x:c>
      <x:c r="F7" s="24" t="str">
        <x:v>Grunts, sweetlips, bonnetmouths</x:v>
      </x:c>
      <x:c r="G7" s="24" t="str">
        <x:v>Medium demersals (30 - 89 cm)</x:v>
      </x:c>
      <x:c r="H7" s="24" t="str">
        <x:v>Perch-likes</x:v>
      </x:c>
      <x:c r="I7" s="31" t="n">
        <x:v>1208.0375630722</x:v>
      </x:c>
      <x:c r="J7" s="31" t="n">
        <x:v>725.6069880683</x:v>
      </x:c>
      <x:c r="K7" s="31" t="n">
        <x:v>482.4305750039</x:v>
      </x:c>
      <x:c r="L7" s="31" t="n">
        <x:v>78.02</x:v>
      </x:c>
      <x:c r="M7" s="31" t="n">
        <x:v>1130.0175630722001</x:v>
      </x:c>
      <x:c r="N7" s="24" t="str">
        <x:v>haemulidae</x:v>
      </x:c>
      <x:c r="O7" s="32" t="n">
        <x:v>3.36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Haemulidae</x:v>
      </x:c>
      <x:c r="T7" s="32" t="n">
        <x:f>IF(O7="","",(1/'Metadata'!$B$5)^(O7-1))</x:f>
        <x:v>229.08676527677724</x:v>
      </x:c>
      <x:c r="U7" s="31" t="n">
        <x:f>IF(T7="","",I7*T7)</x:f>
        <x:v>276745.41765705106</x:v>
      </x:c>
    </x:row>
    <x:row r="8" ht="18" customHeight="1">
      <x:c r="A8" s="24" t="str">
        <x:v>EEZ_950</x:v>
      </x:c>
      <x:c r="B8" s="24" t="str">
        <x:v>Nicaragua (Pacific)</x:v>
      </x:c>
      <x:c r="C8" s="24" t="str">
        <x:v>EEZ</x:v>
      </x:c>
      <x:c r="D8" s="30" t="n">
        <x:v>2019</x:v>
      </x:c>
      <x:c r="E8" s="24" t="str">
        <x:v>Mollusca</x:v>
      </x:c>
      <x:c r="F8" s="24" t="str">
        <x:v>Clams, seasnails, squids, octopuses</x:v>
      </x:c>
      <x:c r="G8" s="24" t="str">
        <x:v>Other demersal invertebrates</x:v>
      </x:c>
      <x:c r="H8" s="24" t="str">
        <x:v>Molluscs</x:v>
      </x:c>
      <x:c r="I8" s="31" t="n">
        <x:v>966.4010829325001</x:v>
      </x:c>
      <x:c r="J8" s="31" t="n">
        <x:v>566.664005219</x:v>
      </x:c>
      <x:c r="K8" s="31" t="n">
        <x:v>399.7370777135</x:v>
      </x:c>
      <x:c r="L8" s="31" t="n">
        <x:v>30.080000000000002</x:v>
      </x:c>
      <x:c r="M8" s="31" t="n">
        <x:v>936.3210829325001</x:v>
      </x:c>
      <x:c r="N8" s="24" t="str">
        <x:v>mollusca</x:v>
      </x:c>
      <x:c r="O8" s="32" t="n">
        <x:v>2.1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Mollusca</x:v>
      </x:c>
      <x:c r="T8" s="32" t="n">
        <x:f>IF(O8="","",(1/'Metadata'!$B$5)^(O8-1))</x:f>
        <x:v>12.589254117941675</x:v>
      </x:c>
      <x:c r="U8" s="31" t="n">
        <x:f>IF(T8="","",I8*T8)</x:f>
        <x:v>12166.26881289127</x:v>
      </x:c>
    </x:row>
    <x:row r="9" ht="18" customHeight="1">
      <x:c r="A9" s="24" t="str">
        <x:v>EEZ_950</x:v>
      </x:c>
      <x:c r="B9" s="24" t="str">
        <x:v>Nicaragua (Pacific)</x:v>
      </x:c>
      <x:c r="C9" s="24" t="str">
        <x:v>EEZ</x:v>
      </x:c>
      <x:c r="D9" s="30" t="n">
        <x:v>2019</x:v>
      </x:c>
      <x:c r="E9" s="24" t="str">
        <x:v>Pleuronectiformes</x:v>
      </x:c>
      <x:c r="F9" s="24" t="str">
        <x:v>Flatfishes</x:v>
      </x:c>
      <x:c r="G9" s="24" t="str">
        <x:v>Small to medium flatfishes (&lt;90 cm)</x:v>
      </x:c>
      <x:c r="H9" s="24" t="str">
        <x:v>Flatfishes</x:v>
      </x:c>
      <x:c r="I9" s="31" t="n">
        <x:v>588.3391341134</x:v>
      </x:c>
      <x:c r="J9" s="31" t="n">
        <x:v>478.5765296885</x:v>
      </x:c>
      <x:c r="K9" s="31" t="n">
        <x:v>109.7626044249</x:v>
      </x:c>
      <x:c r="L9" s="31" t="n">
        <x:v>230.7429937432</x:v>
      </x:c>
      <x:c r="M9" s="31" t="n">
        <x:v>357.59614037020003</x:v>
      </x:c>
      <x:c r="N9" s="24" t="str">
        <x:v>pleuronectiformes</x:v>
      </x:c>
      <x:c r="O9" s="32" t="n">
        <x:v>3.57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Pleuronectiformes</x:v>
      </x:c>
      <x:c r="T9" s="32" t="n">
        <x:f>IF(O9="","",(1/'Metadata'!$B$5)^(O9-1))</x:f>
        <x:v>371.5352290971724</x:v>
      </x:c>
      <x:c r="U9" s="31" t="n">
        <x:f>IF(T9="","",I9*T9)</x:f>
        <x:v>218588.7149796541</x:v>
      </x:c>
    </x:row>
    <x:row r="10" ht="18" customHeight="1">
      <x:c r="A10" s="24" t="str">
        <x:v>EEZ_950</x:v>
      </x:c>
      <x:c r="B10" s="24" t="str">
        <x:v>Nicaragua (Pacific)</x:v>
      </x:c>
      <x:c r="C10" s="24" t="str">
        <x:v>EEZ</x:v>
      </x:c>
      <x:c r="D10" s="30" t="n">
        <x:v>2019</x:v>
      </x:c>
      <x:c r="E10" s="24" t="str">
        <x:v>Lutjanus guttatus</x:v>
      </x:c>
      <x:c r="F10" s="24" t="str">
        <x:v>Spotted rose snapper</x:v>
      </x:c>
      <x:c r="G10" s="24" t="str">
        <x:v>Medium reef assoc. fish (30 - 89 cm)</x:v>
      </x:c>
      <x:c r="H10" s="24" t="str">
        <x:v>Perch-likes</x:v>
      </x:c>
      <x:c r="I10" s="31" t="n">
        <x:v>454.02000000000004</x:v>
      </x:c>
      <x:c r="J10" s="31" t="n">
        <x:v>454.02000000000004</x:v>
      </x:c>
      <x:c r="K10" s="31" t="n">
        <x:v>0</x:v>
      </x:c>
      <x:c r="L10" s="31" t="n">
        <x:v>454.02000000000004</x:v>
      </x:c>
      <x:c r="M10" s="31" t="n">
        <x:v>0</x:v>
      </x:c>
      <x:c r="N10" s="24" t="str">
        <x:v>lutjanus guttatus</x:v>
      </x:c>
      <x:c r="O10" s="32" t="n">
        <x:v>4.04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Lutjanus guttatus</x:v>
      </x:c>
      <x:c r="T10" s="32" t="n">
        <x:f>IF(O10="","",(1/'Metadata'!$B$5)^(O10-1))</x:f>
        <x:v>1096.4781961431852</x:v>
      </x:c>
      <x:c r="U10" s="31" t="n">
        <x:f>IF(T10="","",I10*T10)</x:f>
        <x:v>497823.03061292897</x:v>
      </x:c>
    </x:row>
    <x:row r="11" ht="18" customHeight="1">
      <x:c r="A11" s="24" t="str">
        <x:v>EEZ_950</x:v>
      </x:c>
      <x:c r="B11" s="24" t="str">
        <x:v>Nicaragua (Pacific)</x:v>
      </x:c>
      <x:c r="C11" s="24" t="str">
        <x:v>EEZ</x:v>
      </x:c>
      <x:c r="D11" s="30" t="n">
        <x:v>2019</x:v>
      </x:c>
      <x:c r="E11" s="24" t="str">
        <x:v>Clupeidae</x:v>
      </x:c>
      <x:c r="F11" s="24" t="str">
        <x:v>Herrings, sardines, menhadens</x:v>
      </x:c>
      <x:c r="G11" s="24" t="str">
        <x:v>Small pelagics (&lt;30 cm)</x:v>
      </x:c>
      <x:c r="H11" s="24" t="str">
        <x:v>Herring-likes</x:v>
      </x:c>
      <x:c r="I11" s="31" t="n">
        <x:v>373.0668276954</x:v>
      </x:c>
      <x:c r="J11" s="31" t="n">
        <x:v>275.8088237746</x:v>
      </x:c>
      <x:c r="K11" s="31" t="n">
        <x:v>97.2580039208</x:v>
      </x:c>
      <x:c r="L11" s="31" t="n">
        <x:v>56.2094881269</x:v>
      </x:c>
      <x:c r="M11" s="31" t="n">
        <x:v>316.8573395685</x:v>
      </x:c>
      <x:c r="N11" s="24" t="str">
        <x:v>clupeidae</x:v>
      </x:c>
      <x:c r="O11" s="32" t="n">
        <x:v>3.16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Clupeidae</x:v>
      </x:c>
      <x:c r="T11" s="32" t="n">
        <x:f>IF(O11="","",(1/'Metadata'!$B$5)^(O11-1))</x:f>
        <x:v>144.5439770745928</x:v>
      </x:c>
      <x:c r="U11" s="31" t="n">
        <x:f>IF(T11="","",I11*T11)</x:f>
        <x:v>53924.562989694954</x:v>
      </x:c>
    </x:row>
    <x:row r="12" ht="18" customHeight="1">
      <x:c r="A12" s="24" t="str">
        <x:v>EEZ_950</x:v>
      </x:c>
      <x:c r="B12" s="24" t="str">
        <x:v>Nicaragua (Pacific)</x:v>
      </x:c>
      <x:c r="C12" s="24" t="str">
        <x:v>EEZ</x:v>
      </x:c>
      <x:c r="D12" s="30" t="n">
        <x:v>2019</x:v>
      </x:c>
      <x:c r="E12" s="24" t="str">
        <x:v>Coryphaena</x:v>
      </x:c>
      <x:c r="F12" s="24" t="str">
        <x:v>Dolphinfishes</x:v>
      </x:c>
      <x:c r="G12" s="24" t="str">
        <x:v>Large pelagics (&gt;=90 cm)</x:v>
      </x:c>
      <x:c r="H12" s="24" t="str">
        <x:v>Perch-likes</x:v>
      </x:c>
      <x:c r="I12" s="31" t="n">
        <x:v>310.0432479318</x:v>
      </x:c>
      <x:c r="J12" s="31" t="n">
        <x:v>229.45804468309998</x:v>
      </x:c>
      <x:c r="K12" s="31" t="n">
        <x:v>80.5852032487</x:v>
      </x:c>
      <x:c r="L12" s="31" t="n">
        <x:v>47.5043094322</x:v>
      </x:c>
      <x:c r="M12" s="31" t="n">
        <x:v>262.5389384996</x:v>
      </x:c>
      <x:c r="N12" s="24" t="str">
        <x:v>coryphaena</x:v>
      </x:c>
      <x:c r="O12" s="32" t="n">
        <x:v>4.49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Coryphaena</x:v>
      </x:c>
      <x:c r="T12" s="32" t="n">
        <x:f>IF(O12="","",(1/'Metadata'!$B$5)^(O12-1))</x:f>
        <x:v>3090.295432513592</x:v>
      </x:c>
      <x:c r="U12" s="31" t="n">
        <x:f>IF(T12="","",I12*T12)</x:f>
        <x:v>958125.2329653207</x:v>
      </x:c>
    </x:row>
    <x:row r="13" ht="18" customHeight="1">
      <x:c r="A13" s="24" t="str">
        <x:v>EEZ_950</x:v>
      </x:c>
      <x:c r="B13" s="24" t="str">
        <x:v>Nicaragua (Pacific)</x:v>
      </x:c>
      <x:c r="C13" s="24" t="str">
        <x:v>EEZ</x:v>
      </x:c>
      <x:c r="D13" s="30" t="n">
        <x:v>2019</x:v>
      </x:c>
      <x:c r="E13" s="24" t="str">
        <x:v>Serranidae</x:v>
      </x:c>
      <x:c r="F13" s="24" t="str">
        <x:v>Basses, groupers, hinds</x:v>
      </x:c>
      <x:c r="G13" s="24" t="str">
        <x:v>Medium reef assoc. fish (30 - 89 cm)</x:v>
      </x:c>
      <x:c r="H13" s="24" t="str">
        <x:v>Perch-likes</x:v>
      </x:c>
      <x:c r="I13" s="31" t="n">
        <x:v>285.8904246601</x:v>
      </x:c>
      <x:c r="J13" s="31" t="n">
        <x:v>259.4918235959</x:v>
      </x:c>
      <x:c r="K13" s="31" t="n">
        <x:v>26.3986010642</x:v>
      </x:c>
      <x:c r="L13" s="31" t="n">
        <x:v>199.8862896344</x:v>
      </x:c>
      <x:c r="M13" s="31" t="n">
        <x:v>86.0041350257</x:v>
      </x:c>
      <x:c r="N13" s="24" t="str">
        <x:v>serranidae</x:v>
      </x:c>
      <x:c r="O13" s="32" t="n">
        <x:v>3.98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Serranidae</x:v>
      </x:c>
      <x:c r="T13" s="32" t="n">
        <x:f>IF(O13="","",(1/'Metadata'!$B$5)^(O13-1))</x:f>
        <x:v>954.992586021436</x:v>
      </x:c>
      <x:c r="U13" s="31" t="n">
        <x:f>IF(T13="","",I13*T13)</x:f>
        <x:v>273023.2359649154</x:v>
      </x:c>
    </x:row>
    <x:row r="14" ht="18" customHeight="1">
      <x:c r="A14" s="24" t="str">
        <x:v>EEZ_950</x:v>
      </x:c>
      <x:c r="B14" s="24" t="str">
        <x:v>Nicaragua (Pacific)</x:v>
      </x:c>
      <x:c r="C14" s="24" t="str">
        <x:v>EEZ</x:v>
      </x:c>
      <x:c r="D14" s="30" t="n">
        <x:v>2019</x:v>
      </x:c>
      <x:c r="E14" s="24" t="str">
        <x:v>Cynoscion</x:v>
      </x:c>
      <x:c r="F14" s="24" t="str">
        <x:v>Weakfishes</x:v>
      </x:c>
      <x:c r="G14" s="24" t="str">
        <x:v>Medium demersals (30 - 89 cm)</x:v>
      </x:c>
      <x:c r="H14" s="24" t="str">
        <x:v>Perch-likes</x:v>
      </x:c>
      <x:c r="I14" s="31" t="n">
        <x:v>197.4</x:v>
      </x:c>
      <x:c r="J14" s="31" t="n">
        <x:v>197.4</x:v>
      </x:c>
      <x:c r="K14" s="31" t="n">
        <x:v>0</x:v>
      </x:c>
      <x:c r="L14" s="31" t="n">
        <x:v>197.4</x:v>
      </x:c>
      <x:c r="M14" s="31" t="n">
        <x:v>0</x:v>
      </x:c>
      <x:c r="N14" s="24" t="str">
        <x:v>cynoscion</x:v>
      </x:c>
      <x:c r="O14" s="32" t="n">
        <x:v>4.21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Cynoscion</x:v>
      </x:c>
      <x:c r="T14" s="32" t="n">
        <x:f>IF(O14="","",(1/'Metadata'!$B$5)^(O14-1))</x:f>
        <x:v>1621.8100973589299</x:v>
      </x:c>
      <x:c r="U14" s="31" t="n">
        <x:f>IF(T14="","",I14*T14)</x:f>
        <x:v>320145.31321865274</x:v>
      </x:c>
    </x:row>
    <x:row r="15" ht="18" customHeight="1">
      <x:c r="A15" s="24" t="str">
        <x:v>EEZ_950</x:v>
      </x:c>
      <x:c r="B15" s="24" t="str">
        <x:v>Nicaragua (Pacific)</x:v>
      </x:c>
      <x:c r="C15" s="24" t="str">
        <x:v>EEZ</x:v>
      </x:c>
      <x:c r="D15" s="30" t="n">
        <x:v>2019</x:v>
      </x:c>
      <x:c r="E15" s="24" t="str">
        <x:v>Batoidea</x:v>
      </x:c>
      <x:c r="F15" s="24" t="str">
        <x:v>Batoids, skates, rays, sawfishes</x:v>
      </x:c>
      <x:c r="G15" s="24" t="str">
        <x:v>Large rays (&gt;=90 cm)</x:v>
      </x:c>
      <x:c r="H15" s="24" t="str">
        <x:v>Sharks &amp; rays</x:v>
      </x:c>
      <x:c r="I15" s="31" t="n">
        <x:v>187.4266611445</x:v>
      </x:c>
      <x:c r="J15" s="31" t="n">
        <x:v>133.2400589601</x:v>
      </x:c>
      <x:c r="K15" s="31" t="n">
        <x:v>54.1866021844</x:v>
      </x:c>
      <x:c r="L15" s="31" t="n">
        <x:v>10.8918576707</x:v>
      </x:c>
      <x:c r="M15" s="31" t="n">
        <x:v>176.5348034738</x:v>
      </x:c>
      <x:c r="N15" s="24" t="str">
        <x:v>batoidea</x:v>
      </x:c>
      <x:c r="O15" s="32" t="n">
        <x:v>3.72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Batoidea</x:v>
      </x:c>
      <x:c r="T15" s="32" t="n">
        <x:f>IF(O15="","",(1/'Metadata'!$B$5)^(O15-1))</x:f>
        <x:v>524.8074602497728</x:v>
      </x:c>
      <x:c r="U15" s="31" t="n">
        <x:f>IF(T15="","",I15*T15)</x:f>
        <x:v>98362.91001833983</x:v>
      </x:c>
    </x:row>
    <x:row r="16" ht="18" customHeight="1">
      <x:c r="A16" s="24" t="str">
        <x:v>EEZ_950</x:v>
      </x:c>
      <x:c r="B16" s="24" t="str">
        <x:v>Nicaragua (Pacific)</x:v>
      </x:c>
      <x:c r="C16" s="24" t="str">
        <x:v>EEZ</x:v>
      </x:c>
      <x:c r="D16" s="30" t="n">
        <x:v>2019</x:v>
      </x:c>
      <x:c r="E16" s="24" t="str">
        <x:v>Sciaenidae</x:v>
      </x:c>
      <x:c r="F16" s="24" t="str">
        <x:v>Drums, croakers</x:v>
      </x:c>
      <x:c r="G16" s="24" t="str">
        <x:v>Medium demersals (30 - 89 cm)</x:v>
      </x:c>
      <x:c r="H16" s="24" t="str">
        <x:v>Perch-likes</x:v>
      </x:c>
      <x:c r="I16" s="31" t="n">
        <x:v>158.5917901992</x:v>
      </x:c>
      <x:c r="J16" s="31" t="n">
        <x:v>112.7415883508</x:v>
      </x:c>
      <x:c r="K16" s="31" t="n">
        <x:v>45.8502018484</x:v>
      </x:c>
      <x:c r="L16" s="31" t="n">
        <x:v>9.2161872598</x:v>
      </x:c>
      <x:c r="M16" s="31" t="n">
        <x:v>149.37560293939998</x:v>
      </x:c>
      <x:c r="N16" s="24" t="str">
        <x:v>sciaenidae</x:v>
      </x:c>
      <x:c r="O16" s="32" t="n">
        <x:v>3.76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Sciaenidae</x:v>
      </x:c>
      <x:c r="T16" s="32" t="n">
        <x:f>IF(O16="","",(1/'Metadata'!$B$5)^(O16-1))</x:f>
        <x:v>575.4399373371566</x:v>
      </x:c>
      <x:c r="U16" s="31" t="n">
        <x:f>IF(T16="","",I16*T16)</x:f>
        <x:v>91260.04981441514</x:v>
      </x:c>
    </x:row>
    <x:row r="17" ht="18" customHeight="1">
      <x:c r="A17" s="24" t="str">
        <x:v>EEZ_950</x:v>
      </x:c>
      <x:c r="B17" s="24" t="str">
        <x:v>Nicaragua (Pacific)</x:v>
      </x:c>
      <x:c r="C17" s="24" t="str">
        <x:v>EEZ</x:v>
      </x:c>
      <x:c r="D17" s="30" t="n">
        <x:v>2019</x:v>
      </x:c>
      <x:c r="E17" s="24" t="str">
        <x:v>Panulirus gracilis</x:v>
      </x:c>
      <x:c r="F17" s="24" t="str">
        <x:v>Blue spiny lobster</x:v>
      </x:c>
      <x:c r="G17" s="24" t="str">
        <x:v>Lobsters, crabs</x:v>
      </x:c>
      <x:c r="H17" s="24" t="str">
        <x:v>Crustaceans</x:v>
      </x:c>
      <x:c r="I17" s="31" t="n">
        <x:v>153.22</x:v>
      </x:c>
      <x:c r="J17" s="31" t="n">
        <x:v>153.22</x:v>
      </x:c>
      <x:c r="K17" s="31" t="n">
        <x:v>0</x:v>
      </x:c>
      <x:c r="L17" s="31" t="n">
        <x:v>153.22</x:v>
      </x:c>
      <x:c r="M17" s="31" t="n">
        <x:v>0</x:v>
      </x:c>
      <x:c r="N17" s="24" t="str">
        <x:v>panulirus gracilis</x:v>
      </x:c>
      <x:c r="O17" s="32" t="n">
        <x:v>2.6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Panulirus gracilis</x:v>
      </x:c>
      <x:c r="T17" s="32" t="n">
        <x:f>IF(O17="","",(1/'Metadata'!$B$5)^(O17-1))</x:f>
        <x:v>39.810717055349734</x:v>
      </x:c>
      <x:c r="U17" s="31" t="n">
        <x:f>IF(T17="","",I17*T17)</x:f>
        <x:v>6099.798067220686</x:v>
      </x:c>
    </x:row>
    <x:row r="18" ht="18" customHeight="1">
      <x:c r="A18" s="24" t="str">
        <x:v>EEZ_950</x:v>
      </x:c>
      <x:c r="B18" s="24" t="str">
        <x:v>Nicaragua (Pacific)</x:v>
      </x:c>
      <x:c r="C18" s="24" t="str">
        <x:v>EEZ</x:v>
      </x:c>
      <x:c r="D18" s="30" t="n">
        <x:v>2019</x:v>
      </x:c>
      <x:c r="E18" s="24" t="str">
        <x:v>Scombridae</x:v>
      </x:c>
      <x:c r="F18" s="24" t="str">
        <x:v>Mackerels, tunas, bonitos</x:v>
      </x:c>
      <x:c r="G18" s="24" t="str">
        <x:v>Medium pelagics (30 - 89 cm)</x:v>
      </x:c>
      <x:c r="H18" s="24" t="str">
        <x:v>Perch-likes</x:v>
      </x:c>
      <x:c r="I18" s="31" t="n">
        <x:v>151.7107451195</x:v>
      </x:c>
      <x:c r="J18" s="31" t="n">
        <x:v>108.5159127353</x:v>
      </x:c>
      <x:c r="K18" s="31" t="n">
        <x:v>43.1948323842</x:v>
      </x:c>
      <x:c r="L18" s="31" t="n">
        <x:v>8.3783520544</x:v>
      </x:c>
      <x:c r="M18" s="31" t="n">
        <x:v>143.3323930651</x:v>
      </x:c>
      <x:c r="N18" s="24" t="str">
        <x:v>scombridae</x:v>
      </x:c>
      <x:c r="O18" s="32" t="n">
        <x:v>4.26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Scombridae</x:v>
      </x:c>
      <x:c r="T18" s="32" t="n">
        <x:f>IF(O18="","",(1/'Metadata'!$B$5)^(O18-1))</x:f>
        <x:v>1819.7008586099826</x:v>
      </x:c>
      <x:c r="U18" s="31" t="n">
        <x:f>IF(T18="","",I18*T18)</x:f>
        <x:v>276068.17315431434</x:v>
      </x:c>
    </x:row>
    <x:row r="19" ht="18" customHeight="1">
      <x:c r="A19" s="24" t="str">
        <x:v>EEZ_950</x:v>
      </x:c>
      <x:c r="B19" s="24" t="str">
        <x:v>Nicaragua (Pacific)</x:v>
      </x:c>
      <x:c r="C19" s="24" t="str">
        <x:v>EEZ</x:v>
      </x:c>
      <x:c r="D19" s="30" t="n">
        <x:v>2019</x:v>
      </x:c>
      <x:c r="E19" s="24" t="str">
        <x:v>Rajiformes</x:v>
      </x:c>
      <x:c r="F19" s="24" t="str">
        <x:v>Skates and rays</x:v>
      </x:c>
      <x:c r="G19" s="24" t="str">
        <x:v>Large rays (&gt;=90 cm)</x:v>
      </x:c>
      <x:c r="H19" s="24" t="str">
        <x:v>Sharks &amp; rays</x:v>
      </x:c>
      <x:c r="I19" s="31" t="n">
        <x:v>124.08</x:v>
      </x:c>
      <x:c r="J19" s="31" t="n">
        <x:v>124.08</x:v>
      </x:c>
      <x:c r="K19" s="31" t="n">
        <x:v>0</x:v>
      </x:c>
      <x:c r="L19" s="31" t="n">
        <x:v>124.08</x:v>
      </x:c>
      <x:c r="M19" s="31" t="n">
        <x:v>0</x:v>
      </x:c>
      <x:c r="N19" s="24" t="str">
        <x:v>rajiformes</x:v>
      </x:c>
      <x:c r="O19" s="32" t="n">
        <x:v>3.61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Rajiformes</x:v>
      </x:c>
      <x:c r="T19" s="32" t="n">
        <x:f>IF(O19="","",(1/'Metadata'!$B$5)^(O19-1))</x:f>
        <x:v>407.3802778041126</x:v>
      </x:c>
      <x:c r="U19" s="31" t="n">
        <x:f>IF(T19="","",I19*T19)</x:f>
        <x:v>50547.74486993429</x:v>
      </x:c>
    </x:row>
    <x:row r="20" ht="18" customHeight="1">
      <x:c r="A20" s="24" t="str">
        <x:v>EEZ_950</x:v>
      </x:c>
      <x:c r="B20" s="24" t="str">
        <x:v>Nicaragua (Pacific)</x:v>
      </x:c>
      <x:c r="C20" s="24" t="str">
        <x:v>EEZ</x:v>
      </x:c>
      <x:c r="D20" s="30" t="n">
        <x:v>2019</x:v>
      </x:c>
      <x:c r="E20" s="24" t="str">
        <x:v>Carcharhinidae</x:v>
      </x:c>
      <x:c r="F20" s="24" t="str">
        <x:v>Requiem sharks</x:v>
      </x:c>
      <x:c r="G20" s="24" t="str">
        <x:v>Large sharks (&gt;=90 cm)</x:v>
      </x:c>
      <x:c r="H20" s="24" t="str">
        <x:v>Sharks &amp; rays</x:v>
      </x:c>
      <x:c r="I20" s="31" t="n">
        <x:v>115.3394837813</x:v>
      </x:c>
      <x:c r="J20" s="31" t="n">
        <x:v>81.993882437</x:v>
      </x:c>
      <x:c r="K20" s="31" t="n">
        <x:v>33.3456013443</x:v>
      </x:c>
      <x:c r="L20" s="31" t="n">
        <x:v>6.7026816435</x:v>
      </x:c>
      <x:c r="M20" s="31" t="n">
        <x:v>108.6368021378</x:v>
      </x:c>
      <x:c r="N20" s="24" t="str">
        <x:v>carcharhinidae</x:v>
      </x:c>
      <x:c r="O20" s="32" t="n">
        <x:v>4.24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Carcharhinidae</x:v>
      </x:c>
      <x:c r="T20" s="32" t="n">
        <x:f>IF(O20="","",(1/'Metadata'!$B$5)^(O20-1))</x:f>
        <x:v>1737.8008287493763</x:v>
      </x:c>
      <x:c r="U20" s="31" t="n">
        <x:f>IF(T20="","",I20*T20)</x:f>
        <x:v>200437.0505026684</x:v>
      </x:c>
    </x:row>
    <x:row r="21" ht="18" customHeight="1">
      <x:c r="A21" s="24" t="str">
        <x:v>EEZ_950</x:v>
      </x:c>
      <x:c r="B21" s="24" t="str">
        <x:v>Nicaragua (Pacific)</x:v>
      </x:c>
      <x:c r="C21" s="24" t="str">
        <x:v>EEZ</x:v>
      </x:c>
      <x:c r="D21" s="30" t="n">
        <x:v>2019</x:v>
      </x:c>
      <x:c r="E21" s="24" t="str">
        <x:v>Penaeus occidentalis</x:v>
      </x:c>
      <x:c r="F21" s="24" t="str">
        <x:v>Western white shrimp</x:v>
      </x:c>
      <x:c r="G21" s="24" t="str">
        <x:v>Shrimps</x:v>
      </x:c>
      <x:c r="H21" s="24" t="str">
        <x:v>Crustaceans</x:v>
      </x:c>
      <x:c r="I21" s="31" t="n">
        <x:v>98.888</x:v>
      </x:c>
      <x:c r="J21" s="31" t="n">
        <x:v>98.888</x:v>
      </x:c>
      <x:c r="K21" s="31" t="n">
        <x:v>0</x:v>
      </x:c>
      <x:c r="L21" s="31" t="n">
        <x:v>98.888</x:v>
      </x:c>
      <x:c r="M21" s="31" t="n">
        <x:v>0</x:v>
      </x:c>
      <x:c r="N21" s="24" t="str">
        <x:v>penaeus occidentalis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Penaeus occidentalis</x:v>
      </x:c>
      <x:c r="T21" s="32" t="n">
        <x:f>IF(O21="","",(1/'Metadata'!$B$5)^(O21-1))</x:f>
        <x:v>50.11872336272725</x:v>
      </x:c>
      <x:c r="U21" s="31" t="n">
        <x:f>IF(T21="","",I21*T21)</x:f>
        <x:v>4956.140315893373</x:v>
      </x:c>
    </x:row>
    <x:row r="22" ht="18" customHeight="1">
      <x:c r="A22" s="24" t="str">
        <x:v>EEZ_950</x:v>
      </x:c>
      <x:c r="B22" s="24" t="str">
        <x:v>Nicaragua (Pacific)</x:v>
      </x:c>
      <x:c r="C22" s="24" t="str">
        <x:v>EEZ</x:v>
      </x:c>
      <x:c r="D22" s="30" t="n">
        <x:v>2019</x:v>
      </x:c>
      <x:c r="E22" s="24" t="str">
        <x:v>Penaeus brevirostris</x:v>
      </x:c>
      <x:c r="F22" s="24" t="str">
        <x:v>Crystal shrimp</x:v>
      </x:c>
      <x:c r="G22" s="24" t="str">
        <x:v>Shrimps</x:v>
      </x:c>
      <x:c r="H22" s="24" t="str">
        <x:v>Crustaceans</x:v>
      </x:c>
      <x:c r="I22" s="31" t="n">
        <x:v>98.888</x:v>
      </x:c>
      <x:c r="J22" s="31" t="n">
        <x:v>98.888</x:v>
      </x:c>
      <x:c r="K22" s="31" t="n">
        <x:v>0</x:v>
      </x:c>
      <x:c r="L22" s="31" t="n">
        <x:v>98.888</x:v>
      </x:c>
      <x:c r="M22" s="31" t="n">
        <x:v>0</x:v>
      </x:c>
      <x:c r="N22" s="24" t="str">
        <x:v>penaeus brevirostris</x:v>
      </x:c>
      <x:c r="O22" s="32" t="n">
        <x:v>2.7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Penaeus brevirostris</x:v>
      </x:c>
      <x:c r="T22" s="32" t="n">
        <x:f>IF(O22="","",(1/'Metadata'!$B$5)^(O22-1))</x:f>
        <x:v>50.11872336272725</x:v>
      </x:c>
      <x:c r="U22" s="31" t="n">
        <x:f>IF(T22="","",I22*T22)</x:f>
        <x:v>4956.140315893373</x:v>
      </x:c>
    </x:row>
    <x:row r="23" ht="18" customHeight="1">
      <x:c r="A23" s="24" t="str">
        <x:v>EEZ_950</x:v>
      </x:c>
      <x:c r="B23" s="24" t="str">
        <x:v>Nicaragua (Pacific)</x:v>
      </x:c>
      <x:c r="C23" s="24" t="str">
        <x:v>EEZ</x:v>
      </x:c>
      <x:c r="D23" s="30" t="n">
        <x:v>2019</x:v>
      </x:c>
      <x:c r="E23" s="24" t="str">
        <x:v>Penaeus californiensis</x:v>
      </x:c>
      <x:c r="F23" s="24" t="str">
        <x:v>Yellowleg shrimp</x:v>
      </x:c>
      <x:c r="G23" s="24" t="str">
        <x:v>Shrimps</x:v>
      </x:c>
      <x:c r="H23" s="24" t="str">
        <x:v>Crustaceans</x:v>
      </x:c>
      <x:c r="I23" s="31" t="n">
        <x:v>98.888</x:v>
      </x:c>
      <x:c r="J23" s="31" t="n">
        <x:v>98.888</x:v>
      </x:c>
      <x:c r="K23" s="31" t="n">
        <x:v>0</x:v>
      </x:c>
      <x:c r="L23" s="31" t="n">
        <x:v>98.888</x:v>
      </x:c>
      <x:c r="M23" s="31" t="n">
        <x:v>0</x:v>
      </x:c>
      <x:c r="N23" s="24" t="str">
        <x:v>penaeus californiensis</x:v>
      </x:c>
      <x:c r="O23" s="32" t="n">
        <x:v>2.7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californiensis</x:v>
      </x:c>
      <x:c r="T23" s="32" t="n">
        <x:f>IF(O23="","",(1/'Metadata'!$B$5)^(O23-1))</x:f>
        <x:v>50.11872336272725</x:v>
      </x:c>
      <x:c r="U23" s="31" t="n">
        <x:f>IF(T23="","",I23*T23)</x:f>
        <x:v>4956.140315893373</x:v>
      </x:c>
    </x:row>
    <x:row r="24" ht="18" customHeight="1">
      <x:c r="A24" s="24" t="str">
        <x:v>EEZ_950</x:v>
      </x:c>
      <x:c r="B24" s="24" t="str">
        <x:v>Nicaragua (Pacific)</x:v>
      </x:c>
      <x:c r="C24" s="24" t="str">
        <x:v>EEZ</x:v>
      </x:c>
      <x:c r="D24" s="30" t="n">
        <x:v>2019</x:v>
      </x:c>
      <x:c r="E24" s="24" t="str">
        <x:v>Penaeus vannamei</x:v>
      </x:c>
      <x:c r="F24" s="24" t="str">
        <x:v>Whiteleg shrimp</x:v>
      </x:c>
      <x:c r="G24" s="24" t="str">
        <x:v>Shrimps</x:v>
      </x:c>
      <x:c r="H24" s="24" t="str">
        <x:v>Crustaceans</x:v>
      </x:c>
      <x:c r="I24" s="31" t="n">
        <x:v>98.888</x:v>
      </x:c>
      <x:c r="J24" s="31" t="n">
        <x:v>98.888</x:v>
      </x:c>
      <x:c r="K24" s="31" t="n">
        <x:v>0</x:v>
      </x:c>
      <x:c r="L24" s="31" t="n">
        <x:v>98.888</x:v>
      </x:c>
      <x:c r="M24" s="31" t="n">
        <x:v>0</x:v>
      </x:c>
      <x:c r="N24" s="24" t="str">
        <x:v>penaeus vannamei</x:v>
      </x:c>
      <x:c r="O24" s="32" t="n">
        <x:v>2.7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vannamei</x:v>
      </x:c>
      <x:c r="T24" s="32" t="n">
        <x:f>IF(O24="","",(1/'Metadata'!$B$5)^(O24-1))</x:f>
        <x:v>50.11872336272725</x:v>
      </x:c>
      <x:c r="U24" s="31" t="n">
        <x:f>IF(T24="","",I24*T24)</x:f>
        <x:v>4956.140315893373</x:v>
      </x:c>
    </x:row>
    <x:row r="25" ht="18" customHeight="1">
      <x:c r="A25" s="24" t="str">
        <x:v>EEZ_950</x:v>
      </x:c>
      <x:c r="B25" s="24" t="str">
        <x:v>Nicaragua (Pacific)</x:v>
      </x:c>
      <x:c r="C25" s="24" t="str">
        <x:v>EEZ</x:v>
      </x:c>
      <x:c r="D25" s="30" t="n">
        <x:v>2019</x:v>
      </x:c>
      <x:c r="E25" s="24" t="str">
        <x:v>Penaeus stylirostris</x:v>
      </x:c>
      <x:c r="F25" s="24" t="str">
        <x:v>Blue shrimp</x:v>
      </x:c>
      <x:c r="G25" s="24" t="str">
        <x:v>Shrimps</x:v>
      </x:c>
      <x:c r="H25" s="24" t="str">
        <x:v>Crustaceans</x:v>
      </x:c>
      <x:c r="I25" s="31" t="n">
        <x:v>98.888</x:v>
      </x:c>
      <x:c r="J25" s="31" t="n">
        <x:v>98.888</x:v>
      </x:c>
      <x:c r="K25" s="31" t="n">
        <x:v>0</x:v>
      </x:c>
      <x:c r="L25" s="31" t="n">
        <x:v>98.888</x:v>
      </x:c>
      <x:c r="M25" s="31" t="n">
        <x:v>0</x:v>
      </x:c>
      <x:c r="N25" s="24" t="str">
        <x:v>penaeus stylirostris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Penaeus stylirostris</x:v>
      </x:c>
      <x:c r="T25" s="32" t="n">
        <x:f>IF(O25="","",(1/'Metadata'!$B$5)^(O25-1))</x:f>
        <x:v>50.11872336272725</x:v>
      </x:c>
      <x:c r="U25" s="31" t="n">
        <x:f>IF(T25="","",I25*T25)</x:f>
        <x:v>4956.140315893373</x:v>
      </x:c>
    </x:row>
    <x:row r="26" ht="18" customHeight="1">
      <x:c r="A26" s="24" t="str">
        <x:v>EEZ_950</x:v>
      </x:c>
      <x:c r="B26" s="24" t="str">
        <x:v>Nicaragua (Pacific)</x:v>
      </x:c>
      <x:c r="C26" s="24" t="str">
        <x:v>EEZ</x:v>
      </x:c>
      <x:c r="D26" s="30" t="n">
        <x:v>2019</x:v>
      </x:c>
      <x:c r="E26" s="24" t="str">
        <x:v>Scomberomorus sierra</x:v>
      </x:c>
      <x:c r="F26" s="24" t="str">
        <x:v>Pacific sierra</x:v>
      </x:c>
      <x:c r="G26" s="24" t="str">
        <x:v>Large pelagics (&gt;=90 cm)</x:v>
      </x:c>
      <x:c r="H26" s="24" t="str">
        <x:v>Perch-likes</x:v>
      </x:c>
      <x:c r="I26" s="31" t="n">
        <x:v>79.9</x:v>
      </x:c>
      <x:c r="J26" s="31" t="n">
        <x:v>79.9</x:v>
      </x:c>
      <x:c r="K26" s="31" t="n">
        <x:v>0</x:v>
      </x:c>
      <x:c r="L26" s="31" t="n">
        <x:v>79.9</x:v>
      </x:c>
      <x:c r="M26" s="31" t="n">
        <x:v>0</x:v>
      </x:c>
      <x:c r="N26" s="24" t="str">
        <x:v>scomberomorus sierra</x:v>
      </x:c>
      <x:c r="O26" s="32" t="n">
        <x:v>4.49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Scomberomorus sierra</x:v>
      </x:c>
      <x:c r="T26" s="32" t="n">
        <x:f>IF(O26="","",(1/'Metadata'!$B$5)^(O26-1))</x:f>
        <x:v>3090.295432513592</x:v>
      </x:c>
      <x:c r="U26" s="31" t="n">
        <x:f>IF(T26="","",I26*T26)</x:f>
        <x:v>246914.60505783602</x:v>
      </x:c>
    </x:row>
    <x:row r="27" ht="18" customHeight="1">
      <x:c r="A27" s="24" t="str">
        <x:v>EEZ_950</x:v>
      </x:c>
      <x:c r="B27" s="24" t="str">
        <x:v>Nicaragua (Pacific)</x:v>
      </x:c>
      <x:c r="C27" s="24" t="str">
        <x:v>EEZ</x:v>
      </x:c>
      <x:c r="D27" s="30" t="n">
        <x:v>2019</x:v>
      </x:c>
      <x:c r="E27" s="24" t="str">
        <x:v>Anguilliformes</x:v>
      </x:c>
      <x:c r="F27" s="24" t="str">
        <x:v>Eels, morays</x:v>
      </x:c>
      <x:c r="G27" s="24" t="str">
        <x:v>Large demersals (&gt;=90 cm)</x:v>
      </x:c>
      <x:c r="H27" s="24" t="str">
        <x:v>Other fishes &amp; inverts</x:v>
      </x:c>
      <x:c r="I27" s="31" t="n">
        <x:v>52.8639300663</x:v>
      </x:c>
      <x:c r="J27" s="31" t="n">
        <x:v>37.5805294502</x:v>
      </x:c>
      <x:c r="K27" s="31" t="n">
        <x:v>15.2834006161</x:v>
      </x:c>
      <x:c r="L27" s="31" t="n">
        <x:v>3.0720624199</x:v>
      </x:c>
      <x:c r="M27" s="31" t="n">
        <x:v>49.7918676464</x:v>
      </x:c>
      <x:c r="N27" s="24" t="str">
        <x:v>anguilliformes</x:v>
      </x:c>
      <x:c r="O27" s="32" t="n">
        <x:v>3.89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Anguilliformes</x:v>
      </x:c>
      <x:c r="T27" s="32" t="n">
        <x:f>IF(O27="","",(1/'Metadata'!$B$5)^(O27-1))</x:f>
        <x:v>776.247116628692</x:v>
      </x:c>
      <x:c r="U27" s="31" t="n">
        <x:f>IF(T27="","",I27*T27)</x:f>
        <x:v>41035.47328762619</x:v>
      </x:c>
    </x:row>
    <x:row r="28" ht="18" customHeight="1">
      <x:c r="A28" s="24" t="str">
        <x:v>EEZ_950</x:v>
      </x:c>
      <x:c r="B28" s="24" t="str">
        <x:v>Nicaragua (Pacific)</x:v>
      </x:c>
      <x:c r="C28" s="24" t="str">
        <x:v>EEZ</x:v>
      </x:c>
      <x:c r="D28" s="30" t="n">
        <x:v>2019</x:v>
      </x:c>
      <x:c r="E28" s="24" t="str">
        <x:v>Xiphias gladius</x:v>
      </x:c>
      <x:c r="F28" s="24" t="str">
        <x:v>Swordfish</x:v>
      </x:c>
      <x:c r="G28" s="24" t="str">
        <x:v>Large pelagics (&gt;=90 cm)</x:v>
      </x:c>
      <x:c r="H28" s="24" t="str">
        <x:v>Tuna &amp; billfishes</x:v>
      </x:c>
      <x:c r="I28" s="31" t="n">
        <x:v>50.8942595639</x:v>
      </x:c>
      <x:c r="J28" s="31" t="n">
        <x:v>50.8316521067</x:v>
      </x:c>
      <x:c r="K28" s="31" t="n">
        <x:v>0.0626074572</x:v>
      </x:c>
      <x:c r="L28" s="31" t="n">
        <x:v>50.8316521067</x:v>
      </x:c>
      <x:c r="M28" s="31" t="n">
        <x:v>0.0626074572</x:v>
      </x:c>
      <x:c r="N28" s="24" t="str">
        <x:v>xiphias gladius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Xiphias gladius</x:v>
      </x:c>
      <x:c r="T28" s="32" t="n">
        <x:f>IF(O28="","",(1/'Metadata'!$B$5)^(O28-1))</x:f>
        <x:v>3388.4415613920273</x:v>
      </x:c>
      <x:c r="U28" s="31" t="n">
        <x:f>IF(T28="","",I28*T28)</x:f>
        <x:v>172452.22434259244</x:v>
      </x:c>
    </x:row>
    <x:row r="29" ht="18" customHeight="1">
      <x:c r="A29" s="24" t="str">
        <x:v>EEZ_950</x:v>
      </x:c>
      <x:c r="B29" s="24" t="str">
        <x:v>Nicaragua (Pacific)</x:v>
      </x:c>
      <x:c r="C29" s="24" t="str">
        <x:v>EEZ</x:v>
      </x:c>
      <x:c r="D29" s="30" t="n">
        <x:v>2019</x:v>
      </x:c>
      <x:c r="E29" s="24" t="str">
        <x:v>Scaridae</x:v>
      </x:c>
      <x:c r="F29" s="24" t="str">
        <x:v>Parrotfishes</x:v>
      </x:c>
      <x:c r="G29" s="24" t="str">
        <x:v>Medium reef assoc. fish (30 - 89 cm)</x:v>
      </x:c>
      <x:c r="H29" s="24" t="str">
        <x:v>Perch-likes</x:v>
      </x:c>
      <x:c r="I29" s="31" t="n">
        <x:v>36.66</x:v>
      </x:c>
      <x:c r="J29" s="31" t="n">
        <x:v>36.66</x:v>
      </x:c>
      <x:c r="K29" s="31" t="n">
        <x:v>0</x:v>
      </x:c>
      <x:c r="L29" s="31" t="n">
        <x:v>36.66</x:v>
      </x:c>
      <x:c r="M29" s="31" t="n">
        <x:v>0</x:v>
      </x:c>
      <x:c r="N29" s="24" t="str">
        <x:v>scaridae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Scaridae</x:v>
      </x:c>
      <x:c r="T29" s="32" t="n">
        <x:f>IF(O29="","",(1/'Metadata'!$B$5)^(O29-1))</x:f>
        <x:v>10</x:v>
      </x:c>
      <x:c r="U29" s="31" t="n">
        <x:f>IF(T29="","",I29*T29)</x:f>
        <x:v>366.59999999999997</x:v>
      </x:c>
    </x:row>
    <x:row r="30" ht="18" customHeight="1">
      <x:c r="A30" s="24" t="str">
        <x:v>EEZ_950</x:v>
      </x:c>
      <x:c r="B30" s="24" t="str">
        <x:v>Nicaragua (Pacific)</x:v>
      </x:c>
      <x:c r="C30" s="24" t="str">
        <x:v>EEZ</x:v>
      </x:c>
      <x:c r="D30" s="30" t="n">
        <x:v>2019</x:v>
      </x:c>
      <x:c r="E30" s="24" t="str">
        <x:v>Coryphaena hippurus</x:v>
      </x:c>
      <x:c r="F30" s="24" t="str">
        <x:v>Common dolphinfish</x:v>
      </x:c>
      <x:c r="G30" s="24" t="str">
        <x:v>Large pelagics (&gt;=90 cm)</x:v>
      </x:c>
      <x:c r="H30" s="24" t="str">
        <x:v>Perch-likes</x:v>
      </x:c>
      <x:c r="I30" s="31" t="n">
        <x:v>26.5159199938</x:v>
      </x:c>
      <x:c r="J30" s="31" t="n">
        <x:v>25</x:v>
      </x:c>
      <x:c r="K30" s="31" t="n">
        <x:v>1.5159199938</x:v>
      </x:c>
      <x:c r="L30" s="31" t="n">
        <x:v>25</x:v>
      </x:c>
      <x:c r="M30" s="31" t="n">
        <x:v>1.5159199938</x:v>
      </x:c>
      <x:c r="N30" s="24" t="str">
        <x:v>coryphaena hippurus</x:v>
      </x:c>
      <x:c r="O30" s="32" t="n">
        <x:v>4.37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Coryphaena hippurus</x:v>
      </x:c>
      <x:c r="T30" s="32" t="n">
        <x:f>IF(O30="","",(1/'Metadata'!$B$5)^(O30-1))</x:f>
        <x:v>2344.228815319923</x:v>
      </x:c>
      <x:c r="U30" s="31" t="n">
        <x:f>IF(T30="","",I30*T30)</x:f>
        <x:v>62159.383714183634</x:v>
      </x:c>
    </x:row>
    <x:row r="31" ht="18" customHeight="1">
      <x:c r="A31" s="24" t="str">
        <x:v>EEZ_950</x:v>
      </x:c>
      <x:c r="B31" s="24" t="str">
        <x:v>Nicaragua (Pacific)</x:v>
      </x:c>
      <x:c r="C31" s="24" t="str">
        <x:v>EEZ</x:v>
      </x:c>
      <x:c r="D31" s="30" t="n">
        <x:v>2019</x:v>
      </x:c>
      <x:c r="E31" s="24" t="str">
        <x:v>Kajikia audax</x:v>
      </x:c>
      <x:c r="F31" s="24" t="str">
        <x:v>Striped marlin</x:v>
      </x:c>
      <x:c r="G31" s="24" t="str">
        <x:v>Large pelagics (&gt;=90 cm)</x:v>
      </x:c>
      <x:c r="H31" s="24" t="str">
        <x:v>Tuna &amp; billfishes</x:v>
      </x:c>
      <x:c r="I31" s="31" t="n">
        <x:v>21.217658395999997</x:v>
      </x:c>
      <x:c r="J31" s="31" t="n">
        <x:v>21.217658395999997</x:v>
      </x:c>
      <x:c r="K31" s="31" t="n">
        <x:v>0</x:v>
      </x:c>
      <x:c r="L31" s="31" t="n">
        <x:v>21.217658395999997</x:v>
      </x:c>
      <x:c r="M31" s="31" t="n">
        <x:v>0</x:v>
      </x:c>
      <x:c r="N31" s="24" t="str">
        <x:v>kajikia audax</x:v>
      </x:c>
      <x:c r="O31" s="32" t="n">
        <x:v>4.58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Kajikia audax</x:v>
      </x:c>
      <x:c r="T31" s="32" t="n">
        <x:f>IF(O31="","",(1/'Metadata'!$B$5)^(O31-1))</x:f>
        <x:v>3801.8939632056126</x:v>
      </x:c>
      <x:c r="U31" s="31" t="n">
        <x:f>IF(T31="","",I31*T31)</x:f>
        <x:v>80667.28736911128</x:v>
      </x:c>
    </x:row>
    <x:row r="32" ht="18" customHeight="1">
      <x:c r="A32" s="24" t="str">
        <x:v>EEZ_950</x:v>
      </x:c>
      <x:c r="B32" s="24" t="str">
        <x:v>Nicaragua (Pacific)</x:v>
      </x:c>
      <x:c r="C32" s="24" t="str">
        <x:v>EEZ</x:v>
      </x:c>
      <x:c r="D32" s="30" t="n">
        <x:v>2019</x:v>
      </x:c>
      <x:c r="E32" s="24" t="str">
        <x:v>Tetrapturus angustirostris</x:v>
      </x:c>
      <x:c r="F32" s="24" t="str">
        <x:v>Shortbill spearfish</x:v>
      </x:c>
      <x:c r="G32" s="24" t="str">
        <x:v>Large pelagics (&gt;=90 cm)</x:v>
      </x:c>
      <x:c r="H32" s="24" t="str">
        <x:v>Tuna &amp; billfishes</x:v>
      </x:c>
      <x:c r="I32" s="31" t="n">
        <x:v>18.7293983404</x:v>
      </x:c>
      <x:c r="J32" s="31" t="n">
        <x:v>18.7293983404</x:v>
      </x:c>
      <x:c r="K32" s="31" t="n">
        <x:v>0</x:v>
      </x:c>
      <x:c r="L32" s="31" t="n">
        <x:v>18.7293983404</x:v>
      </x:c>
      <x:c r="M32" s="31" t="n">
        <x:v>0</x:v>
      </x:c>
      <x:c r="N32" s="24" t="str">
        <x:v>tetrapturus angustirostris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Tetrapturus angustirostris</x:v>
      </x:c>
      <x:c r="T32" s="32" t="n">
        <x:f>IF(O32="","",(1/'Metadata'!$B$5)^(O32-1))</x:f>
        <x:v>3162.2776601683795</x:v>
      </x:c>
      <x:c r="U32" s="31" t="n">
        <x:f>IF(T32="","",I32*T32)</x:f>
        <x:v>59227.55796024164</x:v>
      </x:c>
    </x:row>
    <x:row r="33" ht="18" customHeight="1">
      <x:c r="A33" s="24" t="str">
        <x:v>EEZ_950</x:v>
      </x:c>
      <x:c r="B33" s="24" t="str">
        <x:v>Nicaragua (Pacific)</x:v>
      </x:c>
      <x:c r="C33" s="24" t="str">
        <x:v>EEZ</x:v>
      </x:c>
      <x:c r="D33" s="30" t="n">
        <x:v>2019</x:v>
      </x:c>
      <x:c r="E33" s="24" t="str">
        <x:v>Istiophoridae</x:v>
      </x:c>
      <x:c r="F33" s="24" t="str">
        <x:v>Billfishes</x:v>
      </x:c>
      <x:c r="G33" s="24" t="str">
        <x:v>Large pelagics (&gt;=90 cm)</x:v>
      </x:c>
      <x:c r="H33" s="24" t="str">
        <x:v>Tuna &amp; billfishes</x:v>
      </x:c>
      <x:c r="I33" s="31" t="n">
        <x:v>16.7818779091</x:v>
      </x:c>
      <x:c r="J33" s="31" t="n">
        <x:v>16.7818749107</x:v>
      </x:c>
      <x:c r="K33" s="31" t="n">
        <x:v>0.0000029984</x:v>
      </x:c>
      <x:c r="L33" s="31" t="n">
        <x:v>7.8772950254</x:v>
      </x:c>
      <x:c r="M33" s="31" t="n">
        <x:v>8.9045828837</x:v>
      </x:c>
      <x:c r="N33" s="24" t="str">
        <x:v>istiophoridae</x:v>
      </x:c>
      <x:c r="O33" s="32" t="n">
        <x:v>4.48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Istiophoridae</x:v>
      </x:c>
      <x:c r="T33" s="32" t="n">
        <x:f>IF(O33="","",(1/'Metadata'!$B$5)^(O33-1))</x:f>
        <x:v>3019.951720402019</x:v>
      </x:c>
      <x:c r="U33" s="31" t="n">
        <x:f>IF(T33="","",I33*T33)</x:f>
        <x:v>50680.46106316318</x:v>
      </x:c>
    </x:row>
    <x:row r="34" ht="18" customHeight="1">
      <x:c r="A34" s="24" t="str">
        <x:v>EEZ_950</x:v>
      </x:c>
      <x:c r="B34" s="24" t="str">
        <x:v>Nicaragua (Pacific)</x:v>
      </x:c>
      <x:c r="C34" s="24" t="str">
        <x:v>EEZ</x:v>
      </x:c>
      <x:c r="D34" s="30" t="n">
        <x:v>2019</x:v>
      </x:c>
      <x:c r="E34" s="24" t="str">
        <x:v>Euthynnus lineatus</x:v>
      </x:c>
      <x:c r="F34" s="24" t="str">
        <x:v>Black skipjack</x:v>
      </x:c>
      <x:c r="G34" s="24" t="str">
        <x:v>Medium pelagics (30 - 89 cm)</x:v>
      </x:c>
      <x:c r="H34" s="24" t="str">
        <x:v>Tuna &amp; billfishes</x:v>
      </x:c>
      <x:c r="I34" s="31" t="n">
        <x:v>15</x:v>
      </x:c>
      <x:c r="J34" s="31" t="n">
        <x:v>15</x:v>
      </x:c>
      <x:c r="K34" s="31" t="n">
        <x:v>0</x:v>
      </x:c>
      <x:c r="L34" s="31" t="n">
        <x:v>15</x:v>
      </x:c>
      <x:c r="M34" s="31" t="n">
        <x:v>0</x:v>
      </x:c>
      <x:c r="N34" s="24" t="str">
        <x:v>euthynnus lineatus</x:v>
      </x:c>
      <x:c r="O34" s="32" t="n">
        <x:v>3.83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Euthynnus lineatus</x:v>
      </x:c>
      <x:c r="T34" s="32" t="n">
        <x:f>IF(O34="","",(1/'Metadata'!$B$5)^(O34-1))</x:f>
        <x:v>676.0829753919819</x:v>
      </x:c>
      <x:c r="U34" s="31" t="n">
        <x:f>IF(T34="","",I34*T34)</x:f>
        <x:v>10141.244630879728</x:v>
      </x:c>
    </x:row>
    <x:row r="35" ht="18" customHeight="1">
      <x:c r="A35" s="24" t="str">
        <x:v>EEZ_950</x:v>
      </x:c>
      <x:c r="B35" s="24" t="str">
        <x:v>Nicaragua (Pacific)</x:v>
      </x:c>
      <x:c r="C35" s="24" t="str">
        <x:v>EEZ</x:v>
      </x:c>
      <x:c r="D35" s="30" t="n">
        <x:v>2019</x:v>
      </x:c>
      <x:c r="E35" s="24" t="str">
        <x:v>Elasmobranchii</x:v>
      </x:c>
      <x:c r="F35" s="24" t="str">
        <x:v>Sharks, rays, skates</x:v>
      </x:c>
      <x:c r="G35" s="24" t="str">
        <x:v>Large sharks (&gt;=90 cm)</x:v>
      </x:c>
      <x:c r="H35" s="24" t="str">
        <x:v>Sharks &amp; rays</x:v>
      </x:c>
      <x:c r="I35" s="31" t="n">
        <x:v>14.9848811998</x:v>
      </x:c>
      <x:c r="J35" s="31" t="n">
        <x:v>13.6426346472</x:v>
      </x:c>
      <x:c r="K35" s="31" t="n">
        <x:v>1.3422465526</x:v>
      </x:c>
      <x:c r="L35" s="31" t="n">
        <x:v>13.6426346472</x:v>
      </x:c>
      <x:c r="M35" s="31" t="n">
        <x:v>1.3422465526</x:v>
      </x:c>
      <x:c r="N35" s="24" t="str">
        <x:v>elasmobranchii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Elasmobranchii</x:v>
      </x:c>
      <x:c r="T35" s="32" t="n">
        <x:f>IF(O35="","",(1/'Metadata'!$B$5)^(O35-1))</x:f>
        <x:v>1122.018454301963</x:v>
      </x:c>
      <x:c r="U35" s="31" t="n">
        <x:f>IF(T35="","",I35*T35)</x:f>
        <x:v>16813.31324169814</x:v>
      </x:c>
    </x:row>
    <x:row r="36" ht="18" customHeight="1">
      <x:c r="A36" s="24" t="str">
        <x:v>EEZ_950</x:v>
      </x:c>
      <x:c r="B36" s="24" t="str">
        <x:v>Nicaragua (Pacific)</x:v>
      </x:c>
      <x:c r="C36" s="24" t="str">
        <x:v>EEZ</x:v>
      </x:c>
      <x:c r="D36" s="30" t="n">
        <x:v>2019</x:v>
      </x:c>
      <x:c r="E36" s="24" t="str">
        <x:v>Istiophorus platypterus</x:v>
      </x:c>
      <x:c r="F36" s="24" t="str">
        <x:v>Indo-Pacific sailfish</x:v>
      </x:c>
      <x:c r="G36" s="24" t="str">
        <x:v>Large pelagics (&gt;=90 cm)</x:v>
      </x:c>
      <x:c r="H36" s="24" t="str">
        <x:v>Tuna &amp; billfishes</x:v>
      </x:c>
      <x:c r="I36" s="31" t="n">
        <x:v>14.2648713022</x:v>
      </x:c>
      <x:c r="J36" s="31" t="n">
        <x:v>14.2648713022</x:v>
      </x:c>
      <x:c r="K36" s="31" t="n">
        <x:v>0</x:v>
      </x:c>
      <x:c r="L36" s="31" t="n">
        <x:v>14.2648713022</x:v>
      </x:c>
      <x:c r="M36" s="31" t="n">
        <x:v>0</x:v>
      </x:c>
      <x:c r="N36" s="24" t="str">
        <x:v>istiophorus platypterus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Istiophorus platypterus</x:v>
      </x:c>
      <x:c r="T36" s="32" t="n">
        <x:f>IF(O36="","",(1/'Metadata'!$B$5)^(O36-1))</x:f>
        <x:v>3162.2776601683795</x:v>
      </x:c>
      <x:c r="U36" s="31" t="n">
        <x:f>IF(T36="","",I36*T36)</x:f>
        <x:v>45109.48384412408</x:v>
      </x:c>
    </x:row>
    <x:row r="37" ht="18" customHeight="1">
      <x:c r="A37" s="24" t="str">
        <x:v>EEZ_950</x:v>
      </x:c>
      <x:c r="B37" s="24" t="str">
        <x:v>Nicaragua (Pacific)</x:v>
      </x:c>
      <x:c r="C37" s="24" t="str">
        <x:v>EEZ</x:v>
      </x:c>
      <x:c r="D37" s="30" t="n">
        <x:v>2019</x:v>
      </x:c>
      <x:c r="E37" s="24" t="str">
        <x:v>Octopodidae</x:v>
      </x:c>
      <x:c r="F37" s="24" t="str">
        <x:v>Octopuses</x:v>
      </x:c>
      <x:c r="G37" s="24" t="str">
        <x:v>Cephalopods</x:v>
      </x:c>
      <x:c r="H37" s="24" t="str">
        <x:v>Other fishes &amp; inverts</x:v>
      </x:c>
      <x:c r="I37" s="31" t="n">
        <x:v>11.28</x:v>
      </x:c>
      <x:c r="J37" s="31" t="n">
        <x:v>11.28</x:v>
      </x:c>
      <x:c r="K37" s="31" t="n">
        <x:v>0</x:v>
      </x:c>
      <x:c r="L37" s="31" t="n">
        <x:v>11.28</x:v>
      </x:c>
      <x:c r="M37" s="31" t="n">
        <x:v>0</x:v>
      </x:c>
      <x:c r="N37" s="24" t="str">
        <x:v>octopodidae</x:v>
      </x:c>
      <x:c r="O37" s="32" t="n">
        <x:v>3.59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Octopodidae</x:v>
      </x:c>
      <x:c r="T37" s="32" t="n">
        <x:f>IF(O37="","",(1/'Metadata'!$B$5)^(O37-1))</x:f>
        <x:v>389.04514499428046</x:v>
      </x:c>
      <x:c r="U37" s="31" t="n">
        <x:f>IF(T37="","",I37*T37)</x:f>
        <x:v>4388.429235535484</x:v>
      </x:c>
    </x:row>
    <x:row r="38" ht="18" customHeight="1">
      <x:c r="A38" s="24" t="str">
        <x:v>EEZ_950</x:v>
      </x:c>
      <x:c r="B38" s="24" t="str">
        <x:v>Nicaragua (Pacific)</x:v>
      </x:c>
      <x:c r="C38" s="24" t="str">
        <x:v>EEZ</x:v>
      </x:c>
      <x:c r="D38" s="30" t="n">
        <x:v>2019</x:v>
      </x:c>
      <x:c r="E38" s="24" t="str">
        <x:v>Prionace glauca</x:v>
      </x:c>
      <x:c r="F38" s="24" t="str">
        <x:v>Blue shark</x:v>
      </x:c>
      <x:c r="G38" s="24" t="str">
        <x:v>Large sharks (&gt;=90 cm)</x:v>
      </x:c>
      <x:c r="H38" s="24" t="str">
        <x:v>Sharks &amp; rays</x:v>
      </x:c>
      <x:c r="I38" s="31" t="n">
        <x:v>4.936644365199999</x:v>
      </x:c>
      <x:c r="J38" s="31" t="n">
        <x:v>0</x:v>
      </x:c>
      <x:c r="K38" s="31" t="n">
        <x:v>4.936644365199999</x:v>
      </x:c>
      <x:c r="L38" s="31" t="n">
        <x:v>0</x:v>
      </x:c>
      <x:c r="M38" s="31" t="n">
        <x:v>4.936644365199999</x:v>
      </x:c>
      <x:c r="N38" s="24" t="str">
        <x:v>prionace glauca</x:v>
      </x:c>
      <x:c r="O38" s="32" t="n">
        <x:v>4.35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Prionace glauca</x:v>
      </x:c>
      <x:c r="T38" s="32" t="n">
        <x:f>IF(O38="","",(1/'Metadata'!$B$5)^(O38-1))</x:f>
        <x:v>2238.7211385683377</x:v>
      </x:c>
      <x:c r="U38" s="31" t="n">
        <x:f>IF(T38="","",I38*T38)</x:f>
        <x:v>11051.77009396751</x:v>
      </x:c>
    </x:row>
    <x:row r="39" ht="18" customHeight="1">
      <x:c r="A39" s="24" t="str">
        <x:v>EEZ_950</x:v>
      </x:c>
      <x:c r="B39" s="24" t="str">
        <x:v>Nicaragua (Pacific)</x:v>
      </x:c>
      <x:c r="C39" s="24" t="str">
        <x:v>EEZ</x:v>
      </x:c>
      <x:c r="D39" s="30" t="n">
        <x:v>2019</x:v>
      </x:c>
      <x:c r="E39" s="24" t="str">
        <x:v>Marine pelagic fishes not identified</x:v>
      </x:c>
      <x:c r="F39" s="24" t="str">
        <x:v>Pelagic fishes</x:v>
      </x:c>
      <x:c r="G39" s="24" t="str">
        <x:v>Medium pelagics (30 - 89 cm)</x:v>
      </x:c>
      <x:c r="H39" s="24" t="str">
        <x:v>Other fishes &amp; inverts</x:v>
      </x:c>
      <x:c r="I39" s="31" t="n">
        <x:v>4.821778757000001</x:v>
      </x:c>
      <x:c r="J39" s="31" t="n">
        <x:v>4.817689945300001</x:v>
      </x:c>
      <x:c r="K39" s="31" t="n">
        <x:v>0.0040888117</x:v>
      </x:c>
      <x:c r="L39" s="31" t="n">
        <x:v>4.817689945300001</x:v>
      </x:c>
      <x:c r="M39" s="31" t="n">
        <x:v>0.0040888117</x:v>
      </x:c>
      <x:c r="N39" s="24" t="str">
        <x:v>marine pelagic fishes not identified</x:v>
      </x:c>
      <x:c r="O39" s="32" t="n">
        <x:v>3.35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Marine pelagic fishes not identified</x:v>
      </x:c>
      <x:c r="T39" s="32" t="n">
        <x:f>IF(O39="","",(1/'Metadata'!$B$5)^(O39-1))</x:f>
        <x:v>223.872113856834</x:v>
      </x:c>
      <x:c r="U39" s="31" t="n">
        <x:f>IF(T39="","",I39*T39)</x:f>
        <x:v>1079.4618028795676</x:v>
      </x:c>
    </x:row>
    <x:row r="40" ht="18" customHeight="1">
      <x:c r="A40" s="24" t="str">
        <x:v>EEZ_950</x:v>
      </x:c>
      <x:c r="B40" s="24" t="str">
        <x:v>Nicaragua (Pacific)</x:v>
      </x:c>
      <x:c r="C40" s="24" t="str">
        <x:v>EEZ</x:v>
      </x:c>
      <x:c r="D40" s="30" t="n">
        <x:v>2019</x:v>
      </x:c>
      <x:c r="E40" s="24" t="str">
        <x:v>Katsuwonus pelamis</x:v>
      </x:c>
      <x:c r="F40" s="24" t="str">
        <x:v>Skipjack tuna</x:v>
      </x:c>
      <x:c r="G40" s="24" t="str">
        <x:v>Large pelagics (&gt;=90 cm)</x:v>
      </x:c>
      <x:c r="H40" s="24" t="str">
        <x:v>Tuna &amp; billfishes</x:v>
      </x:c>
      <x:c r="I40" s="31" t="n">
        <x:v>2.3536226015</x:v>
      </x:c>
      <x:c r="J40" s="31" t="n">
        <x:v>2.3532328317</x:v>
      </x:c>
      <x:c r="K40" s="31" t="n">
        <x:v>0.0003897698</x:v>
      </x:c>
      <x:c r="L40" s="31" t="n">
        <x:v>2.3532328317</x:v>
      </x:c>
      <x:c r="M40" s="31" t="n">
        <x:v>0.0003897698</x:v>
      </x:c>
      <x:c r="N40" s="24" t="str">
        <x:v>katsuwonus pelamis</x:v>
      </x:c>
      <x:c r="O40" s="32" t="n">
        <x:v>4.43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Katsuwonus pelamis</x:v>
      </x:c>
      <x:c r="T40" s="32" t="n">
        <x:f>IF(O40="","",(1/'Metadata'!$B$5)^(O40-1))</x:f>
        <x:v>2691.534803926914</x:v>
      </x:c>
      <x:c r="U40" s="31" t="n">
        <x:f>IF(T40="","",I40*T40)</x:f>
        <x:v>6334.857147246255</x:v>
      </x:c>
    </x:row>
    <x:row r="41" ht="18" customHeight="1">
      <x:c r="A41" s="24" t="str">
        <x:v>EEZ_950</x:v>
      </x:c>
      <x:c r="B41" s="24" t="str">
        <x:v>Nicaragua (Pacific)</x:v>
      </x:c>
      <x:c r="C41" s="24" t="str">
        <x:v>EEZ</x:v>
      </x:c>
      <x:c r="D41" s="30" t="n">
        <x:v>2019</x:v>
      </x:c>
      <x:c r="E41" s="24" t="str">
        <x:v>Thunnus obesus</x:v>
      </x:c>
      <x:c r="F41" s="24" t="str">
        <x:v>Bigeye tuna</x:v>
      </x:c>
      <x:c r="G41" s="24" t="str">
        <x:v>Large pelagics (&gt;=90 cm)</x:v>
      </x:c>
      <x:c r="H41" s="24" t="str">
        <x:v>Tuna &amp; billfishes</x:v>
      </x:c>
      <x:c r="I41" s="31" t="n">
        <x:v>1.4111808024</x:v>
      </x:c>
      <x:c r="J41" s="31" t="n">
        <x:v>1.4109760303</x:v>
      </x:c>
      <x:c r="K41" s="31" t="n">
        <x:v>0.0002047721</x:v>
      </x:c>
      <x:c r="L41" s="31" t="n">
        <x:v>1.4109760303</x:v>
      </x:c>
      <x:c r="M41" s="31" t="n">
        <x:v>0.0002047721</x:v>
      </x:c>
      <x:c r="N41" s="24" t="str">
        <x:v>thunnus obesus</x:v>
      </x:c>
      <x:c r="O41" s="32" t="n">
        <x:v>4.49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Thunnus obesus</x:v>
      </x:c>
      <x:c r="T41" s="32" t="n">
        <x:f>IF(O41="","",(1/'Metadata'!$B$5)^(O41-1))</x:f>
        <x:v>3090.295432513592</x:v>
      </x:c>
      <x:c r="U41" s="31" t="n">
        <x:f>IF(T41="","",I41*T41)</x:f>
        <x:v>4360.965588107586</x:v>
      </x:c>
    </x:row>
    <x:row r="42" ht="18" customHeight="1">
      <x:c r="A42" s="24" t="str">
        <x:v>EEZ_950</x:v>
      </x:c>
      <x:c r="B42" s="24" t="str">
        <x:v>Nicaragua (Pacific)</x:v>
      </x:c>
      <x:c r="C42" s="24" t="str">
        <x:v>EEZ</x:v>
      </x:c>
      <x:c r="D42" s="30" t="n">
        <x:v>2019</x:v>
      </x:c>
      <x:c r="E42" s="24" t="str">
        <x:v>Ommastrephidae</x:v>
      </x:c>
      <x:c r="F42" s="24" t="str">
        <x:v>Arrow squids</x:v>
      </x:c>
      <x:c r="G42" s="24" t="str">
        <x:v>Cephalopods</x:v>
      </x:c>
      <x:c r="H42" s="24" t="str">
        <x:v>Other fishes &amp; inverts</x:v>
      </x:c>
      <x:c r="I42" s="31" t="n">
        <x:v>0.9400000000000001</x:v>
      </x:c>
      <x:c r="J42" s="31" t="n">
        <x:v>0.9400000000000001</x:v>
      </x:c>
      <x:c r="K42" s="31" t="n">
        <x:v>0</x:v>
      </x:c>
      <x:c r="L42" s="31" t="n">
        <x:v>0.9400000000000001</x:v>
      </x:c>
      <x:c r="M42" s="31" t="n">
        <x:v>0</x:v>
      </x:c>
      <x:c r="N42" s="24" t="str">
        <x:v>ommastrephidae</x:v>
      </x:c>
      <x:c r="O42" s="32" t="n">
        <x:v>4.09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Ommastrephidae</x:v>
      </x:c>
      <x:c r="T42" s="32" t="n">
        <x:f>IF(O42="","",(1/'Metadata'!$B$5)^(O42-1))</x:f>
        <x:v>1230.268770812381</x:v>
      </x:c>
      <x:c r="U42" s="31" t="n">
        <x:f>IF(T42="","",I42*T42)</x:f>
        <x:v>1156.4526445636382</x:v>
      </x:c>
    </x:row>
    <x:row r="43" ht="18" customHeight="1">
      <x:c r="A43" s="24" t="str">
        <x:v>EEZ_950</x:v>
      </x:c>
      <x:c r="B43" s="24" t="str">
        <x:v>Nicaragua (Pacific)</x:v>
      </x:c>
      <x:c r="C43" s="24" t="str">
        <x:v>EEZ</x:v>
      </x:c>
      <x:c r="D43" s="30" t="n">
        <x:v>2019</x:v>
      </x:c>
      <x:c r="E43" s="24" t="str">
        <x:v>Carangidae</x:v>
      </x:c>
      <x:c r="F43" s="24" t="str">
        <x:v>Jacks, pompanos</x:v>
      </x:c>
      <x:c r="G43" s="24" t="str">
        <x:v>Medium pelagics (30 - 89 cm)</x:v>
      </x:c>
      <x:c r="H43" s="24" t="str">
        <x:v>Perch-likes</x:v>
      </x:c>
      <x:c r="I43" s="31" t="n">
        <x:v>0.20863232939999998</x:v>
      </x:c>
      <x:c r="J43" s="31" t="n">
        <x:v>0.128170778</x:v>
      </x:c>
      <x:c r="K43" s="31" t="n">
        <x:v>0.0804615514</x:v>
      </x:c>
      <x:c r="L43" s="31" t="n">
        <x:v>0.128170778</x:v>
      </x:c>
      <x:c r="M43" s="31" t="n">
        <x:v>0.0804615514</x:v>
      </x:c>
      <x:c r="N43" s="24" t="str">
        <x:v>carangidae</x:v>
      </x:c>
      <x:c r="O43" s="32" t="n">
        <x:v>4.05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Carangidae</x:v>
      </x:c>
      <x:c r="T43" s="32" t="n">
        <x:f>IF(O43="","",(1/'Metadata'!$B$5)^(O43-1))</x:f>
        <x:v>1122.018454301963</x:v>
      </x:c>
      <x:c r="U43" s="31" t="n">
        <x:f>IF(T43="","",I43*T43)</x:f>
        <x:v>234.08932375080596</x:v>
      </x:c>
    </x:row>
    <x:row r="44" ht="18" customHeight="1">
      <x:c r="A44" s="24" t="str">
        <x:v>EEZ_950</x:v>
      </x:c>
      <x:c r="B44" s="24" t="str">
        <x:v>Nicaragua (Pacific)</x:v>
      </x:c>
      <x:c r="C44" s="24" t="str">
        <x:v>EEZ</x:v>
      </x:c>
      <x:c r="D44" s="30" t="n">
        <x:v>2019</x:v>
      </x:c>
      <x:c r="E44" s="24" t="str">
        <x:v>Istiompax indica</x:v>
      </x:c>
      <x:c r="F44" s="24" t="str">
        <x:v>Black marlin</x:v>
      </x:c>
      <x:c r="G44" s="24" t="str">
        <x:v>Large pelagics (&gt;=90 cm)</x:v>
      </x:c>
      <x:c r="H44" s="24" t="str">
        <x:v>Tuna &amp; billfishes</x:v>
      </x:c>
      <x:c r="I44" s="31" t="n">
        <x:v>0.1960008043</x:v>
      </x:c>
      <x:c r="J44" s="31" t="n">
        <x:v>0.1960008043</x:v>
      </x:c>
      <x:c r="K44" s="31" t="n">
        <x:v>0</x:v>
      </x:c>
      <x:c r="L44" s="31" t="n">
        <x:v>0.1960008043</x:v>
      </x:c>
      <x:c r="M44" s="31" t="n">
        <x:v>0</x:v>
      </x:c>
      <x:c r="N44" s="24" t="str">
        <x:v>istiompax indica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Istiompax indica</x:v>
      </x:c>
      <x:c r="T44" s="32" t="n">
        <x:f>IF(O44="","",(1/'Metadata'!$B$5)^(O44-1))</x:f>
        <x:v>3162.2776601683795</x:v>
      </x:c>
      <x:c r="U44" s="31" t="n">
        <x:f>IF(T44="","",I44*T44)</x:f>
        <x:v>619.8089648129245</x:v>
      </x:c>
    </x:row>
    <x:row r="45" ht="18" customHeight="1">
      <x:c r="A45" s="24" t="str">
        <x:v>EEZ_950</x:v>
      </x:c>
      <x:c r="B45" s="24" t="str">
        <x:v>Nicaragua (Pacific)</x:v>
      </x:c>
      <x:c r="C45" s="24" t="str">
        <x:v>EEZ</x:v>
      </x:c>
      <x:c r="D45" s="30" t="n">
        <x:v>2019</x:v>
      </x:c>
      <x:c r="E45" s="24" t="str">
        <x:v>Isurus</x:v>
      </x:c>
      <x:c r="F45" s="24" t="str">
        <x:v>Mako sharks</x:v>
      </x:c>
      <x:c r="G45" s="24" t="str">
        <x:v>Large sharks (&gt;=90 cm)</x:v>
      </x:c>
      <x:c r="H45" s="24" t="str">
        <x:v>Sharks &amp; rays</x:v>
      </x:c>
      <x:c r="I45" s="31" t="n">
        <x:v>0.0610272986</x:v>
      </x:c>
      <x:c r="J45" s="31" t="n">
        <x:v>0</x:v>
      </x:c>
      <x:c r="K45" s="31" t="n">
        <x:v>0.0610272986</x:v>
      </x:c>
      <x:c r="L45" s="31" t="n">
        <x:v>0</x:v>
      </x:c>
      <x:c r="M45" s="31" t="n">
        <x:v>0.0610272986</x:v>
      </x:c>
      <x:c r="N45" s="24" t="str">
        <x:v>isurus</x:v>
      </x:c>
      <x:c r="O45" s="32" t="n">
        <x:v>4.5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Isurus</x:v>
      </x:c>
      <x:c r="T45" s="32" t="n">
        <x:f>IF(O45="","",(1/'Metadata'!$B$5)^(O45-1))</x:f>
        <x:v>3162.2776601683795</x:v>
      </x:c>
      <x:c r="U45" s="31" t="n">
        <x:f>IF(T45="","",I45*T45)</x:f>
        <x:v>192.98526302320502</x:v>
      </x:c>
    </x:row>
    <x:row r="46" ht="18" customHeight="1">
      <x:c r="A46" s="24" t="str">
        <x:v>EEZ_950</x:v>
      </x:c>
      <x:c r="B46" s="24" t="str">
        <x:v>Nicaragua (Pacific)</x:v>
      </x:c>
      <x:c r="C46" s="24" t="str">
        <x:v>EEZ</x:v>
      </x:c>
      <x:c r="D46" s="30" t="n">
        <x:v>2019</x:v>
      </x:c>
      <x:c r="E46" s="24" t="str">
        <x:v>Carcharhinus longimanus</x:v>
      </x:c>
      <x:c r="F46" s="24" t="str">
        <x:v>Oceanic whitetip shark</x:v>
      </x:c>
      <x:c r="G46" s="24" t="str">
        <x:v>Large sharks (&gt;=90 cm)</x:v>
      </x:c>
      <x:c r="H46" s="24" t="str">
        <x:v>Sharks &amp; rays</x:v>
      </x:c>
      <x:c r="I46" s="31" t="n">
        <x:v>0.0610118436</x:v>
      </x:c>
      <x:c r="J46" s="31" t="n">
        <x:v>0</x:v>
      </x:c>
      <x:c r="K46" s="31" t="n">
        <x:v>0.0610118436</x:v>
      </x:c>
      <x:c r="L46" s="31" t="n">
        <x:v>0</x:v>
      </x:c>
      <x:c r="M46" s="31" t="n">
        <x:v>0.0610118436</x:v>
      </x:c>
      <x:c r="N46" s="24" t="str">
        <x:v>carcharhinus longimanus</x:v>
      </x:c>
      <x:c r="O46" s="32" t="n">
        <x:v>4.16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Carcharhinus longimanus</x:v>
      </x:c>
      <x:c r="T46" s="32" t="n">
        <x:f>IF(O46="","",(1/'Metadata'!$B$5)^(O46-1))</x:f>
        <x:v>1445.439770745928</x:v>
      </x:c>
      <x:c r="U46" s="31" t="n">
        <x:f>IF(T46="","",I46*T46)</x:f>
        <x:v>88.1889452259704</x:v>
      </x:c>
    </x:row>
    <x:row r="47" ht="18" customHeight="1">
      <x:c r="A47" s="24" t="str">
        <x:v>EEZ_950</x:v>
      </x:c>
      <x:c r="B47" s="24" t="str">
        <x:v>Nicaragua (Pacific)</x:v>
      </x:c>
      <x:c r="C47" s="24" t="str">
        <x:v>EEZ</x:v>
      </x:c>
      <x:c r="D47" s="30" t="n">
        <x:v>2019</x:v>
      </x:c>
      <x:c r="E47" s="24" t="str">
        <x:v>Carcharhinus falciformis</x:v>
      </x:c>
      <x:c r="F47" s="24" t="str">
        <x:v>Silky shark</x:v>
      </x:c>
      <x:c r="G47" s="24" t="str">
        <x:v>Large sharks (&gt;=90 cm)</x:v>
      </x:c>
      <x:c r="H47" s="24" t="str">
        <x:v>Sharks &amp; rays</x:v>
      </x:c>
      <x:c r="I47" s="31" t="n">
        <x:v>0.058571859</x:v>
      </x:c>
      <x:c r="J47" s="31" t="n">
        <x:v>0</x:v>
      </x:c>
      <x:c r="K47" s="31" t="n">
        <x:v>0.058571859</x:v>
      </x:c>
      <x:c r="L47" s="31" t="n">
        <x:v>0</x:v>
      </x:c>
      <x:c r="M47" s="31" t="n">
        <x:v>0.058571859</x:v>
      </x:c>
      <x:c r="N47" s="24" t="str">
        <x:v>carcharhinus falciformis</x:v>
      </x:c>
      <x:c r="O47" s="32" t="n">
        <x:v>4.51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Carcharhinus falciformis</x:v>
      </x:c>
      <x:c r="T47" s="32" t="n">
        <x:f>IF(O47="","",(1/'Metadata'!$B$5)^(O47-1))</x:f>
        <x:v>3235.936569296281</x:v>
      </x:c>
      <x:c r="U47" s="31" t="n">
        <x:f>IF(T47="","",I47*T47)</x:f>
        <x:v>189.5348204697655</x:v>
      </x:c>
    </x:row>
  </x:sheetData>
  <x:conditionalFormatting sqref="R2:R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f5adf909e054b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6207.973777965901</x:v>
      </x:c>
      <x:c r="C2" s="32" t="n">
        <x:v>2.795045182390144</x:v>
      </x:c>
      <x:c r="D2" s="32" t="n">
        <x:f>IF(C2="","",(1/'Metadata'!$B$5)^(C2-1))</x:f>
        <x:v>62.37997299212735</x:v>
      </x:c>
      <x:c r="E2" s="31" t="n">
        <x:f>IF(B2=0,"",B2*D2)</x:f>
        <x:v>387253.23660534766</x:v>
      </x:c>
    </x:row>
    <x:row r="3" ht="18" customHeight="1">
      <x:c r="A3" s="24" t="str">
        <x:v>Flatfishes</x:v>
      </x:c>
      <x:c r="B3" s="31" t="n">
        <x:v>588.3391341134</x:v>
      </x:c>
      <x:c r="C3" s="32" t="n">
        <x:v>3.5700000000000003</x:v>
      </x:c>
      <x:c r="D3" s="32" t="n">
        <x:f>IF(C3="","",(1/'Metadata'!$B$5)^(C3-1))</x:f>
        <x:v>371.53522909717276</x:v>
      </x:c>
      <x:c r="E3" s="31" t="n">
        <x:f>IF(B3=0,"",B3*D3)</x:f>
        <x:v>218588.7149796543</x:v>
      </x:c>
    </x:row>
    <x:row r="4" ht="18" customHeight="1">
      <x:c r="A4" s="24" t="str">
        <x:v>Herring-likes</x:v>
      </x:c>
      <x:c r="B4" s="31" t="n">
        <x:v>373.0668276954</x:v>
      </x:c>
      <x:c r="C4" s="32" t="n">
        <x:v>3.16</x:v>
      </x:c>
      <x:c r="D4" s="32" t="n">
        <x:f>IF(C4="","",(1/'Metadata'!$B$5)^(C4-1))</x:f>
        <x:v>144.5439770745928</x:v>
      </x:c>
      <x:c r="E4" s="31" t="n">
        <x:f>IF(B4=0,"",B4*D4)</x:f>
        <x:v>53924.562989694954</x:v>
      </x:c>
    </x:row>
    <x:row r="5" ht="18" customHeight="1">
      <x:c r="A5" s="24" t="str">
        <x:v>Molluscs</x:v>
      </x:c>
      <x:c r="B5" s="31" t="n">
        <x:v>966.4010829325001</x:v>
      </x:c>
      <x:c r="C5" s="32" t="n">
        <x:v>2.1</x:v>
      </x:c>
      <x:c r="D5" s="32" t="n">
        <x:f>IF(C5="","",(1/'Metadata'!$B$5)^(C5-1))</x:f>
        <x:v>12.589254117941675</x:v>
      </x:c>
      <x:c r="E5" s="31" t="n">
        <x:f>IF(B5=0,"",B5*D5)</x:f>
        <x:v>12166.26881289127</x:v>
      </x:c>
    </x:row>
    <x:row r="6" ht="18" customHeight="1">
      <x:c r="A6" s="24" t="str">
        <x:v>Other fishes &amp; inverts</x:v>
      </x:c>
      <x:c r="B6" s="31" t="n">
        <x:v>1540.9677251905</x:v>
      </x:c>
      <x:c r="C6" s="32" t="n">
        <x:v>3.3039088212239345</x:v>
      </x:c>
      <x:c r="D6" s="32" t="n">
        <x:f>IF(C6="","",(1/'Metadata'!$B$5)^(C6-1))</x:f>
        <x:v>201.33015190947305</x:v>
      </x:c>
      <x:c r="E6" s="31" t="n">
        <x:f>IF(B6=0,"",B6*D6)</x:f>
        <x:v>310243.2662001985</x:v>
      </x:c>
    </x:row>
    <x:row r="7" ht="18" customHeight="1">
      <x:c r="A7" s="24" t="str">
        <x:v>Perch-likes</x:v>
      </x:c>
      <x:c r="B7" s="31" t="n">
        <x:v>6860.779808884099</x:v>
      </x:c>
      <x:c r="C7" s="32" t="n">
        <x:v>3.9254815406112007</x:v>
      </x:c>
      <x:c r="D7" s="32" t="n">
        <x:f>IF(C7="","",(1/'Metadata'!$B$5)^(C7-1))</x:f>
        <x:v>842.3285880791517</x:v>
      </x:c>
      <x:c r="E7" s="31" t="n">
        <x:f>IF(B7=0,"",B7*D7)</x:f>
        <x:v>5779030.969539296</x:v>
      </x:c>
    </x:row>
    <x:row r="8" ht="18" customHeight="1">
      <x:c r="A8" s="24" t="str">
        <x:v>Sharks &amp; rays</x:v>
      </x:c>
      <x:c r="B8" s="31" t="n">
        <x:v>446.94828149200004</x:v>
      </x:c>
      <x:c r="C8" s="32" t="n">
        <x:v>3.841945980870638</x:v>
      </x:c>
      <x:c r="D8" s="32" t="n">
        <x:f>IF(C8="","",(1/'Metadata'!$B$5)^(C8-1))</x:f>
        <x:v>694.9378733091313</x:v>
      </x:c>
      <x:c r="E8" s="31" t="n">
        <x:f>IF(B8=0,"",B8*D8)</x:f>
        <x:v>310601.28821922146</x:v>
      </x:c>
    </x:row>
    <x:row r="9" ht="18" customHeight="1">
      <x:c r="A9" s="24" t="str">
        <x:v>Tuna &amp; billfishes</x:v>
      </x:c>
      <x:c r="B9" s="31" t="n">
        <x:v>7571.869355794798</x:v>
      </x:c>
      <x:c r="C9" s="32" t="n">
        <x:v>4.410704731623636</x:v>
      </x:c>
      <x:c r="D9" s="32" t="n">
        <x:f>IF(C9="","",(1/'Metadata'!$B$5)^(C9-1))</x:f>
        <x:v>2574.57016162816</x:v>
      </x:c>
      <x:c r="E9" s="31" t="n">
        <x:f>IF(B9=0,"",B9*D9)</x:f>
        <x:v>19494308.911175925</x:v>
      </x:c>
    </x:row>
  </x:sheetData>
  <x:pageMargins left="0.7" right="0.7" top="0.75" bottom="0.75" header="0.3" footer="0.3"/>
  <x:tableParts count="1">
    <x:tablePart xmlns:r="http://schemas.openxmlformats.org/officeDocument/2006/relationships" r:id="Rae756844135d459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12.219999999999999</x:v>
      </x:c>
      <x:c r="C2" s="32" t="n">
        <x:v>3.6284615384615386</x:v>
      </x:c>
      <x:c r="D2" s="32" t="n">
        <x:f>IF(C2="","",(1/'Metadata'!$B$5)^(C2-1))</x:f>
        <x:v>425.07106043428644</x:v>
      </x:c>
      <x:c r="E2" s="31" t="n">
        <x:f>IF(B2=0,"",B2*D2)</x:f>
        <x:v>5194.368358506979</x:v>
      </x:c>
    </x:row>
    <x:row r="3" ht="18" customHeight="1">
      <x:c r="A3" s="24" t="str">
        <x:v>Large demersals (&gt;=90 cm)</x:v>
      </x:c>
      <x:c r="B3" s="31" t="n">
        <x:v>52.8639300663</x:v>
      </x:c>
      <x:c r="C3" s="32" t="n">
        <x:v>3.89</x:v>
      </x:c>
      <x:c r="D3" s="32" t="n">
        <x:f>IF(C3="","",(1/'Metadata'!$B$5)^(C3-1))</x:f>
        <x:v>776.247116628692</x:v>
      </x:c>
      <x:c r="E3" s="31" t="n">
        <x:f>IF(B3=0,"",B3*D3)</x:f>
        <x:v>41035.47328762619</x:v>
      </x:c>
    </x:row>
    <x:row r="4" ht="18" customHeight="1">
      <x:c r="A4" s="24" t="str">
        <x:v>Large pelagics (&gt;=90 cm)</x:v>
      </x:c>
      <x:c r="B4" s="31" t="n">
        <x:v>7973.328523720398</x:v>
      </x:c>
      <x:c r="C4" s="32" t="n">
        <x:v>4.415539839314091</x:v>
      </x:c>
      <x:c r="D4" s="32" t="n">
        <x:f>IF(C4="","",(1/'Metadata'!$B$5)^(C4-1))</x:f>
        <x:v>2603.393638598685</x:v>
      </x:c>
      <x:c r="E4" s="31" t="n">
        <x:f>IF(B4=0,"",B4*D4)</x:f>
        <x:v>20757712.75711113</x:v>
      </x:c>
    </x:row>
    <x:row r="5" ht="18" customHeight="1">
      <x:c r="A5" s="24" t="str">
        <x:v>Large rays (&gt;=90 cm)</x:v>
      </x:c>
      <x:c r="B5" s="31" t="n">
        <x:v>311.5066611445</x:v>
      </x:c>
      <x:c r="C5" s="32" t="n">
        <x:v>3.676184564561627</x:v>
      </x:c>
      <x:c r="D5" s="32" t="n">
        <x:f>IF(C5="","",(1/'Metadata'!$B$5)^(C5-1))</x:f>
        <x:v>474.44356936754104</x:v>
      </x:c>
      <x:c r="E5" s="31" t="n">
        <x:f>IF(B5=0,"",B5*D5)</x:f>
        <x:v>147792.3321951617</x:v>
      </x:c>
    </x:row>
    <x:row r="6" ht="18" customHeight="1">
      <x:c r="A6" s="24" t="str">
        <x:v>Large sharks (&gt;=90 cm)</x:v>
      </x:c>
      <x:c r="B6" s="31" t="n">
        <x:v>135.44162034750005</x:v>
      </x:c>
      <x:c r="C6" s="32" t="n">
        <x:v>4.223186143300195</x:v>
      </x:c>
      <x:c r="D6" s="32" t="n">
        <x:f>IF(C6="","",(1/'Metadata'!$B$5)^(C6-1))</x:f>
        <x:v>1671.8070152936712</x:v>
      </x:c>
      <x:c r="E6" s="31" t="n">
        <x:f>IF(B6=0,"",B6*D6)</x:f>
        <x:v>226432.25105969261</x:v>
      </x:c>
    </x:row>
    <x:row r="7" ht="18" customHeight="1">
      <x:c r="A7" s="24" t="str">
        <x:v>Lobsters, crabs</x:v>
      </x:c>
      <x:c r="B7" s="31" t="n">
        <x:v>1666.6200000000001</x:v>
      </x:c>
      <x:c r="C7" s="32" t="n">
        <x:v>3.0540327129159617</x:v>
      </x:c>
      <x:c r="D7" s="32" t="n">
        <x:f>IF(C7="","",(1/'Metadata'!$B$5)^(C7-1))</x:f>
        <x:v>113.24856636818137</x:v>
      </x:c>
      <x:c r="E7" s="31" t="n">
        <x:f>IF(B7=0,"",B7*D7)</x:f>
        <x:v>188742.32568053846</x:v>
      </x:c>
    </x:row>
    <x:row r="8" ht="18" customHeight="1">
      <x:c r="A8" s="24" t="str">
        <x:v>Medium demersals (30 - 89 cm)</x:v>
      </x:c>
      <x:c r="B8" s="31" t="n">
        <x:v>3035.0913696386006</x:v>
      </x:c>
      <x:c r="C8" s="32" t="n">
        <x:v>3.3974096661161877</x:v>
      </x:c>
      <x:c r="D8" s="32" t="n">
        <x:f>IF(C8="","",(1/'Metadata'!$B$5)^(C8-1))</x:f>
        <x:v>249.69489661194808</x:v>
      </x:c>
      <x:c r="E8" s="31" t="n">
        <x:f>IF(B8=0,"",B8*D8)</x:f>
        <x:v>757846.8257497263</x:v>
      </x:c>
    </x:row>
    <x:row r="9" ht="18" customHeight="1">
      <x:c r="A9" s="24" t="str">
        <x:v>Medium pelagics (30 - 89 cm)</x:v>
      </x:c>
      <x:c r="B9" s="31" t="n">
        <x:v>171.74115620589998</x:v>
      </x:c>
      <x:c r="C9" s="32" t="n">
        <x:v>4.196639349015456</x:v>
      </x:c>
      <x:c r="D9" s="32" t="n">
        <x:f>IF(C9="","",(1/'Metadata'!$B$5)^(C9-1))</x:f>
        <x:v>1572.6763251054688</x:v>
      </x:c>
      <x:c r="E9" s="31" t="n">
        <x:f>IF(B9=0,"",B9*D9)</x:f>
        <x:v>270093.25041125907</x:v>
      </x:c>
    </x:row>
    <x:row r="10" ht="18" customHeight="1">
      <x:c r="A10" s="24" t="str">
        <x:v>Medium reef assoc. fish (30 - 89 cm)</x:v>
      </x:c>
      <x:c r="B10" s="31" t="n">
        <x:v>4728.371910238199</x:v>
      </x:c>
      <x:c r="C10" s="32" t="n">
        <x:v>4.003840438434853</x:v>
      </x:c>
      <x:c r="D10" s="32" t="n">
        <x:f>IF(C10="","",(1/'Metadata'!$B$5)^(C10-1))</x:f>
        <x:v>1008.8821505562959</x:v>
      </x:c>
      <x:c r="E10" s="31" t="n">
        <x:f>IF(B10=0,"",B10*D10)</x:f>
        <x:v>4770370.021431095</x:v>
      </x:c>
    </x:row>
    <x:row r="11" ht="18" customHeight="1">
      <x:c r="A11" s="24" t="str">
        <x:v>Other demersal invertebrates</x:v>
      </x:c>
      <x:c r="B11" s="31" t="n">
        <x:v>966.4010829325001</x:v>
      </x:c>
      <x:c r="C11" s="32" t="n">
        <x:v>2.1</x:v>
      </x:c>
      <x:c r="D11" s="32" t="n">
        <x:f>IF(C11="","",(1/'Metadata'!$B$5)^(C11-1))</x:f>
        <x:v>12.589254117941675</x:v>
      </x:c>
      <x:c r="E11" s="31" t="n">
        <x:f>IF(B11=0,"",B11*D11)</x:f>
        <x:v>12166.26881289127</x:v>
      </x:c>
    </x:row>
    <x:row r="12" ht="18" customHeight="1">
      <x:c r="A12" s="24" t="str">
        <x:v>Shrimps</x:v>
      </x:c>
      <x:c r="B12" s="31" t="n">
        <x:v>4541.3537779659</x:v>
      </x:c>
      <x:c r="C12" s="32" t="n">
        <x:v>2.700000000000001</x:v>
      </x:c>
      <x:c r="D12" s="32" t="n">
        <x:f>IF(C12="","",(1/'Metadata'!$B$5)^(C12-1))</x:f>
        <x:v>50.11872336272735</x:v>
      </x:c>
      <x:c r="E12" s="31" t="n">
        <x:f>IF(B12=0,"",B12*D12)</x:f>
        <x:v>227606.85369014967</x:v>
      </x:c>
    </x:row>
    <x:row r="13" ht="18" customHeight="1">
      <x:c r="A13" s="24" t="str">
        <x:v>Small pelagics (&lt;30 cm)</x:v>
      </x:c>
      <x:c r="B13" s="31" t="n">
        <x:v>373.0668276954</x:v>
      </x:c>
      <x:c r="C13" s="32" t="n">
        <x:v>3.16</x:v>
      </x:c>
      <x:c r="D13" s="32" t="n">
        <x:f>IF(C13="","",(1/'Metadata'!$B$5)^(C13-1))</x:f>
        <x:v>144.5439770745928</x:v>
      </x:c>
      <x:c r="E13" s="31" t="n">
        <x:f>IF(B13=0,"",B13*D13)</x:f>
        <x:v>53924.562989694954</x:v>
      </x:c>
    </x:row>
    <x:row r="14" ht="18" customHeight="1">
      <x:c r="A14" s="24" t="str">
        <x:v>Small to medium flatfishes (&lt;90 cm)</x:v>
      </x:c>
      <x:c r="B14" s="31" t="n">
        <x:v>588.3391341134</x:v>
      </x:c>
      <x:c r="C14" s="32" t="n">
        <x:v>3.5700000000000003</x:v>
      </x:c>
      <x:c r="D14" s="32" t="n">
        <x:f>IF(C14="","",(1/'Metadata'!$B$5)^(C14-1))</x:f>
        <x:v>371.53522909717276</x:v>
      </x:c>
      <x:c r="E14" s="31" t="n">
        <x:f>IF(B14=0,"",B14*D14)</x:f>
        <x:v>218588.7149796543</x:v>
      </x:c>
    </x:row>
  </x:sheetData>
  <x:pageMargins left="0.7" right="0.7" top="0.75" bottom="0.75" header="0.3" footer="0.3"/>
  <x:tableParts count="1">
    <x:tablePart xmlns:r="http://schemas.openxmlformats.org/officeDocument/2006/relationships" r:id="R993e8cc30fb043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EEZ_950</x:v>
      </x:c>
      <x:c r="B2" s="24" t="str">
        <x:v>raw_filtered_tonnes</x:v>
      </x:c>
      <x:c r="C2" s="24" t="n">
        <x:v>24556.3459940686</x:v>
      </x:c>
      <x:c r="D2" s="24" t="str">
        <x:v>tonnes</x:v>
      </x:c>
    </x:row>
    <x:row r="3" ht="18" customHeight="1">
      <x:c r="A3" s="24" t="str">
        <x:v>EEZ_950</x:v>
      </x:c>
      <x:c r="B3" s="24" t="str">
        <x:v>species_catch_tonnes</x:v>
      </x:c>
      <x:c r="C3" s="24" t="n">
        <x:v>24556.3459940686</x:v>
      </x:c>
      <x:c r="D3" s="24" t="str">
        <x:v>tonnes</x:v>
      </x:c>
    </x:row>
    <x:row r="4" ht="18" customHeight="1">
      <x:c r="A4" s="24" t="str">
        <x:v>EEZ_950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EEZ_950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EEZ_950</x:v>
      </x:c>
      <x:c r="B6" s="24" t="str">
        <x:v>matched_catch_tonnes</x:v>
      </x:c>
      <x:c r="C6" s="24" t="n">
        <x:v>24556.3459940686</x:v>
      </x:c>
      <x:c r="D6" s="24" t="str">
        <x:v>tonnes</x:v>
      </x:c>
    </x:row>
    <x:row r="7" ht="18" customHeight="1">
      <x:c r="A7" s="24" t="str">
        <x:v>EEZ_950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EEZ_950</x:v>
      </x:c>
      <x:c r="B8" s="24" t="str">
        <x:v>taxa_count</x:v>
      </x:c>
      <x:c r="C8" s="24" t="n">
        <x:v>46</x:v>
      </x:c>
      <x:c r="D8" s="24" t="str">
        <x:v>count</x:v>
      </x:c>
    </x:row>
    <x:row r="9" ht="18" customHeight="1">
      <x:c r="A9" s="24" t="str">
        <x:v>EEZ_950</x:v>
      </x:c>
      <x:c r="B9" s="24" t="str">
        <x:v>matched_taxa_count</x:v>
      </x:c>
      <x:c r="C9" s="24" t="n">
        <x:v>46</x:v>
      </x:c>
      <x:c r="D9" s="24" t="str">
        <x:v>count</x:v>
      </x:c>
    </x:row>
    <x:row r="10" ht="18" customHeight="1">
      <x:c r="A10" s="24" t="str">
        <x:v>EEZ_950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EEZ_950</x:v>
      </x:c>
      <x:c r="B11" s="24" t="str">
        <x:v>species_ppr</x:v>
      </x:c>
      <x:c r="C11" s="24" t="n">
        <x:v>28085727.266922668</x:v>
      </x:c>
      <x:c r="D11" s="24" t="str">
        <x:v>tonnes_primary_production_equivalent</x:v>
      </x:c>
    </x:row>
    <x:row r="12" ht="18" customHeight="1">
      <x:c r="A12" s="24" t="str">
        <x:v>EEZ_950</x:v>
      </x:c>
      <x:c r="B12" s="24" t="str">
        <x:v>commercial_ppr</x:v>
      </x:c>
      <x:c r="C12" s="24" t="n">
        <x:v>26566117.21852223</x:v>
      </x:c>
      <x:c r="D12" s="24" t="str">
        <x:v>tonnes_primary_production_equivalent</x:v>
      </x:c>
    </x:row>
    <x:row r="13" ht="18" customHeight="1">
      <x:c r="A13" s="24" t="str">
        <x:v>EEZ_950</x:v>
      </x:c>
      <x:c r="B13" s="24" t="str">
        <x:v>functional_ppr</x:v>
      </x:c>
      <x:c r="C13" s="24" t="n">
        <x:v>27677506.00575713</x:v>
      </x:c>
      <x:c r="D13" s="24" t="str">
        <x:v>tonnes_primary_production_equivalent</x:v>
      </x:c>
    </x:row>
    <x:row r="14" ht="18" customHeight="1">
      <x:c r="A14" s="24" t="str">
        <x:v>EEZ_950</x:v>
      </x:c>
      <x:c r="B14" s="24" t="str">
        <x:v>commercial_ppr_difference</x:v>
      </x:c>
      <x:c r="C14" s="24" t="n">
        <x:v>-1519610.0484004393</x:v>
      </x:c>
      <x:c r="D14" s="24" t="str">
        <x:v>tonnes_primary_production_equivalent</x:v>
      </x:c>
    </x:row>
    <x:row r="15" ht="18" customHeight="1">
      <x:c r="A15" s="24" t="str">
        <x:v>EEZ_950</x:v>
      </x:c>
      <x:c r="B15" s="24" t="str">
        <x:v>functional_ppr_difference</x:v>
      </x:c>
      <x:c r="C15" s="24" t="n">
        <x:v>-408221.26116553694</x:v>
      </x:c>
      <x:c r="D15" s="24" t="str">
        <x:v>tonnes_primary_production_equivalent</x:v>
      </x:c>
    </x:row>
    <x:row r="16" ht="18" customHeight="1">
      <x:c r="A16" s="24" t="str">
        <x:v>EEZ_950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EEZ_950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b9928c7bb0a47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EEZ_950 - Nicaragua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