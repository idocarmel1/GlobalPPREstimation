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fef3288bc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ae57b19b88e40c6"/>
    <x:sheet xmlns:r="http://schemas.openxmlformats.org/officeDocument/2006/relationships" name="Commercial" sheetId="2" r:id="R331d8ac0ca0f45a4"/>
    <x:sheet xmlns:r="http://schemas.openxmlformats.org/officeDocument/2006/relationships" name="Functional" sheetId="3" r:id="Re7e84a3f06504465"/>
    <x:sheet xmlns:r="http://schemas.openxmlformats.org/officeDocument/2006/relationships" name="Missing TL" sheetId="4" r:id="R37086719605c4a99"/>
    <x:sheet xmlns:r="http://schemas.openxmlformats.org/officeDocument/2006/relationships" name="Validation" sheetId="5" r:id="R62214be851454cf0"/>
    <x:sheet xmlns:r="http://schemas.openxmlformats.org/officeDocument/2006/relationships" name="Metadata" sheetId="6" r:id="Re59967fcf85d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fc5f42bee43b0" /><Relationship Type="http://schemas.openxmlformats.org/officeDocument/2006/relationships/theme" Target="/xl/theme/theme1.xml" Id="R7aa4fc6ba2f14af9" /><Relationship Type="http://schemas.microsoft.com/office/2022/11/relationships/FeaturePropertyBag" Target="/xl/featurePropertyBag/featurePropertyBag.xml" Id="R6a428ff19eb640e4" /><Relationship Type="http://schemas.openxmlformats.org/officeDocument/2006/relationships/sharedStrings" Target="/xl/sharedStrings.xml" Id="R02dc08b5d3d048cc" /><Relationship Type="http://schemas.openxmlformats.org/officeDocument/2006/relationships/worksheet" Target="/xl/worksheets/sheet1.xml" Id="R3ae57b19b88e40c6" /><Relationship Type="http://schemas.openxmlformats.org/officeDocument/2006/relationships/worksheet" Target="/xl/worksheets/sheet2.xml" Id="R331d8ac0ca0f45a4" /><Relationship Type="http://schemas.openxmlformats.org/officeDocument/2006/relationships/worksheet" Target="/xl/worksheets/sheet3.xml" Id="Re7e84a3f06504465" /><Relationship Type="http://schemas.openxmlformats.org/officeDocument/2006/relationships/worksheet" Target="/xl/worksheets/sheet4.xml" Id="R37086719605c4a99" /><Relationship Type="http://schemas.openxmlformats.org/officeDocument/2006/relationships/worksheet" Target="/xl/worksheets/sheet5.xml" Id="R62214be851454cf0" /><Relationship Type="http://schemas.openxmlformats.org/officeDocument/2006/relationships/worksheet" Target="/xl/worksheets/sheet6.xml" Id="Re59967fcf85d4b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9SpeciesTable" displayName="EEZ929SpeciesTable" ref="A1:U15" headerRowCount="1" totalsRowCount="0" totalsRowShown="0">
  <x:autoFilter ref="A1:U1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9CommercialTable" displayName="EEZ929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9FunctionalTable" displayName="EEZ929FunctionalTable" ref="A1:E8" headerRowCount="1" totalsRowCount="0" totalsRowShown="0">
  <x:autoFilter ref="A1:E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9ValidationTable" displayName="EEZ92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e3dc36248d4d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15e9ba11244f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1c5771a78549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02de47b817497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EEZ_929</x:v>
      </x:c>
      <x:c r="B2" s="24" t="str">
        <x:v>Costa Rica (Caribbean)</x:v>
      </x:c>
      <x:c r="C2" s="24" t="str">
        <x:v>EEZ</x:v>
      </x:c>
      <x:c r="D2" s="30" t="n">
        <x:v>2019</x:v>
      </x:c>
      <x:c r="E2" s="24" t="str">
        <x:v>Scombridae</x:v>
      </x:c>
      <x:c r="F2" s="24" t="str">
        <x:v>Mackerels, tunas, bonitos</x:v>
      </x:c>
      <x:c r="G2" s="24" t="str">
        <x:v>Medium pelagics (30 - 89 cm)</x:v>
      </x:c>
      <x:c r="H2" s="24" t="str">
        <x:v>Perch-likes</x:v>
      </x:c>
      <x:c r="I2" s="31" t="n">
        <x:v>159.99999999</x:v>
      </x:c>
      <x:c r="J2" s="31" t="n">
        <x:v>159.99999999</x:v>
      </x:c>
      <x:c r="K2" s="31" t="n">
        <x:v>0</x:v>
      </x:c>
      <x:c r="L2" s="31" t="n">
        <x:v>159.99999999</x:v>
      </x:c>
      <x:c r="M2" s="31" t="n">
        <x:v>0</x:v>
      </x:c>
      <x:c r="N2" s="24" t="str">
        <x:v>scombridae</x:v>
      </x:c>
      <x:c r="O2" s="32" t="n">
        <x:v>4.26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Scombridae</x:v>
      </x:c>
      <x:c r="T2" s="32" t="n">
        <x:f>IF(O2="","",(1/'Metadata'!$B$5)^(O2-1))</x:f>
        <x:v>1819.7008586099826</x:v>
      </x:c>
      <x:c r="U2" s="31" t="n">
        <x:f>IF(T2="","",I2*T2)</x:f>
        <x:v>291152.13735940016</x:v>
      </x:c>
    </x:row>
    <x:row r="3" ht="18" customHeight="1">
      <x:c r="A3" s="24" t="str">
        <x:v>EEZ_929</x:v>
      </x:c>
      <x:c r="B3" s="24" t="str">
        <x:v>Costa Rica (Caribbean)</x:v>
      </x:c>
      <x:c r="C3" s="24" t="str">
        <x:v>EEZ</x:v>
      </x:c>
      <x:c r="D3" s="30" t="n">
        <x:v>2019</x:v>
      </x:c>
      <x:c r="E3" s="24" t="str">
        <x:v>Carcharhinus falciformis</x:v>
      </x:c>
      <x:c r="F3" s="24" t="str">
        <x:v>Silky shark</x:v>
      </x:c>
      <x:c r="G3" s="24" t="str">
        <x:v>Large sharks (&gt;=90 cm)</x:v>
      </x:c>
      <x:c r="H3" s="24" t="str">
        <x:v>Sharks &amp; rays</x:v>
      </x:c>
      <x:c r="I3" s="31" t="n">
        <x:v>120</x:v>
      </x:c>
      <x:c r="J3" s="31" t="n">
        <x:v>120</x:v>
      </x:c>
      <x:c r="K3" s="31" t="n">
        <x:v>0</x:v>
      </x:c>
      <x:c r="L3" s="31" t="n">
        <x:v>120</x:v>
      </x:c>
      <x:c r="M3" s="31" t="n">
        <x:v>0</x:v>
      </x:c>
      <x:c r="N3" s="24" t="str">
        <x:v>carcharhinus falciformis</x:v>
      </x:c>
      <x:c r="O3" s="32" t="n">
        <x:v>4.51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Carcharhinus falciformis</x:v>
      </x:c>
      <x:c r="T3" s="32" t="n">
        <x:f>IF(O3="","",(1/'Metadata'!$B$5)^(O3-1))</x:f>
        <x:v>3235.936569296281</x:v>
      </x:c>
      <x:c r="U3" s="31" t="n">
        <x:f>IF(T3="","",I3*T3)</x:f>
        <x:v>388312.3883155537</x:v>
      </x:c>
    </x:row>
    <x:row r="4" ht="18" customHeight="1">
      <x:c r="A4" s="24" t="str">
        <x:v>EEZ_929</x:v>
      </x:c>
      <x:c r="B4" s="24" t="str">
        <x:v>Costa Rica (Caribbean)</x:v>
      </x:c>
      <x:c r="C4" s="24" t="str">
        <x:v>EEZ</x:v>
      </x:c>
      <x:c r="D4" s="30" t="n">
        <x:v>2019</x:v>
      </x:c>
      <x:c r="E4" s="24" t="str">
        <x:v>Coryphaena hippurus</x:v>
      </x:c>
      <x:c r="F4" s="24" t="str">
        <x:v>Common dolphinfish</x:v>
      </x:c>
      <x:c r="G4" s="24" t="str">
        <x:v>Large pelagics (&gt;=90 cm)</x:v>
      </x:c>
      <x:c r="H4" s="24" t="str">
        <x:v>Perch-likes</x:v>
      </x:c>
      <x:c r="I4" s="31" t="n">
        <x:v>105</x:v>
      </x:c>
      <x:c r="J4" s="31" t="n">
        <x:v>105</x:v>
      </x:c>
      <x:c r="K4" s="31" t="n">
        <x:v>0</x:v>
      </x:c>
      <x:c r="L4" s="31" t="n">
        <x:v>105</x:v>
      </x:c>
      <x:c r="M4" s="31" t="n">
        <x:v>0</x:v>
      </x:c>
      <x:c r="N4" s="24" t="str">
        <x:v>coryphaena hippurus</x:v>
      </x:c>
      <x:c r="O4" s="32" t="n">
        <x:v>4.37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Coryphaena hippurus</x:v>
      </x:c>
      <x:c r="T4" s="32" t="n">
        <x:f>IF(O4="","",(1/'Metadata'!$B$5)^(O4-1))</x:f>
        <x:v>2344.228815319923</x:v>
      </x:c>
      <x:c r="U4" s="31" t="n">
        <x:f>IF(T4="","",I4*T4)</x:f>
        <x:v>246144.0256085919</x:v>
      </x:c>
    </x:row>
    <x:row r="5" ht="18" customHeight="1">
      <x:c r="A5" s="24" t="str">
        <x:v>EEZ_929</x:v>
      </x:c>
      <x:c r="B5" s="24" t="str">
        <x:v>Costa Rica (Caribbean)</x:v>
      </x:c>
      <x:c r="C5" s="24" t="str">
        <x:v>EEZ</x:v>
      </x:c>
      <x:c r="D5" s="30" t="n">
        <x:v>2019</x:v>
      </x:c>
      <x:c r="E5" s="24" t="str">
        <x:v>Elasmobranchii</x:v>
      </x:c>
      <x:c r="F5" s="24" t="str">
        <x:v>Sharks, rays, skates</x:v>
      </x:c>
      <x:c r="G5" s="24" t="str">
        <x:v>Large sharks (&gt;=90 cm)</x:v>
      </x:c>
      <x:c r="H5" s="24" t="str">
        <x:v>Sharks &amp; rays</x:v>
      </x:c>
      <x:c r="I5" s="31" t="n">
        <x:v>85.0006827139</x:v>
      </x:c>
      <x:c r="J5" s="31" t="n">
        <x:v>85.0006827139</x:v>
      </x:c>
      <x:c r="K5" s="31" t="n">
        <x:v>0</x:v>
      </x:c>
      <x:c r="L5" s="31" t="n">
        <x:v>85.0006827139</x:v>
      </x:c>
      <x:c r="M5" s="31" t="n">
        <x:v>0</x:v>
      </x:c>
      <x:c r="N5" s="24" t="str">
        <x:v>elasmobranchii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Elasmobranchii</x:v>
      </x:c>
      <x:c r="T5" s="32" t="n">
        <x:f>IF(O5="","",(1/'Metadata'!$B$5)^(O5-1))</x:f>
        <x:v>1122.018454301963</x:v>
      </x:c>
      <x:c r="U5" s="31" t="n">
        <x:f>IF(T5="","",I5*T5)</x:f>
        <x:v>95372.33463326166</x:v>
      </x:c>
    </x:row>
    <x:row r="6" ht="18" customHeight="1">
      <x:c r="A6" s="24" t="str">
        <x:v>EEZ_929</x:v>
      </x:c>
      <x:c r="B6" s="24" t="str">
        <x:v>Costa Rica (Caribbean)</x:v>
      </x:c>
      <x:c r="C6" s="24" t="str">
        <x:v>EEZ</x:v>
      </x:c>
      <x:c r="D6" s="30" t="n">
        <x:v>2019</x:v>
      </x:c>
      <x:c r="E6" s="24" t="str">
        <x:v>Lutjanidae</x:v>
      </x:c>
      <x:c r="F6" s="24" t="str">
        <x:v>Snappers</x:v>
      </x:c>
      <x:c r="G6" s="24" t="str">
        <x:v>Medium reef assoc. fish (30 - 89 cm)</x:v>
      </x:c>
      <x:c r="H6" s="24" t="str">
        <x:v>Perch-likes</x:v>
      </x:c>
      <x:c r="I6" s="31" t="n">
        <x:v>80.76497671999999</x:v>
      </x:c>
      <x:c r="J6" s="31" t="n">
        <x:v>80.76497671999999</x:v>
      </x:c>
      <x:c r="K6" s="31" t="n">
        <x:v>0</x:v>
      </x:c>
      <x:c r="L6" s="31" t="n">
        <x:v>65</x:v>
      </x:c>
      <x:c r="M6" s="31" t="n">
        <x:v>15.76497672</x:v>
      </x:c>
      <x:c r="N6" s="24" t="str">
        <x:v>lutjanidae</x:v>
      </x:c>
      <x:c r="O6" s="32" t="n">
        <x:v>4.02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Lutjanidae</x:v>
      </x:c>
      <x:c r="T6" s="32" t="n">
        <x:f>IF(O6="","",(1/'Metadata'!$B$5)^(O6-1))</x:f>
        <x:v>1047.1285480508984</x:v>
      </x:c>
      <x:c r="U6" s="31" t="n">
        <x:f>IF(T6="","",I6*T6)</x:f>
        <x:v>84571.3128061782</x:v>
      </x:c>
    </x:row>
    <x:row r="7" ht="18" customHeight="1">
      <x:c r="A7" s="24" t="str">
        <x:v>EEZ_929</x:v>
      </x:c>
      <x:c r="B7" s="24" t="str">
        <x:v>Costa Rica (Caribbean)</x:v>
      </x:c>
      <x:c r="C7" s="24" t="str">
        <x:v>EEZ</x:v>
      </x:c>
      <x:c r="D7" s="30" t="n">
        <x:v>2019</x:v>
      </x:c>
      <x:c r="E7" s="24" t="str">
        <x:v>Xiphias gladius</x:v>
      </x:c>
      <x:c r="F7" s="24" t="str">
        <x:v>Swordfish</x:v>
      </x:c>
      <x:c r="G7" s="24" t="str">
        <x:v>Large pelagics (&gt;=90 cm)</x:v>
      </x:c>
      <x:c r="H7" s="24" t="str">
        <x:v>Tuna &amp; billfishes</x:v>
      </x:c>
      <x:c r="I7" s="31" t="n">
        <x:v>28.545454545</x:v>
      </x:c>
      <x:c r="J7" s="31" t="n">
        <x:v>28.545454545</x:v>
      </x:c>
      <x:c r="K7" s="31" t="n">
        <x:v>0</x:v>
      </x:c>
      <x:c r="L7" s="31" t="n">
        <x:v>28.545454545</x:v>
      </x:c>
      <x:c r="M7" s="31" t="n">
        <x:v>0</x:v>
      </x:c>
      <x:c r="N7" s="24" t="str">
        <x:v>xiphias gladius</x:v>
      </x:c>
      <x:c r="O7" s="32" t="n">
        <x:v>4.53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Xiphias gladius</x:v>
      </x:c>
      <x:c r="T7" s="32" t="n">
        <x:f>IF(O7="","",(1/'Metadata'!$B$5)^(O7-1))</x:f>
        <x:v>3388.4415613920273</x:v>
      </x:c>
      <x:c r="U7" s="31" t="n">
        <x:f>IF(T7="","",I7*T7)</x:f>
        <x:v>96724.60456910494</x:v>
      </x:c>
    </x:row>
    <x:row r="8" ht="18" customHeight="1">
      <x:c r="A8" s="24" t="str">
        <x:v>EEZ_929</x:v>
      </x:c>
      <x:c r="B8" s="24" t="str">
        <x:v>Costa Rica (Caribbean)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16.2382152815</x:v>
      </x:c>
      <x:c r="J8" s="31" t="n">
        <x:v>16.238204818</x:v>
      </x:c>
      <x:c r="K8" s="31" t="n">
        <x:v>0.000010463499999999999</x:v>
      </x:c>
      <x:c r="L8" s="31" t="n">
        <x:v>15.000000000000002</x:v>
      </x:c>
      <x:c r="M8" s="31" t="n">
        <x:v>1.2382152815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3094.128134872875</x:v>
      </x:c>
    </x:row>
    <x:row r="9" ht="18" customHeight="1">
      <x:c r="A9" s="24" t="str">
        <x:v>EEZ_929</x:v>
      </x:c>
      <x:c r="B9" s="24" t="str">
        <x:v>Costa Rica (Caribbean)</x:v>
      </x:c>
      <x:c r="C9" s="24" t="str">
        <x:v>EEZ</x:v>
      </x:c>
      <x:c r="D9" s="30" t="n">
        <x:v>2019</x:v>
      </x:c>
      <x:c r="E9" s="24" t="str">
        <x:v>Cittarium pica</x:v>
      </x:c>
      <x:c r="F9" s="24" t="str">
        <x:v>West Indian top shell</x:v>
      </x:c>
      <x:c r="G9" s="24" t="str">
        <x:v>Other demersal invertebrates</x:v>
      </x:c>
      <x:c r="H9" s="24" t="str">
        <x:v>Molluscs</x:v>
      </x:c>
      <x:c r="I9" s="31" t="n">
        <x:v>2.236600403</x:v>
      </x:c>
      <x:c r="J9" s="31" t="n">
        <x:v>2.236600403</x:v>
      </x:c>
      <x:c r="K9" s="31" t="n">
        <x:v>0</x:v>
      </x:c>
      <x:c r="L9" s="31" t="n">
        <x:v>0</x:v>
      </x:c>
      <x:c r="M9" s="31" t="n">
        <x:v>2.236600403</x:v>
      </x:c>
      <x:c r="N9" s="24" t="str">
        <x:v>cittarium pica</x:v>
      </x:c>
      <x:c r="O9" s="32" t="n">
        <x:v>2.03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Cittarium pica</x:v>
      </x:c>
      <x:c r="T9" s="32" t="n">
        <x:f>IF(O9="","",(1/'Metadata'!$B$5)^(O9-1))</x:f>
        <x:v>10.71519305237606</x:v>
      </x:c>
      <x:c r="U9" s="31" t="n">
        <x:f>IF(T9="","",I9*T9)</x:f>
        <x:v>23.9656050991671</x:v>
      </x:c>
    </x:row>
    <x:row r="10" ht="18" customHeight="1">
      <x:c r="A10" s="24" t="str">
        <x:v>EEZ_929</x:v>
      </x:c>
      <x:c r="B10" s="24" t="str">
        <x:v>Costa Rica (Caribbean)</x:v>
      </x:c>
      <x:c r="C10" s="24" t="str">
        <x:v>EEZ</x:v>
      </x:c>
      <x:c r="D10" s="30" t="n">
        <x:v>2019</x:v>
      </x:c>
      <x:c r="E10" s="24" t="str">
        <x:v>Serranidae</x:v>
      </x:c>
      <x:c r="F10" s="24" t="str">
        <x:v>Basses, groupers, hinds</x:v>
      </x:c>
      <x:c r="G10" s="24" t="str">
        <x:v>Medium reef assoc. fish (30 - 89 cm)</x:v>
      </x:c>
      <x:c r="H10" s="24" t="str">
        <x:v>Perch-likes</x:v>
      </x:c>
      <x:c r="I10" s="31" t="n">
        <x:v>1.642185075</x:v>
      </x:c>
      <x:c r="J10" s="31" t="n">
        <x:v>1.642185075</x:v>
      </x:c>
      <x:c r="K10" s="31" t="n">
        <x:v>0</x:v>
      </x:c>
      <x:c r="L10" s="31" t="n">
        <x:v>0</x:v>
      </x:c>
      <x:c r="M10" s="31" t="n">
        <x:v>1.642185075</x:v>
      </x:c>
      <x:c r="N10" s="24" t="str">
        <x:v>serranidae</x:v>
      </x:c>
      <x:c r="O10" s="32" t="n">
        <x:v>3.98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Serranidae</x:v>
      </x:c>
      <x:c r="T10" s="32" t="n">
        <x:f>IF(O10="","",(1/'Metadata'!$B$5)^(O10-1))</x:f>
        <x:v>954.992586021436</x:v>
      </x:c>
      <x:c r="U10" s="31" t="n">
        <x:f>IF(T10="","",I10*T10)</x:f>
        <x:v>1568.2745715000558</x:v>
      </x:c>
    </x:row>
    <x:row r="11" ht="18" customHeight="1">
      <x:c r="A11" s="24" t="str">
        <x:v>EEZ_929</x:v>
      </x:c>
      <x:c r="B11" s="24" t="str">
        <x:v>Costa Rica (Caribbean)</x:v>
      </x:c>
      <x:c r="C11" s="24" t="str">
        <x:v>EEZ</x:v>
      </x:c>
      <x:c r="D11" s="30" t="n">
        <x:v>2019</x:v>
      </x:c>
      <x:c r="E11" s="24" t="str">
        <x:v>Haemulidae</x:v>
      </x:c>
      <x:c r="F11" s="24" t="str">
        <x:v>Grunts, sweetlips, bonnetmouths</x:v>
      </x:c>
      <x:c r="G11" s="24" t="str">
        <x:v>Medium demersals (30 - 89 cm)</x:v>
      </x:c>
      <x:c r="H11" s="24" t="str">
        <x:v>Perch-likes</x:v>
      </x:c>
      <x:c r="I11" s="31" t="n">
        <x:v>1.149529552</x:v>
      </x:c>
      <x:c r="J11" s="31" t="n">
        <x:v>1.149529552</x:v>
      </x:c>
      <x:c r="K11" s="31" t="n">
        <x:v>0</x:v>
      </x:c>
      <x:c r="L11" s="31" t="n">
        <x:v>0</x:v>
      </x:c>
      <x:c r="M11" s="31" t="n">
        <x:v>1.149529552</x:v>
      </x:c>
      <x:c r="N11" s="24" t="str">
        <x:v>haemulidae</x:v>
      </x:c>
      <x:c r="O11" s="32" t="n">
        <x:v>3.36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Haemulidae</x:v>
      </x:c>
      <x:c r="T11" s="32" t="n">
        <x:f>IF(O11="","",(1/'Metadata'!$B$5)^(O11-1))</x:f>
        <x:v>229.08676527677724</x:v>
      </x:c>
      <x:c r="U11" s="31" t="n">
        <x:f>IF(T11="","",I11*T11)</x:f>
        <x:v>263.3420066577429</x:v>
      </x:c>
    </x:row>
    <x:row r="12" ht="18" customHeight="1">
      <x:c r="A12" s="24" t="str">
        <x:v>EEZ_929</x:v>
      </x:c>
      <x:c r="B12" s="24" t="str">
        <x:v>Costa Rica (Caribbean)</x:v>
      </x:c>
      <x:c r="C12" s="24" t="str">
        <x:v>EEZ</x:v>
      </x:c>
      <x:c r="D12" s="30" t="n">
        <x:v>2019</x:v>
      </x:c>
      <x:c r="E12" s="24" t="str">
        <x:v>Gerreidae</x:v>
      </x:c>
      <x:c r="F12" s="24" t="str">
        <x:v>Mojarras, silverbellies</x:v>
      </x:c>
      <x:c r="G12" s="24" t="str">
        <x:v>Small benthopelagics (&lt;30 cm)</x:v>
      </x:c>
      <x:c r="H12" s="24" t="str">
        <x:v>Perch-likes</x:v>
      </x:c>
      <x:c r="I12" s="31" t="n">
        <x:v>0.985311045</x:v>
      </x:c>
      <x:c r="J12" s="31" t="n">
        <x:v>0.985311045</x:v>
      </x:c>
      <x:c r="K12" s="31" t="n">
        <x:v>0</x:v>
      </x:c>
      <x:c r="L12" s="31" t="n">
        <x:v>0</x:v>
      </x:c>
      <x:c r="M12" s="31" t="n">
        <x:v>0.985311045</x:v>
      </x:c>
      <x:c r="N12" s="24" t="str">
        <x:v>gerreidae</x:v>
      </x:c>
      <x:c r="O12" s="32" t="n">
        <x:v>3.03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Gerreidae</x:v>
      </x:c>
      <x:c r="T12" s="32" t="n">
        <x:f>IF(O12="","",(1/'Metadata'!$B$5)^(O12-1))</x:f>
        <x:v>107.1519305237606</x:v>
      </x:c>
      <x:c r="U12" s="31" t="n">
        <x:f>IF(T12="","",I12*T12)</x:f>
        <x:v>105.57798063813395</x:v>
      </x:c>
    </x:row>
    <x:row r="13" ht="18" customHeight="1">
      <x:c r="A13" s="24" t="str">
        <x:v>EEZ_929</x:v>
      </x:c>
      <x:c r="B13" s="24" t="str">
        <x:v>Costa Rica (Caribbean)</x:v>
      </x:c>
      <x:c r="C13" s="24" t="str">
        <x:v>EEZ</x:v>
      </x:c>
      <x:c r="D13" s="30" t="n">
        <x:v>2019</x:v>
      </x:c>
      <x:c r="E13" s="24" t="str">
        <x:v>Katsuwonus pelamis</x:v>
      </x:c>
      <x:c r="F13" s="24" t="str">
        <x:v>Skipjack tuna</x:v>
      </x:c>
      <x:c r="G13" s="24" t="str">
        <x:v>Large pelagics (&gt;=90 cm)</x:v>
      </x:c>
      <x:c r="H13" s="24" t="str">
        <x:v>Tuna &amp; billfishes</x:v>
      </x:c>
      <x:c r="I13" s="31" t="n">
        <x:v>9.5e-9</x:v>
      </x:c>
      <x:c r="J13" s="31" t="n">
        <x:v>0</x:v>
      </x:c>
      <x:c r="K13" s="31" t="n">
        <x:v>9.5e-9</x:v>
      </x:c>
      <x:c r="L13" s="31" t="n">
        <x:v>0</x:v>
      </x:c>
      <x:c r="M13" s="31" t="n">
        <x:v>9.5e-9</x:v>
      </x:c>
      <x:c r="N13" s="24" t="str">
        <x:v>katsuwonus pelamis</x:v>
      </x:c>
      <x:c r="O13" s="32" t="n">
        <x:v>4.43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Katsuwonus pelamis</x:v>
      </x:c>
      <x:c r="T13" s="32" t="n">
        <x:f>IF(O13="","",(1/'Metadata'!$B$5)^(O13-1))</x:f>
        <x:v>2691.534803926914</x:v>
      </x:c>
      <x:c r="U13" s="31" t="n">
        <x:f>IF(T13="","",I13*T13)</x:f>
        <x:v>0.000025569580637305684</x:v>
      </x:c>
    </x:row>
    <x:row r="14" ht="18" customHeight="1">
      <x:c r="A14" s="24" t="str">
        <x:v>EEZ_929</x:v>
      </x:c>
      <x:c r="B14" s="24" t="str">
        <x:v>Costa Rica (Caribbean)</x:v>
      </x:c>
      <x:c r="C14" s="24" t="str">
        <x:v>EEZ</x:v>
      </x:c>
      <x:c r="D14" s="30" t="n">
        <x:v>2019</x:v>
      </x:c>
      <x:c r="E14" s="24" t="str">
        <x:v>Thunnus obesus</x:v>
      </x:c>
      <x:c r="F14" s="24" t="str">
        <x:v>Bigeye tuna</x:v>
      </x:c>
      <x:c r="G14" s="24" t="str">
        <x:v>Large pelagics (&gt;=90 cm)</x:v>
      </x:c>
      <x:c r="H14" s="24" t="str">
        <x:v>Tuna &amp; billfishes</x:v>
      </x:c>
      <x:c r="I14" s="31" t="n">
        <x:v>7e-10</x:v>
      </x:c>
      <x:c r="J14" s="31" t="n">
        <x:v>0</x:v>
      </x:c>
      <x:c r="K14" s="31" t="n">
        <x:v>7e-10</x:v>
      </x:c>
      <x:c r="L14" s="31" t="n">
        <x:v>0</x:v>
      </x:c>
      <x:c r="M14" s="31" t="n">
        <x:v>7e-10</x:v>
      </x:c>
      <x:c r="N14" s="24" t="str">
        <x:v>thunnus obesus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obesus</x:v>
      </x:c>
      <x:c r="T14" s="32" t="n">
        <x:f>IF(O14="","",(1/'Metadata'!$B$5)^(O14-1))</x:f>
        <x:v>3090.295432513592</x:v>
      </x:c>
      <x:c r="U14" s="31" t="n">
        <x:f>IF(T14="","",I14*T14)</x:f>
        <x:v>0.0000021632068027595143</x:v>
      </x:c>
    </x:row>
    <x:row r="15" ht="18" customHeight="1">
      <x:c r="A15" s="24" t="str">
        <x:v>EEZ_929</x:v>
      </x:c>
      <x:c r="B15" s="24" t="str">
        <x:v>Costa Rica (Caribbean)</x:v>
      </x:c>
      <x:c r="C15" s="24" t="str">
        <x:v>EEZ</x:v>
      </x:c>
      <x:c r="D15" s="30" t="n">
        <x:v>2019</x:v>
      </x:c>
      <x:c r="E15" s="24" t="str">
        <x:v>Thunnus albacares</x:v>
      </x:c>
      <x:c r="F15" s="24" t="str">
        <x:v>Yellowfin tuna</x:v>
      </x:c>
      <x:c r="G15" s="24" t="str">
        <x:v>Large pelagics (&gt;=90 cm)</x:v>
      </x:c>
      <x:c r="H15" s="24" t="str">
        <x:v>Tuna &amp; billfishes</x:v>
      </x:c>
      <x:c r="I15" s="31" t="n">
        <x:v>4e-10</x:v>
      </x:c>
      <x:c r="J15" s="31" t="n">
        <x:v>0</x:v>
      </x:c>
      <x:c r="K15" s="31" t="n">
        <x:v>4e-10</x:v>
      </x:c>
      <x:c r="L15" s="31" t="n">
        <x:v>0</x:v>
      </x:c>
      <x:c r="M15" s="31" t="n">
        <x:v>4e-10</x:v>
      </x:c>
      <x:c r="N15" s="24" t="str">
        <x:v>thunnus albacares</x:v>
      </x:c>
      <x:c r="O15" s="32" t="n">
        <x:v>4.41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albacares</x:v>
      </x:c>
      <x:c r="T15" s="32" t="n">
        <x:f>IF(O15="","",(1/'Metadata'!$B$5)^(O15-1))</x:f>
        <x:v>2570.3957827688646</x:v>
      </x:c>
      <x:c r="U15" s="31" t="n">
        <x:f>IF(T15="","",I15*T15)</x:f>
        <x:v>0.000001028158313107546</x:v>
      </x:c>
    </x:row>
  </x:sheetData>
  <x:conditionalFormatting sqref="R2:R1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be3dc36248d4de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Molluscs</x:v>
      </x:c>
      <x:c r="B2" s="31" t="n">
        <x:v>2.236600403</x:v>
      </x:c>
      <x:c r="C2" s="32" t="n">
        <x:v>2.03</x:v>
      </x:c>
      <x:c r="D2" s="32" t="n">
        <x:f>IF(C2="","",(1/'Metadata'!$B$5)^(C2-1))</x:f>
        <x:v>10.71519305237606</x:v>
      </x:c>
      <x:c r="E2" s="31" t="n">
        <x:f>IF(B2=0,"",B2*D2)</x:f>
        <x:v>23.9656050991671</x:v>
      </x:c>
    </x:row>
    <x:row r="3" ht="18" customHeight="1">
      <x:c r="A3" s="24" t="str">
        <x:v>Other fishes &amp; inverts</x:v>
      </x:c>
      <x:c r="B3" s="31" t="n">
        <x:v>16.2382152815</x:v>
      </x:c>
      <x:c r="C3" s="32" t="n">
        <x:v>3.28</x:v>
      </x:c>
      <x:c r="D3" s="32" t="n">
        <x:f>IF(C3="","",(1/'Metadata'!$B$5)^(C3-1))</x:f>
        <x:v>190.54607179632464</x:v>
      </x:c>
      <x:c r="E3" s="31" t="n">
        <x:f>IF(B3=0,"",B3*D3)</x:f>
        <x:v>3094.128134872875</x:v>
      </x:c>
    </x:row>
    <x:row r="4" ht="18" customHeight="1">
      <x:c r="A4" s="24" t="str">
        <x:v>Perch-likes</x:v>
      </x:c>
      <x:c r="B4" s="31" t="n">
        <x:v>349.54200238199996</x:v>
      </x:c>
      <x:c r="C4" s="32" t="n">
        <x:v>4.2298464981486505</x:v>
      </x:c>
      <x:c r="D4" s="32" t="n">
        <x:f>IF(C4="","",(1/'Metadata'!$B$5)^(C4-1))</x:f>
        <x:v>1697.643512484048</x:v>
      </x:c>
      <x:c r="E4" s="31" t="n">
        <x:f>IF(B4=0,"",B4*D4)</x:f>
        <x:v>593397.7126844858</x:v>
      </x:c>
    </x:row>
    <x:row r="5" ht="18" customHeight="1">
      <x:c r="A5" s="24" t="str">
        <x:v>Sharks &amp; rays</x:v>
      </x:c>
      <x:c r="B5" s="31" t="n">
        <x:v>205.0006827139</x:v>
      </x:c>
      <x:c r="C5" s="32" t="n">
        <x:v>4.3192673959385655</x:v>
      </x:c>
      <x:c r="D5" s="32" t="n">
        <x:f>IF(C5="","",(1/'Metadata'!$B$5)^(C5-1))</x:f>
        <x:v>2085.7747032835637</x:v>
      </x:c>
      <x:c r="E5" s="31" t="n">
        <x:f>IF(B5=0,"",B5*D5)</x:f>
        <x:v>427585.23816051276</x:v>
      </x:c>
    </x:row>
    <x:row r="6" ht="18" customHeight="1">
      <x:c r="A6" s="24" t="str">
        <x:v>Tuna &amp; billfishes</x:v>
      </x:c>
      <x:c r="B6" s="31" t="n">
        <x:v>28.545454555599996</x:v>
      </x:c>
      <x:c r="C6" s="32" t="n">
        <x:v>4.529999999964057</x:v>
      </x:c>
      <x:c r="D6" s="32" t="n">
        <x:f>IF(C6="","",(1/'Metadata'!$B$5)^(C6-1))</x:f>
        <x:v>3388.4415611115883</x:v>
      </x:c>
      <x:c r="E6" s="31" t="n">
        <x:f>IF(B6=0,"",B6*D6)</x:f>
        <x:v>96724.60459701715</x:v>
      </x:c>
    </x:row>
  </x:sheetData>
  <x:pageMargins left="0.7" right="0.7" top="0.75" bottom="0.75" header="0.3" footer="0.3"/>
  <x:tableParts count="1">
    <x:tablePart xmlns:r="http://schemas.openxmlformats.org/officeDocument/2006/relationships" r:id="Rdf15e9ba11244f5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133.5454545556</x:v>
      </x:c>
      <x:c r="C2" s="32" t="n">
        <x:v>4.404200136148914</x:v>
      </x:c>
      <x:c r="D2" s="32" t="n">
        <x:f>IF(C2="","",(1/'Metadata'!$B$5)^(C2-1))</x:f>
        <x:v>2536.2971643527167</x:v>
      </x:c>
      <x:c r="E2" s="31" t="n">
        <x:f>IF(B2=0,"",B2*D2)</x:f>
        <x:v>338710.95770156285</x:v>
      </x:c>
    </x:row>
    <x:row r="3" ht="18" customHeight="1">
      <x:c r="A3" s="24" t="str">
        <x:v>Large sharks (&gt;=90 cm)</x:v>
      </x:c>
      <x:c r="B3" s="31" t="n">
        <x:v>205.0006827139</x:v>
      </x:c>
      <x:c r="C3" s="32" t="n">
        <x:v>4.3192673959385655</x:v>
      </x:c>
      <x:c r="D3" s="32" t="n">
        <x:f>IF(C3="","",(1/'Metadata'!$B$5)^(C3-1))</x:f>
        <x:v>2085.7747032835637</x:v>
      </x:c>
      <x:c r="E3" s="31" t="n">
        <x:f>IF(B3=0,"",B3*D3)</x:f>
        <x:v>427585.23816051276</x:v>
      </x:c>
    </x:row>
    <x:row r="4" ht="18" customHeight="1">
      <x:c r="A4" s="24" t="str">
        <x:v>Medium demersals (30 - 89 cm)</x:v>
      </x:c>
      <x:c r="B4" s="31" t="n">
        <x:v>17.3877448335</x:v>
      </x:c>
      <x:c r="C4" s="32" t="n">
        <x:v>3.285288918433103</x:v>
      </x:c>
      <x:c r="D4" s="32" t="n">
        <x:f>IF(C4="","",(1/'Metadata'!$B$5)^(C4-1))</x:f>
        <x:v>192.8807643648242</x:v>
      </x:c>
      <x:c r="E4" s="31" t="n">
        <x:f>IF(B4=0,"",B4*D4)</x:f>
        <x:v>3353.7615140660027</x:v>
      </x:c>
    </x:row>
    <x:row r="5" ht="18" customHeight="1">
      <x:c r="A5" s="24" t="str">
        <x:v>Medium pelagics (30 - 89 cm)</x:v>
      </x:c>
      <x:c r="B5" s="31" t="n">
        <x:v>159.99999999</x:v>
      </x:c>
      <x:c r="C5" s="32" t="n">
        <x:v>4.26</x:v>
      </x:c>
      <x:c r="D5" s="32" t="n">
        <x:f>IF(C5="","",(1/'Metadata'!$B$5)^(C5-1))</x:f>
        <x:v>1819.7008586099826</x:v>
      </x:c>
      <x:c r="E5" s="31" t="n">
        <x:f>IF(B5=0,"",B5*D5)</x:f>
        <x:v>291152.13735940016</x:v>
      </x:c>
    </x:row>
    <x:row r="6" ht="18" customHeight="1">
      <x:c r="A6" s="24" t="str">
        <x:v>Medium reef assoc. fish (30 - 89 cm)</x:v>
      </x:c>
      <x:c r="B6" s="31" t="n">
        <x:v>82.407161795</x:v>
      </x:c>
      <x:c r="C6" s="32" t="n">
        <x:v>4.019202892059753</x:v>
      </x:c>
      <x:c r="D6" s="32" t="n">
        <x:f>IF(C6="","",(1/'Metadata'!$B$5)^(C6-1))</x:f>
        <x:v>1045.2084017013435</x:v>
      </x:c>
      <x:c r="E6" s="31" t="n">
        <x:f>IF(B6=0,"",B6*D6)</x:f>
        <x:v>86132.65786849597</x:v>
      </x:c>
    </x:row>
    <x:row r="7" ht="18" customHeight="1">
      <x:c r="A7" s="24" t="str">
        <x:v>Other demersal invertebrates</x:v>
      </x:c>
      <x:c r="B7" s="31" t="n">
        <x:v>2.236600403</x:v>
      </x:c>
      <x:c r="C7" s="32" t="n">
        <x:v>2.03</x:v>
      </x:c>
      <x:c r="D7" s="32" t="n">
        <x:f>IF(C7="","",(1/'Metadata'!$B$5)^(C7-1))</x:f>
        <x:v>10.71519305237606</x:v>
      </x:c>
      <x:c r="E7" s="31" t="n">
        <x:f>IF(B7=0,"",B7*D7)</x:f>
        <x:v>23.9656050991671</x:v>
      </x:c>
    </x:row>
    <x:row r="8" ht="18" customHeight="1">
      <x:c r="A8" s="24" t="str">
        <x:v>Small benthopelagics (&lt;30 cm)</x:v>
      </x:c>
      <x:c r="B8" s="31" t="n">
        <x:v>0.985311045</x:v>
      </x:c>
      <x:c r="C8" s="32" t="n">
        <x:v>3.03</x:v>
      </x:c>
      <x:c r="D8" s="32" t="n">
        <x:f>IF(C8="","",(1/'Metadata'!$B$5)^(C8-1))</x:f>
        <x:v>107.1519305237606</x:v>
      </x:c>
      <x:c r="E8" s="31" t="n">
        <x:f>IF(B8=0,"",B8*D8)</x:f>
        <x:v>105.57798063813395</x:v>
      </x:c>
    </x:row>
  </x:sheetData>
  <x:pageMargins left="0.7" right="0.7" top="0.75" bottom="0.75" header="0.3" footer="0.3"/>
  <x:tableParts count="1">
    <x:tablePart xmlns:r="http://schemas.openxmlformats.org/officeDocument/2006/relationships" r:id="R0e1c5771a78549b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EEZ_929</x:v>
      </x:c>
      <x:c r="B2" s="24" t="str">
        <x:v>raw_filtered_tonnes</x:v>
      </x:c>
      <x:c r="C2" s="24" t="n">
        <x:v>601.562955336</x:v>
      </x:c>
      <x:c r="D2" s="24" t="str">
        <x:v>tonnes</x:v>
      </x:c>
    </x:row>
    <x:row r="3" ht="18" customHeight="1">
      <x:c r="A3" s="24" t="str">
        <x:v>EEZ_929</x:v>
      </x:c>
      <x:c r="B3" s="24" t="str">
        <x:v>species_catch_tonnes</x:v>
      </x:c>
      <x:c r="C3" s="24" t="n">
        <x:v>601.562955336</x:v>
      </x:c>
      <x:c r="D3" s="24" t="str">
        <x:v>tonnes</x:v>
      </x:c>
    </x:row>
    <x:row r="4" ht="18" customHeight="1">
      <x:c r="A4" s="24" t="str">
        <x:v>EEZ_929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EEZ_929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EEZ_929</x:v>
      </x:c>
      <x:c r="B6" s="24" t="str">
        <x:v>matched_catch_tonnes</x:v>
      </x:c>
      <x:c r="C6" s="24" t="n">
        <x:v>601.562955336</x:v>
      </x:c>
      <x:c r="D6" s="24" t="str">
        <x:v>tonnes</x:v>
      </x:c>
    </x:row>
    <x:row r="7" ht="18" customHeight="1">
      <x:c r="A7" s="24" t="str">
        <x:v>EEZ_929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EEZ_929</x:v>
      </x:c>
      <x:c r="B8" s="24" t="str">
        <x:v>taxa_count</x:v>
      </x:c>
      <x:c r="C8" s="24" t="n">
        <x:v>14</x:v>
      </x:c>
      <x:c r="D8" s="24" t="str">
        <x:v>count</x:v>
      </x:c>
    </x:row>
    <x:row r="9" ht="18" customHeight="1">
      <x:c r="A9" s="24" t="str">
        <x:v>EEZ_929</x:v>
      </x:c>
      <x:c r="B9" s="24" t="str">
        <x:v>matched_taxa_count</x:v>
      </x:c>
      <x:c r="C9" s="24" t="n">
        <x:v>14</x:v>
      </x:c>
      <x:c r="D9" s="24" t="str">
        <x:v>count</x:v>
      </x:c>
    </x:row>
    <x:row r="10" ht="18" customHeight="1">
      <x:c r="A10" s="24" t="str">
        <x:v>EEZ_929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EEZ_929</x:v>
      </x:c>
      <x:c r="B11" s="24" t="str">
        <x:v>species_ppr</x:v>
      </x:c>
      <x:c r="C11" s="24" t="n">
        <x:v>1207332.0916196196</x:v>
      </x:c>
      <x:c r="D11" s="24" t="str">
        <x:v>tonnes_primary_production_equivalent</x:v>
      </x:c>
    </x:row>
    <x:row r="12" ht="18" customHeight="1">
      <x:c r="A12" s="24" t="str">
        <x:v>EEZ_929</x:v>
      </x:c>
      <x:c r="B12" s="24" t="str">
        <x:v>commercial_ppr</x:v>
      </x:c>
      <x:c r="C12" s="24" t="n">
        <x:v>1120825.6491819876</x:v>
      </x:c>
      <x:c r="D12" s="24" t="str">
        <x:v>tonnes_primary_production_equivalent</x:v>
      </x:c>
    </x:row>
    <x:row r="13" ht="18" customHeight="1">
      <x:c r="A13" s="24" t="str">
        <x:v>EEZ_929</x:v>
      </x:c>
      <x:c r="B13" s="24" t="str">
        <x:v>functional_ppr</x:v>
      </x:c>
      <x:c r="C13" s="24" t="n">
        <x:v>1147064.2961897752</x:v>
      </x:c>
      <x:c r="D13" s="24" t="str">
        <x:v>tonnes_primary_production_equivalent</x:v>
      </x:c>
    </x:row>
    <x:row r="14" ht="18" customHeight="1">
      <x:c r="A14" s="24" t="str">
        <x:v>EEZ_929</x:v>
      </x:c>
      <x:c r="B14" s="24" t="str">
        <x:v>commercial_ppr_difference</x:v>
      </x:c>
      <x:c r="C14" s="24" t="n">
        <x:v>-86506.44243763201</x:v>
      </x:c>
      <x:c r="D14" s="24" t="str">
        <x:v>tonnes_primary_production_equivalent</x:v>
      </x:c>
    </x:row>
    <x:row r="15" ht="18" customHeight="1">
      <x:c r="A15" s="24" t="str">
        <x:v>EEZ_929</x:v>
      </x:c>
      <x:c r="B15" s="24" t="str">
        <x:v>functional_ppr_difference</x:v>
      </x:c>
      <x:c r="C15" s="24" t="n">
        <x:v>-60267.79542984441</x:v>
      </x:c>
      <x:c r="D15" s="24" t="str">
        <x:v>tonnes_primary_production_equivalent</x:v>
      </x:c>
    </x:row>
    <x:row r="16" ht="18" customHeight="1">
      <x:c r="A16" s="24" t="str">
        <x:v>EEZ_929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EEZ_929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b02de47b81749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EEZ_929 - Costa Rica (Caribbean)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