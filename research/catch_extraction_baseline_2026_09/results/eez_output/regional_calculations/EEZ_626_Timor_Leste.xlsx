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6bfadb14bd45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6039cbb349af4c37"/>
    <x:sheet xmlns:r="http://schemas.openxmlformats.org/officeDocument/2006/relationships" name="Commercial" sheetId="2" r:id="R935f1e49d1cf491f"/>
    <x:sheet xmlns:r="http://schemas.openxmlformats.org/officeDocument/2006/relationships" name="Functional" sheetId="3" r:id="R2d9268117fff4f65"/>
    <x:sheet xmlns:r="http://schemas.openxmlformats.org/officeDocument/2006/relationships" name="Missing TL" sheetId="4" r:id="R92f8ac13a7204cad"/>
    <x:sheet xmlns:r="http://schemas.openxmlformats.org/officeDocument/2006/relationships" name="Validation" sheetId="5" r:id="Rf29d33a4d8c64898"/>
    <x:sheet xmlns:r="http://schemas.openxmlformats.org/officeDocument/2006/relationships" name="Metadata" sheetId="6" r:id="Re39f665eff3d4d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f7ef37bf7e4904" /><Relationship Type="http://schemas.openxmlformats.org/officeDocument/2006/relationships/theme" Target="/xl/theme/theme1.xml" Id="R3ffa096fa2df4c53" /><Relationship Type="http://schemas.microsoft.com/office/2022/11/relationships/FeaturePropertyBag" Target="/xl/featurePropertyBag/featurePropertyBag.xml" Id="Reb450f51bf204138" /><Relationship Type="http://schemas.openxmlformats.org/officeDocument/2006/relationships/sharedStrings" Target="/xl/sharedStrings.xml" Id="R2c04277455564b4e" /><Relationship Type="http://schemas.openxmlformats.org/officeDocument/2006/relationships/worksheet" Target="/xl/worksheets/sheet1.xml" Id="R6039cbb349af4c37" /><Relationship Type="http://schemas.openxmlformats.org/officeDocument/2006/relationships/worksheet" Target="/xl/worksheets/sheet2.xml" Id="R935f1e49d1cf491f" /><Relationship Type="http://schemas.openxmlformats.org/officeDocument/2006/relationships/worksheet" Target="/xl/worksheets/sheet3.xml" Id="R2d9268117fff4f65" /><Relationship Type="http://schemas.openxmlformats.org/officeDocument/2006/relationships/worksheet" Target="/xl/worksheets/sheet4.xml" Id="R92f8ac13a7204cad" /><Relationship Type="http://schemas.openxmlformats.org/officeDocument/2006/relationships/worksheet" Target="/xl/worksheets/sheet5.xml" Id="Rf29d33a4d8c64898" /><Relationship Type="http://schemas.openxmlformats.org/officeDocument/2006/relationships/worksheet" Target="/xl/worksheets/sheet6.xml" Id="Re39f665eff3d4d9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626SpeciesTable" displayName="EEZ626SpeciesTable" ref="A1:U29" headerRowCount="1" totalsRowCount="0" totalsRowShown="0">
  <x:autoFilter ref="A1:U29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626CommercialTable" displayName="EEZ626CommercialTable" ref="A1:E7" headerRowCount="1" totalsRowCount="0" totalsRowShown="0">
  <x:autoFilter ref="A1:E7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626FunctionalTable" displayName="EEZ626FunctionalTable" ref="A1:E11" headerRowCount="1" totalsRowCount="0" totalsRowShown="0">
  <x:autoFilter ref="A1:E11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626ValidationTable" displayName="EEZ626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a681ece640d448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9ba759663e54a3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41a03034653434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be31f9d81c44dc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EEZ_626</x:v>
      </x:c>
      <x:c r="B2" s="24" t="str">
        <x:v>Timor Leste</x:v>
      </x:c>
      <x:c r="C2" s="24" t="str">
        <x:v>EEZ</x:v>
      </x:c>
      <x:c r="D2" s="30" t="n">
        <x:v>2019</x:v>
      </x:c>
      <x:c r="E2" s="24" t="str">
        <x:v>Scombroidei</x:v>
      </x:c>
      <x:c r="F2" s="24" t="str">
        <x:v>Tunas, bonitos, billfishes</x:v>
      </x:c>
      <x:c r="G2" s="24" t="str">
        <x:v>Large pelagics (&gt;=90 cm)</x:v>
      </x:c>
      <x:c r="H2" s="24" t="str">
        <x:v>Tuna &amp; billfishes</x:v>
      </x:c>
      <x:c r="I2" s="31" t="n">
        <x:v>1825.72719407</x:v>
      </x:c>
      <x:c r="J2" s="31" t="n">
        <x:v>1825.72719407</x:v>
      </x:c>
      <x:c r="K2" s="31" t="n">
        <x:v>0</x:v>
      </x:c>
      <x:c r="L2" s="31" t="n">
        <x:v>864.38400367</x:v>
      </x:c>
      <x:c r="M2" s="31" t="n">
        <x:v>961.3431904</x:v>
      </x:c>
      <x:c r="N2" s="24" t="str">
        <x:v>scombroidei</x:v>
      </x:c>
      <x:c r="O2" s="32" t="n">
        <x:v>4.2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Scombroidei</x:v>
      </x:c>
      <x:c r="T2" s="32" t="n">
        <x:f>IF(O2="","",(1/'Metadata'!$B$5)^(O2-1))</x:f>
        <x:v>1584.893192461114</x:v>
      </x:c>
      <x:c r="U2" s="31" t="n">
        <x:f>IF(T2="","",I2*T2)</x:f>
        <x:v>2893582.601172674</x:v>
      </x:c>
    </x:row>
    <x:row r="3" ht="18" customHeight="1">
      <x:c r="A3" s="24" t="str">
        <x:v>EEZ_626</x:v>
      </x:c>
      <x:c r="B3" s="24" t="str">
        <x:v>Timor Leste</x:v>
      </x:c>
      <x:c r="C3" s="24" t="str">
        <x:v>EEZ</x:v>
      </x:c>
      <x:c r="D3" s="30" t="n">
        <x:v>2019</x:v>
      </x:c>
      <x:c r="E3" s="24" t="str">
        <x:v>Lutjanidae</x:v>
      </x:c>
      <x:c r="F3" s="24" t="str">
        <x:v>Snappers</x:v>
      </x:c>
      <x:c r="G3" s="24" t="str">
        <x:v>Medium reef assoc. fish (30 - 89 cm)</x:v>
      </x:c>
      <x:c r="H3" s="24" t="str">
        <x:v>Perch-likes</x:v>
      </x:c>
      <x:c r="I3" s="31" t="n">
        <x:v>705.87639368</x:v>
      </x:c>
      <x:c r="J3" s="31" t="n">
        <x:v>705.87639368</x:v>
      </x:c>
      <x:c r="K3" s="31" t="n">
        <x:v>0</x:v>
      </x:c>
      <x:c r="L3" s="31" t="n">
        <x:v>334.19465148</x:v>
      </x:c>
      <x:c r="M3" s="31" t="n">
        <x:v>371.6817422</x:v>
      </x:c>
      <x:c r="N3" s="24" t="str">
        <x:v>lutjanidae</x:v>
      </x:c>
      <x:c r="O3" s="32" t="n">
        <x:v>4.02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Lutjanidae</x:v>
      </x:c>
      <x:c r="T3" s="32" t="n">
        <x:f>IF(O3="","",(1/'Metadata'!$B$5)^(O3-1))</x:f>
        <x:v>1047.1285480508984</x:v>
      </x:c>
      <x:c r="U3" s="31" t="n">
        <x:f>IF(T3="","",I3*T3)</x:f>
        <x:v>739143.3232175427</x:v>
      </x:c>
    </x:row>
    <x:row r="4" ht="18" customHeight="1">
      <x:c r="A4" s="24" t="str">
        <x:v>EEZ_626</x:v>
      </x:c>
      <x:c r="B4" s="24" t="str">
        <x:v>Timor Leste</x:v>
      </x:c>
      <x:c r="C4" s="24" t="str">
        <x:v>EEZ</x:v>
      </x:c>
      <x:c r="D4" s="30" t="n">
        <x:v>2019</x:v>
      </x:c>
      <x:c r="E4" s="24" t="str">
        <x:v>Caesionidae</x:v>
      </x:c>
      <x:c r="F4" s="24" t="str">
        <x:v>Fusiliers</x:v>
      </x:c>
      <x:c r="G4" s="24" t="str">
        <x:v>Medium reef assoc. fish (30 - 89 cm)</x:v>
      </x:c>
      <x:c r="H4" s="24" t="str">
        <x:v>Perch-likes</x:v>
      </x:c>
      <x:c r="I4" s="31" t="n">
        <x:v>679.73282352</x:v>
      </x:c>
      <x:c r="J4" s="31" t="n">
        <x:v>679.73282352</x:v>
      </x:c>
      <x:c r="K4" s="31" t="n">
        <x:v>0</x:v>
      </x:c>
      <x:c r="L4" s="31" t="n">
        <x:v>321.81707182</x:v>
      </x:c>
      <x:c r="M4" s="31" t="n">
        <x:v>357.9157517</x:v>
      </x:c>
      <x:c r="N4" s="24" t="str">
        <x:v>caesionidae</x:v>
      </x:c>
      <x:c r="O4" s="32" t="n">
        <x:v>3.39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Caesionidae</x:v>
      </x:c>
      <x:c r="T4" s="32" t="n">
        <x:f>IF(O4="","",(1/'Metadata'!$B$5)^(O4-1))</x:f>
        <x:v>245.4708915685031</x:v>
      </x:c>
      <x:c r="U4" s="31" t="n">
        <x:f>IF(T4="","",I4*T4)</x:f>
        <x:v>166854.6222178304</x:v>
      </x:c>
    </x:row>
    <x:row r="5" ht="18" customHeight="1">
      <x:c r="A5" s="24" t="str">
        <x:v>EEZ_626</x:v>
      </x:c>
      <x:c r="B5" s="24" t="str">
        <x:v>Timor Leste</x:v>
      </x:c>
      <x:c r="C5" s="24" t="str">
        <x:v>EEZ</x:v>
      </x:c>
      <x:c r="D5" s="30" t="n">
        <x:v>2019</x:v>
      </x:c>
      <x:c r="E5" s="24" t="str">
        <x:v>Acanthurus xanthopterus</x:v>
      </x:c>
      <x:c r="F5" s="24" t="str">
        <x:v>Yellowfin surgeonfish</x:v>
      </x:c>
      <x:c r="G5" s="24" t="str">
        <x:v>Medium reef assoc. fish (30 - 89 cm)</x:v>
      </x:c>
      <x:c r="H5" s="24" t="str">
        <x:v>Perch-likes</x:v>
      </x:c>
      <x:c r="I5" s="31" t="n">
        <x:v>529.40729533</x:v>
      </x:c>
      <x:c r="J5" s="31" t="n">
        <x:v>529.40729533</x:v>
      </x:c>
      <x:c r="K5" s="31" t="n">
        <x:v>0</x:v>
      </x:c>
      <x:c r="L5" s="31" t="n">
        <x:v>250.64598863</x:v>
      </x:c>
      <x:c r="M5" s="31" t="n">
        <x:v>278.7613067</x:v>
      </x:c>
      <x:c r="N5" s="24" t="str">
        <x:v>acanthurus xanthopterus</x:v>
      </x:c>
      <x:c r="O5" s="32" t="n">
        <x:v>2.87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Acanthurus xanthopterus</x:v>
      </x:c>
      <x:c r="T5" s="32" t="n">
        <x:f>IF(O5="","",(1/'Metadata'!$B$5)^(O5-1))</x:f>
        <x:v>74.13102413009177</x:v>
      </x:c>
      <x:c r="U5" s="31" t="n">
        <x:f>IF(T5="","",I5*T5)</x:f>
        <x:v>39245.50498475485</x:v>
      </x:c>
    </x:row>
    <x:row r="6" ht="18" customHeight="1">
      <x:c r="A6" s="24" t="str">
        <x:v>EEZ_626</x:v>
      </x:c>
      <x:c r="B6" s="24" t="str">
        <x:v>Timor Leste</x:v>
      </x:c>
      <x:c r="C6" s="24" t="str">
        <x:v>EEZ</x:v>
      </x:c>
      <x:c r="D6" s="30" t="n">
        <x:v>2019</x:v>
      </x:c>
      <x:c r="E6" s="24" t="str">
        <x:v>Katsuwonus pelamis</x:v>
      </x:c>
      <x:c r="F6" s="24" t="str">
        <x:v>Skipjack tuna</x:v>
      </x:c>
      <x:c r="G6" s="24" t="str">
        <x:v>Large pelagics (&gt;=90 cm)</x:v>
      </x:c>
      <x:c r="H6" s="24" t="str">
        <x:v>Tuna &amp; billfishes</x:v>
      </x:c>
      <x:c r="I6" s="31" t="n">
        <x:v>515.18044578</x:v>
      </x:c>
      <x:c r="J6" s="31" t="n">
        <x:v>515.18044578</x:v>
      </x:c>
      <x:c r="K6" s="31" t="n">
        <x:v>0</x:v>
      </x:c>
      <x:c r="L6" s="31" t="n">
        <x:v>243.91033768</x:v>
      </x:c>
      <x:c r="M6" s="31" t="n">
        <x:v>271.2701081</x:v>
      </x:c>
      <x:c r="N6" s="24" t="str">
        <x:v>katsuwonus pelamis</x:v>
      </x:c>
      <x:c r="O6" s="32" t="n">
        <x:v>4.43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Katsuwonus pelamis</x:v>
      </x:c>
      <x:c r="T6" s="32" t="n">
        <x:f>IF(O6="","",(1/'Metadata'!$B$5)^(O6-1))</x:f>
        <x:v>2691.534803926914</x:v>
      </x:c>
      <x:c r="U6" s="31" t="n">
        <x:f>IF(T6="","",I6*T6)</x:f>
        <x:v>1386626.1001194525</x:v>
      </x:c>
    </x:row>
    <x:row r="7" ht="18" customHeight="1">
      <x:c r="A7" s="24" t="str">
        <x:v>EEZ_626</x:v>
      </x:c>
      <x:c r="B7" s="24" t="str">
        <x:v>Timor Leste</x:v>
      </x:c>
      <x:c r="C7" s="24" t="str">
        <x:v>EEZ</x:v>
      </x:c>
      <x:c r="D7" s="30" t="n">
        <x:v>2019</x:v>
      </x:c>
      <x:c r="E7" s="24" t="str">
        <x:v>Marine fishes not identified</x:v>
      </x:c>
      <x:c r="F7" s="24" t="str">
        <x:v>Marine fishes nei</x:v>
      </x:c>
      <x:c r="G7" s="24" t="str">
        <x:v>Medium demersals (30 - 89 cm)</x:v>
      </x:c>
      <x:c r="H7" s="24" t="str">
        <x:v>Other fishes &amp; inverts</x:v>
      </x:c>
      <x:c r="I7" s="31" t="n">
        <x:v>414.4826029391</x:v>
      </x:c>
      <x:c r="J7" s="31" t="n">
        <x:v>414.4742012575</x:v>
      </x:c>
      <x:c r="K7" s="31" t="n">
        <x:v>0.0084016816</x:v>
      </x:c>
      <x:c r="L7" s="31" t="n">
        <x:v>204.2664708675</x:v>
      </x:c>
      <x:c r="M7" s="31" t="n">
        <x:v>210.2161320716</x:v>
      </x:c>
      <x:c r="N7" s="24" t="str">
        <x:v>marine fishes not identified</x:v>
      </x:c>
      <x:c r="O7" s="32" t="n">
        <x:v>3.28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Marine fishes not identified</x:v>
      </x:c>
      <x:c r="T7" s="32" t="n">
        <x:f>IF(O7="","",(1/'Metadata'!$B$5)^(O7-1))</x:f>
        <x:v>190.54607179632464</x:v>
      </x:c>
      <x:c r="U7" s="31" t="n">
        <x:f>IF(T7="","",I7*T7)</x:f>
        <x:v>78978.03181796127</x:v>
      </x:c>
    </x:row>
    <x:row r="8" ht="18" customHeight="1">
      <x:c r="A8" s="24" t="str">
        <x:v>EEZ_626</x:v>
      </x:c>
      <x:c r="B8" s="24" t="str">
        <x:v>Timor Leste</x:v>
      </x:c>
      <x:c r="C8" s="24" t="str">
        <x:v>EEZ</x:v>
      </x:c>
      <x:c r="D8" s="30" t="n">
        <x:v>2019</x:v>
      </x:c>
      <x:c r="E8" s="24" t="str">
        <x:v>Hemiramphus</x:v>
      </x:c>
      <x:c r="F8" s="24" t="str">
        <x:v>Halfbeaks</x:v>
      </x:c>
      <x:c r="G8" s="24" t="str">
        <x:v>Medium pelagics (30 - 89 cm)</x:v>
      </x:c>
      <x:c r="H8" s="24" t="str">
        <x:v>Other fishes &amp; inverts</x:v>
      </x:c>
      <x:c r="I8" s="31" t="n">
        <x:v>352.938196861</x:v>
      </x:c>
      <x:c r="J8" s="31" t="n">
        <x:v>352.938196861</x:v>
      </x:c>
      <x:c r="K8" s="31" t="n">
        <x:v>0</x:v>
      </x:c>
      <x:c r="L8" s="31" t="n">
        <x:v>167.097325761</x:v>
      </x:c>
      <x:c r="M8" s="31" t="n">
        <x:v>185.8408711</x:v>
      </x:c>
      <x:c r="N8" s="24" t="str">
        <x:v>hemiramphus</x:v>
      </x:c>
      <x:c r="O8" s="32" t="n">
        <x:v>3.05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Hemiramphus</x:v>
      </x:c>
      <x:c r="T8" s="32" t="n">
        <x:f>IF(O8="","",(1/'Metadata'!$B$5)^(O8-1))</x:f>
        <x:v>112.2018454301963</x:v>
      </x:c>
      <x:c r="U8" s="31" t="n">
        <x:f>IF(T8="","",I8*T8)</x:f>
        <x:v>39600.31701061012</x:v>
      </x:c>
    </x:row>
    <x:row r="9" ht="18" customHeight="1">
      <x:c r="A9" s="24" t="str">
        <x:v>EEZ_626</x:v>
      </x:c>
      <x:c r="B9" s="24" t="str">
        <x:v>Timor Leste</x:v>
      </x:c>
      <x:c r="C9" s="24" t="str">
        <x:v>EEZ</x:v>
      </x:c>
      <x:c r="D9" s="30" t="n">
        <x:v>2019</x:v>
      </x:c>
      <x:c r="E9" s="24" t="str">
        <x:v>Rastrelliger kanagurta</x:v>
      </x:c>
      <x:c r="F9" s="24" t="str">
        <x:v>Indian mackerel</x:v>
      </x:c>
      <x:c r="G9" s="24" t="str">
        <x:v>Medium pelagics (30 - 89 cm)</x:v>
      </x:c>
      <x:c r="H9" s="24" t="str">
        <x:v>Perch-likes</x:v>
      </x:c>
      <x:c r="I9" s="31" t="n">
        <x:v>323.5266804</x:v>
      </x:c>
      <x:c r="J9" s="31" t="n">
        <x:v>323.5266804</x:v>
      </x:c>
      <x:c r="K9" s="31" t="n">
        <x:v>0</x:v>
      </x:c>
      <x:c r="L9" s="31" t="n">
        <x:v>153.1725486</x:v>
      </x:c>
      <x:c r="M9" s="31" t="n">
        <x:v>170.3541318</x:v>
      </x:c>
      <x:c r="N9" s="24" t="str">
        <x:v>rastrelliger kanagurta</x:v>
      </x:c>
      <x:c r="O9" s="32" t="n">
        <x:v>3.19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Rastrelliger kanagurta</x:v>
      </x:c>
      <x:c r="T9" s="32" t="n">
        <x:f>IF(O9="","",(1/'Metadata'!$B$5)^(O9-1))</x:f>
        <x:v>154.88166189124811</x:v>
      </x:c>
      <x:c r="U9" s="31" t="n">
        <x:f>IF(T9="","",I9*T9)</x:f>
        <x:v>50108.34992651069</x:v>
      </x:c>
    </x:row>
    <x:row r="10" ht="18" customHeight="1">
      <x:c r="A10" s="24" t="str">
        <x:v>EEZ_626</x:v>
      </x:c>
      <x:c r="B10" s="24" t="str">
        <x:v>Timor Leste</x:v>
      </x:c>
      <x:c r="C10" s="24" t="str">
        <x:v>EEZ</x:v>
      </x:c>
      <x:c r="D10" s="30" t="n">
        <x:v>2019</x:v>
      </x:c>
      <x:c r="E10" s="24" t="str">
        <x:v>Sardinella fimbriata</x:v>
      </x:c>
      <x:c r="F10" s="24" t="str">
        <x:v>Fringescale sardinella</x:v>
      </x:c>
      <x:c r="G10" s="24" t="str">
        <x:v>Small pelagics (&lt;30 cm)</x:v>
      </x:c>
      <x:c r="H10" s="24" t="str">
        <x:v>Herring-likes</x:v>
      </x:c>
      <x:c r="I10" s="31" t="n">
        <x:v>176.46909842</x:v>
      </x:c>
      <x:c r="J10" s="31" t="n">
        <x:v>176.46909842</x:v>
      </x:c>
      <x:c r="K10" s="31" t="n">
        <x:v>0</x:v>
      </x:c>
      <x:c r="L10" s="31" t="n">
        <x:v>83.54866287</x:v>
      </x:c>
      <x:c r="M10" s="31" t="n">
        <x:v>92.92043555</x:v>
      </x:c>
      <x:c r="N10" s="24" t="str">
        <x:v>sardinella fimbriata</x:v>
      </x:c>
      <x:c r="O10" s="32" t="n">
        <x:v>2.7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Sardinella fimbriata</x:v>
      </x:c>
      <x:c r="T10" s="32" t="n">
        <x:f>IF(O10="","",(1/'Metadata'!$B$5)^(O10-1))</x:f>
        <x:v>50.11872336272725</x:v>
      </x:c>
      <x:c r="U10" s="31" t="n">
        <x:f>IF(T10="","",I10*T10)</x:f>
        <x:v>8844.405925781868</x:v>
      </x:c>
    </x:row>
    <x:row r="11" ht="18" customHeight="1">
      <x:c r="A11" s="24" t="str">
        <x:v>EEZ_626</x:v>
      </x:c>
      <x:c r="B11" s="24" t="str">
        <x:v>Timor Leste</x:v>
      </x:c>
      <x:c r="C11" s="24" t="str">
        <x:v>EEZ</x:v>
      </x:c>
      <x:c r="D11" s="30" t="n">
        <x:v>2019</x:v>
      </x:c>
      <x:c r="E11" s="24" t="str">
        <x:v>Carangidae</x:v>
      </x:c>
      <x:c r="F11" s="24" t="str">
        <x:v>Jacks, pompanos</x:v>
      </x:c>
      <x:c r="G11" s="24" t="str">
        <x:v>Medium pelagics (30 - 89 cm)</x:v>
      </x:c>
      <x:c r="H11" s="24" t="str">
        <x:v>Perch-likes</x:v>
      </x:c>
      <x:c r="I11" s="31" t="n">
        <x:v>168.626027376</x:v>
      </x:c>
      <x:c r="J11" s="31" t="n">
        <x:v>168.626027376</x:v>
      </x:c>
      <x:c r="K11" s="31" t="n">
        <x:v>0</x:v>
      </x:c>
      <x:c r="L11" s="31" t="n">
        <x:v>79.83538896600001</x:v>
      </x:c>
      <x:c r="M11" s="31" t="n">
        <x:v>88.79063841</x:v>
      </x:c>
      <x:c r="N11" s="24" t="str">
        <x:v>carangidae</x:v>
      </x:c>
      <x:c r="O11" s="32" t="n">
        <x:v>4.05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Carangidae</x:v>
      </x:c>
      <x:c r="T11" s="32" t="n">
        <x:f>IF(O11="","",(1/'Metadata'!$B$5)^(O11-1))</x:f>
        <x:v>1122.018454301963</x:v>
      </x:c>
      <x:c r="U11" s="31" t="n">
        <x:f>IF(T11="","",I11*T11)</x:f>
        <x:v>189201.51459150002</x:v>
      </x:c>
    </x:row>
    <x:row r="12" ht="18" customHeight="1">
      <x:c r="A12" s="24" t="str">
        <x:v>EEZ_626</x:v>
      </x:c>
      <x:c r="B12" s="24" t="str">
        <x:v>Timor Leste</x:v>
      </x:c>
      <x:c r="C12" s="24" t="str">
        <x:v>EEZ</x:v>
      </x:c>
      <x:c r="D12" s="30" t="n">
        <x:v>2019</x:v>
      </x:c>
      <x:c r="E12" s="24" t="str">
        <x:v>Euthynnus affinis</x:v>
      </x:c>
      <x:c r="F12" s="24" t="str">
        <x:v>Kawakawa</x:v>
      </x:c>
      <x:c r="G12" s="24" t="str">
        <x:v>Large pelagics (&gt;=90 cm)</x:v>
      </x:c>
      <x:c r="H12" s="24" t="str">
        <x:v>Tuna &amp; billfishes</x:v>
      </x:c>
      <x:c r="I12" s="31" t="n">
        <x:v>144.612054966</x:v>
      </x:c>
      <x:c r="J12" s="31" t="n">
        <x:v>144.612054966</x:v>
      </x:c>
      <x:c r="K12" s="31" t="n">
        <x:v>0</x:v>
      </x:c>
      <x:c r="L12" s="31" t="n">
        <x:v>68.466059696</x:v>
      </x:c>
      <x:c r="M12" s="31" t="n">
        <x:v>76.14599527</x:v>
      </x:c>
      <x:c r="N12" s="24" t="str">
        <x:v>euthynnus affinis</x:v>
      </x:c>
      <x:c r="O12" s="32" t="n">
        <x:v>4.5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Euthynnus affinis</x:v>
      </x:c>
      <x:c r="T12" s="32" t="n">
        <x:f>IF(O12="","",(1/'Metadata'!$B$5)^(O12-1))</x:f>
        <x:v>3162.2776601683795</x:v>
      </x:c>
      <x:c r="U12" s="31" t="n">
        <x:f>IF(T12="","",I12*T12)</x:f>
        <x:v>457303.47081002354</x:v>
      </x:c>
    </x:row>
    <x:row r="13" ht="18" customHeight="1">
      <x:c r="A13" s="24" t="str">
        <x:v>EEZ_626</x:v>
      </x:c>
      <x:c r="B13" s="24" t="str">
        <x:v>Timor Leste</x:v>
      </x:c>
      <x:c r="C13" s="24" t="str">
        <x:v>EEZ</x:v>
      </x:c>
      <x:c r="D13" s="30" t="n">
        <x:v>2019</x:v>
      </x:c>
      <x:c r="E13" s="24" t="str">
        <x:v>Elasmobranchii</x:v>
      </x:c>
      <x:c r="F13" s="24" t="str">
        <x:v>Sharks, rays, skates</x:v>
      </x:c>
      <x:c r="G13" s="24" t="str">
        <x:v>Large sharks (&gt;=90 cm)</x:v>
      </x:c>
      <x:c r="H13" s="24" t="str">
        <x:v>Sharks &amp; rays</x:v>
      </x:c>
      <x:c r="I13" s="31" t="n">
        <x:v>108.45904122</x:v>
      </x:c>
      <x:c r="J13" s="31" t="n">
        <x:v>108.45904122</x:v>
      </x:c>
      <x:c r="K13" s="31" t="n">
        <x:v>0</x:v>
      </x:c>
      <x:c r="L13" s="31" t="n">
        <x:v>51.349544769999994</x:v>
      </x:c>
      <x:c r="M13" s="31" t="n">
        <x:v>57.10949645</x:v>
      </x:c>
      <x:c r="N13" s="24" t="str">
        <x:v>elasmobranchii</x:v>
      </x:c>
      <x:c r="O13" s="32" t="n">
        <x:v>4.05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Elasmobranchii</x:v>
      </x:c>
      <x:c r="T13" s="32" t="n">
        <x:f>IF(O13="","",(1/'Metadata'!$B$5)^(O13-1))</x:f>
        <x:v>1122.018454301963</x:v>
      </x:c>
      <x:c r="U13" s="31" t="n">
        <x:f>IF(T13="","",I13*T13)</x:f>
        <x:v>121693.04578473729</x:v>
      </x:c>
    </x:row>
    <x:row r="14" ht="18" customHeight="1">
      <x:c r="A14" s="24" t="str">
        <x:v>EEZ_626</x:v>
      </x:c>
      <x:c r="B14" s="24" t="str">
        <x:v>Timor Leste</x:v>
      </x:c>
      <x:c r="C14" s="24" t="str">
        <x:v>EEZ</x:v>
      </x:c>
      <x:c r="D14" s="30" t="n">
        <x:v>2019</x:v>
      </x:c>
      <x:c r="E14" s="24" t="str">
        <x:v>Chirocentrus</x:v>
      </x:c>
      <x:c r="F14" s="24" t="str">
        <x:v>Wolf herrings</x:v>
      </x:c>
      <x:c r="G14" s="24" t="str">
        <x:v>Large pelagics (&gt;=90 cm)</x:v>
      </x:c>
      <x:c r="H14" s="24" t="str">
        <x:v>Herring-likes</x:v>
      </x:c>
      <x:c r="I14" s="31" t="n">
        <x:v>90.38253435</x:v>
      </x:c>
      <x:c r="J14" s="31" t="n">
        <x:v>90.38253435</x:v>
      </x:c>
      <x:c r="K14" s="31" t="n">
        <x:v>0</x:v>
      </x:c>
      <x:c r="L14" s="31" t="n">
        <x:v>42.79128731</x:v>
      </x:c>
      <x:c r="M14" s="31" t="n">
        <x:v>47.59124704</x:v>
      </x:c>
      <x:c r="N14" s="24" t="str">
        <x:v>chirocentrus</x:v>
      </x:c>
      <x:c r="O14" s="32" t="n">
        <x:v>4.3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Chirocentrus</x:v>
      </x:c>
      <x:c r="T14" s="32" t="n">
        <x:f>IF(O14="","",(1/'Metadata'!$B$5)^(O14-1))</x:f>
        <x:v>1995.2623149688789</x:v>
      </x:c>
      <x:c r="U14" s="31" t="n">
        <x:f>IF(T14="","",I14*T14)</x:f>
        <x:v>180336.86471993523</x:v>
      </x:c>
    </x:row>
    <x:row r="15" ht="18" customHeight="1">
      <x:c r="A15" s="24" t="str">
        <x:v>EEZ_626</x:v>
      </x:c>
      <x:c r="B15" s="24" t="str">
        <x:v>Timor Leste</x:v>
      </x:c>
      <x:c r="C15" s="24" t="str">
        <x:v>EEZ</x:v>
      </x:c>
      <x:c r="D15" s="30" t="n">
        <x:v>2019</x:v>
      </x:c>
      <x:c r="E15" s="24" t="str">
        <x:v>Scomberoides</x:v>
      </x:c>
      <x:c r="F15" s="24" t="str">
        <x:v>Queenfishes</x:v>
      </x:c>
      <x:c r="G15" s="24" t="str">
        <x:v>Medium pelagics (30 - 89 cm)</x:v>
      </x:c>
      <x:c r="H15" s="24" t="str">
        <x:v>Perch-likes</x:v>
      </x:c>
      <x:c r="I15" s="31" t="n">
        <x:v>90.38253435</x:v>
      </x:c>
      <x:c r="J15" s="31" t="n">
        <x:v>90.38253435</x:v>
      </x:c>
      <x:c r="K15" s="31" t="n">
        <x:v>0</x:v>
      </x:c>
      <x:c r="L15" s="31" t="n">
        <x:v>42.79128731</x:v>
      </x:c>
      <x:c r="M15" s="31" t="n">
        <x:v>47.59124704</x:v>
      </x:c>
      <x:c r="N15" s="24" t="str">
        <x:v>scomberoides</x:v>
      </x:c>
      <x:c r="O15" s="32" t="n">
        <x:v>4.47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Scomberoides</x:v>
      </x:c>
      <x:c r="T15" s="32" t="n">
        <x:f>IF(O15="","",(1/'Metadata'!$B$5)^(O15-1))</x:f>
        <x:v>2951.209226666384</x:v>
      </x:c>
      <x:c r="U15" s="31" t="n">
        <x:f>IF(T15="","",I15*T15)</x:f>
        <x:v>266737.76930321136</x:v>
      </x:c>
    </x:row>
    <x:row r="16" ht="18" customHeight="1">
      <x:c r="A16" s="24" t="str">
        <x:v>EEZ_626</x:v>
      </x:c>
      <x:c r="B16" s="24" t="str">
        <x:v>Timor Leste</x:v>
      </x:c>
      <x:c r="C16" s="24" t="str">
        <x:v>EEZ</x:v>
      </x:c>
      <x:c r="D16" s="30" t="n">
        <x:v>2019</x:v>
      </x:c>
      <x:c r="E16" s="24" t="str">
        <x:v>Leiognathidae</x:v>
      </x:c>
      <x:c r="F16" s="24" t="str">
        <x:v>Slipmouths, ponyfishes</x:v>
      </x:c>
      <x:c r="G16" s="24" t="str">
        <x:v>Small benthopelagics (&lt;30 cm)</x:v>
      </x:c>
      <x:c r="H16" s="24" t="str">
        <x:v>Perch-likes</x:v>
      </x:c>
      <x:c r="I16" s="31" t="n">
        <x:v>81.34428091699999</x:v>
      </x:c>
      <x:c r="J16" s="31" t="n">
        <x:v>81.34428091699999</x:v>
      </x:c>
      <x:c r="K16" s="31" t="n">
        <x:v>0</x:v>
      </x:c>
      <x:c r="L16" s="31" t="n">
        <x:v>38.512158577</x:v>
      </x:c>
      <x:c r="M16" s="31" t="n">
        <x:v>42.83212234</x:v>
      </x:c>
      <x:c r="N16" s="24" t="str">
        <x:v>leiognathidae</x:v>
      </x:c>
      <x:c r="O16" s="32" t="n">
        <x:v>3.24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Leiognathidae</x:v>
      </x:c>
      <x:c r="T16" s="32" t="n">
        <x:f>IF(O16="","",(1/'Metadata'!$B$5)^(O16-1))</x:f>
        <x:v>173.78008287493762</x:v>
      </x:c>
      <x:c r="U16" s="31" t="n">
        <x:f>IF(T16="","",I16*T16)</x:f>
        <x:v>14136.015879158465</x:v>
      </x:c>
    </x:row>
    <x:row r="17" ht="18" customHeight="1">
      <x:c r="A17" s="24" t="str">
        <x:v>EEZ_626</x:v>
      </x:c>
      <x:c r="B17" s="24" t="str">
        <x:v>Timor Leste</x:v>
      </x:c>
      <x:c r="C17" s="24" t="str">
        <x:v>EEZ</x:v>
      </x:c>
      <x:c r="D17" s="30" t="n">
        <x:v>2019</x:v>
      </x:c>
      <x:c r="E17" s="24" t="str">
        <x:v>Scomberomorus commerson</x:v>
      </x:c>
      <x:c r="F17" s="24" t="str">
        <x:v>Narrow-barred Spanish mackerel</x:v>
      </x:c>
      <x:c r="G17" s="24" t="str">
        <x:v>Large pelagics (&gt;=90 cm)</x:v>
      </x:c>
      <x:c r="H17" s="24" t="str">
        <x:v>Perch-likes</x:v>
      </x:c>
      <x:c r="I17" s="31" t="n">
        <x:v>72.30602748</x:v>
      </x:c>
      <x:c r="J17" s="31" t="n">
        <x:v>72.30602748</x:v>
      </x:c>
      <x:c r="K17" s="31" t="n">
        <x:v>0</x:v>
      </x:c>
      <x:c r="L17" s="31" t="n">
        <x:v>34.23302985</x:v>
      </x:c>
      <x:c r="M17" s="31" t="n">
        <x:v>38.07299763</x:v>
      </x:c>
      <x:c r="N17" s="24" t="str">
        <x:v>scomberomorus commerson</x:v>
      </x:c>
      <x:c r="O17" s="32" t="n">
        <x:v>4.5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Scomberomorus commerson</x:v>
      </x:c>
      <x:c r="T17" s="32" t="n">
        <x:f>IF(O17="","",(1/'Metadata'!$B$5)^(O17-1))</x:f>
        <x:v>3162.2776601683795</x:v>
      </x:c>
      <x:c r="U17" s="31" t="n">
        <x:f>IF(T17="","",I17*T17)</x:f>
        <x:v>228651.73539552494</x:v>
      </x:c>
    </x:row>
    <x:row r="18" ht="18" customHeight="1">
      <x:c r="A18" s="24" t="str">
        <x:v>EEZ_626</x:v>
      </x:c>
      <x:c r="B18" s="24" t="str">
        <x:v>Timor Leste</x:v>
      </x:c>
      <x:c r="C18" s="24" t="str">
        <x:v>EEZ</x:v>
      </x:c>
      <x:c r="D18" s="30" t="n">
        <x:v>2019</x:v>
      </x:c>
      <x:c r="E18" s="24" t="str">
        <x:v>Exocoetidae</x:v>
      </x:c>
      <x:c r="F18" s="24" t="str">
        <x:v>Flyingfishes</x:v>
      </x:c>
      <x:c r="G18" s="24" t="str">
        <x:v>Small pelagics (&lt;30 cm)</x:v>
      </x:c>
      <x:c r="H18" s="24" t="str">
        <x:v>Other fishes &amp; inverts</x:v>
      </x:c>
      <x:c r="I18" s="31" t="n">
        <x:v>72.306027477</x:v>
      </x:c>
      <x:c r="J18" s="31" t="n">
        <x:v>72.306027477</x:v>
      </x:c>
      <x:c r="K18" s="31" t="n">
        <x:v>0</x:v>
      </x:c>
      <x:c r="L18" s="31" t="n">
        <x:v>34.233029847</x:v>
      </x:c>
      <x:c r="M18" s="31" t="n">
        <x:v>38.07299763</x:v>
      </x:c>
      <x:c r="N18" s="24" t="str">
        <x:v>exocoetidae</x:v>
      </x:c>
      <x:c r="O18" s="32" t="n">
        <x:v>3.57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Exocoetidae</x:v>
      </x:c>
      <x:c r="T18" s="32" t="n">
        <x:f>IF(O18="","",(1/'Metadata'!$B$5)^(O18-1))</x:f>
        <x:v>371.5352290971724</x:v>
      </x:c>
      <x:c r="U18" s="31" t="n">
        <x:f>IF(T18="","",I18*T18)</x:f>
        <x:v>26864.23648377364</x:v>
      </x:c>
    </x:row>
    <x:row r="19" ht="18" customHeight="1">
      <x:c r="A19" s="24" t="str">
        <x:v>EEZ_626</x:v>
      </x:c>
      <x:c r="B19" s="24" t="str">
        <x:v>Timor Leste</x:v>
      </x:c>
      <x:c r="C19" s="24" t="str">
        <x:v>EEZ</x:v>
      </x:c>
      <x:c r="D19" s="30" t="n">
        <x:v>2019</x:v>
      </x:c>
      <x:c r="E19" s="24" t="str">
        <x:v>Scarus</x:v>
      </x:c>
      <x:c r="F19" s="24" t="str">
        <x:v>Parrots</x:v>
      </x:c>
      <x:c r="G19" s="24" t="str">
        <x:v>Medium reef assoc. fish (30 - 89 cm)</x:v>
      </x:c>
      <x:c r="H19" s="24" t="str">
        <x:v>Perch-likes</x:v>
      </x:c>
      <x:c r="I19" s="31" t="n">
        <x:v>62.744568325</x:v>
      </x:c>
      <x:c r="J19" s="31" t="n">
        <x:v>62.744568325</x:v>
      </x:c>
      <x:c r="K19" s="31" t="n">
        <x:v>0</x:v>
      </x:c>
      <x:c r="L19" s="31" t="n">
        <x:v>29.706191245</x:v>
      </x:c>
      <x:c r="M19" s="31" t="n">
        <x:v>33.03837708</x:v>
      </x:c>
      <x:c r="N19" s="24" t="str">
        <x:v>scarus</x:v>
      </x:c>
      <x:c r="O19" s="32" t="n">
        <x:v>2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Scarus</x:v>
      </x:c>
      <x:c r="T19" s="32" t="n">
        <x:f>IF(O19="","",(1/'Metadata'!$B$5)^(O19-1))</x:f>
        <x:v>10</x:v>
      </x:c>
      <x:c r="U19" s="31" t="n">
        <x:f>IF(T19="","",I19*T19)</x:f>
        <x:v>627.44568325</x:v>
      </x:c>
    </x:row>
    <x:row r="20" ht="18" customHeight="1">
      <x:c r="A20" s="24" t="str">
        <x:v>EEZ_626</x:v>
      </x:c>
      <x:c r="B20" s="24" t="str">
        <x:v>Timor Leste</x:v>
      </x:c>
      <x:c r="C20" s="24" t="str">
        <x:v>EEZ</x:v>
      </x:c>
      <x:c r="D20" s="30" t="n">
        <x:v>2019</x:v>
      </x:c>
      <x:c r="E20" s="24" t="str">
        <x:v>Siganus</x:v>
      </x:c>
      <x:c r="F20" s="24" t="str">
        <x:v>Spinefoots</x:v>
      </x:c>
      <x:c r="G20" s="24" t="str">
        <x:v>Medium reef assoc. fish (30 - 89 cm)</x:v>
      </x:c>
      <x:c r="H20" s="24" t="str">
        <x:v>Perch-likes</x:v>
      </x:c>
      <x:c r="I20" s="31" t="n">
        <x:v>58.823032812</x:v>
      </x:c>
      <x:c r="J20" s="31" t="n">
        <x:v>58.823032812</x:v>
      </x:c>
      <x:c r="K20" s="31" t="n">
        <x:v>0</x:v>
      </x:c>
      <x:c r="L20" s="31" t="n">
        <x:v>27.849554292</x:v>
      </x:c>
      <x:c r="M20" s="31" t="n">
        <x:v>30.97347852</x:v>
      </x:c>
      <x:c r="N20" s="24" t="str">
        <x:v>siganus</x:v>
      </x:c>
      <x:c r="O20" s="32" t="n">
        <x:v>2.11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Siganus</x:v>
      </x:c>
      <x:c r="T20" s="32" t="n">
        <x:f>IF(O20="","",(1/'Metadata'!$B$5)^(O20-1))</x:f>
        <x:v>12.882495516931336</x:v>
      </x:c>
      <x:c r="U20" s="31" t="n">
        <x:f>IF(T20="","",I20*T20)</x:f>
        <x:v>757.7874564928949</x:v>
      </x:c>
    </x:row>
    <x:row r="21" ht="18" customHeight="1">
      <x:c r="A21" s="24" t="str">
        <x:v>EEZ_626</x:v>
      </x:c>
      <x:c r="B21" s="24" t="str">
        <x:v>Timor Leste</x:v>
      </x:c>
      <x:c r="C21" s="24" t="str">
        <x:v>EEZ</x:v>
      </x:c>
      <x:c r="D21" s="30" t="n">
        <x:v>2019</x:v>
      </x:c>
      <x:c r="E21" s="24" t="str">
        <x:v>Mugilidae</x:v>
      </x:c>
      <x:c r="F21" s="24" t="str">
        <x:v>Mullets, grey mullets</x:v>
      </x:c>
      <x:c r="G21" s="24" t="str">
        <x:v>Medium reef assoc. fish (30 - 89 cm)</x:v>
      </x:c>
      <x:c r="H21" s="24" t="str">
        <x:v>Perch-likes</x:v>
      </x:c>
      <x:c r="I21" s="31" t="n">
        <x:v>45.191267176</x:v>
      </x:c>
      <x:c r="J21" s="31" t="n">
        <x:v>45.191267176</x:v>
      </x:c>
      <x:c r="K21" s="31" t="n">
        <x:v>0</x:v>
      </x:c>
      <x:c r="L21" s="31" t="n">
        <x:v>21.395643656</x:v>
      </x:c>
      <x:c r="M21" s="31" t="n">
        <x:v>23.79562352</x:v>
      </x:c>
      <x:c r="N21" s="24" t="str">
        <x:v>mugilidae</x:v>
      </x:c>
      <x:c r="O21" s="32" t="n">
        <x:v>2.53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Mugilidae</x:v>
      </x:c>
      <x:c r="T21" s="32" t="n">
        <x:f>IF(O21="","",(1/'Metadata'!$B$5)^(O21-1))</x:f>
        <x:v>33.88441561392024</x:v>
      </x:c>
      <x:c r="U21" s="31" t="n">
        <x:f>IF(T21="","",I21*T21)</x:f>
        <x:v>1531.2796791112955</x:v>
      </x:c>
    </x:row>
    <x:row r="22" ht="18" customHeight="1">
      <x:c r="A22" s="24" t="str">
        <x:v>EEZ_626</x:v>
      </x:c>
      <x:c r="B22" s="24" t="str">
        <x:v>Timor Leste</x:v>
      </x:c>
      <x:c r="C22" s="24" t="str">
        <x:v>EEZ</x:v>
      </x:c>
      <x:c r="D22" s="30" t="n">
        <x:v>2019</x:v>
      </x:c>
      <x:c r="E22" s="24" t="str">
        <x:v>Serranidae</x:v>
      </x:c>
      <x:c r="F22" s="24" t="str">
        <x:v>Basses, groupers, hinds</x:v>
      </x:c>
      <x:c r="G22" s="24" t="str">
        <x:v>Medium reef assoc. fish (30 - 89 cm)</x:v>
      </x:c>
      <x:c r="H22" s="24" t="str">
        <x:v>Perch-likes</x:v>
      </x:c>
      <x:c r="I22" s="31" t="n">
        <x:v>45.191267174</x:v>
      </x:c>
      <x:c r="J22" s="31" t="n">
        <x:v>45.191267174</x:v>
      </x:c>
      <x:c r="K22" s="31" t="n">
        <x:v>0</x:v>
      </x:c>
      <x:c r="L22" s="31" t="n">
        <x:v>21.395643654</x:v>
      </x:c>
      <x:c r="M22" s="31" t="n">
        <x:v>23.79562352</x:v>
      </x:c>
      <x:c r="N22" s="24" t="str">
        <x:v>serranidae</x:v>
      </x:c>
      <x:c r="O22" s="32" t="n">
        <x:v>3.98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Serranidae</x:v>
      </x:c>
      <x:c r="T22" s="32" t="n">
        <x:f>IF(O22="","",(1/'Metadata'!$B$5)^(O22-1))</x:f>
        <x:v>954.992586021436</x:v>
      </x:c>
      <x:c r="U22" s="31" t="n">
        <x:f>IF(T22="","",I22*T22)</x:f>
        <x:v>43157.32510408389</x:v>
      </x:c>
    </x:row>
    <x:row r="23" ht="18" customHeight="1">
      <x:c r="A23" s="24" t="str">
        <x:v>EEZ_626</x:v>
      </x:c>
      <x:c r="B23" s="24" t="str">
        <x:v>Timor Leste</x:v>
      </x:c>
      <x:c r="C23" s="24" t="str">
        <x:v>EEZ</x:v>
      </x:c>
      <x:c r="D23" s="30" t="n">
        <x:v>2019</x:v>
      </x:c>
      <x:c r="E23" s="24" t="str">
        <x:v>Haemulidae</x:v>
      </x:c>
      <x:c r="F23" s="24" t="str">
        <x:v>Grunts, sweetlips, bonnetmouths</x:v>
      </x:c>
      <x:c r="G23" s="24" t="str">
        <x:v>Medium demersals (30 - 89 cm)</x:v>
      </x:c>
      <x:c r="H23" s="24" t="str">
        <x:v>Perch-likes</x:v>
      </x:c>
      <x:c r="I23" s="31" t="n">
        <x:v>36.153013743</x:v>
      </x:c>
      <x:c r="J23" s="31" t="n">
        <x:v>36.153013743</x:v>
      </x:c>
      <x:c r="K23" s="31" t="n">
        <x:v>0</x:v>
      </x:c>
      <x:c r="L23" s="31" t="n">
        <x:v>17.116514923</x:v>
      </x:c>
      <x:c r="M23" s="31" t="n">
        <x:v>19.03649882</x:v>
      </x:c>
      <x:c r="N23" s="24" t="str">
        <x:v>haemulidae</x:v>
      </x:c>
      <x:c r="O23" s="32" t="n">
        <x:v>3.36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Haemulidae</x:v>
      </x:c>
      <x:c r="T23" s="32" t="n">
        <x:f>IF(O23="","",(1/'Metadata'!$B$5)^(O23-1))</x:f>
        <x:v>229.08676527677724</x:v>
      </x:c>
      <x:c r="U23" s="31" t="n">
        <x:f>IF(T23="","",I23*T23)</x:f>
        <x:v>8282.176973390744</x:v>
      </x:c>
    </x:row>
    <x:row r="24" ht="18" customHeight="1">
      <x:c r="A24" s="24" t="str">
        <x:v>EEZ_626</x:v>
      </x:c>
      <x:c r="B24" s="24" t="str">
        <x:v>Timor Leste</x:v>
      </x:c>
      <x:c r="C24" s="24" t="str">
        <x:v>EEZ</x:v>
      </x:c>
      <x:c r="D24" s="30" t="n">
        <x:v>2019</x:v>
      </x:c>
      <x:c r="E24" s="24" t="str">
        <x:v>Sphyraena</x:v>
      </x:c>
      <x:c r="F24" s="24" t="str">
        <x:v>Barracudas, sennets</x:v>
      </x:c>
      <x:c r="G24" s="24" t="str">
        <x:v>Large pelagics (&gt;=90 cm)</x:v>
      </x:c>
      <x:c r="H24" s="24" t="str">
        <x:v>Perch-likes</x:v>
      </x:c>
      <x:c r="I24" s="31" t="n">
        <x:v>31.372284162999996</x:v>
      </x:c>
      <x:c r="J24" s="31" t="n">
        <x:v>31.372284162999996</x:v>
      </x:c>
      <x:c r="K24" s="31" t="n">
        <x:v>0</x:v>
      </x:c>
      <x:c r="L24" s="31" t="n">
        <x:v>14.853095623</x:v>
      </x:c>
      <x:c r="M24" s="31" t="n">
        <x:v>16.51918854</x:v>
      </x:c>
      <x:c r="N24" s="24" t="str">
        <x:v>sphyraena</x:v>
      </x:c>
      <x:c r="O24" s="32" t="n">
        <x:v>4.4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Sphyraena</x:v>
      </x:c>
      <x:c r="T24" s="32" t="n">
        <x:f>IF(O24="","",(1/'Metadata'!$B$5)^(O24-1))</x:f>
        <x:v>2511.886431509582</x:v>
      </x:c>
      <x:c r="U24" s="31" t="n">
        <x:f>IF(T24="","",I24*T24)</x:f>
        <x:v>78803.61491450264</x:v>
      </x:c>
    </x:row>
    <x:row r="25" ht="18" customHeight="1">
      <x:c r="A25" s="24" t="str">
        <x:v>EEZ_626</x:v>
      </x:c>
      <x:c r="B25" s="24" t="str">
        <x:v>Timor Leste</x:v>
      </x:c>
      <x:c r="C25" s="24" t="str">
        <x:v>EEZ</x:v>
      </x:c>
      <x:c r="D25" s="30" t="n">
        <x:v>2019</x:v>
      </x:c>
      <x:c r="E25" s="24" t="str">
        <x:v>Dendrobranchiata</x:v>
      </x:c>
      <x:c r="F25" s="24" t="str">
        <x:v>Shrimps and prawns</x:v>
      </x:c>
      <x:c r="G25" s="24" t="str">
        <x:v>Shrimps</x:v>
      </x:c>
      <x:c r="H25" s="24" t="str">
        <x:v>Crustaceans</x:v>
      </x:c>
      <x:c r="I25" s="31" t="n">
        <x:v>28.271247262</x:v>
      </x:c>
      <x:c r="J25" s="31" t="n">
        <x:v>28.271247262</x:v>
      </x:c>
      <x:c r="K25" s="31" t="n">
        <x:v>0</x:v>
      </x:c>
      <x:c r="L25" s="31" t="n">
        <x:v>28.271247262</x:v>
      </x:c>
      <x:c r="M25" s="31" t="n">
        <x:v>0</x:v>
      </x:c>
      <x:c r="N25" s="24" t="str">
        <x:v>dendrobranchiata</x:v>
      </x:c>
      <x:c r="O25" s="32" t="n">
        <x:v>3.24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Dendrobranchiata</x:v>
      </x:c>
      <x:c r="T25" s="32" t="n">
        <x:f>IF(O25="","",(1/'Metadata'!$B$5)^(O25-1))</x:f>
        <x:v>173.78008287493762</x:v>
      </x:c>
      <x:c r="U25" s="31" t="n">
        <x:f>IF(T25="","",I25*T25)</x:f>
        <x:v>4912.979692168213</x:v>
      </x:c>
    </x:row>
    <x:row r="26" ht="18" customHeight="1">
      <x:c r="A26" s="24" t="str">
        <x:v>EEZ_626</x:v>
      </x:c>
      <x:c r="B26" s="24" t="str">
        <x:v>Timor Leste</x:v>
      </x:c>
      <x:c r="C26" s="24" t="str">
        <x:v>EEZ</x:v>
      </x:c>
      <x:c r="D26" s="30" t="n">
        <x:v>2019</x:v>
      </x:c>
      <x:c r="E26" s="24" t="str">
        <x:v>Thunnus</x:v>
      </x:c>
      <x:c r="F26" s="24" t="str">
        <x:v>Tunas</x:v>
      </x:c>
      <x:c r="G26" s="24" t="str">
        <x:v>Large pelagics (&gt;=90 cm)</x:v>
      </x:c>
      <x:c r="H26" s="24" t="str">
        <x:v>Tuna &amp; billfishes</x:v>
      </x:c>
      <x:c r="I26" s="31" t="n">
        <x:v>27.114760304</x:v>
      </x:c>
      <x:c r="J26" s="31" t="n">
        <x:v>27.114760304</x:v>
      </x:c>
      <x:c r="K26" s="31" t="n">
        <x:v>0</x:v>
      </x:c>
      <x:c r="L26" s="31" t="n">
        <x:v>12.837386194</x:v>
      </x:c>
      <x:c r="M26" s="31" t="n">
        <x:v>14.27737411</x:v>
      </x:c>
      <x:c r="N26" s="24" t="str">
        <x:v>thunnus</x:v>
      </x:c>
      <x:c r="O26" s="32" t="n">
        <x:v>4.34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Thunnus</x:v>
      </x:c>
      <x:c r="T26" s="32" t="n">
        <x:f>IF(O26="","",(1/'Metadata'!$B$5)^(O26-1))</x:f>
        <x:v>2187.761623949552</x:v>
      </x:c>
      <x:c r="U26" s="31" t="n">
        <x:f>IF(T26="","",I26*T26)</x:f>
        <x:v>59320.63203568189</x:v>
      </x:c>
    </x:row>
    <x:row r="27" ht="18" customHeight="1">
      <x:c r="A27" s="24" t="str">
        <x:v>EEZ_626</x:v>
      </x:c>
      <x:c r="B27" s="24" t="str">
        <x:v>Timor Leste</x:v>
      </x:c>
      <x:c r="C27" s="24" t="str">
        <x:v>EEZ</x:v>
      </x:c>
      <x:c r="D27" s="30" t="n">
        <x:v>2019</x:v>
      </x:c>
      <x:c r="E27" s="24" t="str">
        <x:v>Lethrinidae</x:v>
      </x:c>
      <x:c r="F27" s="24" t="str">
        <x:v>Emperors, scavengers</x:v>
      </x:c>
      <x:c r="G27" s="24" t="str">
        <x:v>Medium reef assoc. fish (30 - 89 cm)</x:v>
      </x:c>
      <x:c r="H27" s="24" t="str">
        <x:v>Perch-likes</x:v>
      </x:c>
      <x:c r="I27" s="31" t="n">
        <x:v>23.529213127000002</x:v>
      </x:c>
      <x:c r="J27" s="31" t="n">
        <x:v>23.529213127000002</x:v>
      </x:c>
      <x:c r="K27" s="31" t="n">
        <x:v>0</x:v>
      </x:c>
      <x:c r="L27" s="31" t="n">
        <x:v>11.139821717</x:v>
      </x:c>
      <x:c r="M27" s="31" t="n">
        <x:v>12.38939141</x:v>
      </x:c>
      <x:c r="N27" s="24" t="str">
        <x:v>lethrinidae</x:v>
      </x:c>
      <x:c r="O27" s="32" t="n">
        <x:v>3.59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Lethrinidae</x:v>
      </x:c>
      <x:c r="T27" s="32" t="n">
        <x:f>IF(O27="","",(1/'Metadata'!$B$5)^(O27-1))</x:f>
        <x:v>389.04514499428046</x:v>
      </x:c>
      <x:c r="U27" s="31" t="n">
        <x:f>IF(T27="","",I27*T27)</x:f>
        <x:v>9153.926132595043</x:v>
      </x:c>
    </x:row>
    <x:row r="28" ht="18" customHeight="1">
      <x:c r="A28" s="24" t="str">
        <x:v>EEZ_626</x:v>
      </x:c>
      <x:c r="B28" s="24" t="str">
        <x:v>Timor Leste</x:v>
      </x:c>
      <x:c r="C28" s="24" t="str">
        <x:v>EEZ</x:v>
      </x:c>
      <x:c r="D28" s="30" t="n">
        <x:v>2019</x:v>
      </x:c>
      <x:c r="E28" s="24" t="str">
        <x:v>Cephalopoda</x:v>
      </x:c>
      <x:c r="F28" s="24" t="str">
        <x:v>Squids, cuttlefishes, octopuses</x:v>
      </x:c>
      <x:c r="G28" s="24" t="str">
        <x:v>Cephalopods</x:v>
      </x:c>
      <x:c r="H28" s="24" t="str">
        <x:v>Other fishes &amp; inverts</x:v>
      </x:c>
      <x:c r="I28" s="31" t="n">
        <x:v>15.14531103</x:v>
      </x:c>
      <x:c r="J28" s="31" t="n">
        <x:v>15.14531103</x:v>
      </x:c>
      <x:c r="K28" s="31" t="n">
        <x:v>0</x:v>
      </x:c>
      <x:c r="L28" s="31" t="n">
        <x:v>15.14531103</x:v>
      </x:c>
      <x:c r="M28" s="31" t="n">
        <x:v>0</x:v>
      </x:c>
      <x:c r="N28" s="24" t="str">
        <x:v>cephalopoda</x:v>
      </x:c>
      <x:c r="O28" s="32" t="n">
        <x:v>3.81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Cephalopoda</x:v>
      </x:c>
      <x:c r="T28" s="32" t="n">
        <x:f>IF(O28="","",(1/'Metadata'!$B$5)^(O28-1))</x:f>
        <x:v>645.6542290346556</x:v>
      </x:c>
      <x:c r="U28" s="31" t="n">
        <x:f>IF(T28="","",I28*T28)</x:f>
        <x:v>9778.634116564715</x:v>
      </x:c>
    </x:row>
    <x:row r="29" ht="18" customHeight="1">
      <x:c r="A29" s="24" t="str">
        <x:v>EEZ_626</x:v>
      </x:c>
      <x:c r="B29" s="24" t="str">
        <x:v>Timor Leste</x:v>
      </x:c>
      <x:c r="C29" s="24" t="str">
        <x:v>EEZ</x:v>
      </x:c>
      <x:c r="D29" s="30" t="n">
        <x:v>2019</x:v>
      </x:c>
      <x:c r="E29" s="24" t="str">
        <x:v>Panulirus</x:v>
      </x:c>
      <x:c r="F29" s="24" t="str">
        <x:v>Spiny lobsters</x:v>
      </x:c>
      <x:c r="G29" s="24" t="str">
        <x:v>Lobsters, crabs</x:v>
      </x:c>
      <x:c r="H29" s="24" t="str">
        <x:v>Crustaceans</x:v>
      </x:c>
      <x:c r="I29" s="31" t="n">
        <x:v>15.14531103</x:v>
      </x:c>
      <x:c r="J29" s="31" t="n">
        <x:v>15.14531103</x:v>
      </x:c>
      <x:c r="K29" s="31" t="n">
        <x:v>0</x:v>
      </x:c>
      <x:c r="L29" s="31" t="n">
        <x:v>15.14531103</x:v>
      </x:c>
      <x:c r="M29" s="31" t="n">
        <x:v>0</x:v>
      </x:c>
      <x:c r="N29" s="24" t="str">
        <x:v>panulirus</x:v>
      </x:c>
      <x:c r="O29" s="32" t="n">
        <x:v>2.6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Panulirus</x:v>
      </x:c>
      <x:c r="T29" s="32" t="n">
        <x:f>IF(O29="","",(1/'Metadata'!$B$5)^(O29-1))</x:f>
        <x:v>39.810717055349734</x:v>
      </x:c>
      <x:c r="U29" s="31" t="n">
        <x:f>IF(T29="","",I29*T29)</x:f>
        <x:v>602.9456921305974</x:v>
      </x:c>
    </x:row>
  </x:sheetData>
  <x:conditionalFormatting sqref="R2:R29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5a681ece640d448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Crustaceans</x:v>
      </x:c>
      <x:c r="B2" s="31" t="n">
        <x:v>43.416558292</x:v>
      </x:c>
      <x:c r="C2" s="32" t="n">
        <x:v>3.016744186077365</x:v>
      </x:c>
      <x:c r="D2" s="32" t="n">
        <x:f>IF(C2="","",(1/'Metadata'!$B$5)^(C2-1))</x:f>
        <x:v>103.93077985662815</x:v>
      </x:c>
      <x:c r="E2" s="31" t="n">
        <x:f>IF(B2=0,"",B2*D2)</x:f>
        <x:v>4512.316761978315</x:v>
      </x:c>
    </x:row>
    <x:row r="3" ht="18" customHeight="1">
      <x:c r="A3" s="24" t="str">
        <x:v>Herring-likes</x:v>
      </x:c>
      <x:c r="B3" s="31" t="n">
        <x:v>266.85163277</x:v>
      </x:c>
      <x:c r="C3" s="32" t="n">
        <x:v>3.24191931845754</x:v>
      </x:c>
      <x:c r="D3" s="32" t="n">
        <x:f>IF(C3="","",(1/'Metadata'!$B$5)^(C3-1))</x:f>
        <x:v>174.54978509847626</x:v>
      </x:c>
      <x:c r="E3" s="31" t="n">
        <x:f>IF(B3=0,"",B3*D3)</x:f>
        <x:v>46578.895153181</x:v>
      </x:c>
    </x:row>
    <x:row r="4" ht="18" customHeight="1">
      <x:c r="A4" s="24" t="str">
        <x:v>Other fishes &amp; inverts</x:v>
      </x:c>
      <x:c r="B4" s="31" t="n">
        <x:v>854.8721383071</x:v>
      </x:c>
      <x:c r="C4" s="32" t="n">
        <x:v>3.218961605922574</x:v>
      </x:c>
      <x:c r="D4" s="32" t="n">
        <x:f>IF(C4="","",(1/'Metadata'!$B$5)^(C4-1))</x:f>
        <x:v>165.56235905523997</x:v>
      </x:c>
      <x:c r="E4" s="31" t="n">
        <x:f>IF(B4=0,"",B4*D4)</x:f>
        <x:v>141534.64790872086</x:v>
      </x:c>
    </x:row>
    <x:row r="5" ht="18" customHeight="1">
      <x:c r="A5" s="24" t="str">
        <x:v>Perch-likes</x:v>
      </x:c>
      <x:c r="B5" s="31" t="n">
        <x:v>2954.2067095729994</x:v>
      </x:c>
      <x:c r="C5" s="32" t="n">
        <x:v>3.472007310531482</x:v>
      </x:c>
      <x:c r="D5" s="32" t="n">
        <x:f>IF(C5="","",(1/'Metadata'!$B$5)^(C5-1))</x:f>
        <x:v>296.48812973093607</x:v>
      </x:c>
      <x:c r="E5" s="31" t="n">
        <x:f>IF(B5=0,"",B5*D5)</x:f>
        <x:v>875887.2221598813</x:v>
      </x:c>
    </x:row>
    <x:row r="6" ht="18" customHeight="1">
      <x:c r="A6" s="24" t="str">
        <x:v>Sharks &amp; rays</x:v>
      </x:c>
      <x:c r="B6" s="31" t="n">
        <x:v>108.45904122</x:v>
      </x:c>
      <x:c r="C6" s="32" t="n">
        <x:v>4.05</x:v>
      </x:c>
      <x:c r="D6" s="32" t="n">
        <x:f>IF(C6="","",(1/'Metadata'!$B$5)^(C6-1))</x:f>
        <x:v>1122.018454301963</x:v>
      </x:c>
      <x:c r="E6" s="31" t="n">
        <x:f>IF(B6=0,"",B6*D6)</x:f>
        <x:v>121693.04578473729</x:v>
      </x:c>
    </x:row>
    <x:row r="7" ht="18" customHeight="1">
      <x:c r="A7" s="24" t="str">
        <x:v>Tuna &amp; billfishes</x:v>
      </x:c>
      <x:c r="B7" s="31" t="n">
        <x:v>2512.63445512</x:v>
      </x:c>
      <x:c r="C7" s="32" t="n">
        <x:v>4.265935251792863</x:v>
      </x:c>
      <x:c r="D7" s="32" t="n">
        <x:f>IF(C7="","",(1/'Metadata'!$B$5)^(C7-1))</x:f>
        <x:v>1844.7403695511605</x:v>
      </x:c>
      <x:c r="E7" s="31" t="n">
        <x:f>IF(B7=0,"",B7*D7)</x:f>
        <x:v>4635158.213285048</x:v>
      </x:c>
    </x:row>
  </x:sheetData>
  <x:pageMargins left="0.7" right="0.7" top="0.75" bottom="0.75" header="0.3" footer="0.3"/>
  <x:tableParts count="1">
    <x:tablePart xmlns:r="http://schemas.openxmlformats.org/officeDocument/2006/relationships" r:id="R59ba759663e54a3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15.14531103</x:v>
      </x:c>
      <x:c r="C2" s="32" t="n">
        <x:v>3.81</x:v>
      </x:c>
      <x:c r="D2" s="32" t="n">
        <x:f>IF(C2="","",(1/'Metadata'!$B$5)^(C2-1))</x:f>
        <x:v>645.6542290346556</x:v>
      </x:c>
      <x:c r="E2" s="31" t="n">
        <x:f>IF(B2=0,"",B2*D2)</x:f>
        <x:v>9778.634116564715</x:v>
      </x:c>
    </x:row>
    <x:row r="3" ht="18" customHeight="1">
      <x:c r="A3" s="24" t="str">
        <x:v>Large pelagics (&gt;=90 cm)</x:v>
      </x:c>
      <x:c r="B3" s="31" t="n">
        <x:v>2706.695301113</x:v>
      </x:c>
      <x:c r="C3" s="32" t="n">
        <x:v>4.274879394030802</x:v>
      </x:c>
      <x:c r="D3" s="32" t="n">
        <x:f>IF(C3="","",(1/'Metadata'!$B$5)^(C3-1))</x:f>
        <x:v>1883.126062391882</x:v>
      </x:c>
      <x:c r="E3" s="31" t="n">
        <x:f>IF(B3=0,"",B3*D3)</x:f>
        <x:v>5097048.464479533</x:v>
      </x:c>
    </x:row>
    <x:row r="4" ht="18" customHeight="1">
      <x:c r="A4" s="24" t="str">
        <x:v>Large sharks (&gt;=90 cm)</x:v>
      </x:c>
      <x:c r="B4" s="31" t="n">
        <x:v>108.45904122</x:v>
      </x:c>
      <x:c r="C4" s="32" t="n">
        <x:v>4.05</x:v>
      </x:c>
      <x:c r="D4" s="32" t="n">
        <x:f>IF(C4="","",(1/'Metadata'!$B$5)^(C4-1))</x:f>
        <x:v>1122.018454301963</x:v>
      </x:c>
      <x:c r="E4" s="31" t="n">
        <x:f>IF(B4=0,"",B4*D4)</x:f>
        <x:v>121693.04578473729</x:v>
      </x:c>
    </x:row>
    <x:row r="5" ht="18" customHeight="1">
      <x:c r="A5" s="24" t="str">
        <x:v>Lobsters, crabs</x:v>
      </x:c>
      <x:c r="B5" s="31" t="n">
        <x:v>15.14531103</x:v>
      </x:c>
      <x:c r="C5" s="32" t="n">
        <x:v>2.6</x:v>
      </x:c>
      <x:c r="D5" s="32" t="n">
        <x:f>IF(C5="","",(1/'Metadata'!$B$5)^(C5-1))</x:f>
        <x:v>39.810717055349734</x:v>
      </x:c>
      <x:c r="E5" s="31" t="n">
        <x:f>IF(B5=0,"",B5*D5)</x:f>
        <x:v>602.9456921305974</x:v>
      </x:c>
    </x:row>
    <x:row r="6" ht="18" customHeight="1">
      <x:c r="A6" s="24" t="str">
        <x:v>Medium demersals (30 - 89 cm)</x:v>
      </x:c>
      <x:c r="B6" s="31" t="n">
        <x:v>450.6356166821</x:v>
      </x:c>
      <x:c r="C6" s="32" t="n">
        <x:v>3.2864181369434013</x:v>
      </x:c>
      <x:c r="D6" s="32" t="n">
        <x:f>IF(C6="","",(1/'Metadata'!$B$5)^(C6-1))</x:f>
        <x:v>193.38293039088967</x:v>
      </x:c>
      <x:c r="E6" s="31" t="n">
        <x:f>IF(B6=0,"",B6*D6)</x:f>
        <x:v>87145.23609249019</x:v>
      </x:c>
    </x:row>
    <x:row r="7" ht="18" customHeight="1">
      <x:c r="A7" s="24" t="str">
        <x:v>Medium pelagics (30 - 89 cm)</x:v>
      </x:c>
      <x:c r="B7" s="31" t="n">
        <x:v>935.473438987</x:v>
      </x:c>
      <x:c r="C7" s="32" t="n">
        <x:v>3.4158713835634154</x:v>
      </x:c>
      <x:c r="D7" s="32" t="n">
        <x:f>IF(C7="","",(1/'Metadata'!$B$5)^(C7-1))</x:f>
        <x:v>260.5381851145397</x:v>
      </x:c>
      <x:c r="E7" s="31" t="n">
        <x:f>IF(B7=0,"",B7*D7)</x:f>
        <x:v>243726.55201653007</x:v>
      </x:c>
    </x:row>
    <x:row r="8" ht="18" customHeight="1">
      <x:c r="A8" s="24" t="str">
        <x:v>Medium reef assoc. fish (30 - 89 cm)</x:v>
      </x:c>
      <x:c r="B8" s="31" t="n">
        <x:v>2150.4958611439997</x:v>
      </x:c>
      <x:c r="C8" s="32" t="n">
        <x:v>3.3897238325130776</x:v>
      </x:c>
      <x:c r="D8" s="32" t="n">
        <x:f>IF(C8="","",(1/'Metadata'!$B$5)^(C8-1))</x:f>
        <x:v>245.3148464597472</x:v>
      </x:c>
      <x:c r="E8" s="31" t="n">
        <x:f>IF(B8=0,"",B8*D8)</x:f>
        <x:v>527548.5619888621</x:v>
      </x:c>
    </x:row>
    <x:row r="9" ht="18" customHeight="1">
      <x:c r="A9" s="24" t="str">
        <x:v>Shrimps</x:v>
      </x:c>
      <x:c r="B9" s="31" t="n">
        <x:v>28.271247262</x:v>
      </x:c>
      <x:c r="C9" s="32" t="n">
        <x:v>3.2399999999999998</x:v>
      </x:c>
      <x:c r="D9" s="32" t="n">
        <x:f>IF(C9="","",(1/'Metadata'!$B$5)^(C9-1))</x:f>
        <x:v>173.78008287493745</x:v>
      </x:c>
      <x:c r="E9" s="31" t="n">
        <x:f>IF(B9=0,"",B9*D9)</x:f>
        <x:v>4912.979692168208</x:v>
      </x:c>
    </x:row>
    <x:row r="10" ht="18" customHeight="1">
      <x:c r="A10" s="24" t="str">
        <x:v>Small benthopelagics (&lt;30 cm)</x:v>
      </x:c>
      <x:c r="B10" s="31" t="n">
        <x:v>81.34428091699999</x:v>
      </x:c>
      <x:c r="C10" s="32" t="n">
        <x:v>3.24</x:v>
      </x:c>
      <x:c r="D10" s="32" t="n">
        <x:f>IF(C10="","",(1/'Metadata'!$B$5)^(C10-1))</x:f>
        <x:v>173.78008287493762</x:v>
      </x:c>
      <x:c r="E10" s="31" t="n">
        <x:f>IF(B10=0,"",B10*D10)</x:f>
        <x:v>14136.015879158465</x:v>
      </x:c>
    </x:row>
    <x:row r="11" ht="18" customHeight="1">
      <x:c r="A11" s="24" t="str">
        <x:v>Small pelagics (&lt;30 cm)</x:v>
      </x:c>
      <x:c r="B11" s="31" t="n">
        <x:v>248.775125897</x:v>
      </x:c>
      <x:c r="C11" s="32" t="n">
        <x:v>2.9528638812991095</x:v>
      </x:c>
      <x:c r="D11" s="32" t="n">
        <x:f>IF(C11="","",(1/'Metadata'!$B$5)^(C11-1))</x:f>
        <x:v>89.71475620530867</x:v>
      </x:c>
      <x:c r="E11" s="31" t="n">
        <x:f>IF(B11=0,"",B11*D11)</x:f>
        <x:v>22318.79976979433</x:v>
      </x:c>
    </x:row>
  </x:sheetData>
  <x:pageMargins left="0.7" right="0.7" top="0.75" bottom="0.75" header="0.3" footer="0.3"/>
  <x:tableParts count="1">
    <x:tablePart xmlns:r="http://schemas.openxmlformats.org/officeDocument/2006/relationships" r:id="Re41a03034653434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EEZ_626</x:v>
      </x:c>
      <x:c r="B2" s="24" t="str">
        <x:v>raw_filtered_tonnes</x:v>
      </x:c>
      <x:c r="C2" s="24" t="n">
        <x:v>6740.440535282099</x:v>
      </x:c>
      <x:c r="D2" s="24" t="str">
        <x:v>tonnes</x:v>
      </x:c>
    </x:row>
    <x:row r="3" ht="18" customHeight="1">
      <x:c r="A3" s="24" t="str">
        <x:v>EEZ_626</x:v>
      </x:c>
      <x:c r="B3" s="24" t="str">
        <x:v>species_catch_tonnes</x:v>
      </x:c>
      <x:c r="C3" s="24" t="n">
        <x:v>6740.4405352820995</x:v>
      </x:c>
      <x:c r="D3" s="24" t="str">
        <x:v>tonnes</x:v>
      </x:c>
    </x:row>
    <x:row r="4" ht="18" customHeight="1">
      <x:c r="A4" s="24" t="str">
        <x:v>EEZ_626</x:v>
      </x:c>
      <x:c r="B4" s="24" t="str">
        <x:v>catch_difference_tonnes</x:v>
      </x:c>
      <x:c r="C4" s="24" t="n">
        <x:v>9.094947017729282e-13</x:v>
      </x:c>
      <x:c r="D4" s="24" t="str">
        <x:v>tonnes</x:v>
      </x:c>
    </x:row>
    <x:row r="5" ht="18" customHeight="1">
      <x:c r="A5" s="24" t="str">
        <x:v>EEZ_626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EEZ_626</x:v>
      </x:c>
      <x:c r="B6" s="24" t="str">
        <x:v>matched_catch_tonnes</x:v>
      </x:c>
      <x:c r="C6" s="24" t="n">
        <x:v>6740.4405352820995</x:v>
      </x:c>
      <x:c r="D6" s="24" t="str">
        <x:v>tonnes</x:v>
      </x:c>
    </x:row>
    <x:row r="7" ht="18" customHeight="1">
      <x:c r="A7" s="24" t="str">
        <x:v>EEZ_626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EEZ_626</x:v>
      </x:c>
      <x:c r="B8" s="24" t="str">
        <x:v>taxa_count</x:v>
      </x:c>
      <x:c r="C8" s="24" t="n">
        <x:v>28</x:v>
      </x:c>
      <x:c r="D8" s="24" t="str">
        <x:v>count</x:v>
      </x:c>
    </x:row>
    <x:row r="9" ht="18" customHeight="1">
      <x:c r="A9" s="24" t="str">
        <x:v>EEZ_626</x:v>
      </x:c>
      <x:c r="B9" s="24" t="str">
        <x:v>matched_taxa_count</x:v>
      </x:c>
      <x:c r="C9" s="24" t="n">
        <x:v>28</x:v>
      </x:c>
      <x:c r="D9" s="24" t="str">
        <x:v>count</x:v>
      </x:c>
    </x:row>
    <x:row r="10" ht="18" customHeight="1">
      <x:c r="A10" s="24" t="str">
        <x:v>EEZ_626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EEZ_626</x:v>
      </x:c>
      <x:c r="B11" s="24" t="str">
        <x:v>species_ppr</x:v>
      </x:c>
      <x:c r="C11" s="24" t="n">
        <x:v>7104836.656840956</x:v>
      </x:c>
      <x:c r="D11" s="24" t="str">
        <x:v>tonnes_primary_production_equivalent</x:v>
      </x:c>
    </x:row>
    <x:row r="12" ht="18" customHeight="1">
      <x:c r="A12" s="24" t="str">
        <x:v>EEZ_626</x:v>
      </x:c>
      <x:c r="B12" s="24" t="str">
        <x:v>commercial_ppr</x:v>
      </x:c>
      <x:c r="C12" s="24" t="n">
        <x:v>5825364.341053546</x:v>
      </x:c>
      <x:c r="D12" s="24" t="str">
        <x:v>tonnes_primary_production_equivalent</x:v>
      </x:c>
    </x:row>
    <x:row r="13" ht="18" customHeight="1">
      <x:c r="A13" s="24" t="str">
        <x:v>EEZ_626</x:v>
      </x:c>
      <x:c r="B13" s="24" t="str">
        <x:v>functional_ppr</x:v>
      </x:c>
      <x:c r="C13" s="24" t="n">
        <x:v>6128911.235511971</x:v>
      </x:c>
      <x:c r="D13" s="24" t="str">
        <x:v>tonnes_primary_production_equivalent</x:v>
      </x:c>
    </x:row>
    <x:row r="14" ht="18" customHeight="1">
      <x:c r="A14" s="24" t="str">
        <x:v>EEZ_626</x:v>
      </x:c>
      <x:c r="B14" s="24" t="str">
        <x:v>commercial_ppr_difference</x:v>
      </x:c>
      <x:c r="C14" s="24" t="n">
        <x:v>-1279472.3157874094</x:v>
      </x:c>
      <x:c r="D14" s="24" t="str">
        <x:v>tonnes_primary_production_equivalent</x:v>
      </x:c>
    </x:row>
    <x:row r="15" ht="18" customHeight="1">
      <x:c r="A15" s="24" t="str">
        <x:v>EEZ_626</x:v>
      </x:c>
      <x:c r="B15" s="24" t="str">
        <x:v>functional_ppr_difference</x:v>
      </x:c>
      <x:c r="C15" s="24" t="n">
        <x:v>-975925.4213289851</x:v>
      </x:c>
      <x:c r="D15" s="24" t="str">
        <x:v>tonnes_primary_production_equivalent</x:v>
      </x:c>
    </x:row>
    <x:row r="16" ht="18" customHeight="1">
      <x:c r="A16" s="24" t="str">
        <x:v>EEZ_626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EEZ_626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2be31f9d81c44dc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EEZ_626 - Timor Leste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EEZ_626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raw_data/SAU_downloads/EEZ_626-catch.zip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