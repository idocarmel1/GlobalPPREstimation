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c9f03f1e3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9596c1fbefe4ae6"/>
    <x:sheet xmlns:r="http://schemas.openxmlformats.org/officeDocument/2006/relationships" name="Commercial" sheetId="2" r:id="R9524e9f24ab5452e"/>
    <x:sheet xmlns:r="http://schemas.openxmlformats.org/officeDocument/2006/relationships" name="Functional" sheetId="3" r:id="R900e0931f1b34d46"/>
    <x:sheet xmlns:r="http://schemas.openxmlformats.org/officeDocument/2006/relationships" name="Missing TL" sheetId="4" r:id="R29c0577a29894519"/>
    <x:sheet xmlns:r="http://schemas.openxmlformats.org/officeDocument/2006/relationships" name="Validation" sheetId="5" r:id="R26fc9c7344a542b8"/>
    <x:sheet xmlns:r="http://schemas.openxmlformats.org/officeDocument/2006/relationships" name="Metadata" sheetId="6" r:id="R9a2a7c87b6ff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860013a594f6d" /><Relationship Type="http://schemas.openxmlformats.org/officeDocument/2006/relationships/theme" Target="/xl/theme/theme1.xml" Id="R6a51915b60034e0c" /><Relationship Type="http://schemas.microsoft.com/office/2022/11/relationships/FeaturePropertyBag" Target="/xl/featurePropertyBag/featurePropertyBag.xml" Id="R0ee743d7bd4a4ac0" /><Relationship Type="http://schemas.openxmlformats.org/officeDocument/2006/relationships/sharedStrings" Target="/xl/sharedStrings.xml" Id="Rf4c1d81b7e2e4db0" /><Relationship Type="http://schemas.openxmlformats.org/officeDocument/2006/relationships/worksheet" Target="/xl/worksheets/sheet1.xml" Id="R39596c1fbefe4ae6" /><Relationship Type="http://schemas.openxmlformats.org/officeDocument/2006/relationships/worksheet" Target="/xl/worksheets/sheet2.xml" Id="R9524e9f24ab5452e" /><Relationship Type="http://schemas.openxmlformats.org/officeDocument/2006/relationships/worksheet" Target="/xl/worksheets/sheet3.xml" Id="R900e0931f1b34d46" /><Relationship Type="http://schemas.openxmlformats.org/officeDocument/2006/relationships/worksheet" Target="/xl/worksheets/sheet4.xml" Id="R29c0577a29894519" /><Relationship Type="http://schemas.openxmlformats.org/officeDocument/2006/relationships/worksheet" Target="/xl/worksheets/sheet5.xml" Id="R26fc9c7344a542b8" /><Relationship Type="http://schemas.openxmlformats.org/officeDocument/2006/relationships/worksheet" Target="/xl/worksheets/sheet6.xml" Id="R9a2a7c87b6ff49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4SpeciesTable" displayName="EEZ574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4CommercialTable" displayName="EEZ574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4FunctionalTable" displayName="EEZ574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4ValidationTable" displayName="EEZ57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552c0e8c3740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9ab9286de14f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39d26bca0747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114ba2facf42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EEZ_574</x:v>
      </x:c>
      <x:c r="B2" s="24" t="str">
        <x:v>Norfolk Isl. (Australia)</x:v>
      </x:c>
      <x:c r="C2" s="24" t="str">
        <x:v>EEZ</x:v>
      </x:c>
      <x:c r="D2" s="30" t="n">
        <x:v>2019</x:v>
      </x:c>
      <x:c r="E2" s="24" t="str">
        <x:v>Xiphias gladius</x:v>
      </x:c>
      <x:c r="F2" s="24" t="str">
        <x:v>Swordfish</x:v>
      </x:c>
      <x:c r="G2" s="24" t="str">
        <x:v>Large pelagics (&gt;=90 cm)</x:v>
      </x:c>
      <x:c r="H2" s="24" t="str">
        <x:v>Tuna &amp; billfishes</x:v>
      </x:c>
      <x:c r="I2" s="31" t="n">
        <x:v>4.6761362964</x:v>
      </x:c>
      <x:c r="J2" s="31" t="n">
        <x:v>4.6761362964</x:v>
      </x:c>
      <x:c r="K2" s="31" t="n">
        <x:v>0</x:v>
      </x:c>
      <x:c r="L2" s="31" t="n">
        <x:v>4.6761362964</x:v>
      </x:c>
      <x:c r="M2" s="31" t="n">
        <x:v>0</x:v>
      </x:c>
      <x:c r="N2" s="24" t="str">
        <x:v>xiphias gladius</x:v>
      </x:c>
      <x:c r="O2" s="32" t="n">
        <x:v>4.53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Xiphias gladius</x:v>
      </x:c>
      <x:c r="T2" s="32" t="n">
        <x:f>IF(O2="","",(1/'Metadata'!$B$5)^(O2-1))</x:f>
        <x:v>3388.4415613920273</x:v>
      </x:c>
      <x:c r="U2" s="31" t="n">
        <x:f>IF(T2="","",I2*T2)</x:f>
        <x:v>15844.81457345555</x:v>
      </x:c>
    </x:row>
    <x:row r="3" ht="18" customHeight="1">
      <x:c r="A3" s="24" t="str">
        <x:v>EEZ_574</x:v>
      </x:c>
      <x:c r="B3" s="24" t="str">
        <x:v>Norfolk Isl. (Australia)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3.860716261</x:v>
      </x:c>
      <x:c r="J3" s="31" t="n">
        <x:v>3.2851649999999997</x:v>
      </x:c>
      <x:c r="K3" s="31" t="n">
        <x:v>0.575551261</x:v>
      </x:c>
      <x:c r="L3" s="31" t="n">
        <x:v>0</x:v>
      </x:c>
      <x:c r="M3" s="31" t="n">
        <x:v>3.860716261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735.644317853744</x:v>
      </x:c>
    </x:row>
    <x:row r="4" ht="18" customHeight="1">
      <x:c r="A4" s="24" t="str">
        <x:v>EEZ_574</x:v>
      </x:c>
      <x:c r="B4" s="24" t="str">
        <x:v>Norfolk Isl. (Australia)</x:v>
      </x:c>
      <x:c r="C4" s="24" t="str">
        <x:v>EEZ</x:v>
      </x:c>
      <x:c r="D4" s="30" t="n">
        <x:v>2019</x:v>
      </x:c>
      <x:c r="E4" s="24" t="str">
        <x:v>Epinephelus lanceolatus</x:v>
      </x:c>
      <x:c r="F4" s="24" t="str">
        <x:v>Giant grouper</x:v>
      </x:c>
      <x:c r="G4" s="24" t="str">
        <x:v>Large reef assoc. fish (&gt;=90 cm)</x:v>
      </x:c>
      <x:c r="H4" s="24" t="str">
        <x:v>Perch-likes</x:v>
      </x:c>
      <x:c r="I4" s="31" t="n">
        <x:v>2.37354</x:v>
      </x:c>
      <x:c r="J4" s="31" t="n">
        <x:v>2.37354</x:v>
      </x:c>
      <x:c r="K4" s="31" t="n">
        <x:v>0</x:v>
      </x:c>
      <x:c r="L4" s="31" t="n">
        <x:v>0</x:v>
      </x:c>
      <x:c r="M4" s="31" t="n">
        <x:v>2.37354</x:v>
      </x:c>
      <x:c r="N4" s="24" t="str">
        <x:v>epinephelus lanceolatus</x:v>
      </x:c>
      <x:c r="O4" s="32" t="n">
        <x:v>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Epinephelus lanceolatus</x:v>
      </x:c>
      <x:c r="T4" s="32" t="n">
        <x:f>IF(O4="","",(1/'Metadata'!$B$5)^(O4-1))</x:f>
        <x:v>1000</x:v>
      </x:c>
      <x:c r="U4" s="31" t="n">
        <x:f>IF(T4="","",I4*T4)</x:f>
        <x:v>2373.5400000000004</x:v>
      </x:c>
    </x:row>
    <x:row r="5" ht="18" customHeight="1">
      <x:c r="A5" s="24" t="str">
        <x:v>EEZ_574</x:v>
      </x:c>
      <x:c r="B5" s="24" t="str">
        <x:v>Norfolk Isl. (Australia)</x:v>
      </x:c>
      <x:c r="C5" s="24" t="str">
        <x:v>EEZ</x:v>
      </x:c>
      <x:c r="D5" s="30" t="n">
        <x:v>2019</x:v>
      </x:c>
      <x:c r="E5" s="24" t="str">
        <x:v>Thunnus alalunga</x:v>
      </x:c>
      <x:c r="F5" s="24" t="str">
        <x:v>Albacore</x:v>
      </x:c>
      <x:c r="G5" s="24" t="str">
        <x:v>Large pelagics (&gt;=90 cm)</x:v>
      </x:c>
      <x:c r="H5" s="24" t="str">
        <x:v>Tuna &amp; billfishes</x:v>
      </x:c>
      <x:c r="I5" s="31" t="n">
        <x:v>2.1839011817</x:v>
      </x:c>
      <x:c r="J5" s="31" t="n">
        <x:v>2.1839011817</x:v>
      </x:c>
      <x:c r="K5" s="31" t="n">
        <x:v>0</x:v>
      </x:c>
      <x:c r="L5" s="31" t="n">
        <x:v>2.1839011817</x:v>
      </x:c>
      <x:c r="M5" s="31" t="n">
        <x:v>0</x:v>
      </x:c>
      <x:c r="N5" s="24" t="str">
        <x:v>thunnus alalunga</x:v>
      </x:c>
      <x:c r="O5" s="32" t="n">
        <x:v>4.3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alalunga</x:v>
      </x:c>
      <x:c r="T5" s="32" t="n">
        <x:f>IF(O5="","",(1/'Metadata'!$B$5)^(O5-1))</x:f>
        <x:v>1995.2623149688789</x:v>
      </x:c>
      <x:c r="U5" s="31" t="n">
        <x:f>IF(T5="","",I5*T5)</x:f>
        <x:v>4357.455727462012</x:v>
      </x:c>
    </x:row>
    <x:row r="6" ht="18" customHeight="1">
      <x:c r="A6" s="24" t="str">
        <x:v>EEZ_574</x:v>
      </x:c>
      <x:c r="B6" s="24" t="str">
        <x:v>Norfolk Isl. (Australia)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1.7963147055</x:v>
      </x:c>
      <x:c r="J6" s="31" t="n">
        <x:v>0</x:v>
      </x:c>
      <x:c r="K6" s="31" t="n">
        <x:v>1.7963147055</x:v>
      </x:c>
      <x:c r="L6" s="31" t="n">
        <x:v>0</x:v>
      </x:c>
      <x:c r="M6" s="31" t="n">
        <x:v>1.7963147055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4021.447702724008</x:v>
      </x:c>
    </x:row>
    <x:row r="7" ht="18" customHeight="1">
      <x:c r="A7" s="24" t="str">
        <x:v>EEZ_574</x:v>
      </x:c>
      <x:c r="B7" s="24" t="str">
        <x:v>Norfolk Isl. (Australia)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0.6115994451</x:v>
      </x:c>
      <x:c r="J7" s="31" t="n">
        <x:v>0.576961623</x:v>
      </x:c>
      <x:c r="K7" s="31" t="n">
        <x:v>0.0346378221</x:v>
      </x:c>
      <x:c r="L7" s="31" t="n">
        <x:v>0.576961623</x:v>
      </x:c>
      <x:c r="M7" s="31" t="n">
        <x:v>0.0346378221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1572.0526344288176</x:v>
      </x:c>
    </x:row>
    <x:row r="8" ht="18" customHeight="1">
      <x:c r="A8" s="24" t="str">
        <x:v>EEZ_574</x:v>
      </x:c>
      <x:c r="B8" s="24" t="str">
        <x:v>Norfolk Isl. (Australia)</x:v>
      </x:c>
      <x:c r="C8" s="24" t="str">
        <x:v>EEZ</x:v>
      </x:c>
      <x:c r="D8" s="30" t="n">
        <x:v>2019</x:v>
      </x:c>
      <x:c r="E8" s="24" t="str">
        <x:v>Thunnus maccoyii</x:v>
      </x:c>
      <x:c r="F8" s="24" t="str">
        <x:v>Southern bluefin tuna</x:v>
      </x:c>
      <x:c r="G8" s="24" t="str">
        <x:v>Large pelagics (&gt;=90 cm)</x:v>
      </x:c>
      <x:c r="H8" s="24" t="str">
        <x:v>Tuna &amp; billfishes</x:v>
      </x:c>
      <x:c r="I8" s="31" t="n">
        <x:v>0.462071386</x:v>
      </x:c>
      <x:c r="J8" s="31" t="n">
        <x:v>0.44976056919999996</x:v>
      </x:c>
      <x:c r="K8" s="31" t="n">
        <x:v>0.0123108168</x:v>
      </x:c>
      <x:c r="L8" s="31" t="n">
        <x:v>0.44976056919999996</x:v>
      </x:c>
      <x:c r="M8" s="31" t="n">
        <x:v>0.0123108168</x:v>
      </x:c>
      <x:c r="N8" s="24" t="str">
        <x:v>thunnus maccoyii</x:v>
      </x:c>
      <x:c r="O8" s="32" t="n">
        <x:v>3.93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maccoyii</x:v>
      </x:c>
      <x:c r="T8" s="32" t="n">
        <x:f>IF(O8="","",(1/'Metadata'!$B$5)^(O8-1))</x:f>
        <x:v>851.1380382023768</x:v>
      </x:c>
      <x:c r="U8" s="31" t="n">
        <x:f>IF(T8="","",I8*T8)</x:f>
        <x:v>393.2865329894932</x:v>
      </x:c>
    </x:row>
    <x:row r="9" ht="18" customHeight="1">
      <x:c r="A9" s="24" t="str">
        <x:v>EEZ_574</x:v>
      </x:c>
      <x:c r="B9" s="24" t="str">
        <x:v>Norfolk Isl. (Australia)</x:v>
      </x:c>
      <x:c r="C9" s="24" t="str">
        <x:v>EEZ</x:v>
      </x:c>
      <x:c r="D9" s="30" t="n">
        <x:v>2019</x:v>
      </x:c>
      <x:c r="E9" s="24" t="str">
        <x:v>Kajikia audax</x:v>
      </x:c>
      <x:c r="F9" s="24" t="str">
        <x:v>Striped marlin</x:v>
      </x:c>
      <x:c r="G9" s="24" t="str">
        <x:v>Large pelagics (&gt;=90 cm)</x:v>
      </x:c>
      <x:c r="H9" s="24" t="str">
        <x:v>Tuna &amp; billfishes</x:v>
      </x:c>
      <x:c r="I9" s="31" t="n">
        <x:v>0.3626256337</x:v>
      </x:c>
      <x:c r="J9" s="31" t="n">
        <x:v>0.3626256337</x:v>
      </x:c>
      <x:c r="K9" s="31" t="n">
        <x:v>0</x:v>
      </x:c>
      <x:c r="L9" s="31" t="n">
        <x:v>0.3626256337</x:v>
      </x:c>
      <x:c r="M9" s="31" t="n">
        <x:v>0</x:v>
      </x:c>
      <x:c r="N9" s="24" t="str">
        <x:v>kajikia audax</x:v>
      </x:c>
      <x:c r="O9" s="32" t="n">
        <x:v>4.58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Kajikia audax</x:v>
      </x:c>
      <x:c r="T9" s="32" t="n">
        <x:f>IF(O9="","",(1/'Metadata'!$B$5)^(O9-1))</x:f>
        <x:v>3801.8939632056126</x:v>
      </x:c>
      <x:c r="U9" s="31" t="n">
        <x:f>IF(T9="","",I9*T9)</x:f>
        <x:v>1378.6642076676399</x:v>
      </x:c>
    </x:row>
    <x:row r="10" ht="18" customHeight="1">
      <x:c r="A10" s="24" t="str">
        <x:v>EEZ_574</x:v>
      </x:c>
      <x:c r="B10" s="24" t="str">
        <x:v>Norfolk Isl. (Australia)</x:v>
      </x:c>
      <x:c r="C10" s="24" t="str">
        <x:v>EEZ</x:v>
      </x:c>
      <x:c r="D10" s="30" t="n">
        <x:v>2019</x:v>
      </x:c>
      <x:c r="E10" s="24" t="str">
        <x:v>Seriola lalandi</x:v>
      </x:c>
      <x:c r="F10" s="24" t="str">
        <x:v>Yellowtail amberjack</x:v>
      </x:c>
      <x:c r="G10" s="24" t="str">
        <x:v>Large benthopelagics (&gt;=90 cm)</x:v>
      </x:c>
      <x:c r="H10" s="24" t="str">
        <x:v>Perch-likes</x:v>
      </x:c>
      <x:c r="I10" s="31" t="n">
        <x:v>0.33813</x:v>
      </x:c>
      <x:c r="J10" s="31" t="n">
        <x:v>0.33813</x:v>
      </x:c>
      <x:c r="K10" s="31" t="n">
        <x:v>0</x:v>
      </x:c>
      <x:c r="L10" s="31" t="n">
        <x:v>0</x:v>
      </x:c>
      <x:c r="M10" s="31" t="n">
        <x:v>0.33813</x:v>
      </x:c>
      <x:c r="N10" s="24" t="str">
        <x:v>seriola lalandi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Seriola lalandi</x:v>
      </x:c>
      <x:c r="T10" s="32" t="n">
        <x:f>IF(O10="","",(1/'Metadata'!$B$5)^(O10-1))</x:f>
        <x:v>1445.439770745928</x:v>
      </x:c>
      <x:c r="U10" s="31" t="n">
        <x:f>IF(T10="","",I10*T10)</x:f>
        <x:v>488.7465496823206</x:v>
      </x:c>
    </x:row>
    <x:row r="11" ht="18" customHeight="1">
      <x:c r="A11" s="24" t="str">
        <x:v>EEZ_574</x:v>
      </x:c>
      <x:c r="B11" s="24" t="str">
        <x:v>Norfolk Isl. (Australia)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0.1989</x:v>
      </x:c>
      <x:c r="J11" s="31" t="n">
        <x:v>0.1989</x:v>
      </x:c>
      <x:c r="K11" s="31" t="n">
        <x:v>0</x:v>
      </x:c>
      <x:c r="L11" s="31" t="n">
        <x:v>0</x:v>
      </x:c>
      <x:c r="M11" s="31" t="n">
        <x:v>0.1989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189.9480253596636</x:v>
      </x:c>
    </x:row>
    <x:row r="12" ht="18" customHeight="1">
      <x:c r="A12" s="24" t="str">
        <x:v>EEZ_574</x:v>
      </x:c>
      <x:c r="B12" s="24" t="str">
        <x:v>Norfolk Isl. (Australia)</x:v>
      </x:c>
      <x:c r="C12" s="24" t="str">
        <x:v>EEZ</x:v>
      </x:c>
      <x:c r="D12" s="30" t="n">
        <x:v>2019</x:v>
      </x:c>
      <x:c r="E12" s="24" t="str">
        <x:v>Pseudocaranx dentex</x:v>
      </x:c>
      <x:c r="F12" s="24" t="str">
        <x:v>White trevally</x:v>
      </x:c>
      <x:c r="G12" s="24" t="str">
        <x:v>Large reef assoc. fish (&gt;=90 cm)</x:v>
      </x:c>
      <x:c r="H12" s="24" t="str">
        <x:v>Perch-likes</x:v>
      </x:c>
      <x:c r="I12" s="31" t="n">
        <x:v>0.17901</x:v>
      </x:c>
      <x:c r="J12" s="31" t="n">
        <x:v>0.17901</x:v>
      </x:c>
      <x:c r="K12" s="31" t="n">
        <x:v>0</x:v>
      </x:c>
      <x:c r="L12" s="31" t="n">
        <x:v>0</x:v>
      </x:c>
      <x:c r="M12" s="31" t="n">
        <x:v>0.17901</x:v>
      </x:c>
      <x:c r="N12" s="24" t="str">
        <x:v>pseudocaranx dentex</x:v>
      </x:c>
      <x:c r="O12" s="32" t="n">
        <x:v>3.92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Pseudocaranx dentex</x:v>
      </x:c>
      <x:c r="T12" s="32" t="n">
        <x:f>IF(O12="","",(1/'Metadata'!$B$5)^(O12-1))</x:f>
        <x:v>831.7637711026708</x:v>
      </x:c>
      <x:c r="U12" s="31" t="n">
        <x:f>IF(T12="","",I12*T12)</x:f>
        <x:v>148.8940326650891</x:v>
      </x:c>
    </x:row>
    <x:row r="13" ht="18" customHeight="1">
      <x:c r="A13" s="24" t="str">
        <x:v>EEZ_574</x:v>
      </x:c>
      <x:c r="B13" s="24" t="str">
        <x:v>Norfolk Isl. (Australia)</x:v>
      </x:c>
      <x:c r="C13" s="24" t="str">
        <x:v>EEZ</x:v>
      </x:c>
      <x:c r="D13" s="30" t="n">
        <x:v>2019</x:v>
      </x:c>
      <x:c r="E13" s="24" t="str">
        <x:v>Epinephelus</x:v>
      </x:c>
      <x:c r="F13" s="24" t="str">
        <x:v>Seabasses, hinds</x:v>
      </x:c>
      <x:c r="G13" s="24" t="str">
        <x:v>Medium reef assoc. fish (30 - 89 cm)</x:v>
      </x:c>
      <x:c r="H13" s="24" t="str">
        <x:v>Perch-likes</x:v>
      </x:c>
      <x:c r="I13" s="31" t="n">
        <x:v>0.15249</x:v>
      </x:c>
      <x:c r="J13" s="31" t="n">
        <x:v>0.15249</x:v>
      </x:c>
      <x:c r="K13" s="31" t="n">
        <x:v>0</x:v>
      </x:c>
      <x:c r="L13" s="31" t="n">
        <x:v>0</x:v>
      </x:c>
      <x:c r="M13" s="31" t="n">
        <x:v>0.15249</x:v>
      </x:c>
      <x:c r="N13" s="24" t="str">
        <x:v>epinephelus</x:v>
      </x:c>
      <x:c r="O13" s="32" t="n">
        <x:v>3.84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Epinephelus</x:v>
      </x:c>
      <x:c r="T13" s="32" t="n">
        <x:f>IF(O13="","",(1/'Metadata'!$B$5)^(O13-1))</x:f>
        <x:v>691.8309709189363</x:v>
      </x:c>
      <x:c r="U13" s="31" t="n">
        <x:f>IF(T13="","",I13*T13)</x:f>
        <x:v>105.49730475542859</x:v>
      </x:c>
    </x:row>
    <x:row r="14" ht="18" customHeight="1">
      <x:c r="A14" s="24" t="str">
        <x:v>EEZ_574</x:v>
      </x:c>
      <x:c r="B14" s="24" t="str">
        <x:v>Norfolk Isl. (Australia)</x:v>
      </x:c>
      <x:c r="C14" s="24" t="str">
        <x:v>EEZ</x:v>
      </x:c>
      <x:c r="D14" s="30" t="n">
        <x:v>2019</x:v>
      </x:c>
      <x:c r="E14" s="24" t="str">
        <x:v>Istiompax indica</x:v>
      </x:c>
      <x:c r="F14" s="24" t="str">
        <x:v>Black marlin</x:v>
      </x:c>
      <x:c r="G14" s="24" t="str">
        <x:v>Large pelagics (&gt;=90 cm)</x:v>
      </x:c>
      <x:c r="H14" s="24" t="str">
        <x:v>Tuna &amp; billfishes</x:v>
      </x:c>
      <x:c r="I14" s="31" t="n">
        <x:v>0.1264685581</x:v>
      </x:c>
      <x:c r="J14" s="31" t="n">
        <x:v>0.1264685581</x:v>
      </x:c>
      <x:c r="K14" s="31" t="n">
        <x:v>0</x:v>
      </x:c>
      <x:c r="L14" s="31" t="n">
        <x:v>0.1264685581</x:v>
      </x:c>
      <x:c r="M14" s="31" t="n">
        <x:v>0</x:v>
      </x:c>
      <x:c r="N14" s="24" t="str">
        <x:v>istiompax indica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Istiompax indica</x:v>
      </x:c>
      <x:c r="T14" s="32" t="n">
        <x:f>IF(O14="","",(1/'Metadata'!$B$5)^(O14-1))</x:f>
        <x:v>3162.2776601683795</x:v>
      </x:c>
      <x:c r="U14" s="31" t="n">
        <x:f>IF(T14="","",I14*T14)</x:f>
        <x:v>399.9286959933367</x:v>
      </x:c>
    </x:row>
    <x:row r="15" ht="18" customHeight="1">
      <x:c r="A15" s="24" t="str">
        <x:v>EEZ_574</x:v>
      </x:c>
      <x:c r="B15" s="24" t="str">
        <x:v>Norfolk Isl. (Australia)</x:v>
      </x:c>
      <x:c r="C15" s="24" t="str">
        <x:v>EEZ</x:v>
      </x:c>
      <x:c r="D15" s="30" t="n">
        <x:v>2019</x:v>
      </x:c>
      <x:c r="E15" s="24" t="str">
        <x:v>Thunnus obesus</x:v>
      </x:c>
      <x:c r="F15" s="24" t="str">
        <x:v>Bigeye tuna</x:v>
      </x:c>
      <x:c r="G15" s="24" t="str">
        <x:v>Large pelagics (&gt;=90 cm)</x:v>
      </x:c>
      <x:c r="H15" s="24" t="str">
        <x:v>Tuna &amp; billfishes</x:v>
      </x:c>
      <x:c r="I15" s="31" t="n">
        <x:v>0.0696834174</x:v>
      </x:c>
      <x:c r="J15" s="31" t="n">
        <x:v>0.0550736085</x:v>
      </x:c>
      <x:c r="K15" s="31" t="n">
        <x:v>0.0146098089</x:v>
      </x:c>
      <x:c r="L15" s="31" t="n">
        <x:v>0.0550736085</x:v>
      </x:c>
      <x:c r="M15" s="31" t="n">
        <x:v>0.0146098089</x:v>
      </x:c>
      <x:c r="N15" s="24" t="str">
        <x:v>thunnus obesus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obesus</x:v>
      </x:c>
      <x:c r="T15" s="32" t="n">
        <x:f>IF(O15="","",(1/'Metadata'!$B$5)^(O15-1))</x:f>
        <x:v>3090.295432513592</x:v>
      </x:c>
      <x:c r="U15" s="31" t="n">
        <x:f>IF(T15="","",I15*T15)</x:f>
        <x:v>215.34234651315816</x:v>
      </x:c>
    </x:row>
    <x:row r="16" ht="18" customHeight="1">
      <x:c r="A16" s="24" t="str">
        <x:v>EEZ_574</x:v>
      </x:c>
      <x:c r="B16" s="24" t="str">
        <x:v>Norfolk Isl. (Australia)</x:v>
      </x:c>
      <x:c r="C16" s="24" t="str">
        <x:v>EEZ</x:v>
      </x:c>
      <x:c r="D16" s="30" t="n">
        <x:v>2019</x:v>
      </x:c>
      <x:c r="E16" s="24" t="str">
        <x:v>Cephalopholis miniata</x:v>
      </x:c>
      <x:c r="F16" s="24" t="str">
        <x:v>Coral hind</x:v>
      </x:c>
      <x:c r="G16" s="24" t="str">
        <x:v>Medium reef assoc. fish (30 - 89 cm)</x:v>
      </x:c>
      <x:c r="H16" s="24" t="str">
        <x:v>Perch-likes</x:v>
      </x:c>
      <x:c r="I16" s="31" t="n">
        <x:v>0.064311</x:v>
      </x:c>
      <x:c r="J16" s="31" t="n">
        <x:v>0.064311</x:v>
      </x:c>
      <x:c r="K16" s="31" t="n">
        <x:v>0</x:v>
      </x:c>
      <x:c r="L16" s="31" t="n">
        <x:v>0</x:v>
      </x:c>
      <x:c r="M16" s="31" t="n">
        <x:v>0.064311</x:v>
      </x:c>
      <x:c r="N16" s="24" t="str">
        <x:v>cephalopholis miniata</x:v>
      </x:c>
      <x:c r="O16" s="32" t="n">
        <x:v>4.29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Cephalopholis miniata</x:v>
      </x:c>
      <x:c r="T16" s="32" t="n">
        <x:f>IF(O16="","",(1/'Metadata'!$B$5)^(O16-1))</x:f>
        <x:v>1949.8445997580454</x:v>
      </x:c>
      <x:c r="U16" s="31" t="n">
        <x:f>IF(T16="","",I16*T16)</x:f>
        <x:v>125.39645605503965</x:v>
      </x:c>
    </x:row>
    <x:row r="17" ht="18" customHeight="1">
      <x:c r="A17" s="24" t="str">
        <x:v>EEZ_574</x:v>
      </x:c>
      <x:c r="B17" s="24" t="str">
        <x:v>Norfolk Isl. (Australia)</x:v>
      </x:c>
      <x:c r="C17" s="24" t="str">
        <x:v>EEZ</x:v>
      </x:c>
      <x:c r="D17" s="30" t="n">
        <x:v>2019</x:v>
      </x:c>
      <x:c r="E17" s="24" t="str">
        <x:v>Pagrus auratus</x:v>
      </x:c>
      <x:c r="F17" s="24" t="str">
        <x:v>Silver seabream</x:v>
      </x:c>
      <x:c r="G17" s="24" t="str">
        <x:v>Large demersals (&gt;=90 cm)</x:v>
      </x:c>
      <x:c r="H17" s="24" t="str">
        <x:v>Perch-likes</x:v>
      </x:c>
      <x:c r="I17" s="31" t="n">
        <x:v>0.038454</x:v>
      </x:c>
      <x:c r="J17" s="31" t="n">
        <x:v>0.038454</x:v>
      </x:c>
      <x:c r="K17" s="31" t="n">
        <x:v>0</x:v>
      </x:c>
      <x:c r="L17" s="31" t="n">
        <x:v>0</x:v>
      </x:c>
      <x:c r="M17" s="31" t="n">
        <x:v>0.038454</x:v>
      </x:c>
      <x:c r="N17" s="24" t="str">
        <x:v>pagrus auratus</x:v>
      </x:c>
      <x:c r="O17" s="32" t="n">
        <x:v>3.59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Pagrus auratus</x:v>
      </x:c>
      <x:c r="T17" s="32" t="n">
        <x:f>IF(O17="","",(1/'Metadata'!$B$5)^(O17-1))</x:f>
        <x:v>389.04514499428046</x:v>
      </x:c>
      <x:c r="U17" s="31" t="n">
        <x:f>IF(T17="","",I17*T17)</x:f>
        <x:v>14.960342005610062</x:v>
      </x:c>
    </x:row>
    <x:row r="18" ht="18" customHeight="1">
      <x:c r="A18" s="24" t="str">
        <x:v>EEZ_574</x:v>
      </x:c>
      <x:c r="B18" s="24" t="str">
        <x:v>Norfolk Isl. (Australia)</x:v>
      </x:c>
      <x:c r="C18" s="24" t="str">
        <x:v>EEZ</x:v>
      </x:c>
      <x:c r="D18" s="30" t="n">
        <x:v>2019</x:v>
      </x:c>
      <x:c r="E18" s="24" t="str">
        <x:v>Marine pelagic fishes not identified</x:v>
      </x:c>
      <x:c r="F18" s="24" t="str">
        <x:v>Pelagic fishes</x:v>
      </x:c>
      <x:c r="G18" s="24" t="str">
        <x:v>Medium pelagics (30 - 89 cm)</x:v>
      </x:c>
      <x:c r="H18" s="24" t="str">
        <x:v>Other fishes &amp; inverts</x:v>
      </x:c>
      <x:c r="I18" s="31" t="n">
        <x:v>0.0034609327</x:v>
      </x:c>
      <x:c r="J18" s="31" t="n">
        <x:v>0.0034609327</x:v>
      </x:c>
      <x:c r="K18" s="31" t="n">
        <x:v>0</x:v>
      </x:c>
      <x:c r="L18" s="31" t="n">
        <x:v>0.0034609327</x:v>
      </x:c>
      <x:c r="M18" s="31" t="n">
        <x:v>0</x:v>
      </x:c>
      <x:c r="N18" s="24" t="str">
        <x:v>marine pelagic fishes not identified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pelagic fishes not identified</x:v>
      </x:c>
      <x:c r="T18" s="32" t="n">
        <x:f>IF(O18="","",(1/'Metadata'!$B$5)^(O18-1))</x:f>
        <x:v>223.872113856834</x:v>
      </x:c>
      <x:c r="U18" s="31" t="n">
        <x:f>IF(T18="","",I18*T18)</x:f>
        <x:v>0.7748063194652399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b552c0e8c3740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3.8641771937</x:v>
      </x:c>
      <x:c r="C2" s="32" t="n">
        <x:v>3.28006269518111</x:v>
      </x:c>
      <x:c r="D2" s="32" t="n">
        <x:f>IF(C2="","",(1/'Metadata'!$B$5)^(C2-1))</x:f>
        <x:v>190.57358120137528</x:v>
      </x:c>
      <x:c r="E2" s="31" t="n">
        <x:f>IF(B2=0,"",B2*D2)</x:f>
        <x:v>736.4100862000894</x:v>
      </x:c>
    </x:row>
    <x:row r="3" ht="18" customHeight="1">
      <x:c r="A3" s="24" t="str">
        <x:v>Perch-likes</x:v>
      </x:c>
      <x:c r="B3" s="31" t="n">
        <x:v>3.3448350000000002</x:v>
      </x:c>
      <x:c r="C3" s="32" t="n">
        <x:v>4.004271555996036</x:v>
      </x:c>
      <x:c r="D3" s="32" t="n">
        <x:f>IF(C3="","",(1/'Metadata'!$B$5)^(C3-1))</x:f>
        <x:v>1009.88414985496</x:v>
      </x:c>
      <x:c r="E3" s="31" t="n">
        <x:f>IF(B3=0,"",B3*D3)</x:f>
        <x:v>3377.8958503801155</x:v>
      </x:c>
    </x:row>
    <x:row r="4" ht="18" customHeight="1">
      <x:c r="A4" s="24" t="str">
        <x:v>Sharks &amp; rays</x:v>
      </x:c>
      <x:c r="B4" s="31" t="n">
        <x:v>1.7963147055</x:v>
      </x:c>
      <x:c r="C4" s="32" t="n">
        <x:v>4.35</x:v>
      </x:c>
      <x:c r="D4" s="32" t="n">
        <x:f>IF(C4="","",(1/'Metadata'!$B$5)^(C4-1))</x:f>
        <x:v>2238.7211385683377</x:v>
      </x:c>
      <x:c r="E4" s="31" t="n">
        <x:f>IF(B4=0,"",B4*D4)</x:f>
        <x:v>4021.447702724008</x:v>
      </x:c>
    </x:row>
    <x:row r="5" ht="18" customHeight="1">
      <x:c r="A5" s="24" t="str">
        <x:v>Tuna &amp; billfishes</x:v>
      </x:c>
      <x:c r="B5" s="31" t="n">
        <x:v>8.4924859184</x:v>
      </x:c>
      <x:c r="C5" s="32" t="n">
        <x:v>4.430926282758498</x:v>
      </x:c>
      <x:c r="D5" s="32" t="n">
        <x:f>IF(C5="","",(1/'Metadata'!$B$5)^(C5-1))</x:f>
        <x:v>2697.2815564175216</x:v>
      </x:c>
      <x:c r="E5" s="31" t="n">
        <x:f>IF(B5=0,"",B5*D5)</x:f>
        <x:v>22906.625635835837</x:v>
      </x:c>
    </x:row>
  </x:sheetData>
  <x:pageMargins left="0.7" right="0.7" top="0.75" bottom="0.75" header="0.3" footer="0.3"/>
  <x:tableParts count="1">
    <x:tablePart xmlns:r="http://schemas.openxmlformats.org/officeDocument/2006/relationships" r:id="R8f9ab9286de14f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0.33813</x:v>
      </x:c>
      <x:c r="C2" s="32" t="n">
        <x:v>4.16</x:v>
      </x:c>
      <x:c r="D2" s="32" t="n">
        <x:f>IF(C2="","",(1/'Metadata'!$B$5)^(C2-1))</x:f>
        <x:v>1445.439770745928</x:v>
      </x:c>
      <x:c r="E2" s="31" t="n">
        <x:f>IF(B2=0,"",B2*D2)</x:f>
        <x:v>488.7465496823206</x:v>
      </x:c>
    </x:row>
    <x:row r="3" ht="18" customHeight="1">
      <x:c r="A3" s="24" t="str">
        <x:v>Large demersals (&gt;=90 cm)</x:v>
      </x:c>
      <x:c r="B3" s="31" t="n">
        <x:v>0.038454</x:v>
      </x:c>
      <x:c r="C3" s="32" t="n">
        <x:v>3.59</x:v>
      </x:c>
      <x:c r="D3" s="32" t="n">
        <x:f>IF(C3="","",(1/'Metadata'!$B$5)^(C3-1))</x:f>
        <x:v>389.04514499428046</x:v>
      </x:c>
      <x:c r="E3" s="31" t="n">
        <x:f>IF(B3=0,"",B3*D3)</x:f>
        <x:v>14.960342005610062</x:v>
      </x:c>
    </x:row>
    <x:row r="4" ht="18" customHeight="1">
      <x:c r="A4" s="24" t="str">
        <x:v>Large pelagics (&gt;=90 cm)</x:v>
      </x:c>
      <x:c r="B4" s="31" t="n">
        <x:v>8.4924859184</x:v>
      </x:c>
      <x:c r="C4" s="32" t="n">
        <x:v>4.430926282758498</x:v>
      </x:c>
      <x:c r="D4" s="32" t="n">
        <x:f>IF(C4="","",(1/'Metadata'!$B$5)^(C4-1))</x:f>
        <x:v>2697.2815564175216</x:v>
      </x:c>
      <x:c r="E4" s="31" t="n">
        <x:f>IF(B4=0,"",B4*D4)</x:f>
        <x:v>22906.625635835837</x:v>
      </x:c>
    </x:row>
    <x:row r="5" ht="18" customHeight="1">
      <x:c r="A5" s="24" t="str">
        <x:v>Large reef assoc. fish (&gt;=90 cm)</x:v>
      </x:c>
      <x:c r="B5" s="31" t="n">
        <x:v>2.55255</x:v>
      </x:c>
      <x:c r="C5" s="32" t="n">
        <x:v>3.9943896103896104</x:v>
      </x:c>
      <x:c r="D5" s="32" t="n">
        <x:f>IF(C5="","",(1/'Metadata'!$B$5)^(C5-1))</x:f>
        <x:v>987.1646848826636</x:v>
      </x:c>
      <x:c r="E5" s="31" t="n">
        <x:f>IF(B5=0,"",B5*D5)</x:f>
        <x:v>2519.787216397243</x:v>
      </x:c>
    </x:row>
    <x:row r="6" ht="18" customHeight="1">
      <x:c r="A6" s="24" t="str">
        <x:v>Large sharks (&gt;=90 cm)</x:v>
      </x:c>
      <x:c r="B6" s="31" t="n">
        <x:v>1.7963147055</x:v>
      </x:c>
      <x:c r="C6" s="32" t="n">
        <x:v>4.35</x:v>
      </x:c>
      <x:c r="D6" s="32" t="n">
        <x:f>IF(C6="","",(1/'Metadata'!$B$5)^(C6-1))</x:f>
        <x:v>2238.7211385683377</x:v>
      </x:c>
      <x:c r="E6" s="31" t="n">
        <x:f>IF(B6=0,"",B6*D6)</x:f>
        <x:v>4021.447702724008</x:v>
      </x:c>
    </x:row>
    <x:row r="7" ht="18" customHeight="1">
      <x:c r="A7" s="24" t="str">
        <x:v>Medium demersals (30 - 89 cm)</x:v>
      </x:c>
      <x:c r="B7" s="31" t="n">
        <x:v>3.860716261</x:v>
      </x:c>
      <x:c r="C7" s="32" t="n">
        <x:v>3.28</x:v>
      </x:c>
      <x:c r="D7" s="32" t="n">
        <x:f>IF(C7="","",(1/'Metadata'!$B$5)^(C7-1))</x:f>
        <x:v>190.54607179632464</x:v>
      </x:c>
      <x:c r="E7" s="31" t="n">
        <x:f>IF(B7=0,"",B7*D7)</x:f>
        <x:v>735.644317853744</x:v>
      </x:c>
    </x:row>
    <x:row r="8" ht="18" customHeight="1">
      <x:c r="A8" s="24" t="str">
        <x:v>Medium pelagics (30 - 89 cm)</x:v>
      </x:c>
      <x:c r="B8" s="31" t="n">
        <x:v>0.0034609327</x:v>
      </x:c>
      <x:c r="C8" s="32" t="n">
        <x:v>3.35</x:v>
      </x:c>
      <x:c r="D8" s="32" t="n">
        <x:f>IF(C8="","",(1/'Metadata'!$B$5)^(C8-1))</x:f>
        <x:v>223.872113856834</x:v>
      </x:c>
      <x:c r="E8" s="31" t="n">
        <x:f>IF(B8=0,"",B8*D8)</x:f>
        <x:v>0.7748063194652399</x:v>
      </x:c>
    </x:row>
    <x:row r="9" ht="18" customHeight="1">
      <x:c r="A9" s="24" t="str">
        <x:v>Medium reef assoc. fish (30 - 89 cm)</x:v>
      </x:c>
      <x:c r="B9" s="31" t="n">
        <x:v>0.415701</x:v>
      </x:c>
      <x:c r="C9" s="32" t="n">
        <x:v>3.976602870813397</x:v>
      </x:c>
      <x:c r="D9" s="32" t="n">
        <x:f>IF(C9="","",(1/'Metadata'!$B$5)^(C9-1))</x:f>
        <x:v>947.5516033368681</x:v>
      </x:c>
      <x:c r="E9" s="31" t="n">
        <x:f>IF(B9=0,"",B9*D9)</x:f>
        <x:v>393.89814905873936</x:v>
      </x:c>
    </x:row>
  </x:sheetData>
  <x:pageMargins left="0.7" right="0.7" top="0.75" bottom="0.75" header="0.3" footer="0.3"/>
  <x:tableParts count="1">
    <x:tablePart xmlns:r="http://schemas.openxmlformats.org/officeDocument/2006/relationships" r:id="R8139d26bca0747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EEZ_574</x:v>
      </x:c>
      <x:c r="B2" s="24" t="str">
        <x:v>raw_filtered_tonnes</x:v>
      </x:c>
      <x:c r="C2" s="24" t="n">
        <x:v>17.497812817599996</x:v>
      </x:c>
      <x:c r="D2" s="24" t="str">
        <x:v>tonnes</x:v>
      </x:c>
    </x:row>
    <x:row r="3" ht="18" customHeight="1">
      <x:c r="A3" s="24" t="str">
        <x:v>EEZ_574</x:v>
      </x:c>
      <x:c r="B3" s="24" t="str">
        <x:v>species_catch_tonnes</x:v>
      </x:c>
      <x:c r="C3" s="24" t="n">
        <x:v>17.4978128176</x:v>
      </x:c>
      <x:c r="D3" s="24" t="str">
        <x:v>tonnes</x:v>
      </x:c>
    </x:row>
    <x:row r="4" ht="18" customHeight="1">
      <x:c r="A4" s="24" t="str">
        <x:v>EEZ_574</x:v>
      </x:c>
      <x:c r="B4" s="24" t="str">
        <x:v>catch_difference_tonnes</x:v>
      </x:c>
      <x:c r="C4" s="24" t="n">
        <x:v>3.552713678800501e-15</x:v>
      </x:c>
      <x:c r="D4" s="24" t="str">
        <x:v>tonnes</x:v>
      </x:c>
    </x:row>
    <x:row r="5" ht="18" customHeight="1">
      <x:c r="A5" s="24" t="str">
        <x:v>EEZ_574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EEZ_574</x:v>
      </x:c>
      <x:c r="B6" s="24" t="str">
        <x:v>matched_catch_tonnes</x:v>
      </x:c>
      <x:c r="C6" s="24" t="n">
        <x:v>17.4978128176</x:v>
      </x:c>
      <x:c r="D6" s="24" t="str">
        <x:v>tonnes</x:v>
      </x:c>
    </x:row>
    <x:row r="7" ht="18" customHeight="1">
      <x:c r="A7" s="24" t="str">
        <x:v>EEZ_574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EEZ_574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EEZ_574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EEZ_574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EEZ_574</x:v>
      </x:c>
      <x:c r="B11" s="24" t="str">
        <x:v>species_ppr</x:v>
      </x:c>
      <x:c r="C11" s="24" t="n">
        <x:v>32366.394255930376</x:v>
      </x:c>
      <x:c r="D11" s="24" t="str">
        <x:v>tonnes_primary_production_equivalent</x:v>
      </x:c>
    </x:row>
    <x:row r="12" ht="18" customHeight="1">
      <x:c r="A12" s="24" t="str">
        <x:v>EEZ_574</x:v>
      </x:c>
      <x:c r="B12" s="24" t="str">
        <x:v>commercial_ppr</x:v>
      </x:c>
      <x:c r="C12" s="24" t="n">
        <x:v>31042.37927514005</x:v>
      </x:c>
      <x:c r="D12" s="24" t="str">
        <x:v>tonnes_primary_production_equivalent</x:v>
      </x:c>
    </x:row>
    <x:row r="13" ht="18" customHeight="1">
      <x:c r="A13" s="24" t="str">
        <x:v>EEZ_574</x:v>
      </x:c>
      <x:c r="B13" s="24" t="str">
        <x:v>functional_ppr</x:v>
      </x:c>
      <x:c r="C13" s="24" t="n">
        <x:v>31081.884719876965</x:v>
      </x:c>
      <x:c r="D13" s="24" t="str">
        <x:v>tonnes_primary_production_equivalent</x:v>
      </x:c>
    </x:row>
    <x:row r="14" ht="18" customHeight="1">
      <x:c r="A14" s="24" t="str">
        <x:v>EEZ_574</x:v>
      </x:c>
      <x:c r="B14" s="24" t="str">
        <x:v>commercial_ppr_difference</x:v>
      </x:c>
      <x:c r="C14" s="24" t="n">
        <x:v>-1324.0149807903254</x:v>
      </x:c>
      <x:c r="D14" s="24" t="str">
        <x:v>tonnes_primary_production_equivalent</x:v>
      </x:c>
    </x:row>
    <x:row r="15" ht="18" customHeight="1">
      <x:c r="A15" s="24" t="str">
        <x:v>EEZ_574</x:v>
      </x:c>
      <x:c r="B15" s="24" t="str">
        <x:v>functional_ppr_difference</x:v>
      </x:c>
      <x:c r="C15" s="24" t="n">
        <x:v>-1284.5095360534106</x:v>
      </x:c>
      <x:c r="D15" s="24" t="str">
        <x:v>tonnes_primary_production_equivalent</x:v>
      </x:c>
    </x:row>
    <x:row r="16" ht="18" customHeight="1">
      <x:c r="A16" s="24" t="str">
        <x:v>EEZ_574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EEZ_574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d114ba2facf42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EEZ_574 - Norfolk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