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80299f0c0249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4eb5c978d834c17"/>
    <x:sheet xmlns:r="http://schemas.openxmlformats.org/officeDocument/2006/relationships" name="Commercial" sheetId="2" r:id="R6084aceced454b31"/>
    <x:sheet xmlns:r="http://schemas.openxmlformats.org/officeDocument/2006/relationships" name="Functional" sheetId="3" r:id="R31d7f575121f43f1"/>
    <x:sheet xmlns:r="http://schemas.openxmlformats.org/officeDocument/2006/relationships" name="Missing TL" sheetId="4" r:id="R7cdbb503fce24cde"/>
    <x:sheet xmlns:r="http://schemas.openxmlformats.org/officeDocument/2006/relationships" name="Validation" sheetId="5" r:id="R8c9b626ab00e4ec6"/>
    <x:sheet xmlns:r="http://schemas.openxmlformats.org/officeDocument/2006/relationships" name="Metadata" sheetId="6" r:id="Rfa0d1ae66cad46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78e4ad5bf84cc6" /><Relationship Type="http://schemas.openxmlformats.org/officeDocument/2006/relationships/theme" Target="/xl/theme/theme1.xml" Id="Rfcb21924189f4b29" /><Relationship Type="http://schemas.microsoft.com/office/2022/11/relationships/FeaturePropertyBag" Target="/xl/featurePropertyBag/featurePropertyBag.xml" Id="Ra9f030c66ecc47e6" /><Relationship Type="http://schemas.openxmlformats.org/officeDocument/2006/relationships/sharedStrings" Target="/xl/sharedStrings.xml" Id="R4511d323447c4fdb" /><Relationship Type="http://schemas.openxmlformats.org/officeDocument/2006/relationships/worksheet" Target="/xl/worksheets/sheet1.xml" Id="R24eb5c978d834c17" /><Relationship Type="http://schemas.openxmlformats.org/officeDocument/2006/relationships/worksheet" Target="/xl/worksheets/sheet2.xml" Id="R6084aceced454b31" /><Relationship Type="http://schemas.openxmlformats.org/officeDocument/2006/relationships/worksheet" Target="/xl/worksheets/sheet3.xml" Id="R31d7f575121f43f1" /><Relationship Type="http://schemas.openxmlformats.org/officeDocument/2006/relationships/worksheet" Target="/xl/worksheets/sheet4.xml" Id="R7cdbb503fce24cde" /><Relationship Type="http://schemas.openxmlformats.org/officeDocument/2006/relationships/worksheet" Target="/xl/worksheets/sheet5.xml" Id="R8c9b626ab00e4ec6" /><Relationship Type="http://schemas.openxmlformats.org/officeDocument/2006/relationships/worksheet" Target="/xl/worksheets/sheet6.xml" Id="Rfa0d1ae66cad46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59SpeciesTable" displayName="EEZ659SpeciesTable" ref="A1:U20" headerRowCount="1" totalsRowCount="0" totalsRowShown="0">
  <x:autoFilter ref="A1:U2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59CommercialTable" displayName="EEZ659CommercialTable" ref="A1:E6" headerRowCount="1" totalsRowCount="0" totalsRowShown="0">
  <x:autoFilter ref="A1:E6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59FunctionalTable" displayName="EEZ659FunctionalTable" ref="A1:E8" headerRowCount="1" totalsRowCount="0" totalsRowShown="0">
  <x:autoFilter ref="A1:E8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59ValidationTable" displayName="EEZ659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340154718c41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6eaaff6294940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551fd561e0241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64404f7db44ba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EEZ_659</x:v>
      </x:c>
      <x:c r="B2" s="24" t="str">
        <x:v>Saint Kitts &amp; Nevis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515.728457154</x:v>
      </x:c>
      <x:c r="J2" s="31" t="n">
        <x:v>515.728457154</x:v>
      </x:c>
      <x:c r="K2" s="31" t="n">
        <x:v>0</x:v>
      </x:c>
      <x:c r="L2" s="31" t="n">
        <x:v>64.168819059</x:v>
      </x:c>
      <x:c r="M2" s="31" t="n">
        <x:v>451.559638095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98270.03162427382</x:v>
      </x:c>
    </x:row>
    <x:row r="3" ht="18" customHeight="1">
      <x:c r="A3" s="24" t="str">
        <x:v>EEZ_659</x:v>
      </x:c>
      <x:c r="B3" s="24" t="str">
        <x:v>Saint Kitts &amp; Nevis</x:v>
      </x:c>
      <x:c r="C3" s="24" t="str">
        <x:v>EEZ</x:v>
      </x:c>
      <x:c r="D3" s="30" t="n">
        <x:v>2019</x:v>
      </x:c>
      <x:c r="E3" s="24" t="str">
        <x:v>Panulirus</x:v>
      </x:c>
      <x:c r="F3" s="24" t="str">
        <x:v>Spiny lobsters</x:v>
      </x:c>
      <x:c r="G3" s="24" t="str">
        <x:v>Lobsters, crabs</x:v>
      </x:c>
      <x:c r="H3" s="24" t="str">
        <x:v>Crustaceans</x:v>
      </x:c>
      <x:c r="I3" s="31" t="n">
        <x:v>141.521168119</x:v>
      </x:c>
      <x:c r="J3" s="31" t="n">
        <x:v>141.521168119</x:v>
      </x:c>
      <x:c r="K3" s="31" t="n">
        <x:v>0</x:v>
      </x:c>
      <x:c r="L3" s="31" t="n">
        <x:v>25</x:v>
      </x:c>
      <x:c r="M3" s="31" t="n">
        <x:v>116.52116811900001</x:v>
      </x:c>
      <x:c r="N3" s="24" t="str">
        <x:v>panulirus</x:v>
      </x:c>
      <x:c r="O3" s="32" t="n">
        <x:v>2.6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Panulirus</x:v>
      </x:c>
      <x:c r="T3" s="32" t="n">
        <x:f>IF(O3="","",(1/'Metadata'!$B$5)^(O3-1))</x:f>
        <x:v>39.810717055349734</x:v>
      </x:c>
      <x:c r="U3" s="31" t="n">
        <x:f>IF(T3="","",I3*T3)</x:f>
        <x:v>5634.059181328091</x:v>
      </x:c>
    </x:row>
    <x:row r="4" ht="18" customHeight="1">
      <x:c r="A4" s="24" t="str">
        <x:v>EEZ_659</x:v>
      </x:c>
      <x:c r="B4" s="24" t="str">
        <x:v>Saint Kitts &amp; Nevis</x:v>
      </x:c>
      <x:c r="C4" s="24" t="str">
        <x:v>EEZ</x:v>
      </x:c>
      <x:c r="D4" s="30" t="n">
        <x:v>2019</x:v>
      </x:c>
      <x:c r="E4" s="24" t="str">
        <x:v>Coryphaena hippurus</x:v>
      </x:c>
      <x:c r="F4" s="24" t="str">
        <x:v>Common dolphinfish</x:v>
      </x:c>
      <x:c r="G4" s="24" t="str">
        <x:v>Large pelagics (&gt;=90 cm)</x:v>
      </x:c>
      <x:c r="H4" s="24" t="str">
        <x:v>Perch-likes</x:v>
      </x:c>
      <x:c r="I4" s="31" t="n">
        <x:v>129.587034235</x:v>
      </x:c>
      <x:c r="J4" s="31" t="n">
        <x:v>129.587034235</x:v>
      </x:c>
      <x:c r="K4" s="31" t="n">
        <x:v>0</x:v>
      </x:c>
      <x:c r="L4" s="31" t="n">
        <x:v>30.080436864</x:v>
      </x:c>
      <x:c r="M4" s="31" t="n">
        <x:v>99.506597371</x:v>
      </x:c>
      <x:c r="N4" s="24" t="str">
        <x:v>coryphaena hippurus</x:v>
      </x:c>
      <x:c r="O4" s="32" t="n">
        <x:v>4.37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Coryphaena hippurus</x:v>
      </x:c>
      <x:c r="T4" s="32" t="n">
        <x:f>IF(O4="","",(1/'Metadata'!$B$5)^(O4-1))</x:f>
        <x:v>2344.228815319923</x:v>
      </x:c>
      <x:c r="U4" s="31" t="n">
        <x:f>IF(T4="","",I4*T4)</x:f>
        <x:v>303781.65974553634</x:v>
      </x:c>
    </x:row>
    <x:row r="5" ht="18" customHeight="1">
      <x:c r="A5" s="24" t="str">
        <x:v>EEZ_659</x:v>
      </x:c>
      <x:c r="B5" s="24" t="str">
        <x:v>Saint Kitts &amp; Nevis</x:v>
      </x:c>
      <x:c r="C5" s="24" t="str">
        <x:v>EEZ</x:v>
      </x:c>
      <x:c r="D5" s="30" t="n">
        <x:v>2019</x:v>
      </x:c>
      <x:c r="E5" s="24" t="str">
        <x:v>Holocentridae</x:v>
      </x:c>
      <x:c r="F5" s="24" t="str">
        <x:v>Squirrel-, soldierfishes</x:v>
      </x:c>
      <x:c r="G5" s="24" t="str">
        <x:v>Small reef assoc. fish (&lt;30 cm)</x:v>
      </x:c>
      <x:c r="H5" s="24" t="str">
        <x:v>Other fishes &amp; inverts</x:v>
      </x:c>
      <x:c r="I5" s="31" t="n">
        <x:v>127.40896336</x:v>
      </x:c>
      <x:c r="J5" s="31" t="n">
        <x:v>127.40896336</x:v>
      </x:c>
      <x:c r="K5" s="31" t="n">
        <x:v>0</x:v>
      </x:c>
      <x:c r="L5" s="31" t="n">
        <x:v>11.080436864</x:v>
      </x:c>
      <x:c r="M5" s="31" t="n">
        <x:v>116.328526496</x:v>
      </x:c>
      <x:c r="N5" s="24" t="str">
        <x:v>holocentridae</x:v>
      </x:c>
      <x:c r="O5" s="32" t="n">
        <x:v>3.49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Holocentridae</x:v>
      </x:c>
      <x:c r="T5" s="32" t="n">
        <x:f>IF(O5="","",(1/'Metadata'!$B$5)^(O5-1))</x:f>
        <x:v>309.0295432513592</x:v>
      </x:c>
      <x:c r="U5" s="31" t="n">
        <x:f>IF(T5="","",I5*T5)</x:f>
        <x:v>39373.13375326996</x:v>
      </x:c>
    </x:row>
    <x:row r="6" ht="18" customHeight="1">
      <x:c r="A6" s="24" t="str">
        <x:v>EEZ_659</x:v>
      </x:c>
      <x:c r="B6" s="24" t="str">
        <x:v>Saint Kitts &amp; Nevis</x:v>
      </x:c>
      <x:c r="C6" s="24" t="str">
        <x:v>EEZ</x:v>
      </x:c>
      <x:c r="D6" s="30" t="n">
        <x:v>2019</x:v>
      </x:c>
      <x:c r="E6" s="24" t="str">
        <x:v>Mullidae</x:v>
      </x:c>
      <x:c r="F6" s="24" t="str">
        <x:v>Goatfishes</x:v>
      </x:c>
      <x:c r="G6" s="24" t="str">
        <x:v>Medium reef assoc. fish (30 - 89 cm)</x:v>
      </x:c>
      <x:c r="H6" s="24" t="str">
        <x:v>Perch-likes</x:v>
      </x:c>
      <x:c r="I6" s="31" t="n">
        <x:v>119.495524902</x:v>
      </x:c>
      <x:c r="J6" s="31" t="n">
        <x:v>119.495524902</x:v>
      </x:c>
      <x:c r="K6" s="31" t="n">
        <x:v>0</x:v>
      </x:c>
      <x:c r="L6" s="31" t="n">
        <x:v>1.080436865</x:v>
      </x:c>
      <x:c r="M6" s="31" t="n">
        <x:v>118.415088037</x:v>
      </x:c>
      <x:c r="N6" s="24" t="str">
        <x:v>mullidae</x:v>
      </x:c>
      <x:c r="O6" s="32" t="n">
        <x:v>3.46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Mullidae</x:v>
      </x:c>
      <x:c r="T6" s="32" t="n">
        <x:f>IF(O6="","",(1/'Metadata'!$B$5)^(O6-1))</x:f>
        <x:v>288.40315031266056</x:v>
      </x:c>
      <x:c r="U6" s="31" t="n">
        <x:f>IF(T6="","",I6*T6)</x:f>
        <x:v>34462.88583000178</x:v>
      </x:c>
    </x:row>
    <x:row r="7" ht="18" customHeight="1">
      <x:c r="A7" s="24" t="str">
        <x:v>EEZ_659</x:v>
      </x:c>
      <x:c r="B7" s="24" t="str">
        <x:v>Saint Kitts &amp; Nevis</x:v>
      </x:c>
      <x:c r="C7" s="24" t="str">
        <x:v>EEZ</x:v>
      </x:c>
      <x:c r="D7" s="30" t="n">
        <x:v>2019</x:v>
      </x:c>
      <x:c r="E7" s="24" t="str">
        <x:v>Serranidae</x:v>
      </x:c>
      <x:c r="F7" s="24" t="str">
        <x:v>Basses, groupers, hinds</x:v>
      </x:c>
      <x:c r="G7" s="24" t="str">
        <x:v>Medium reef assoc. fish (30 - 89 cm)</x:v>
      </x:c>
      <x:c r="H7" s="24" t="str">
        <x:v>Perch-likes</x:v>
      </x:c>
      <x:c r="I7" s="31" t="n">
        <x:v>115.078283762</x:v>
      </x:c>
      <x:c r="J7" s="31" t="n">
        <x:v>115.078283762</x:v>
      </x:c>
      <x:c r="K7" s="31" t="n">
        <x:v>0</x:v>
      </x:c>
      <x:c r="L7" s="31" t="n">
        <x:v>46.214498308</x:v>
      </x:c>
      <x:c r="M7" s="31" t="n">
        <x:v>68.863785454</x:v>
      </x:c>
      <x:c r="N7" s="24" t="str">
        <x:v>serranidae</x:v>
      </x:c>
      <x:c r="O7" s="32" t="n">
        <x:v>3.98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Serranidae</x:v>
      </x:c>
      <x:c r="T7" s="32" t="n">
        <x:f>IF(O7="","",(1/'Metadata'!$B$5)^(O7-1))</x:f>
        <x:v>954.992586021436</x:v>
      </x:c>
      <x:c r="U7" s="31" t="n">
        <x:f>IF(T7="","",I7*T7)</x:f>
        <x:v>109898.907804781</x:v>
      </x:c>
    </x:row>
    <x:row r="8" ht="18" customHeight="1">
      <x:c r="A8" s="24" t="str">
        <x:v>EEZ_659</x:v>
      </x:c>
      <x:c r="B8" s="24" t="str">
        <x:v>Saint Kitts &amp; Nevis</x:v>
      </x:c>
      <x:c r="C8" s="24" t="str">
        <x:v>EEZ</x:v>
      </x:c>
      <x:c r="D8" s="30" t="n">
        <x:v>2019</x:v>
      </x:c>
      <x:c r="E8" s="24" t="str">
        <x:v>Lutjanidae</x:v>
      </x:c>
      <x:c r="F8" s="24" t="str">
        <x:v>Snappers</x:v>
      </x:c>
      <x:c r="G8" s="24" t="str">
        <x:v>Medium reef assoc. fish (30 - 89 cm)</x:v>
      </x:c>
      <x:c r="H8" s="24" t="str">
        <x:v>Perch-likes</x:v>
      </x:c>
      <x:c r="I8" s="31" t="n">
        <x:v>88.757816869</x:v>
      </x:c>
      <x:c r="J8" s="31" t="n">
        <x:v>88.757816869</x:v>
      </x:c>
      <x:c r="K8" s="31" t="n">
        <x:v>0</x:v>
      </x:c>
      <x:c r="L8" s="31" t="n">
        <x:v>61.107249163</x:v>
      </x:c>
      <x:c r="M8" s="31" t="n">
        <x:v>27.650567706</x:v>
      </x:c>
      <x:c r="N8" s="24" t="str">
        <x:v>lutjanidae</x:v>
      </x:c>
      <x:c r="O8" s="32" t="n">
        <x:v>4.02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Lutjanidae</x:v>
      </x:c>
      <x:c r="T8" s="32" t="n">
        <x:f>IF(O8="","",(1/'Metadata'!$B$5)^(O8-1))</x:f>
        <x:v>1047.1285480508984</x:v>
      </x:c>
      <x:c r="U8" s="31" t="n">
        <x:f>IF(T8="","",I8*T8)</x:f>
        <x:v>92940.8439062035</x:v>
      </x:c>
    </x:row>
    <x:row r="9" ht="18" customHeight="1">
      <x:c r="A9" s="24" t="str">
        <x:v>EEZ_659</x:v>
      </x:c>
      <x:c r="B9" s="24" t="str">
        <x:v>Saint Kitts &amp; Nevis</x:v>
      </x:c>
      <x:c r="C9" s="24" t="str">
        <x:v>EEZ</x:v>
      </x:c>
      <x:c r="D9" s="30" t="n">
        <x:v>2019</x:v>
      </x:c>
      <x:c r="E9" s="24" t="str">
        <x:v>Acanthuridae</x:v>
      </x:c>
      <x:c r="F9" s="24" t="str">
        <x:v>Surgeons, tangs, unicornfishes</x:v>
      </x:c>
      <x:c r="G9" s="24" t="str">
        <x:v>Small reef assoc. fish (&lt;30 cm)</x:v>
      </x:c>
      <x:c r="H9" s="24" t="str">
        <x:v>Perch-likes</x:v>
      </x:c>
      <x:c r="I9" s="31" t="n">
        <x:v>80.516766842</x:v>
      </x:c>
      <x:c r="J9" s="31" t="n">
        <x:v>80.516766842</x:v>
      </x:c>
      <x:c r="K9" s="31" t="n">
        <x:v>0</x:v>
      </x:c>
      <x:c r="L9" s="31" t="n">
        <x:v>11.134061442</x:v>
      </x:c>
      <x:c r="M9" s="31" t="n">
        <x:v>69.38270539999999</x:v>
      </x:c>
      <x:c r="N9" s="24" t="str">
        <x:v>acanthuridae</x:v>
      </x:c>
      <x:c r="O9" s="32" t="n">
        <x:v>2.28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Acanthuridae</x:v>
      </x:c>
      <x:c r="T9" s="32" t="n">
        <x:f>IF(O9="","",(1/'Metadata'!$B$5)^(O9-1))</x:f>
        <x:v>19.054607179632463</x:v>
      </x:c>
      <x:c r="U9" s="31" t="n">
        <x:f>IF(T9="","",I9*T9)</x:f>
        <x:v>1534.2153635483662</x:v>
      </x:c>
    </x:row>
    <x:row r="10" ht="18" customHeight="1">
      <x:c r="A10" s="24" t="str">
        <x:v>EEZ_659</x:v>
      </x:c>
      <x:c r="B10" s="24" t="str">
        <x:v>Saint Kitts &amp; Nevis</x:v>
      </x:c>
      <x:c r="C10" s="24" t="str">
        <x:v>EEZ</x:v>
      </x:c>
      <x:c r="D10" s="30" t="n">
        <x:v>2019</x:v>
      </x:c>
      <x:c r="E10" s="24" t="str">
        <x:v>Aliger gigas</x:v>
      </x:c>
      <x:c r="F10" s="24" t="str">
        <x:v>Pink conch</x:v>
      </x:c>
      <x:c r="G10" s="24" t="str">
        <x:v>Other demersal invertebrates</x:v>
      </x:c>
      <x:c r="H10" s="24" t="str">
        <x:v>Molluscs</x:v>
      </x:c>
      <x:c r="I10" s="31" t="n">
        <x:v>78.99122879000001</x:v>
      </x:c>
      <x:c r="J10" s="31" t="n">
        <x:v>78.99122879000001</x:v>
      </x:c>
      <x:c r="K10" s="31" t="n">
        <x:v>0</x:v>
      </x:c>
      <x:c r="L10" s="31" t="n">
        <x:v>78.99122879000001</x:v>
      </x:c>
      <x:c r="M10" s="31" t="n">
        <x:v>0</x:v>
      </x:c>
      <x:c r="N10" s="24" t="str">
        <x:v>aliger gigas</x:v>
      </x:c>
      <x:c r="O10" s="32" t="n">
        <x:v>2.19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Aliger gigas</x:v>
      </x:c>
      <x:c r="T10" s="32" t="n">
        <x:f>IF(O10="","",(1/'Metadata'!$B$5)^(O10-1))</x:f>
        <x:v>15.488166189124811</x:v>
      </x:c>
      <x:c r="U10" s="31" t="n">
        <x:f>IF(T10="","",I10*T10)</x:f>
        <x:v>1223.4292789827005</x:v>
      </x:c>
    </x:row>
    <x:row r="11" ht="18" customHeight="1">
      <x:c r="A11" s="24" t="str">
        <x:v>EEZ_659</x:v>
      </x:c>
      <x:c r="B11" s="24" t="str">
        <x:v>Saint Kitts &amp; Nevis</x:v>
      </x:c>
      <x:c r="C11" s="24" t="str">
        <x:v>EEZ</x:v>
      </x:c>
      <x:c r="D11" s="30" t="n">
        <x:v>2019</x:v>
      </x:c>
      <x:c r="E11" s="24" t="str">
        <x:v>Scombridae</x:v>
      </x:c>
      <x:c r="F11" s="24" t="str">
        <x:v>Mackerels, tunas, bonitos</x:v>
      </x:c>
      <x:c r="G11" s="24" t="str">
        <x:v>Medium pelagics (30 - 89 cm)</x:v>
      </x:c>
      <x:c r="H11" s="24" t="str">
        <x:v>Perch-likes</x:v>
      </x:c>
      <x:c r="I11" s="31" t="n">
        <x:v>62.967698788</x:v>
      </x:c>
      <x:c r="J11" s="31" t="n">
        <x:v>62.967698788</x:v>
      </x:c>
      <x:c r="K11" s="31" t="n">
        <x:v>0</x:v>
      </x:c>
      <x:c r="L11" s="31" t="n">
        <x:v>0.026812289000000003</x:v>
      </x:c>
      <x:c r="M11" s="31" t="n">
        <x:v>62.940886499</x:v>
      </x:c>
      <x:c r="N11" s="24" t="str">
        <x:v>scombridae</x:v>
      </x:c>
      <x:c r="O11" s="32" t="n">
        <x:v>4.26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Scombridae</x:v>
      </x:c>
      <x:c r="T11" s="32" t="n">
        <x:f>IF(O11="","",(1/'Metadata'!$B$5)^(O11-1))</x:f>
        <x:v>1819.7008586099826</x:v>
      </x:c>
      <x:c r="U11" s="31" t="n">
        <x:f>IF(T11="","",I11*T11)</x:f>
        <x:v>114582.37554921836</x:v>
      </x:c>
    </x:row>
    <x:row r="12" ht="18" customHeight="1">
      <x:c r="A12" s="24" t="str">
        <x:v>EEZ_659</x:v>
      </x:c>
      <x:c r="B12" s="24" t="str">
        <x:v>Saint Kitts &amp; Nevis</x:v>
      </x:c>
      <x:c r="C12" s="24" t="str">
        <x:v>EEZ</x:v>
      </x:c>
      <x:c r="D12" s="30" t="n">
        <x:v>2019</x:v>
      </x:c>
      <x:c r="E12" s="24" t="str">
        <x:v>Balistidae</x:v>
      </x:c>
      <x:c r="F12" s="24" t="str">
        <x:v>Triggerfishes</x:v>
      </x:c>
      <x:c r="G12" s="24" t="str">
        <x:v>Medium reef assoc. fish (30 - 89 cm)</x:v>
      </x:c>
      <x:c r="H12" s="24" t="str">
        <x:v>Other fishes &amp; inverts</x:v>
      </x:c>
      <x:c r="I12" s="31" t="n">
        <x:v>61.898678595999996</x:v>
      </x:c>
      <x:c r="J12" s="31" t="n">
        <x:v>61.898678595999996</x:v>
      </x:c>
      <x:c r="K12" s="31" t="n">
        <x:v>0</x:v>
      </x:c>
      <x:c r="L12" s="31" t="n">
        <x:v>6.080436866</x:v>
      </x:c>
      <x:c r="M12" s="31" t="n">
        <x:v>55.81824173</x:v>
      </x:c>
      <x:c r="N12" s="24" t="str">
        <x:v>balistidae</x:v>
      </x:c>
      <x:c r="O12" s="32" t="n">
        <x:v>3.25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Balistidae</x:v>
      </x:c>
      <x:c r="T12" s="32" t="n">
        <x:f>IF(O12="","",(1/'Metadata'!$B$5)^(O12-1))</x:f>
        <x:v>177.82794100389228</x:v>
      </x:c>
      <x:c r="U12" s="31" t="n">
        <x:f>IF(T12="","",I12*T12)</x:f>
        <x:v>11007.314565588376</x:v>
      </x:c>
    </x:row>
    <x:row r="13" ht="18" customHeight="1">
      <x:c r="A13" s="24" t="str">
        <x:v>EEZ_659</x:v>
      </x:c>
      <x:c r="B13" s="24" t="str">
        <x:v>Saint Kitts &amp; Nevis</x:v>
      </x:c>
      <x:c r="C13" s="24" t="str">
        <x:v>EEZ</x:v>
      </x:c>
      <x:c r="D13" s="30" t="n">
        <x:v>2019</x:v>
      </x:c>
      <x:c r="E13" s="24" t="str">
        <x:v>Selar crumenophthalmus</x:v>
      </x:c>
      <x:c r="F13" s="24" t="str">
        <x:v>Bigeye scad</x:v>
      </x:c>
      <x:c r="G13" s="24" t="str">
        <x:v>Medium pelagics (30 - 89 cm)</x:v>
      </x:c>
      <x:c r="H13" s="24" t="str">
        <x:v>Perch-likes</x:v>
      </x:c>
      <x:c r="I13" s="31" t="n">
        <x:v>56.558107779</x:v>
      </x:c>
      <x:c r="J13" s="31" t="n">
        <x:v>56.558107779</x:v>
      </x:c>
      <x:c r="K13" s="31" t="n">
        <x:v>0</x:v>
      </x:c>
      <x:c r="L13" s="31" t="n">
        <x:v>18.999999999</x:v>
      </x:c>
      <x:c r="M13" s="31" t="n">
        <x:v>37.55810778</x:v>
      </x:c>
      <x:c r="N13" s="24" t="str">
        <x:v>selar crumenophthalmus</x:v>
      </x:c>
      <x:c r="O13" s="32" t="n">
        <x:v>3.81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Selar crumenophthalmus</x:v>
      </x:c>
      <x:c r="T13" s="32" t="n">
        <x:f>IF(O13="","",(1/'Metadata'!$B$5)^(O13-1))</x:f>
        <x:v>645.6542290346556</x:v>
      </x:c>
      <x:c r="U13" s="31" t="n">
        <x:f>IF(T13="","",I13*T13)</x:f>
        <x:v>36516.9814737092</x:v>
      </x:c>
    </x:row>
    <x:row r="14" ht="18" customHeight="1">
      <x:c r="A14" s="24" t="str">
        <x:v>EEZ_659</x:v>
      </x:c>
      <x:c r="B14" s="24" t="str">
        <x:v>Saint Kitts &amp; Nevis</x:v>
      </x:c>
      <x:c r="C14" s="24" t="str">
        <x:v>EEZ</x:v>
      </x:c>
      <x:c r="D14" s="30" t="n">
        <x:v>2019</x:v>
      </x:c>
      <x:c r="E14" s="24" t="str">
        <x:v>Acanthocybium solandri</x:v>
      </x:c>
      <x:c r="F14" s="24" t="str">
        <x:v>Wahoo</x:v>
      </x:c>
      <x:c r="G14" s="24" t="str">
        <x:v>Large pelagics (&gt;=90 cm)</x:v>
      </x:c>
      <x:c r="H14" s="24" t="str">
        <x:v>Perch-likes</x:v>
      </x:c>
      <x:c r="I14" s="31" t="n">
        <x:v>56.345991669</x:v>
      </x:c>
      <x:c r="J14" s="31" t="n">
        <x:v>56.345991669</x:v>
      </x:c>
      <x:c r="K14" s="31" t="n">
        <x:v>0</x:v>
      </x:c>
      <x:c r="L14" s="31" t="n">
        <x:v>6</x:v>
      </x:c>
      <x:c r="M14" s="31" t="n">
        <x:v>50.345991669</x:v>
      </x:c>
      <x:c r="N14" s="24" t="str">
        <x:v>acanthocybium solandri</x:v>
      </x:c>
      <x:c r="O14" s="32" t="n">
        <x:v>4.26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Acanthocybium solandri</x:v>
      </x:c>
      <x:c r="T14" s="32" t="n">
        <x:f>IF(O14="","",(1/'Metadata'!$B$5)^(O14-1))</x:f>
        <x:v>1819.7008586099826</x:v>
      </x:c>
      <x:c r="U14" s="31" t="n">
        <x:f>IF(T14="","",I14*T14)</x:f>
        <x:v>102532.84941931022</x:v>
      </x:c>
    </x:row>
    <x:row r="15" ht="18" customHeight="1">
      <x:c r="A15" s="24" t="str">
        <x:v>EEZ_659</x:v>
      </x:c>
      <x:c r="B15" s="24" t="str">
        <x:v>Saint Kitts &amp; Nevis</x:v>
      </x:c>
      <x:c r="C15" s="24" t="str">
        <x:v>EEZ</x:v>
      </x:c>
      <x:c r="D15" s="30" t="n">
        <x:v>2019</x:v>
      </x:c>
      <x:c r="E15" s="24" t="str">
        <x:v>Scomberomorus cavalla</x:v>
      </x:c>
      <x:c r="F15" s="24" t="str">
        <x:v>King mackerel</x:v>
      </x:c>
      <x:c r="G15" s="24" t="str">
        <x:v>Large pelagics (&gt;=90 cm)</x:v>
      </x:c>
      <x:c r="H15" s="24" t="str">
        <x:v>Perch-likes</x:v>
      </x:c>
      <x:c r="I15" s="31" t="n">
        <x:v>53.254046209</x:v>
      </x:c>
      <x:c r="J15" s="31" t="n">
        <x:v>53.254046209</x:v>
      </x:c>
      <x:c r="K15" s="31" t="n">
        <x:v>0</x:v>
      </x:c>
      <x:c r="L15" s="31" t="n">
        <x:v>1</x:v>
      </x:c>
      <x:c r="M15" s="31" t="n">
        <x:v>52.254046209</x:v>
      </x:c>
      <x:c r="N15" s="24" t="str">
        <x:v>scomberomorus cavalla</x:v>
      </x:c>
      <x:c r="O15" s="32" t="n">
        <x:v>4.42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Scomberomorus cavalla</x:v>
      </x:c>
      <x:c r="T15" s="32" t="n">
        <x:f>IF(O15="","",(1/'Metadata'!$B$5)^(O15-1))</x:f>
        <x:v>2630.2679918953813</x:v>
      </x:c>
      <x:c r="U15" s="31" t="n">
        <x:f>IF(T15="","",I15*T15)</x:f>
        <x:v>140072.41318245028</x:v>
      </x:c>
    </x:row>
    <x:row r="16" ht="18" customHeight="1">
      <x:c r="A16" s="24" t="str">
        <x:v>EEZ_659</x:v>
      </x:c>
      <x:c r="B16" s="24" t="str">
        <x:v>Saint Kitts &amp; Nevis</x:v>
      </x:c>
      <x:c r="C16" s="24" t="str">
        <x:v>EEZ</x:v>
      </x:c>
      <x:c r="D16" s="30" t="n">
        <x:v>2019</x:v>
      </x:c>
      <x:c r="E16" s="24" t="str">
        <x:v>Haemulidae</x:v>
      </x:c>
      <x:c r="F16" s="24" t="str">
        <x:v>Grunts, sweetlips, bonnetmouths</x:v>
      </x:c>
      <x:c r="G16" s="24" t="str">
        <x:v>Medium demersals (30 - 89 cm)</x:v>
      </x:c>
      <x:c r="H16" s="24" t="str">
        <x:v>Perch-likes</x:v>
      </x:c>
      <x:c r="I16" s="31" t="n">
        <x:v>19.895605665999998</x:v>
      </x:c>
      <x:c r="J16" s="31" t="n">
        <x:v>19.895605665999998</x:v>
      </x:c>
      <x:c r="K16" s="31" t="n">
        <x:v>0</x:v>
      </x:c>
      <x:c r="L16" s="31" t="n">
        <x:v>11.02681229</x:v>
      </x:c>
      <x:c r="M16" s="31" t="n">
        <x:v>8.868793376</x:v>
      </x:c>
      <x:c r="N16" s="24" t="str">
        <x:v>haemulidae</x:v>
      </x:c>
      <x:c r="O16" s="32" t="n">
        <x:v>3.36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Haemulidae</x:v>
      </x:c>
      <x:c r="T16" s="32" t="n">
        <x:f>IF(O16="","",(1/'Metadata'!$B$5)^(O16-1))</x:f>
        <x:v>229.08676527677724</x:v>
      </x:c>
      <x:c r="U16" s="31" t="n">
        <x:f>IF(T16="","",I16*T16)</x:f>
        <x:v>4557.819945246261</x:v>
      </x:c>
    </x:row>
    <x:row r="17" ht="18" customHeight="1">
      <x:c r="A17" s="24" t="str">
        <x:v>EEZ_659</x:v>
      </x:c>
      <x:c r="B17" s="24" t="str">
        <x:v>Saint Kitts &amp; Nevis</x:v>
      </x:c>
      <x:c r="C17" s="24" t="str">
        <x:v>EEZ</x:v>
      </x:c>
      <x:c r="D17" s="30" t="n">
        <x:v>2019</x:v>
      </x:c>
      <x:c r="E17" s="24" t="str">
        <x:v>Ostraciidae</x:v>
      </x:c>
      <x:c r="F17" s="24" t="str">
        <x:v>Box-, cow-, trunkfishes</x:v>
      </x:c>
      <x:c r="G17" s="24" t="str">
        <x:v>Medium reef assoc. fish (30 - 89 cm)</x:v>
      </x:c>
      <x:c r="H17" s="24" t="str">
        <x:v>Other fishes &amp; inverts</x:v>
      </x:c>
      <x:c r="I17" s="31" t="n">
        <x:v>13</x:v>
      </x:c>
      <x:c r="J17" s="31" t="n">
        <x:v>13</x:v>
      </x:c>
      <x:c r="K17" s="31" t="n">
        <x:v>0</x:v>
      </x:c>
      <x:c r="L17" s="31" t="n">
        <x:v>13</x:v>
      </x:c>
      <x:c r="M17" s="31" t="n">
        <x:v>0</x:v>
      </x:c>
      <x:c r="N17" s="24" t="str">
        <x:v>ostraciidae</x:v>
      </x:c>
      <x:c r="O17" s="32" t="n">
        <x:v>2.83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Ostraciidae</x:v>
      </x:c>
      <x:c r="T17" s="32" t="n">
        <x:f>IF(O17="","",(1/'Metadata'!$B$5)^(O17-1))</x:f>
        <x:v>67.60829753919819</x:v>
      </x:c>
      <x:c r="U17" s="31" t="n">
        <x:f>IF(T17="","",I17*T17)</x:f>
        <x:v>878.9078680095765</x:v>
      </x:c>
    </x:row>
    <x:row r="18" ht="18" customHeight="1">
      <x:c r="A18" s="24" t="str">
        <x:v>EEZ_659</x:v>
      </x:c>
      <x:c r="B18" s="24" t="str">
        <x:v>Saint Kitts &amp; Nevis</x:v>
      </x:c>
      <x:c r="C18" s="24" t="str">
        <x:v>EEZ</x:v>
      </x:c>
      <x:c r="D18" s="30" t="n">
        <x:v>2019</x:v>
      </x:c>
      <x:c r="E18" s="24" t="str">
        <x:v>Sphyraena</x:v>
      </x:c>
      <x:c r="F18" s="24" t="str">
        <x:v>Barracudas, sennets</x:v>
      </x:c>
      <x:c r="G18" s="24" t="str">
        <x:v>Large pelagics (&gt;=90 cm)</x:v>
      </x:c>
      <x:c r="H18" s="24" t="str">
        <x:v>Perch-likes</x:v>
      </x:c>
      <x:c r="I18" s="31" t="n">
        <x:v>2</x:v>
      </x:c>
      <x:c r="J18" s="31" t="n">
        <x:v>2</x:v>
      </x:c>
      <x:c r="K18" s="31" t="n">
        <x:v>0</x:v>
      </x:c>
      <x:c r="L18" s="31" t="n">
        <x:v>2</x:v>
      </x:c>
      <x:c r="M18" s="31" t="n">
        <x:v>0</x:v>
      </x:c>
      <x:c r="N18" s="24" t="str">
        <x:v>sphyraena</x:v>
      </x:c>
      <x:c r="O18" s="32" t="n">
        <x:v>4.4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Sphyraena</x:v>
      </x:c>
      <x:c r="T18" s="32" t="n">
        <x:f>IF(O18="","",(1/'Metadata'!$B$5)^(O18-1))</x:f>
        <x:v>2511.886431509582</x:v>
      </x:c>
      <x:c r="U18" s="31" t="n">
        <x:f>IF(T18="","",I18*T18)</x:f>
        <x:v>5023.772863019164</x:v>
      </x:c>
    </x:row>
    <x:row r="19" ht="18" customHeight="1">
      <x:c r="A19" s="24" t="str">
        <x:v>EEZ_659</x:v>
      </x:c>
      <x:c r="B19" s="24" t="str">
        <x:v>Saint Kitts &amp; Nevis</x:v>
      </x:c>
      <x:c r="C19" s="24" t="str">
        <x:v>EEZ</x:v>
      </x:c>
      <x:c r="D19" s="30" t="n">
        <x:v>2019</x:v>
      </x:c>
      <x:c r="E19" s="24" t="str">
        <x:v>Sarda sarda</x:v>
      </x:c>
      <x:c r="F19" s="24" t="str">
        <x:v>Atlantic bonito</x:v>
      </x:c>
      <x:c r="G19" s="24" t="str">
        <x:v>Medium pelagics (30 - 89 cm)</x:v>
      </x:c>
      <x:c r="H19" s="24" t="str">
        <x:v>Tuna &amp; billfishes</x:v>
      </x:c>
      <x:c r="I19" s="31" t="n">
        <x:v>1</x:v>
      </x:c>
      <x:c r="J19" s="31" t="n">
        <x:v>1</x:v>
      </x:c>
      <x:c r="K19" s="31" t="n">
        <x:v>0</x:v>
      </x:c>
      <x:c r="L19" s="31" t="n">
        <x:v>1</x:v>
      </x:c>
      <x:c r="M19" s="31" t="n">
        <x:v>0</x:v>
      </x:c>
      <x:c r="N19" s="24" t="str">
        <x:v>sarda sarda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Sarda sarda</x:v>
      </x:c>
      <x:c r="T19" s="32" t="n">
        <x:f>IF(O19="","",(1/'Metadata'!$B$5)^(O19-1))</x:f>
        <x:v>3162.2776601683795</x:v>
      </x:c>
      <x:c r="U19" s="31" t="n">
        <x:f>IF(T19="","",I19*T19)</x:f>
        <x:v>3162.2776601683795</x:v>
      </x:c>
    </x:row>
    <x:row r="20" ht="18" customHeight="1">
      <x:c r="A20" s="24" t="str">
        <x:v>EEZ_659</x:v>
      </x:c>
      <x:c r="B20" s="24" t="str">
        <x:v>Saint Kitts &amp; Nevis</x:v>
      </x:c>
      <x:c r="C20" s="24" t="str">
        <x:v>EEZ</x:v>
      </x:c>
      <x:c r="D20" s="30" t="n">
        <x:v>2019</x:v>
      </x:c>
      <x:c r="E20" s="24" t="str">
        <x:v>Sphyraena barracuda</x:v>
      </x:c>
      <x:c r="F20" s="24" t="str">
        <x:v>Great barracuda</x:v>
      </x:c>
      <x:c r="G20" s="24" t="str">
        <x:v>Large pelagics (&gt;=90 cm)</x:v>
      </x:c>
      <x:c r="H20" s="24" t="str">
        <x:v>Perch-likes</x:v>
      </x:c>
      <x:c r="I20" s="31" t="n">
        <x:v>0.268514629</x:v>
      </x:c>
      <x:c r="J20" s="31" t="n">
        <x:v>0.268514629</x:v>
      </x:c>
      <x:c r="K20" s="31" t="n">
        <x:v>0</x:v>
      </x:c>
      <x:c r="L20" s="31" t="n">
        <x:v>0</x:v>
      </x:c>
      <x:c r="M20" s="31" t="n">
        <x:v>0.268514629</x:v>
      </x:c>
      <x:c r="N20" s="24" t="str">
        <x:v>sphyraena barracuda</x:v>
      </x:c>
      <x:c r="O20" s="32" t="n">
        <x:v>4.49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Sphyraena barracuda</x:v>
      </x:c>
      <x:c r="T20" s="32" t="n">
        <x:f>IF(O20="","",(1/'Metadata'!$B$5)^(O20-1))</x:f>
        <x:v>3090.295432513592</x:v>
      </x:c>
      <x:c r="U20" s="31" t="n">
        <x:f>IF(T20="","",I20*T20)</x:f>
        <x:v>829.7895315617817</x:v>
      </x:c>
    </x:row>
  </x:sheetData>
  <x:conditionalFormatting sqref="R2:R2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4340154718c419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141.521168119</x:v>
      </x:c>
      <x:c r="C2" s="32" t="n">
        <x:v>2.6</x:v>
      </x:c>
      <x:c r="D2" s="32" t="n">
        <x:f>IF(C2="","",(1/'Metadata'!$B$5)^(C2-1))</x:f>
        <x:v>39.810717055349734</x:v>
      </x:c>
      <x:c r="E2" s="31" t="n">
        <x:f>IF(B2=0,"",B2*D2)</x:f>
        <x:v>5634.059181328091</x:v>
      </x:c>
    </x:row>
    <x:row r="3" ht="18" customHeight="1">
      <x:c r="A3" s="24" t="str">
        <x:v>Molluscs</x:v>
      </x:c>
      <x:c r="B3" s="31" t="n">
        <x:v>78.99122879000001</x:v>
      </x:c>
      <x:c r="C3" s="32" t="n">
        <x:v>2.19</x:v>
      </x:c>
      <x:c r="D3" s="32" t="n">
        <x:f>IF(C3="","",(1/'Metadata'!$B$5)^(C3-1))</x:f>
        <x:v>15.488166189124811</x:v>
      </x:c>
      <x:c r="E3" s="31" t="n">
        <x:f>IF(B3=0,"",B3*D3)</x:f>
        <x:v>1223.4292789827005</x:v>
      </x:c>
    </x:row>
    <x:row r="4" ht="18" customHeight="1">
      <x:c r="A4" s="24" t="str">
        <x:v>Other fishes &amp; inverts</x:v>
      </x:c>
      <x:c r="B4" s="31" t="n">
        <x:v>718.03609911</x:v>
      </x:c>
      <x:c r="C4" s="32" t="n">
        <x:v>3.306529198143841</x:v>
      </x:c>
      <x:c r="D4" s="32" t="n">
        <x:f>IF(C4="","",(1/'Metadata'!$B$5)^(C4-1))</x:f>
        <x:v>202.5485778108663</x:v>
      </x:c>
      <x:c r="E4" s="31" t="n">
        <x:f>IF(B4=0,"",B4*D4)</x:f>
        <x:v>145437.19069159275</x:v>
      </x:c>
    </x:row>
    <x:row r="5" ht="18" customHeight="1">
      <x:c r="A5" s="24" t="str">
        <x:v>Perch-likes</x:v>
      </x:c>
      <x:c r="B5" s="31" t="n">
        <x:v>784.7253913500001</x:v>
      </x:c>
      <x:c r="C5" s="32" t="n">
        <x:v>3.8410207857795347</x:v>
      </x:c>
      <x:c r="D5" s="32" t="n">
        <x:f>IF(C5="","",(1/'Metadata'!$B$5)^(C5-1))</x:f>
        <x:v>693.4589948813914</x:v>
      </x:c>
      <x:c r="E5" s="31" t="n">
        <x:f>IF(B5=0,"",B5*D5)</x:f>
        <x:v>544174.8811434776</x:v>
      </x:c>
    </x:row>
    <x:row r="6" ht="18" customHeight="1">
      <x:c r="A6" s="24" t="str">
        <x:v>Tuna &amp; billfishes</x:v>
      </x:c>
      <x:c r="B6" s="31" t="n">
        <x:v>1</x:v>
      </x:c>
      <x:c r="C6" s="32" t="n">
        <x:v>4.5</x:v>
      </x:c>
      <x:c r="D6" s="32" t="n">
        <x:f>IF(C6="","",(1/'Metadata'!$B$5)^(C6-1))</x:f>
        <x:v>3162.2776601683795</x:v>
      </x:c>
      <x:c r="E6" s="31" t="n">
        <x:f>IF(B6=0,"",B6*D6)</x:f>
        <x:v>3162.2776601683795</x:v>
      </x:c>
    </x:row>
  </x:sheetData>
  <x:pageMargins left="0.7" right="0.7" top="0.75" bottom="0.75" header="0.3" footer="0.3"/>
  <x:tableParts count="1">
    <x:tablePart xmlns:r="http://schemas.openxmlformats.org/officeDocument/2006/relationships" r:id="R46eaaff62949409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241.455586742</x:v>
      </x:c>
      <x:c r="C2" s="32" t="n">
        <x:v>4.355740089661545</x:v>
      </x:c>
      <x:c r="D2" s="32" t="n">
        <x:f>IF(C2="","",(1/'Metadata'!$B$5)^(C2-1))</x:f>
        <x:v>2268.5068221001543</x:v>
      </x:c>
      <x:c r="E2" s="31" t="n">
        <x:f>IF(B2=0,"",B2*D2)</x:f>
        <x:v>547743.6457584226</x:v>
      </x:c>
    </x:row>
    <x:row r="3" ht="18" customHeight="1">
      <x:c r="A3" s="24" t="str">
        <x:v>Lobsters, crabs</x:v>
      </x:c>
      <x:c r="B3" s="31" t="n">
        <x:v>141.521168119</x:v>
      </x:c>
      <x:c r="C3" s="32" t="n">
        <x:v>2.6</x:v>
      </x:c>
      <x:c r="D3" s="32" t="n">
        <x:f>IF(C3="","",(1/'Metadata'!$B$5)^(C3-1))</x:f>
        <x:v>39.810717055349734</x:v>
      </x:c>
      <x:c r="E3" s="31" t="n">
        <x:f>IF(B3=0,"",B3*D3)</x:f>
        <x:v>5634.059181328091</x:v>
      </x:c>
    </x:row>
    <x:row r="4" ht="18" customHeight="1">
      <x:c r="A4" s="24" t="str">
        <x:v>Medium demersals (30 - 89 cm)</x:v>
      </x:c>
      <x:c r="B4" s="31" t="n">
        <x:v>535.6240628200001</x:v>
      </x:c>
      <x:c r="C4" s="32" t="n">
        <x:v>3.282971577574204</x:v>
      </x:c>
      <x:c r="D4" s="32" t="n">
        <x:f>IF(C4="","",(1/'Metadata'!$B$5)^(C4-1))</x:f>
        <x:v>191.85431773998462</x:v>
      </x:c>
      <x:c r="E4" s="31" t="n">
        <x:f>IF(B4=0,"",B4*D4)</x:f>
        <x:v>102761.78913744977</x:v>
      </x:c>
    </x:row>
    <x:row r="5" ht="18" customHeight="1">
      <x:c r="A5" s="24" t="str">
        <x:v>Medium pelagics (30 - 89 cm)</x:v>
      </x:c>
      <x:c r="B5" s="31" t="n">
        <x:v>120.52580656699999</x:v>
      </x:c>
      <x:c r="C5" s="32" t="n">
        <x:v>4.050823648323522</x:v>
      </x:c>
      <x:c r="D5" s="32" t="n">
        <x:f>IF(C5="","",(1/'Metadata'!$B$5)^(C5-1))</x:f>
        <x:v>1124.1484042437223</x:v>
      </x:c>
      <x:c r="E5" s="31" t="n">
        <x:f>IF(B5=0,"",B5*D5)</x:f>
        <x:v>135488.8931224806</x:v>
      </x:c>
    </x:row>
    <x:row r="6" ht="18" customHeight="1">
      <x:c r="A6" s="24" t="str">
        <x:v>Medium reef assoc. fish (30 - 89 cm)</x:v>
      </x:c>
      <x:c r="B6" s="31" t="n">
        <x:v>398.23030412900005</x:v>
      </x:c>
      <x:c r="C6" s="32" t="n">
        <x:v>3.681872523465964</x:v>
      </x:c>
      <x:c r="D6" s="32" t="n">
        <x:f>IF(C6="","",(1/'Metadata'!$B$5)^(C6-1))</x:f>
        <x:v>480.6982305192232</x:v>
      </x:c>
      <x:c r="E6" s="31" t="n">
        <x:f>IF(B6=0,"",B6*D6)</x:f>
        <x:v>191428.60253394244</x:v>
      </x:c>
    </x:row>
    <x:row r="7" ht="18" customHeight="1">
      <x:c r="A7" s="24" t="str">
        <x:v>Other demersal invertebrates</x:v>
      </x:c>
      <x:c r="B7" s="31" t="n">
        <x:v>78.99122879000001</x:v>
      </x:c>
      <x:c r="C7" s="32" t="n">
        <x:v>2.19</x:v>
      </x:c>
      <x:c r="D7" s="32" t="n">
        <x:f>IF(C7="","",(1/'Metadata'!$B$5)^(C7-1))</x:f>
        <x:v>15.488166189124811</x:v>
      </x:c>
      <x:c r="E7" s="31" t="n">
        <x:f>IF(B7=0,"",B7*D7)</x:f>
        <x:v>1223.4292789827005</x:v>
      </x:c>
    </x:row>
    <x:row r="8" ht="18" customHeight="1">
      <x:c r="A8" s="24" t="str">
        <x:v>Small reef assoc. fish (&lt;30 cm)</x:v>
      </x:c>
      <x:c r="B8" s="31" t="n">
        <x:v>207.925730202</x:v>
      </x:c>
      <x:c r="C8" s="32" t="n">
        <x:v>3.0214418865612678</x:v>
      </x:c>
      <x:c r="D8" s="32" t="n">
        <x:f>IF(C8="","",(1/'Metadata'!$B$5)^(C8-1))</x:f>
        <x:v>105.0610862024561</x:v>
      </x:c>
      <x:c r="E8" s="31" t="n">
        <x:f>IF(B8=0,"",B8*D8)</x:f>
        <x:v>21844.903064460952</x:v>
      </x:c>
    </x:row>
  </x:sheetData>
  <x:pageMargins left="0.7" right="0.7" top="0.75" bottom="0.75" header="0.3" footer="0.3"/>
  <x:tableParts count="1">
    <x:tablePart xmlns:r="http://schemas.openxmlformats.org/officeDocument/2006/relationships" r:id="Ra551fd561e02418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EEZ_659</x:v>
      </x:c>
      <x:c r="B2" s="24" t="str">
        <x:v>raw_filtered_tonnes</x:v>
      </x:c>
      <x:c r="C2" s="24" t="n">
        <x:v>1724.2738873690002</x:v>
      </x:c>
      <x:c r="D2" s="24" t="str">
        <x:v>tonnes</x:v>
      </x:c>
    </x:row>
    <x:row r="3" ht="18" customHeight="1">
      <x:c r="A3" s="24" t="str">
        <x:v>EEZ_659</x:v>
      </x:c>
      <x:c r="B3" s="24" t="str">
        <x:v>species_catch_tonnes</x:v>
      </x:c>
      <x:c r="C3" s="24" t="n">
        <x:v>1724.273887369</x:v>
      </x:c>
      <x:c r="D3" s="24" t="str">
        <x:v>tonnes</x:v>
      </x:c>
    </x:row>
    <x:row r="4" ht="18" customHeight="1">
      <x:c r="A4" s="24" t="str">
        <x:v>EEZ_659</x:v>
      </x:c>
      <x:c r="B4" s="24" t="str">
        <x:v>catch_difference_tonnes</x:v>
      </x:c>
      <x:c r="C4" s="24" t="n">
        <x:v>-2.2737367544323206e-13</x:v>
      </x:c>
      <x:c r="D4" s="24" t="str">
        <x:v>tonnes</x:v>
      </x:c>
    </x:row>
    <x:row r="5" ht="18" customHeight="1">
      <x:c r="A5" s="24" t="str">
        <x:v>EEZ_659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EEZ_659</x:v>
      </x:c>
      <x:c r="B6" s="24" t="str">
        <x:v>matched_catch_tonnes</x:v>
      </x:c>
      <x:c r="C6" s="24" t="n">
        <x:v>1724.273887369</x:v>
      </x:c>
      <x:c r="D6" s="24" t="str">
        <x:v>tonnes</x:v>
      </x:c>
    </x:row>
    <x:row r="7" ht="18" customHeight="1">
      <x:c r="A7" s="24" t="str">
        <x:v>EEZ_659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EEZ_659</x:v>
      </x:c>
      <x:c r="B8" s="24" t="str">
        <x:v>taxa_count</x:v>
      </x:c>
      <x:c r="C8" s="24" t="n">
        <x:v>19</x:v>
      </x:c>
      <x:c r="D8" s="24" t="str">
        <x:v>count</x:v>
      </x:c>
    </x:row>
    <x:row r="9" ht="18" customHeight="1">
      <x:c r="A9" s="24" t="str">
        <x:v>EEZ_659</x:v>
      </x:c>
      <x:c r="B9" s="24" t="str">
        <x:v>matched_taxa_count</x:v>
      </x:c>
      <x:c r="C9" s="24" t="n">
        <x:v>19</x:v>
      </x:c>
      <x:c r="D9" s="24" t="str">
        <x:v>count</x:v>
      </x:c>
    </x:row>
    <x:row r="10" ht="18" customHeight="1">
      <x:c r="A10" s="24" t="str">
        <x:v>EEZ_659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EEZ_659</x:v>
      </x:c>
      <x:c r="B11" s="24" t="str">
        <x:v>species_ppr</x:v>
      </x:c>
      <x:c r="C11" s="24" t="n">
        <x:v>1106283.6685462072</x:v>
      </x:c>
      <x:c r="D11" s="24" t="str">
        <x:v>tonnes_primary_production_equivalent</x:v>
      </x:c>
    </x:row>
    <x:row r="12" ht="18" customHeight="1">
      <x:c r="A12" s="24" t="str">
        <x:v>EEZ_659</x:v>
      </x:c>
      <x:c r="B12" s="24" t="str">
        <x:v>commercial_ppr</x:v>
      </x:c>
      <x:c r="C12" s="24" t="n">
        <x:v>699631.8379555495</x:v>
      </x:c>
      <x:c r="D12" s="24" t="str">
        <x:v>tonnes_primary_production_equivalent</x:v>
      </x:c>
    </x:row>
    <x:row r="13" ht="18" customHeight="1">
      <x:c r="A13" s="24" t="str">
        <x:v>EEZ_659</x:v>
      </x:c>
      <x:c r="B13" s="24" t="str">
        <x:v>functional_ppr</x:v>
      </x:c>
      <x:c r="C13" s="24" t="n">
        <x:v>1006125.3220770671</x:v>
      </x:c>
      <x:c r="D13" s="24" t="str">
        <x:v>tonnes_primary_production_equivalent</x:v>
      </x:c>
    </x:row>
    <x:row r="14" ht="18" customHeight="1">
      <x:c r="A14" s="24" t="str">
        <x:v>EEZ_659</x:v>
      </x:c>
      <x:c r="B14" s="24" t="str">
        <x:v>commercial_ppr_difference</x:v>
      </x:c>
      <x:c r="C14" s="24" t="n">
        <x:v>-406651.8305906578</x:v>
      </x:c>
      <x:c r="D14" s="24" t="str">
        <x:v>tonnes_primary_production_equivalent</x:v>
      </x:c>
    </x:row>
    <x:row r="15" ht="18" customHeight="1">
      <x:c r="A15" s="24" t="str">
        <x:v>EEZ_659</x:v>
      </x:c>
      <x:c r="B15" s="24" t="str">
        <x:v>functional_ppr_difference</x:v>
      </x:c>
      <x:c r="C15" s="24" t="n">
        <x:v>-100158.34646914015</x:v>
      </x:c>
      <x:c r="D15" s="24" t="str">
        <x:v>tonnes_primary_production_equivalent</x:v>
      </x:c>
    </x:row>
    <x:row r="16" ht="18" customHeight="1">
      <x:c r="A16" s="24" t="str">
        <x:v>EEZ_659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EEZ_659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1064404f7db44b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EEZ_659 - Saint Kitts &amp; Nevis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EEZ_659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raw_data/SAU_downloads/EEZ_659-catch.zip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