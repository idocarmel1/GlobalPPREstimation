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69937a3cc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8f30fbb6fe74b4e"/>
    <x:sheet xmlns:r="http://schemas.openxmlformats.org/officeDocument/2006/relationships" name="Commercial" sheetId="2" r:id="Ra48c6ff69cb1488a"/>
    <x:sheet xmlns:r="http://schemas.openxmlformats.org/officeDocument/2006/relationships" name="Functional" sheetId="3" r:id="R947a6ffa547d46c9"/>
    <x:sheet xmlns:r="http://schemas.openxmlformats.org/officeDocument/2006/relationships" name="Missing TL" sheetId="4" r:id="R0a01f74fca8c430a"/>
    <x:sheet xmlns:r="http://schemas.openxmlformats.org/officeDocument/2006/relationships" name="Validation" sheetId="5" r:id="R53873b58bcb14ce9"/>
    <x:sheet xmlns:r="http://schemas.openxmlformats.org/officeDocument/2006/relationships" name="Metadata" sheetId="6" r:id="R0fbccde8790446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f4cf8365744daf" /><Relationship Type="http://schemas.openxmlformats.org/officeDocument/2006/relationships/theme" Target="/xl/theme/theme1.xml" Id="Rbcfa6a75a6cd427f" /><Relationship Type="http://schemas.microsoft.com/office/2022/11/relationships/FeaturePropertyBag" Target="/xl/featurePropertyBag/featurePropertyBag.xml" Id="R92bc85f89a2e41b3" /><Relationship Type="http://schemas.openxmlformats.org/officeDocument/2006/relationships/sharedStrings" Target="/xl/sharedStrings.xml" Id="R58686686b19f4b71" /><Relationship Type="http://schemas.openxmlformats.org/officeDocument/2006/relationships/worksheet" Target="/xl/worksheets/sheet1.xml" Id="Rc8f30fbb6fe74b4e" /><Relationship Type="http://schemas.openxmlformats.org/officeDocument/2006/relationships/worksheet" Target="/xl/worksheets/sheet2.xml" Id="Ra48c6ff69cb1488a" /><Relationship Type="http://schemas.openxmlformats.org/officeDocument/2006/relationships/worksheet" Target="/xl/worksheets/sheet3.xml" Id="R947a6ffa547d46c9" /><Relationship Type="http://schemas.openxmlformats.org/officeDocument/2006/relationships/worksheet" Target="/xl/worksheets/sheet4.xml" Id="R0a01f74fca8c430a" /><Relationship Type="http://schemas.openxmlformats.org/officeDocument/2006/relationships/worksheet" Target="/xl/worksheets/sheet5.xml" Id="R53873b58bcb14ce9" /><Relationship Type="http://schemas.openxmlformats.org/officeDocument/2006/relationships/worksheet" Target="/xl/worksheets/sheet6.xml" Id="R0fbccde8790446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72SpeciesTable" displayName="EEZ772SpeciesTable" ref="A1:U30" headerRowCount="1" totalsRowCount="0" totalsRowShown="0">
  <x:autoFilter ref="A1:U3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72CommercialTable" displayName="EEZ772CommercialTable" ref="A1:E6" headerRowCount="1" totalsRowCount="0" totalsRowShown="0">
  <x:autoFilter ref="A1:E6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72FunctionalTable" displayName="EEZ772FunctionalTable" ref="A1:E9" headerRowCount="1" totalsRowCount="0" totalsRowShown="0">
  <x:autoFilter ref="A1:E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72ValidationTable" displayName="EEZ77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e253a97f754e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e5fa1fe64c43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79271697b1c48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d4ddb3a8274b7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EEZ_772</x:v>
      </x:c>
      <x:c r="B2" s="24" t="str">
        <x:v>Tokelau (New Zealand)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5882.613229495</x:v>
      </x:c>
      <x:c r="J2" s="31" t="n">
        <x:v>5856.981961606</x:v>
      </x:c>
      <x:c r="K2" s="31" t="n">
        <x:v>25.631267889</x:v>
      </x:c>
      <x:c r="L2" s="31" t="n">
        <x:v>5856.981961606</x:v>
      </x:c>
      <x:c r="M2" s="31" t="n">
        <x:v>25.631267889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15833258.245226694</x:v>
      </x:c>
    </x:row>
    <x:row r="3" ht="18" customHeight="1">
      <x:c r="A3" s="24" t="str">
        <x:v>EEZ_772</x:v>
      </x:c>
      <x:c r="B3" s="24" t="str">
        <x:v>Tokelau (New Zealand)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1048.8562370976001</x:v>
      </x:c>
      <x:c r="J3" s="31" t="n">
        <x:v>1043.9582153046001</x:v>
      </x:c>
      <x:c r="K3" s="31" t="n">
        <x:v>4.898021793</x:v>
      </x:c>
      <x:c r="L3" s="31" t="n">
        <x:v>1035.1549750556</x:v>
      </x:c>
      <x:c r="M3" s="31" t="n">
        <x:v>13.701262042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2695975.648566492</x:v>
      </x:c>
    </x:row>
    <x:row r="4" ht="18" customHeight="1">
      <x:c r="A4" s="24" t="str">
        <x:v>EEZ_772</x:v>
      </x:c>
      <x:c r="B4" s="24" t="str">
        <x:v>Tokelau (New Zealand)</x:v>
      </x:c>
      <x:c r="C4" s="24" t="str">
        <x:v>EEZ</x:v>
      </x:c>
      <x:c r="D4" s="30" t="n">
        <x:v>2019</x:v>
      </x:c>
      <x:c r="E4" s="24" t="str">
        <x:v>Thunnus alalunga</x:v>
      </x:c>
      <x:c r="F4" s="24" t="str">
        <x:v>Albacore</x:v>
      </x:c>
      <x:c r="G4" s="24" t="str">
        <x:v>Large pelagics (&gt;=90 cm)</x:v>
      </x:c>
      <x:c r="H4" s="24" t="str">
        <x:v>Tuna &amp; billfishes</x:v>
      </x:c>
      <x:c r="I4" s="31" t="n">
        <x:v>936.7201660291</x:v>
      </x:c>
      <x:c r="J4" s="31" t="n">
        <x:v>936.7201660291</x:v>
      </x:c>
      <x:c r="K4" s="31" t="n">
        <x:v>0</x:v>
      </x:c>
      <x:c r="L4" s="31" t="n">
        <x:v>936.7201660291</x:v>
      </x:c>
      <x:c r="M4" s="31" t="n">
        <x:v>0</x:v>
      </x:c>
      <x:c r="N4" s="24" t="str">
        <x:v>thunnus alalunga</x:v>
      </x:c>
      <x:c r="O4" s="32" t="n">
        <x:v>4.3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alalunga</x:v>
      </x:c>
      <x:c r="T4" s="32" t="n">
        <x:f>IF(O4="","",(1/'Metadata'!$B$5)^(O4-1))</x:f>
        <x:v>1995.2623149688789</x:v>
      </x:c>
      <x:c r="U4" s="31" t="n">
        <x:f>IF(T4="","",I4*T4)</x:f>
        <x:v>1869002.4469492547</x:v>
      </x:c>
    </x:row>
    <x:row r="5" ht="18" customHeight="1">
      <x:c r="A5" s="24" t="str">
        <x:v>EEZ_772</x:v>
      </x:c>
      <x:c r="B5" s="24" t="str">
        <x:v>Tokelau (New Zealand)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573.1876843746</x:v>
      </x:c>
      <x:c r="J5" s="31" t="n">
        <x:v>260.1730452654</x:v>
      </x:c>
      <x:c r="K5" s="31" t="n">
        <x:v>313.0146391092</x:v>
      </x:c>
      <x:c r="L5" s="31" t="n">
        <x:v>19.4628660174</x:v>
      </x:c>
      <x:c r="M5" s="31" t="n">
        <x:v>553.7248183572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109218.66165961161</x:v>
      </x:c>
    </x:row>
    <x:row r="6" ht="18" customHeight="1">
      <x:c r="A6" s="24" t="str">
        <x:v>EEZ_772</x:v>
      </x:c>
      <x:c r="B6" s="24" t="str">
        <x:v>Tokelau (New Zealand)</x:v>
      </x:c>
      <x:c r="C6" s="24" t="str">
        <x:v>EEZ</x:v>
      </x:c>
      <x:c r="D6" s="30" t="n">
        <x:v>2019</x:v>
      </x:c>
      <x:c r="E6" s="24" t="str">
        <x:v>Thunnus obesus</x:v>
      </x:c>
      <x:c r="F6" s="24" t="str">
        <x:v>Bigeye tuna</x:v>
      </x:c>
      <x:c r="G6" s="24" t="str">
        <x:v>Large pelagics (&gt;=90 cm)</x:v>
      </x:c>
      <x:c r="H6" s="24" t="str">
        <x:v>Tuna &amp; billfishes</x:v>
      </x:c>
      <x:c r="I6" s="31" t="n">
        <x:v>433.8835835517</x:v>
      </x:c>
      <x:c r="J6" s="31" t="n">
        <x:v>423.8868928258</x:v>
      </x:c>
      <x:c r="K6" s="31" t="n">
        <x:v>9.996690725899999</x:v>
      </x:c>
      <x:c r="L6" s="31" t="n">
        <x:v>395.3647312928</x:v>
      </x:c>
      <x:c r="M6" s="31" t="n">
        <x:v>38.5188522589</x:v>
      </x:c>
      <x:c r="N6" s="24" t="str">
        <x:v>thunnus obesus</x:v>
      </x:c>
      <x:c r="O6" s="32" t="n">
        <x:v>4.49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obesus</x:v>
      </x:c>
      <x:c r="T6" s="32" t="n">
        <x:f>IF(O6="","",(1/'Metadata'!$B$5)^(O6-1))</x:f>
        <x:v>3090.295432513592</x:v>
      </x:c>
      <x:c r="U6" s="31" t="n">
        <x:f>IF(T6="","",I6*T6)</x:f>
        <x:v>1340828.456492448</x:v>
      </x:c>
    </x:row>
    <x:row r="7" ht="18" customHeight="1">
      <x:c r="A7" s="24" t="str">
        <x:v>EEZ_772</x:v>
      </x:c>
      <x:c r="B7" s="24" t="str">
        <x:v>Tokelau (New Zealand)</x:v>
      </x:c>
      <x:c r="C7" s="24" t="str">
        <x:v>EEZ</x:v>
      </x:c>
      <x:c r="D7" s="30" t="n">
        <x:v>2019</x:v>
      </x:c>
      <x:c r="E7" s="24" t="str">
        <x:v>Prionace glauca</x:v>
      </x:c>
      <x:c r="F7" s="24" t="str">
        <x:v>Blue shark</x:v>
      </x:c>
      <x:c r="G7" s="24" t="str">
        <x:v>Large sharks (&gt;=90 cm)</x:v>
      </x:c>
      <x:c r="H7" s="24" t="str">
        <x:v>Sharks &amp; rays</x:v>
      </x:c>
      <x:c r="I7" s="31" t="n">
        <x:v>375.6767128217</x:v>
      </x:c>
      <x:c r="J7" s="31" t="n">
        <x:v>82.04272117010001</x:v>
      </x:c>
      <x:c r="K7" s="31" t="n">
        <x:v>293.6339916516</x:v>
      </x:c>
      <x:c r="L7" s="31" t="n">
        <x:v>82.04272117010001</x:v>
      </x:c>
      <x:c r="M7" s="31" t="n">
        <x:v>293.6339916516</x:v>
      </x:c>
      <x:c r="N7" s="24" t="str">
        <x:v>prionace glauca</x:v>
      </x:c>
      <x:c r="O7" s="32" t="n">
        <x:v>4.35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Prionace glauca</x:v>
      </x:c>
      <x:c r="T7" s="32" t="n">
        <x:f>IF(O7="","",(1/'Metadata'!$B$5)^(O7-1))</x:f>
        <x:v>2238.7211385683377</x:v>
      </x:c>
      <x:c r="U7" s="31" t="n">
        <x:f>IF(T7="","",I7*T7)</x:f>
        <x:v>841035.3982618066</x:v>
      </x:c>
    </x:row>
    <x:row r="8" ht="18" customHeight="1">
      <x:c r="A8" s="24" t="str">
        <x:v>EEZ_772</x:v>
      </x:c>
      <x:c r="B8" s="24" t="str">
        <x:v>Tokelau (New Zealand)</x:v>
      </x:c>
      <x:c r="C8" s="24" t="str">
        <x:v>EEZ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109.0965950141</x:v>
      </x:c>
      <x:c r="J8" s="31" t="n">
        <x:v>0.4003659618</x:v>
      </x:c>
      <x:c r="K8" s="31" t="n">
        <x:v>108.6962290523</x:v>
      </x:c>
      <x:c r="L8" s="31" t="n">
        <x:v>0.4003659618</x:v>
      </x:c>
      <x:c r="M8" s="31" t="n">
        <x:v>108.6962290523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198523.1676185833</x:v>
      </x:c>
    </x:row>
    <x:row r="9" ht="18" customHeight="1">
      <x:c r="A9" s="24" t="str">
        <x:v>EEZ_772</x:v>
      </x:c>
      <x:c r="B9" s="24" t="str">
        <x:v>Tokelau (New Zealand)</x:v>
      </x:c>
      <x:c r="C9" s="24" t="str">
        <x:v>EEZ</x:v>
      </x:c>
      <x:c r="D9" s="30" t="n">
        <x:v>2019</x:v>
      </x:c>
      <x:c r="E9" s="24" t="str">
        <x:v>Coryphaena hippurus</x:v>
      </x:c>
      <x:c r="F9" s="24" t="str">
        <x:v>Common dolphinfish</x:v>
      </x:c>
      <x:c r="G9" s="24" t="str">
        <x:v>Large pelagics (&gt;=90 cm)</x:v>
      </x:c>
      <x:c r="H9" s="24" t="str">
        <x:v>Perch-likes</x:v>
      </x:c>
      <x:c r="I9" s="31" t="n">
        <x:v>96.8963108985</x:v>
      </x:c>
      <x:c r="J9" s="31" t="n">
        <x:v>6.853251425</x:v>
      </x:c>
      <x:c r="K9" s="31" t="n">
        <x:v>90.0430594735</x:v>
      </x:c>
      <x:c r="L9" s="31" t="n">
        <x:v>0.152019093</x:v>
      </x:c>
      <x:c r="M9" s="31" t="n">
        <x:v>96.7442918055</x:v>
      </x:c>
      <x:c r="N9" s="24" t="str">
        <x:v>coryphaena hippurus</x:v>
      </x:c>
      <x:c r="O9" s="32" t="n">
        <x:v>4.37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Coryphaena hippurus</x:v>
      </x:c>
      <x:c r="T9" s="32" t="n">
        <x:f>IF(O9="","",(1/'Metadata'!$B$5)^(O9-1))</x:f>
        <x:v>2344.228815319923</x:v>
      </x:c>
      <x:c r="U9" s="31" t="n">
        <x:f>IF(T9="","",I9*T9)</x:f>
        <x:v>227147.1241064616</x:v>
      </x:c>
    </x:row>
    <x:row r="10" ht="18" customHeight="1">
      <x:c r="A10" s="24" t="str">
        <x:v>EEZ_772</x:v>
      </x:c>
      <x:c r="B10" s="24" t="str">
        <x:v>Tokelau (New Zealand)</x:v>
      </x:c>
      <x:c r="C10" s="24" t="str">
        <x:v>EEZ</x:v>
      </x:c>
      <x:c r="D10" s="30" t="n">
        <x:v>2019</x:v>
      </x:c>
      <x:c r="E10" s="24" t="str">
        <x:v>Marine pelagic fishes not identified</x:v>
      </x:c>
      <x:c r="F10" s="24" t="str">
        <x:v>Pelagic fishes</x:v>
      </x:c>
      <x:c r="G10" s="24" t="str">
        <x:v>Medium pelagics (30 - 89 cm)</x:v>
      </x:c>
      <x:c r="H10" s="24" t="str">
        <x:v>Other fishes &amp; inverts</x:v>
      </x:c>
      <x:c r="I10" s="31" t="n">
        <x:v>61.8271540048</x:v>
      </x:c>
      <x:c r="J10" s="31" t="n">
        <x:v>44.787560673499996</x:v>
      </x:c>
      <x:c r="K10" s="31" t="n">
        <x:v>17.0395933313</x:v>
      </x:c>
      <x:c r="L10" s="31" t="n">
        <x:v>44.787560673499996</x:v>
      </x:c>
      <x:c r="M10" s="31" t="n">
        <x:v>17.0395933313</x:v>
      </x:c>
      <x:c r="N10" s="24" t="str">
        <x:v>marine pelagic fishes not identified</x:v>
      </x:c>
      <x:c r="O10" s="32" t="n">
        <x:v>3.35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Marine pelagic fishes not identified</x:v>
      </x:c>
      <x:c r="T10" s="32" t="n">
        <x:f>IF(O10="","",(1/'Metadata'!$B$5)^(O10-1))</x:f>
        <x:v>223.872113856834</x:v>
      </x:c>
      <x:c r="U10" s="31" t="n">
        <x:f>IF(T10="","",I10*T10)</x:f>
        <x:v>13841.375660806596</x:v>
      </x:c>
    </x:row>
    <x:row r="11" ht="18" customHeight="1">
      <x:c r="A11" s="24" t="str">
        <x:v>EEZ_772</x:v>
      </x:c>
      <x:c r="B11" s="24" t="str">
        <x:v>Tokelau (New Zealand)</x:v>
      </x:c>
      <x:c r="C11" s="24" t="str">
        <x:v>EEZ</x:v>
      </x:c>
      <x:c r="D11" s="30" t="n">
        <x:v>2019</x:v>
      </x:c>
      <x:c r="E11" s="24" t="str">
        <x:v>Carangidae</x:v>
      </x:c>
      <x:c r="F11" s="24" t="str">
        <x:v>Jacks, pompanos</x:v>
      </x:c>
      <x:c r="G11" s="24" t="str">
        <x:v>Medium pelagics (30 - 89 cm)</x:v>
      </x:c>
      <x:c r="H11" s="24" t="str">
        <x:v>Perch-likes</x:v>
      </x:c>
      <x:c r="I11" s="31" t="n">
        <x:v>57.98602744</x:v>
      </x:c>
      <x:c r="J11" s="31" t="n">
        <x:v>33.333662551</x:v>
      </x:c>
      <x:c r="K11" s="31" t="n">
        <x:v>24.652364889</x:v>
      </x:c>
      <x:c r="L11" s="31" t="n">
        <x:v>0.739965082</x:v>
      </x:c>
      <x:c r="M11" s="31" t="n">
        <x:v>57.246062358</x:v>
      </x:c>
      <x:c r="N11" s="24" t="str">
        <x:v>carangidae</x:v>
      </x:c>
      <x:c r="O11" s="32" t="n">
        <x:v>4.05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Carangidae</x:v>
      </x:c>
      <x:c r="T11" s="32" t="n">
        <x:f>IF(O11="","",(1/'Metadata'!$B$5)^(O11-1))</x:f>
        <x:v>1122.018454301963</x:v>
      </x:c>
      <x:c r="U11" s="31" t="n">
        <x:f>IF(T11="","",I11*T11)</x:f>
        <x:v>65061.39287934001</x:v>
      </x:c>
    </x:row>
    <x:row r="12" ht="18" customHeight="1">
      <x:c r="A12" s="24" t="str">
        <x:v>EEZ_772</x:v>
      </x:c>
      <x:c r="B12" s="24" t="str">
        <x:v>Tokelau (New Zealand)</x:v>
      </x:c>
      <x:c r="C12" s="24" t="str">
        <x:v>EEZ</x:v>
      </x:c>
      <x:c r="D12" s="30" t="n">
        <x:v>2019</x:v>
      </x:c>
      <x:c r="E12" s="24" t="str">
        <x:v>Isurus</x:v>
      </x:c>
      <x:c r="F12" s="24" t="str">
        <x:v>Mako sharks</x:v>
      </x:c>
      <x:c r="G12" s="24" t="str">
        <x:v>Large sharks (&gt;=90 cm)</x:v>
      </x:c>
      <x:c r="H12" s="24" t="str">
        <x:v>Sharks &amp; rays</x:v>
      </x:c>
      <x:c r="I12" s="31" t="n">
        <x:v>48.0376376575</x:v>
      </x:c>
      <x:c r="J12" s="31" t="n">
        <x:v>8.4804289691</x:v>
      </x:c>
      <x:c r="K12" s="31" t="n">
        <x:v>39.557208688399996</x:v>
      </x:c>
      <x:c r="L12" s="31" t="n">
        <x:v>8.4804289691</x:v>
      </x:c>
      <x:c r="M12" s="31" t="n">
        <x:v>39.557208688399996</x:v>
      </x:c>
      <x:c r="N12" s="24" t="str">
        <x:v>isurus</x:v>
      </x:c>
      <x:c r="O12" s="32" t="n">
        <x:v>4.5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Isurus</x:v>
      </x:c>
      <x:c r="T12" s="32" t="n">
        <x:f>IF(O12="","",(1/'Metadata'!$B$5)^(O12-1))</x:f>
        <x:v>3162.2776601683795</x:v>
      </x:c>
      <x:c r="U12" s="31" t="n">
        <x:f>IF(T12="","",I12*T12)</x:f>
        <x:v>151908.34841157554</x:v>
      </x:c>
    </x:row>
    <x:row r="13" ht="18" customHeight="1">
      <x:c r="A13" s="24" t="str">
        <x:v>EEZ_772</x:v>
      </x:c>
      <x:c r="B13" s="24" t="str">
        <x:v>Tokelau (New Zealand)</x:v>
      </x:c>
      <x:c r="C13" s="24" t="str">
        <x:v>EEZ</x:v>
      </x:c>
      <x:c r="D13" s="30" t="n">
        <x:v>2019</x:v>
      </x:c>
      <x:c r="E13" s="24" t="str">
        <x:v>Xiphias gladius</x:v>
      </x:c>
      <x:c r="F13" s="24" t="str">
        <x:v>Swordfish</x:v>
      </x:c>
      <x:c r="G13" s="24" t="str">
        <x:v>Large pelagics (&gt;=90 cm)</x:v>
      </x:c>
      <x:c r="H13" s="24" t="str">
        <x:v>Tuna &amp; billfishes</x:v>
      </x:c>
      <x:c r="I13" s="31" t="n">
        <x:v>47.501251766100005</x:v>
      </x:c>
      <x:c r="J13" s="31" t="n">
        <x:v>9.6390045991</x:v>
      </x:c>
      <x:c r="K13" s="31" t="n">
        <x:v>37.862247167</x:v>
      </x:c>
      <x:c r="L13" s="31" t="n">
        <x:v>9.6390045991</x:v>
      </x:c>
      <x:c r="M13" s="31" t="n">
        <x:v>37.862247167</x:v>
      </x:c>
      <x:c r="N13" s="24" t="str">
        <x:v>xiphias gladius</x:v>
      </x:c>
      <x:c r="O13" s="32" t="n">
        <x:v>4.53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Xiphias gladius</x:v>
      </x:c>
      <x:c r="T13" s="32" t="n">
        <x:f>IF(O13="","",(1/'Metadata'!$B$5)^(O13-1))</x:f>
        <x:v>3388.4415613920273</x:v>
      </x:c>
      <x:c r="U13" s="31" t="n">
        <x:f>IF(T13="","",I13*T13)</x:f>
        <x:v>160955.2157023997</x:v>
      </x:c>
    </x:row>
    <x:row r="14" ht="18" customHeight="1">
      <x:c r="A14" s="24" t="str">
        <x:v>EEZ_772</x:v>
      </x:c>
      <x:c r="B14" s="24" t="str">
        <x:v>Tokelau (New Zealand)</x:v>
      </x:c>
      <x:c r="C14" s="24" t="str">
        <x:v>EEZ</x:v>
      </x:c>
      <x:c r="D14" s="30" t="n">
        <x:v>2019</x:v>
      </x:c>
      <x:c r="E14" s="24" t="str">
        <x:v>Acanthocybium solandri</x:v>
      </x:c>
      <x:c r="F14" s="24" t="str">
        <x:v>Wahoo</x:v>
      </x:c>
      <x:c r="G14" s="24" t="str">
        <x:v>Large pelagics (&gt;=90 cm)</x:v>
      </x:c>
      <x:c r="H14" s="24" t="str">
        <x:v>Perch-likes</x:v>
      </x:c>
      <x:c r="I14" s="31" t="n">
        <x:v>38.3650103979</x:v>
      </x:c>
      <x:c r="J14" s="31" t="n">
        <x:v>21.757609316</x:v>
      </x:c>
      <x:c r="K14" s="31" t="n">
        <x:v>16.6074010819</x:v>
      </x:c>
      <x:c r="L14" s="31" t="n">
        <x:v>2.487340486</x:v>
      </x:c>
      <x:c r="M14" s="31" t="n">
        <x:v>35.8776699119</x:v>
      </x:c>
      <x:c r="N14" s="24" t="str">
        <x:v>acanthocybium solandri</x:v>
      </x:c>
      <x:c r="O14" s="32" t="n">
        <x:v>4.26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Acanthocybium solandri</x:v>
      </x:c>
      <x:c r="T14" s="32" t="n">
        <x:f>IF(O14="","",(1/'Metadata'!$B$5)^(O14-1))</x:f>
        <x:v>1819.7008586099826</x:v>
      </x:c>
      <x:c r="U14" s="31" t="n">
        <x:f>IF(T14="","",I14*T14)</x:f>
        <x:v>69812.84236163954</x:v>
      </x:c>
    </x:row>
    <x:row r="15" ht="18" customHeight="1">
      <x:c r="A15" s="24" t="str">
        <x:v>EEZ_772</x:v>
      </x:c>
      <x:c r="B15" s="24" t="str">
        <x:v>Tokelau (New Zealand)</x:v>
      </x:c>
      <x:c r="C15" s="24" t="str">
        <x:v>EEZ</x:v>
      </x:c>
      <x:c r="D15" s="30" t="n">
        <x:v>2019</x:v>
      </x:c>
      <x:c r="E15" s="24" t="str">
        <x:v>Istiophoridae</x:v>
      </x:c>
      <x:c r="F15" s="24" t="str">
        <x:v>Billfishes</x:v>
      </x:c>
      <x:c r="G15" s="24" t="str">
        <x:v>Large pelagics (&gt;=90 cm)</x:v>
      </x:c>
      <x:c r="H15" s="24" t="str">
        <x:v>Tuna &amp; billfishes</x:v>
      </x:c>
      <x:c r="I15" s="31" t="n">
        <x:v>26.9077301609</x:v>
      </x:c>
      <x:c r="J15" s="31" t="n">
        <x:v>0</x:v>
      </x:c>
      <x:c r="K15" s="31" t="n">
        <x:v>26.9077301609</x:v>
      </x:c>
      <x:c r="L15" s="31" t="n">
        <x:v>0</x:v>
      </x:c>
      <x:c r="M15" s="31" t="n">
        <x:v>26.9077301609</x:v>
      </x:c>
      <x:c r="N15" s="24" t="str">
        <x:v>istiophoridae</x:v>
      </x:c>
      <x:c r="O15" s="32" t="n">
        <x:v>4.48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Istiophoridae</x:v>
      </x:c>
      <x:c r="T15" s="32" t="n">
        <x:f>IF(O15="","",(1/'Metadata'!$B$5)^(O15-1))</x:f>
        <x:v>3019.951720402019</x:v>
      </x:c>
      <x:c r="U15" s="31" t="n">
        <x:f>IF(T15="","",I15*T15)</x:f>
        <x:v>81260.04599152325</x:v>
      </x:c>
    </x:row>
    <x:row r="16" ht="18" customHeight="1">
      <x:c r="A16" s="24" t="str">
        <x:v>EEZ_772</x:v>
      </x:c>
      <x:c r="B16" s="24" t="str">
        <x:v>Tokelau (New Zealand)</x:v>
      </x:c>
      <x:c r="C16" s="24" t="str">
        <x:v>EEZ</x:v>
      </x:c>
      <x:c r="D16" s="30" t="n">
        <x:v>2019</x:v>
      </x:c>
      <x:c r="E16" s="24" t="str">
        <x:v>Carcharhinus longimanus</x:v>
      </x:c>
      <x:c r="F16" s="24" t="str">
        <x:v>Oceanic whitetip shark</x:v>
      </x:c>
      <x:c r="G16" s="24" t="str">
        <x:v>Large sharks (&gt;=90 cm)</x:v>
      </x:c>
      <x:c r="H16" s="24" t="str">
        <x:v>Sharks &amp; rays</x:v>
      </x:c>
      <x:c r="I16" s="31" t="n">
        <x:v>17.2730380201</x:v>
      </x:c>
      <x:c r="J16" s="31" t="n">
        <x:v>6.1324703902</x:v>
      </x:c>
      <x:c r="K16" s="31" t="n">
        <x:v>11.1405676299</x:v>
      </x:c>
      <x:c r="L16" s="31" t="n">
        <x:v>6.1324703902</x:v>
      </x:c>
      <x:c r="M16" s="31" t="n">
        <x:v>11.1405676299</x:v>
      </x:c>
      <x:c r="N16" s="24" t="str">
        <x:v>carcharhinus longimanus</x:v>
      </x:c>
      <x:c r="O16" s="32" t="n">
        <x:v>4.16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Carcharhinus longimanus</x:v>
      </x:c>
      <x:c r="T16" s="32" t="n">
        <x:f>IF(O16="","",(1/'Metadata'!$B$5)^(O16-1))</x:f>
        <x:v>1445.439770745928</x:v>
      </x:c>
      <x:c r="U16" s="31" t="n">
        <x:f>IF(T16="","",I16*T16)</x:f>
        <x:v>24967.13611585904</x:v>
      </x:c>
    </x:row>
    <x:row r="17" ht="18" customHeight="1">
      <x:c r="A17" s="24" t="str">
        <x:v>EEZ_772</x:v>
      </x:c>
      <x:c r="B17" s="24" t="str">
        <x:v>Tokelau (New Zealand)</x:v>
      </x:c>
      <x:c r="C17" s="24" t="str">
        <x:v>EEZ</x:v>
      </x:c>
      <x:c r="D17" s="30" t="n">
        <x:v>2019</x:v>
      </x:c>
      <x:c r="E17" s="24" t="str">
        <x:v>Acanthuridae</x:v>
      </x:c>
      <x:c r="F17" s="24" t="str">
        <x:v>Surgeons, tangs, unicornfishes</x:v>
      </x:c>
      <x:c r="G17" s="24" t="str">
        <x:v>Small reef assoc. fish (&lt;30 cm)</x:v>
      </x:c>
      <x:c r="H17" s="24" t="str">
        <x:v>Perch-likes</x:v>
      </x:c>
      <x:c r="I17" s="31" t="n">
        <x:v>16.655908949</x:v>
      </x:c>
      <x:c r="J17" s="31" t="n">
        <x:v>16.655908949</x:v>
      </x:c>
      <x:c r="K17" s="31" t="n">
        <x:v>0</x:v>
      </x:c>
      <x:c r="L17" s="31" t="n">
        <x:v>0.369982541</x:v>
      </x:c>
      <x:c r="M17" s="31" t="n">
        <x:v>16.285926408</x:v>
      </x:c>
      <x:c r="N17" s="24" t="str">
        <x:v>acanthuridae</x:v>
      </x:c>
      <x:c r="O17" s="32" t="n">
        <x:v>2.28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Acanthuridae</x:v>
      </x:c>
      <x:c r="T17" s="32" t="n">
        <x:f>IF(O17="","",(1/'Metadata'!$B$5)^(O17-1))</x:f>
        <x:v>19.054607179632463</x:v>
      </x:c>
      <x:c r="U17" s="31" t="n">
        <x:f>IF(T17="","",I17*T17)</x:f>
        <x:v>317.37180224292</x:v>
      </x:c>
    </x:row>
    <x:row r="18" ht="18" customHeight="1">
      <x:c r="A18" s="24" t="str">
        <x:v>EEZ_772</x:v>
      </x:c>
      <x:c r="B18" s="24" t="str">
        <x:v>Tokelau (New Zealand)</x:v>
      </x:c>
      <x:c r="C18" s="24" t="str">
        <x:v>EEZ</x:v>
      </x:c>
      <x:c r="D18" s="30" t="n">
        <x:v>2019</x:v>
      </x:c>
      <x:c r="E18" s="24" t="str">
        <x:v>Mugilidae</x:v>
      </x:c>
      <x:c r="F18" s="24" t="str">
        <x:v>Mullets, grey mullets</x:v>
      </x:c>
      <x:c r="G18" s="24" t="str">
        <x:v>Medium reef assoc. fish (30 - 89 cm)</x:v>
      </x:c>
      <x:c r="H18" s="24" t="str">
        <x:v>Perch-likes</x:v>
      </x:c>
      <x:c r="I18" s="31" t="n">
        <x:v>16.655908949</x:v>
      </x:c>
      <x:c r="J18" s="31" t="n">
        <x:v>16.655908949</x:v>
      </x:c>
      <x:c r="K18" s="31" t="n">
        <x:v>0</x:v>
      </x:c>
      <x:c r="L18" s="31" t="n">
        <x:v>0.369982541</x:v>
      </x:c>
      <x:c r="M18" s="31" t="n">
        <x:v>16.285926408</x:v>
      </x:c>
      <x:c r="N18" s="24" t="str">
        <x:v>mugilidae</x:v>
      </x:c>
      <x:c r="O18" s="32" t="n">
        <x:v>2.53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Mugilidae</x:v>
      </x:c>
      <x:c r="T18" s="32" t="n">
        <x:f>IF(O18="","",(1/'Metadata'!$B$5)^(O18-1))</x:f>
        <x:v>33.88441561392024</x:v>
      </x:c>
      <x:c r="U18" s="31" t="n">
        <x:f>IF(T18="","",I18*T18)</x:f>
        <x:v>564.3757412555294</x:v>
      </x:c>
    </x:row>
    <x:row r="19" ht="18" customHeight="1">
      <x:c r="A19" s="24" t="str">
        <x:v>EEZ_772</x:v>
      </x:c>
      <x:c r="B19" s="24" t="str">
        <x:v>Tokelau (New Zealand)</x:v>
      </x:c>
      <x:c r="C19" s="24" t="str">
        <x:v>EEZ</x:v>
      </x:c>
      <x:c r="D19" s="30" t="n">
        <x:v>2019</x:v>
      </x:c>
      <x:c r="E19" s="24" t="str">
        <x:v>Elasmobranchii</x:v>
      </x:c>
      <x:c r="F19" s="24" t="str">
        <x:v>Sharks, rays, skates</x:v>
      </x:c>
      <x:c r="G19" s="24" t="str">
        <x:v>Large sharks (&gt;=90 cm)</x:v>
      </x:c>
      <x:c r="H19" s="24" t="str">
        <x:v>Sharks &amp; rays</x:v>
      </x:c>
      <x:c r="I19" s="31" t="n">
        <x:v>11.7479226173</x:v>
      </x:c>
      <x:c r="J19" s="31" t="n">
        <x:v>2.5374023551000002</x:v>
      </x:c>
      <x:c r="K19" s="31" t="n">
        <x:v>9.2105202622</x:v>
      </x:c>
      <x:c r="L19" s="31" t="n">
        <x:v>2.5374023551000002</x:v>
      </x:c>
      <x:c r="M19" s="31" t="n">
        <x:v>9.2105202622</x:v>
      </x:c>
      <x:c r="N19" s="24" t="str">
        <x:v>elasmobranchii</x:v>
      </x:c>
      <x:c r="O19" s="32" t="n">
        <x:v>4.05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Elasmobranchii</x:v>
      </x:c>
      <x:c r="T19" s="32" t="n">
        <x:f>IF(O19="","",(1/'Metadata'!$B$5)^(O19-1))</x:f>
        <x:v>1122.018454301963</x:v>
      </x:c>
      <x:c r="U19" s="31" t="n">
        <x:f>IF(T19="","",I19*T19)</x:f>
        <x:v>13181.385976322017</x:v>
      </x:c>
    </x:row>
    <x:row r="20" ht="18" customHeight="1">
      <x:c r="A20" s="24" t="str">
        <x:v>EEZ_772</x:v>
      </x:c>
      <x:c r="B20" s="24" t="str">
        <x:v>Tokelau (New Zealand)</x:v>
      </x:c>
      <x:c r="C20" s="24" t="str">
        <x:v>EEZ</x:v>
      </x:c>
      <x:c r="D20" s="30" t="n">
        <x:v>2019</x:v>
      </x:c>
      <x:c r="E20" s="24" t="str">
        <x:v>Miscellaneous aquatic invertebrates</x:v>
      </x:c>
      <x:c r="F20" s="24" t="str">
        <x:v>Aquatic invertebrates</x:v>
      </x:c>
      <x:c r="G20" s="24" t="str">
        <x:v>Other demersal invertebrates</x:v>
      </x:c>
      <x:c r="H20" s="24" t="str">
        <x:v>Other fishes &amp; inverts</x:v>
      </x:c>
      <x:c r="I20" s="31" t="n">
        <x:v>8.809802572</x:v>
      </x:c>
      <x:c r="J20" s="31" t="n">
        <x:v>8.809802572</x:v>
      </x:c>
      <x:c r="K20" s="31" t="n">
        <x:v>0</x:v>
      </x:c>
      <x:c r="L20" s="31" t="n">
        <x:v>0</x:v>
      </x:c>
      <x:c r="M20" s="31" t="n">
        <x:v>8.809802572</x:v>
      </x:c>
      <x:c r="N20" s="24" t="str">
        <x:v>miscellaneous aquatic invertebrates</x:v>
      </x:c>
      <x:c r="O20" s="32" t="n">
        <x:v>2.43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Miscellaneous aquatic invertebrates</x:v>
      </x:c>
      <x:c r="T20" s="32" t="n">
        <x:f>IF(O20="","",(1/'Metadata'!$B$5)^(O20-1))</x:f>
        <x:v>26.915348039269166</x:v>
      </x:c>
      <x:c r="U20" s="31" t="n">
        <x:f>IF(T20="","",I20*T20)</x:f>
        <x:v>237.11890238262868</x:v>
      </x:c>
    </x:row>
    <x:row r="21" ht="18" customHeight="1">
      <x:c r="A21" s="24" t="str">
        <x:v>EEZ_772</x:v>
      </x:c>
      <x:c r="B21" s="24" t="str">
        <x:v>Tokelau (New Zealand)</x:v>
      </x:c>
      <x:c r="C21" s="24" t="str">
        <x:v>EEZ</x:v>
      </x:c>
      <x:c r="D21" s="30" t="n">
        <x:v>2019</x:v>
      </x:c>
      <x:c r="E21" s="24" t="str">
        <x:v>Istiompax indica</x:v>
      </x:c>
      <x:c r="F21" s="24" t="str">
        <x:v>Black marlin</x:v>
      </x:c>
      <x:c r="G21" s="24" t="str">
        <x:v>Large pelagics (&gt;=90 cm)</x:v>
      </x:c>
      <x:c r="H21" s="24" t="str">
        <x:v>Tuna &amp; billfishes</x:v>
      </x:c>
      <x:c r="I21" s="31" t="n">
        <x:v>7.3204386473</x:v>
      </x:c>
      <x:c r="J21" s="31" t="n">
        <x:v>7.3204386473</x:v>
      </x:c>
      <x:c r="K21" s="31" t="n">
        <x:v>0</x:v>
      </x:c>
      <x:c r="L21" s="31" t="n">
        <x:v>7.3204386473</x:v>
      </x:c>
      <x:c r="M21" s="31" t="n">
        <x:v>0</x:v>
      </x:c>
      <x:c r="N21" s="24" t="str">
        <x:v>istiompax indica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Istiompax indica</x:v>
      </x:c>
      <x:c r="T21" s="32" t="n">
        <x:f>IF(O21="","",(1/'Metadata'!$B$5)^(O21-1))</x:f>
        <x:v>3162.2776601683795</x:v>
      </x:c>
      <x:c r="U21" s="31" t="n">
        <x:f>IF(T21="","",I21*T21)</x:f>
        <x:v>23149.25959699002</x:v>
      </x:c>
    </x:row>
    <x:row r="22" ht="18" customHeight="1">
      <x:c r="A22" s="24" t="str">
        <x:v>EEZ_772</x:v>
      </x:c>
      <x:c r="B22" s="24" t="str">
        <x:v>Tokelau (New Zealand)</x:v>
      </x:c>
      <x:c r="C22" s="24" t="str">
        <x:v>EEZ</x:v>
      </x:c>
      <x:c r="D22" s="30" t="n">
        <x:v>2019</x:v>
      </x:c>
      <x:c r="E22" s="24" t="str">
        <x:v>Alopias</x:v>
      </x:c>
      <x:c r="F22" s="24" t="str">
        <x:v>Thresher sharks</x:v>
      </x:c>
      <x:c r="G22" s="24" t="str">
        <x:v>Large sharks (&gt;=90 cm)</x:v>
      </x:c>
      <x:c r="H22" s="24" t="str">
        <x:v>Sharks &amp; rays</x:v>
      </x:c>
      <x:c r="I22" s="31" t="n">
        <x:v>4.608095373399999</x:v>
      </x:c>
      <x:c r="J22" s="31" t="n">
        <x:v>0.8011075156999999</x:v>
      </x:c>
      <x:c r="K22" s="31" t="n">
        <x:v>3.8069878577</x:v>
      </x:c>
      <x:c r="L22" s="31" t="n">
        <x:v>0.8011075156999999</x:v>
      </x:c>
      <x:c r="M22" s="31" t="n">
        <x:v>3.8069878577</x:v>
      </x:c>
      <x:c r="N22" s="24" t="str">
        <x:v>alopias</x:v>
      </x:c>
      <x:c r="O22" s="32" t="n">
        <x:v>4.5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Alopias</x:v>
      </x:c>
      <x:c r="T22" s="32" t="n">
        <x:f>IF(O22="","",(1/'Metadata'!$B$5)^(O22-1))</x:f>
        <x:v>3162.2776601683795</x:v>
      </x:c>
      <x:c r="U22" s="31" t="n">
        <x:f>IF(T22="","",I22*T22)</x:f>
        <x:v>14572.077055228085</x:v>
      </x:c>
    </x:row>
    <x:row r="23" ht="18" customHeight="1">
      <x:c r="A23" s="24" t="str">
        <x:v>EEZ_772</x:v>
      </x:c>
      <x:c r="B23" s="24" t="str">
        <x:v>Tokelau (New Zealand)</x:v>
      </x:c>
      <x:c r="C23" s="24" t="str">
        <x:v>EEZ</x:v>
      </x:c>
      <x:c r="D23" s="30" t="n">
        <x:v>2019</x:v>
      </x:c>
      <x:c r="E23" s="24" t="str">
        <x:v>Carcharhinidae</x:v>
      </x:c>
      <x:c r="F23" s="24" t="str">
        <x:v>Requiem sharks</x:v>
      </x:c>
      <x:c r="G23" s="24" t="str">
        <x:v>Large sharks (&gt;=90 cm)</x:v>
      </x:c>
      <x:c r="H23" s="24" t="str">
        <x:v>Sharks &amp; rays</x:v>
      </x:c>
      <x:c r="I23" s="31" t="n">
        <x:v>4.607228537</x:v>
      </x:c>
      <x:c r="J23" s="31" t="n">
        <x:v>4.607228537</x:v>
      </x:c>
      <x:c r="K23" s="31" t="n">
        <x:v>0</x:v>
      </x:c>
      <x:c r="L23" s="31" t="n">
        <x:v>0.795497271</x:v>
      </x:c>
      <x:c r="M23" s="31" t="n">
        <x:v>3.811731266</x:v>
      </x:c>
      <x:c r="N23" s="24" t="str">
        <x:v>carcharhinidae</x:v>
      </x:c>
      <x:c r="O23" s="32" t="n">
        <x:v>4.24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Carcharhinidae</x:v>
      </x:c>
      <x:c r="T23" s="32" t="n">
        <x:f>IF(O23="","",(1/'Metadata'!$B$5)^(O23-1))</x:f>
        <x:v>1737.8008287493763</x:v>
      </x:c>
      <x:c r="U23" s="31" t="n">
        <x:f>IF(T23="","",I23*T23)</x:f>
        <x:v>8006.445569836376</x:v>
      </x:c>
    </x:row>
    <x:row r="24" ht="18" customHeight="1">
      <x:c r="A24" s="24" t="str">
        <x:v>EEZ_772</x:v>
      </x:c>
      <x:c r="B24" s="24" t="str">
        <x:v>Tokelau (New Zealand)</x:v>
      </x:c>
      <x:c r="C24" s="24" t="str">
        <x:v>EEZ</x:v>
      </x:c>
      <x:c r="D24" s="30" t="n">
        <x:v>2019</x:v>
      </x:c>
      <x:c r="E24" s="24" t="str">
        <x:v>Miscellaneous marine crustaceans</x:v>
      </x:c>
      <x:c r="F24" s="24" t="str">
        <x:v>Marine crabs, shrimps, lobsters nei</x:v>
      </x:c>
      <x:c r="G24" s="24" t="str">
        <x:v>Shrimps</x:v>
      </x:c>
      <x:c r="H24" s="24" t="str">
        <x:v>Crustaceans</x:v>
      </x:c>
      <x:c r="I24" s="31" t="n">
        <x:v>3.523004777</x:v>
      </x:c>
      <x:c r="J24" s="31" t="n">
        <x:v>3.523004777</x:v>
      </x:c>
      <x:c r="K24" s="31" t="n">
        <x:v>0</x:v>
      </x:c>
      <x:c r="L24" s="31" t="n">
        <x:v>0</x:v>
      </x:c>
      <x:c r="M24" s="31" t="n">
        <x:v>3.523004777</x:v>
      </x:c>
      <x:c r="N24" s="24" t="str">
        <x:v>miscellaneous marine crustaceans</x:v>
      </x:c>
      <x:c r="O24" s="32" t="n">
        <x:v>2.7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Miscellaneous marine crustaceans</x:v>
      </x:c>
      <x:c r="T24" s="32" t="n">
        <x:f>IF(O24="","",(1/'Metadata'!$B$5)^(O24-1))</x:f>
        <x:v>50.11872336272725</x:v>
      </x:c>
      <x:c r="U24" s="31" t="n">
        <x:f>IF(T24="","",I24*T24)</x:f>
        <x:v>176.56850182402962</x:v>
      </x:c>
    </x:row>
    <x:row r="25" ht="18" customHeight="1">
      <x:c r="A25" s="24" t="str">
        <x:v>EEZ_772</x:v>
      </x:c>
      <x:c r="B25" s="24" t="str">
        <x:v>Tokelau (New Zealand)</x:v>
      </x:c>
      <x:c r="C25" s="24" t="str">
        <x:v>EEZ</x:v>
      </x:c>
      <x:c r="D25" s="30" t="n">
        <x:v>2019</x:v>
      </x:c>
      <x:c r="E25" s="24" t="str">
        <x:v>Istiophorus platypterus</x:v>
      </x:c>
      <x:c r="F25" s="24" t="str">
        <x:v>Indo-Pacific sailfish</x:v>
      </x:c>
      <x:c r="G25" s="24" t="str">
        <x:v>Large pelagics (&gt;=90 cm)</x:v>
      </x:c>
      <x:c r="H25" s="24" t="str">
        <x:v>Tuna &amp; billfishes</x:v>
      </x:c>
      <x:c r="I25" s="31" t="n">
        <x:v>2.277134635</x:v>
      </x:c>
      <x:c r="J25" s="31" t="n">
        <x:v>2.277134635</x:v>
      </x:c>
      <x:c r="K25" s="31" t="n">
        <x:v>0</x:v>
      </x:c>
      <x:c r="L25" s="31" t="n">
        <x:v>0.050673031</x:v>
      </x:c>
      <x:c r="M25" s="31" t="n">
        <x:v>2.2264616040000003</x:v>
      </x:c>
      <x:c r="N25" s="24" t="str">
        <x:v>istiophorus platypterus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Istiophorus platypterus</x:v>
      </x:c>
      <x:c r="T25" s="32" t="n">
        <x:f>IF(O25="","",(1/'Metadata'!$B$5)^(O25-1))</x:f>
        <x:v>3162.2776601683795</x:v>
      </x:c>
      <x:c r="U25" s="31" t="n">
        <x:f>IF(T25="","",I25*T25)</x:f>
        <x:v>7200.931985456176</x:v>
      </x:c>
    </x:row>
    <x:row r="26" ht="18" customHeight="1">
      <x:c r="A26" s="24" t="str">
        <x:v>EEZ_772</x:v>
      </x:c>
      <x:c r="B26" s="24" t="str">
        <x:v>Tokelau (New Zealand)</x:v>
      </x:c>
      <x:c r="C26" s="24" t="str">
        <x:v>EEZ</x:v>
      </x:c>
      <x:c r="D26" s="30" t="n">
        <x:v>2019</x:v>
      </x:c>
      <x:c r="E26" s="24" t="str">
        <x:v>Sphyraena barracuda</x:v>
      </x:c>
      <x:c r="F26" s="24" t="str">
        <x:v>Great barracuda</x:v>
      </x:c>
      <x:c r="G26" s="24" t="str">
        <x:v>Large pelagics (&gt;=90 cm)</x:v>
      </x:c>
      <x:c r="H26" s="24" t="str">
        <x:v>Perch-likes</x:v>
      </x:c>
      <x:c r="I26" s="31" t="n">
        <x:v>2.00522732</x:v>
      </x:c>
      <x:c r="J26" s="31" t="n">
        <x:v>2.00522732</x:v>
      </x:c>
      <x:c r="K26" s="31" t="n">
        <x:v>0</x:v>
      </x:c>
      <x:c r="L26" s="31" t="n">
        <x:v>1.454007992</x:v>
      </x:c>
      <x:c r="M26" s="31" t="n">
        <x:v>0.551219328</x:v>
      </x:c>
      <x:c r="N26" s="24" t="str">
        <x:v>sphyraena barracuda</x:v>
      </x:c>
      <x:c r="O26" s="32" t="n">
        <x:v>4.49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Sphyraena barracuda</x:v>
      </x:c>
      <x:c r="T26" s="32" t="n">
        <x:f>IF(O26="","",(1/'Metadata'!$B$5)^(O26-1))</x:f>
        <x:v>3090.295432513592</x:v>
      </x:c>
      <x:c r="U26" s="31" t="n">
        <x:f>IF(T26="","",I26*T26)</x:f>
        <x:v>6196.744828147471</x:v>
      </x:c>
    </x:row>
    <x:row r="27" ht="18" customHeight="1">
      <x:c r="A27" s="24" t="str">
        <x:v>EEZ_772</x:v>
      </x:c>
      <x:c r="B27" s="24" t="str">
        <x:v>Tokelau (New Zealand)</x:v>
      </x:c>
      <x:c r="C27" s="24" t="str">
        <x:v>EEZ</x:v>
      </x:c>
      <x:c r="D27" s="30" t="n">
        <x:v>2019</x:v>
      </x:c>
      <x:c r="E27" s="24" t="str">
        <x:v>Kajikia audax</x:v>
      </x:c>
      <x:c r="F27" s="24" t="str">
        <x:v>Striped marlin</x:v>
      </x:c>
      <x:c r="G27" s="24" t="str">
        <x:v>Large pelagics (&gt;=90 cm)</x:v>
      </x:c>
      <x:c r="H27" s="24" t="str">
        <x:v>Tuna &amp; billfishes</x:v>
      </x:c>
      <x:c r="I27" s="31" t="n">
        <x:v>1.7787299363</x:v>
      </x:c>
      <x:c r="J27" s="31" t="n">
        <x:v>1.7787299363</x:v>
      </x:c>
      <x:c r="K27" s="31" t="n">
        <x:v>0</x:v>
      </x:c>
      <x:c r="L27" s="31" t="n">
        <x:v>1.7787299363</x:v>
      </x:c>
      <x:c r="M27" s="31" t="n">
        <x:v>0</x:v>
      </x:c>
      <x:c r="N27" s="24" t="str">
        <x:v>kajikia audax</x:v>
      </x:c>
      <x:c r="O27" s="32" t="n">
        <x:v>4.58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Kajikia audax</x:v>
      </x:c>
      <x:c r="T27" s="32" t="n">
        <x:f>IF(O27="","",(1/'Metadata'!$B$5)^(O27-1))</x:f>
        <x:v>3801.8939632056126</x:v>
      </x:c>
      <x:c r="U27" s="31" t="n">
        <x:f>IF(T27="","",I27*T27)</x:f>
        <x:v>6762.542606992074</x:v>
      </x:c>
    </x:row>
    <x:row r="28" ht="18" customHeight="1">
      <x:c r="A28" s="24" t="str">
        <x:v>EEZ_772</x:v>
      </x:c>
      <x:c r="B28" s="24" t="str">
        <x:v>Tokelau (New Zealand)</x:v>
      </x:c>
      <x:c r="C28" s="24" t="str">
        <x:v>EEZ</x:v>
      </x:c>
      <x:c r="D28" s="30" t="n">
        <x:v>2019</x:v>
      </x:c>
      <x:c r="E28" s="24" t="str">
        <x:v>Hemiramphus</x:v>
      </x:c>
      <x:c r="F28" s="24" t="str">
        <x:v>Halfbeaks</x:v>
      </x:c>
      <x:c r="G28" s="24" t="str">
        <x:v>Medium pelagics (30 - 89 cm)</x:v>
      </x:c>
      <x:c r="H28" s="24" t="str">
        <x:v>Other fishes &amp; inverts</x:v>
      </x:c>
      <x:c r="I28" s="31" t="n">
        <x:v>0.276387331</x:v>
      </x:c>
      <x:c r="J28" s="31" t="n">
        <x:v>0.276387331</x:v>
      </x:c>
      <x:c r="K28" s="31" t="n">
        <x:v>0</x:v>
      </x:c>
      <x:c r="L28" s="31" t="n">
        <x:v>0</x:v>
      </x:c>
      <x:c r="M28" s="31" t="n">
        <x:v>0.276387331</x:v>
      </x:c>
      <x:c r="N28" s="24" t="str">
        <x:v>hemiramphus</x:v>
      </x:c>
      <x:c r="O28" s="32" t="n">
        <x:v>3.05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Hemiramphus</x:v>
      </x:c>
      <x:c r="T28" s="32" t="n">
        <x:f>IF(O28="","",(1/'Metadata'!$B$5)^(O28-1))</x:f>
        <x:v>112.2018454301963</x:v>
      </x:c>
      <x:c r="U28" s="31" t="n">
        <x:f>IF(T28="","",I28*T28)</x:f>
        <x:v>31.011168591726502</x:v>
      </x:c>
    </x:row>
    <x:row r="29" ht="18" customHeight="1">
      <x:c r="A29" s="24" t="str">
        <x:v>EEZ_772</x:v>
      </x:c>
      <x:c r="B29" s="24" t="str">
        <x:v>Tokelau (New Zealand)</x:v>
      </x:c>
      <x:c r="C29" s="24" t="str">
        <x:v>EEZ</x:v>
      </x:c>
      <x:c r="D29" s="30" t="n">
        <x:v>2019</x:v>
      </x:c>
      <x:c r="E29" s="24" t="str">
        <x:v>Sphyrna</x:v>
      </x:c>
      <x:c r="F29" s="24" t="str">
        <x:v>Hammerhead sharks</x:v>
      </x:c>
      <x:c r="G29" s="24" t="str">
        <x:v>Large sharks (&gt;=90 cm)</x:v>
      </x:c>
      <x:c r="H29" s="24" t="str">
        <x:v>Sharks &amp; rays</x:v>
      </x:c>
      <x:c r="I29" s="31" t="n">
        <x:v>0.1478865956</x:v>
      </x:c>
      <x:c r="J29" s="31" t="n">
        <x:v>0.1478865956</x:v>
      </x:c>
      <x:c r="K29" s="31" t="n">
        <x:v>0</x:v>
      </x:c>
      <x:c r="L29" s="31" t="n">
        <x:v>0.1478865956</x:v>
      </x:c>
      <x:c r="M29" s="31" t="n">
        <x:v>0</x:v>
      </x:c>
      <x:c r="N29" s="24" t="str">
        <x:v>sphyrna</x:v>
      </x:c>
      <x:c r="O29" s="32" t="n">
        <x:v>4.2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Sphyrna</x:v>
      </x:c>
      <x:c r="T29" s="32" t="n">
        <x:f>IF(O29="","",(1/'Metadata'!$B$5)^(O29-1))</x:f>
        <x:v>1584.893192461114</x:v>
      </x:c>
      <x:c r="U29" s="31" t="n">
        <x:f>IF(T29="","",I29*T29)</x:f>
        <x:v>234.38445862268975</x:v>
      </x:c>
    </x:row>
    <x:row r="30" ht="18" customHeight="1">
      <x:c r="A30" s="24" t="str">
        <x:v>EEZ_772</x:v>
      </x:c>
      <x:c r="B30" s="24" t="str">
        <x:v>Tokelau (New Zealand)</x:v>
      </x:c>
      <x:c r="C30" s="24" t="str">
        <x:v>EEZ</x:v>
      </x:c>
      <x:c r="D30" s="30" t="n">
        <x:v>2019</x:v>
      </x:c>
      <x:c r="E30" s="24" t="str">
        <x:v>Thunnus orientalis</x:v>
      </x:c>
      <x:c r="F30" s="24" t="str">
        <x:v>Pacific bluefin tuna</x:v>
      </x:c>
      <x:c r="G30" s="24" t="str">
        <x:v>Large pelagics (&gt;=90 cm)</x:v>
      </x:c>
      <x:c r="H30" s="24" t="str">
        <x:v>Tuna &amp; billfishes</x:v>
      </x:c>
      <x:c r="I30" s="31" t="n">
        <x:v>0.1216427323</x:v>
      </x:c>
      <x:c r="J30" s="31" t="n">
        <x:v>0.1216427323</x:v>
      </x:c>
      <x:c r="K30" s="31" t="n">
        <x:v>0</x:v>
      </x:c>
      <x:c r="L30" s="31" t="n">
        <x:v>0.1216427323</x:v>
      </x:c>
      <x:c r="M30" s="31" t="n">
        <x:v>0</x:v>
      </x:c>
      <x:c r="N30" s="24" t="str">
        <x:v>thunnus orientalis</x:v>
      </x:c>
      <x:c r="O30" s="32" t="n">
        <x:v>4.05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Thunnus orientalis</x:v>
      </x:c>
      <x:c r="T30" s="32" t="n">
        <x:f>IF(O30="","",(1/'Metadata'!$B$5)^(O30-1))</x:f>
        <x:v>1122.018454301963</x:v>
      </x:c>
      <x:c r="U30" s="31" t="n">
        <x:f>IF(T30="","",I30*T30)</x:f>
        <x:v>136.48539047231347</x:v>
      </x:c>
    </x:row>
  </x:sheetData>
  <x:conditionalFormatting sqref="R2:R3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1e253a97f754ef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3.523004777</x:v>
      </x:c>
      <x:c r="C2" s="32" t="n">
        <x:v>2.7</x:v>
      </x:c>
      <x:c r="D2" s="32" t="n">
        <x:f>IF(C2="","",(1/'Metadata'!$B$5)^(C2-1))</x:f>
        <x:v>50.11872336272725</x:v>
      </x:c>
      <x:c r="E2" s="31" t="n">
        <x:f>IF(B2=0,"",B2*D2)</x:f>
        <x:v>176.56850182402962</x:v>
      </x:c>
    </x:row>
    <x:row r="3" ht="18" customHeight="1">
      <x:c r="A3" s="24" t="str">
        <x:v>Other fishes &amp; inverts</x:v>
      </x:c>
      <x:c r="B3" s="31" t="n">
        <x:v>644.1010282824001</x:v>
      </x:c>
      <x:c r="C3" s="32" t="n">
        <x:v>3.2749945732883057</x:v>
      </x:c>
      <x:c r="D3" s="32" t="n">
        <x:f>IF(C3="","",(1/'Metadata'!$B$5)^(C3-1))</x:f>
        <x:v>188.3625552564733</x:v>
      </x:c>
      <x:c r="E3" s="31" t="n">
        <x:f>IF(B3=0,"",B3*D3)</x:f>
        <x:v>121324.51553059487</x:v>
      </x:c>
    </x:row>
    <x:row r="4" ht="18" customHeight="1">
      <x:c r="A4" s="24" t="str">
        <x:v>Perch-likes</x:v>
      </x:c>
      <x:c r="B4" s="31" t="n">
        <x:v>337.66098896849996</x:v>
      </x:c>
      <x:c r="C4" s="32" t="n">
        <x:v>4.073864516381494</x:v>
      </x:c>
      <x:c r="D4" s="32" t="n">
        <x:f>IF(C4="","",(1/'Metadata'!$B$5)^(C4-1))</x:f>
        <x:v>1185.3988904064258</x:v>
      </x:c>
      <x:c r="E4" s="31" t="n">
        <x:f>IF(B4=0,"",B4*D4)</x:f>
        <x:v>400262.9616567963</x:v>
      </x:c>
    </x:row>
    <x:row r="5" ht="18" customHeight="1">
      <x:c r="A5" s="24" t="str">
        <x:v>Sharks &amp; rays</x:v>
      </x:c>
      <x:c r="B5" s="31" t="n">
        <x:v>462.0985216226</x:v>
      </x:c>
      <x:c r="C5" s="32" t="n">
        <x:v>4.35121538544474</x:v>
      </x:c>
      <x:c r="D5" s="32" t="n">
        <x:f>IF(C5="","",(1/'Metadata'!$B$5)^(C5-1))</x:f>
        <x:v>2244.9950380189252</x:v>
      </x:c>
      <x:c r="E5" s="31" t="n">
        <x:f>IF(B5=0,"",B5*D5)</x:f>
        <x:v>1037408.888118618</x:v>
      </x:c>
    </x:row>
    <x:row r="6" ht="18" customHeight="1">
      <x:c r="A6" s="24" t="str">
        <x:v>Tuna &amp; billfishes</x:v>
      </x:c>
      <x:c r="B6" s="31" t="n">
        <x:v>8387.9801440513</x:v>
      </x:c>
      <x:c r="C6" s="32" t="n">
        <x:v>4.416918208870121</x:v>
      </x:c>
      <x:c r="D6" s="32" t="n">
        <x:f>IF(C6="","",(1/'Metadata'!$B$5)^(C6-1))</x:f>
        <x:v>2611.6694496660107</x:v>
      </x:c>
      <x:c r="E6" s="31" t="n">
        <x:f>IF(B6=0,"",B6*D6)</x:f>
        <x:v>21906631.486623883</x:v>
      </x:c>
    </x:row>
  </x:sheetData>
  <x:pageMargins left="0.7" right="0.7" top="0.75" bottom="0.75" header="0.3" footer="0.3"/>
  <x:tableParts count="1">
    <x:tablePart xmlns:r="http://schemas.openxmlformats.org/officeDocument/2006/relationships" r:id="R58e5fa1fe64c435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8525.2466926677</x:v>
      </x:c>
      <x:c r="C2" s="32" t="n">
        <x:v>4.415695977439189</x:v>
      </x:c>
      <x:c r="D2" s="32" t="n">
        <x:f>IF(C2="","",(1/'Metadata'!$B$5)^(C2-1))</x:f>
        <x:v>2604.329782386027</x:v>
      </x:c>
      <x:c r="E2" s="31" t="n">
        <x:f>IF(B2=0,"",B2*D2)</x:f>
        <x:v>22202553.863902472</x:v>
      </x:c>
    </x:row>
    <x:row r="3" ht="18" customHeight="1">
      <x:c r="A3" s="24" t="str">
        <x:v>Large sharks (&gt;=90 cm)</x:v>
      </x:c>
      <x:c r="B3" s="31" t="n">
        <x:v>462.0985216226</x:v>
      </x:c>
      <x:c r="C3" s="32" t="n">
        <x:v>4.35121538544474</x:v>
      </x:c>
      <x:c r="D3" s="32" t="n">
        <x:f>IF(C3="","",(1/'Metadata'!$B$5)^(C3-1))</x:f>
        <x:v>2244.9950380189252</x:v>
      </x:c>
      <x:c r="E3" s="31" t="n">
        <x:f>IF(B3=0,"",B3*D3)</x:f>
        <x:v>1037408.888118618</x:v>
      </x:c>
    </x:row>
    <x:row r="4" ht="18" customHeight="1">
      <x:c r="A4" s="24" t="str">
        <x:v>Medium demersals (30 - 89 cm)</x:v>
      </x:c>
      <x:c r="B4" s="31" t="n">
        <x:v>573.1876843746</x:v>
      </x:c>
      <x:c r="C4" s="32" t="n">
        <x:v>3.28</x:v>
      </x:c>
      <x:c r="D4" s="32" t="n">
        <x:f>IF(C4="","",(1/'Metadata'!$B$5)^(C4-1))</x:f>
        <x:v>190.54607179632464</x:v>
      </x:c>
      <x:c r="E4" s="31" t="n">
        <x:f>IF(B4=0,"",B4*D4)</x:f>
        <x:v>109218.66165961161</x:v>
      </x:c>
    </x:row>
    <x:row r="5" ht="18" customHeight="1">
      <x:c r="A5" s="24" t="str">
        <x:v>Medium pelagics (30 - 89 cm)</x:v>
      </x:c>
      <x:c r="B5" s="31" t="n">
        <x:v>229.1861637899</x:v>
      </x:c>
      <x:c r="C5" s="32" t="n">
        <x:v>3.9599199103470974</x:v>
      </x:c>
      <x:c r="D5" s="32" t="n">
        <x:f>IF(C5="","",(1/'Metadata'!$B$5)^(C5-1))</x:f>
        <x:v>911.8426679882997</x:v>
      </x:c>
      <x:c r="E5" s="31" t="n">
        <x:f>IF(B5=0,"",B5*D5)</x:f>
        <x:v>208981.72305618587</x:v>
      </x:c>
    </x:row>
    <x:row r="6" ht="18" customHeight="1">
      <x:c r="A6" s="24" t="str">
        <x:v>Medium reef assoc. fish (30 - 89 cm)</x:v>
      </x:c>
      <x:c r="B6" s="31" t="n">
        <x:v>16.655908949</x:v>
      </x:c>
      <x:c r="C6" s="32" t="n">
        <x:v>2.53</x:v>
      </x:c>
      <x:c r="D6" s="32" t="n">
        <x:f>IF(C6="","",(1/'Metadata'!$B$5)^(C6-1))</x:f>
        <x:v>33.88441561392024</x:v>
      </x:c>
      <x:c r="E6" s="31" t="n">
        <x:f>IF(B6=0,"",B6*D6)</x:f>
        <x:v>564.3757412555294</x:v>
      </x:c>
    </x:row>
    <x:row r="7" ht="18" customHeight="1">
      <x:c r="A7" s="24" t="str">
        <x:v>Other demersal invertebrates</x:v>
      </x:c>
      <x:c r="B7" s="31" t="n">
        <x:v>8.809802572</x:v>
      </x:c>
      <x:c r="C7" s="32" t="n">
        <x:v>2.43</x:v>
      </x:c>
      <x:c r="D7" s="32" t="n">
        <x:f>IF(C7="","",(1/'Metadata'!$B$5)^(C7-1))</x:f>
        <x:v>26.915348039269166</x:v>
      </x:c>
      <x:c r="E7" s="31" t="n">
        <x:f>IF(B7=0,"",B7*D7)</x:f>
        <x:v>237.11890238262868</x:v>
      </x:c>
    </x:row>
    <x:row r="8" ht="18" customHeight="1">
      <x:c r="A8" s="24" t="str">
        <x:v>Shrimps</x:v>
      </x:c>
      <x:c r="B8" s="31" t="n">
        <x:v>3.523004777</x:v>
      </x:c>
      <x:c r="C8" s="32" t="n">
        <x:v>2.7</x:v>
      </x:c>
      <x:c r="D8" s="32" t="n">
        <x:f>IF(C8="","",(1/'Metadata'!$B$5)^(C8-1))</x:f>
        <x:v>50.11872336272725</x:v>
      </x:c>
      <x:c r="E8" s="31" t="n">
        <x:f>IF(B8=0,"",B8*D8)</x:f>
        <x:v>176.56850182402962</x:v>
      </x:c>
    </x:row>
    <x:row r="9" ht="18" customHeight="1">
      <x:c r="A9" s="24" t="str">
        <x:v>Small reef assoc. fish (&lt;30 cm)</x:v>
      </x:c>
      <x:c r="B9" s="31" t="n">
        <x:v>16.655908949</x:v>
      </x:c>
      <x:c r="C9" s="32" t="n">
        <x:v>2.28</x:v>
      </x:c>
      <x:c r="D9" s="32" t="n">
        <x:f>IF(C9="","",(1/'Metadata'!$B$5)^(C9-1))</x:f>
        <x:v>19.054607179632463</x:v>
      </x:c>
      <x:c r="E9" s="31" t="n">
        <x:f>IF(B9=0,"",B9*D9)</x:f>
        <x:v>317.37180224292</x:v>
      </x:c>
    </x:row>
  </x:sheetData>
  <x:pageMargins left="0.7" right="0.7" top="0.75" bottom="0.75" header="0.3" footer="0.3"/>
  <x:tableParts count="1">
    <x:tablePart xmlns:r="http://schemas.openxmlformats.org/officeDocument/2006/relationships" r:id="R679271697b1c480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EEZ_772</x:v>
      </x:c>
      <x:c r="B2" s="24" t="str">
        <x:v>raw_filtered_tonnes</x:v>
      </x:c>
      <x:c r="C2" s="24" t="n">
        <x:v>9835.3636877018</x:v>
      </x:c>
      <x:c r="D2" s="24" t="str">
        <x:v>tonnes</x:v>
      </x:c>
    </x:row>
    <x:row r="3" ht="18" customHeight="1">
      <x:c r="A3" s="24" t="str">
        <x:v>EEZ_772</x:v>
      </x:c>
      <x:c r="B3" s="24" t="str">
        <x:v>species_catch_tonnes</x:v>
      </x:c>
      <x:c r="C3" s="24" t="n">
        <x:v>9835.363687701802</x:v>
      </x:c>
      <x:c r="D3" s="24" t="str">
        <x:v>tonnes</x:v>
      </x:c>
    </x:row>
    <x:row r="4" ht="18" customHeight="1">
      <x:c r="A4" s="24" t="str">
        <x:v>EEZ_772</x:v>
      </x:c>
      <x:c r="B4" s="24" t="str">
        <x:v>catch_difference_tonnes</x:v>
      </x:c>
      <x:c r="C4" s="24" t="n">
        <x:v>1.8189894035458565e-12</x:v>
      </x:c>
      <x:c r="D4" s="24" t="str">
        <x:v>tonnes</x:v>
      </x:c>
    </x:row>
    <x:row r="5" ht="18" customHeight="1">
      <x:c r="A5" s="24" t="str">
        <x:v>EEZ_772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EEZ_772</x:v>
      </x:c>
      <x:c r="B6" s="24" t="str">
        <x:v>matched_catch_tonnes</x:v>
      </x:c>
      <x:c r="C6" s="24" t="n">
        <x:v>9835.363687701802</x:v>
      </x:c>
      <x:c r="D6" s="24" t="str">
        <x:v>tonnes</x:v>
      </x:c>
    </x:row>
    <x:row r="7" ht="18" customHeight="1">
      <x:c r="A7" s="24" t="str">
        <x:v>EEZ_772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EEZ_772</x:v>
      </x:c>
      <x:c r="B8" s="24" t="str">
        <x:v>taxa_count</x:v>
      </x:c>
      <x:c r="C8" s="24" t="n">
        <x:v>29</x:v>
      </x:c>
      <x:c r="D8" s="24" t="str">
        <x:v>count</x:v>
      </x:c>
    </x:row>
    <x:row r="9" ht="18" customHeight="1">
      <x:c r="A9" s="24" t="str">
        <x:v>EEZ_772</x:v>
      </x:c>
      <x:c r="B9" s="24" t="str">
        <x:v>matched_taxa_count</x:v>
      </x:c>
      <x:c r="C9" s="24" t="n">
        <x:v>29</x:v>
      </x:c>
      <x:c r="D9" s="24" t="str">
        <x:v>count</x:v>
      </x:c>
    </x:row>
    <x:row r="10" ht="18" customHeight="1">
      <x:c r="A10" s="24" t="str">
        <x:v>EEZ_772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EEZ_772</x:v>
      </x:c>
      <x:c r="B11" s="24" t="str">
        <x:v>species_ppr</x:v>
      </x:c>
      <x:c r="C11" s="24" t="n">
        <x:v>23763562.20958886</x:v>
      </x:c>
      <x:c r="D11" s="24" t="str">
        <x:v>tonnes_primary_production_equivalent</x:v>
      </x:c>
    </x:row>
    <x:row r="12" ht="18" customHeight="1">
      <x:c r="A12" s="24" t="str">
        <x:v>EEZ_772</x:v>
      </x:c>
      <x:c r="B12" s="24" t="str">
        <x:v>commercial_ppr</x:v>
      </x:c>
      <x:c r="C12" s="24" t="n">
        <x:v>23465804.42043172</x:v>
      </x:c>
      <x:c r="D12" s="24" t="str">
        <x:v>tonnes_primary_production_equivalent</x:v>
      </x:c>
    </x:row>
    <x:row r="13" ht="18" customHeight="1">
      <x:c r="A13" s="24" t="str">
        <x:v>EEZ_772</x:v>
      </x:c>
      <x:c r="B13" s="24" t="str">
        <x:v>functional_ppr</x:v>
      </x:c>
      <x:c r="C13" s="24" t="n">
        <x:v>23559458.571684595</x:v>
      </x:c>
      <x:c r="D13" s="24" t="str">
        <x:v>tonnes_primary_production_equivalent</x:v>
      </x:c>
    </x:row>
    <x:row r="14" ht="18" customHeight="1">
      <x:c r="A14" s="24" t="str">
        <x:v>EEZ_772</x:v>
      </x:c>
      <x:c r="B14" s="24" t="str">
        <x:v>commercial_ppr_difference</x:v>
      </x:c>
      <x:c r="C14" s="24" t="n">
        <x:v>-297757.789157141</x:v>
      </x:c>
      <x:c r="D14" s="24" t="str">
        <x:v>tonnes_primary_production_equivalent</x:v>
      </x:c>
    </x:row>
    <x:row r="15" ht="18" customHeight="1">
      <x:c r="A15" s="24" t="str">
        <x:v>EEZ_772</x:v>
      </x:c>
      <x:c r="B15" s="24" t="str">
        <x:v>functional_ppr_difference</x:v>
      </x:c>
      <x:c r="C15" s="24" t="n">
        <x:v>-204103.63790426403</x:v>
      </x:c>
      <x:c r="D15" s="24" t="str">
        <x:v>tonnes_primary_production_equivalent</x:v>
      </x:c>
    </x:row>
    <x:row r="16" ht="18" customHeight="1">
      <x:c r="A16" s="24" t="str">
        <x:v>EEZ_772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EEZ_772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f6d4ddb3a8274b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EEZ_772 - Tokelau (New Zealand)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EEZ_772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raw_data/SAU_downloads/EEZ_772-catch.zip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