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ismetsaygu/Documents/Lisansüssü Malikânesi/Q-H-P-MS/Manuscripts/IDms_25-Historical Ecosystem Models as Baselines/Submissions/2. Fish and Fisheries/"/>
    </mc:Choice>
  </mc:AlternateContent>
  <xr:revisionPtr revIDLastSave="0" documentId="13_ncr:1_{B4EC2AB9-C67D-7F48-B8C8-A6E8A12499E5}" xr6:coauthVersionLast="47" xr6:coauthVersionMax="47" xr10:uidLastSave="{00000000-0000-0000-0000-000000000000}"/>
  <bookViews>
    <workbookView xWindow="-35120" yWindow="1900" windowWidth="30900" windowHeight="18000" xr2:uid="{A986450B-C3F0-1B45-A092-6BC9AA80A309}"/>
  </bookViews>
  <sheets>
    <sheet name="Table S1" sheetId="1" r:id="rId1"/>
    <sheet name="Table S2" sheetId="2" r:id="rId2"/>
    <sheet name="Table S3" sheetId="3" r:id="rId3"/>
    <sheet name="Table S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8" i="3" l="1"/>
  <c r="Y29" i="3" s="1"/>
  <c r="X28" i="3"/>
  <c r="X29" i="3" s="1"/>
  <c r="W28" i="3"/>
  <c r="W29" i="3" s="1"/>
  <c r="V28" i="3"/>
  <c r="V29" i="3" s="1"/>
  <c r="U28" i="3"/>
  <c r="U29" i="3" s="1"/>
  <c r="T28" i="3"/>
  <c r="T29" i="3" s="1"/>
  <c r="S28" i="3"/>
  <c r="S29" i="3" s="1"/>
  <c r="R28" i="3"/>
  <c r="R29" i="3" s="1"/>
  <c r="Q28" i="3"/>
  <c r="Q29" i="3" s="1"/>
  <c r="P28" i="3"/>
  <c r="P29" i="3" s="1"/>
  <c r="O28" i="3"/>
  <c r="O29" i="3" s="1"/>
  <c r="N28" i="3"/>
  <c r="N29" i="3" s="1"/>
  <c r="M28" i="3"/>
  <c r="M29" i="3" s="1"/>
  <c r="L28" i="3"/>
  <c r="L29" i="3" s="1"/>
  <c r="K28" i="3"/>
  <c r="K29" i="3" s="1"/>
  <c r="J28" i="3"/>
  <c r="J29" i="3" s="1"/>
  <c r="I28" i="3"/>
  <c r="I29" i="3" s="1"/>
  <c r="H28" i="3"/>
  <c r="H29" i="3" s="1"/>
  <c r="G28" i="3"/>
  <c r="G29" i="3" s="1"/>
  <c r="F28" i="3"/>
  <c r="F29" i="3" s="1"/>
  <c r="E28" i="3"/>
  <c r="E29" i="3" s="1"/>
  <c r="D28" i="3"/>
  <c r="D29" i="3" s="1"/>
  <c r="C28" i="3"/>
  <c r="C29" i="3" s="1"/>
</calcChain>
</file>

<file path=xl/sharedStrings.xml><?xml version="1.0" encoding="utf-8"?>
<sst xmlns="http://schemas.openxmlformats.org/spreadsheetml/2006/main" count="181" uniqueCount="84">
  <si>
    <t>Models ---&gt;</t>
  </si>
  <si>
    <t>ECS-1890s</t>
  </si>
  <si>
    <t>ECS-1990s</t>
  </si>
  <si>
    <t>No</t>
  </si>
  <si>
    <t>Group name</t>
  </si>
  <si>
    <t>Herring fisheries</t>
  </si>
  <si>
    <t>Whitefish fisheries</t>
  </si>
  <si>
    <t>Creels</t>
  </si>
  <si>
    <t xml:space="preserve">Total Catch </t>
  </si>
  <si>
    <t>Phytoplankton</t>
  </si>
  <si>
    <t>Small zooplankton</t>
  </si>
  <si>
    <t>Large zooplankton</t>
  </si>
  <si>
    <t>Infauna</t>
  </si>
  <si>
    <t>Epifauna</t>
  </si>
  <si>
    <t>Crustacea</t>
  </si>
  <si>
    <t>Squid &amp; Octopus</t>
  </si>
  <si>
    <t>Flatfishes</t>
  </si>
  <si>
    <t>Turbot</t>
  </si>
  <si>
    <t>Cod</t>
  </si>
  <si>
    <t>Ling</t>
  </si>
  <si>
    <t>Haddock</t>
  </si>
  <si>
    <t>Whiting</t>
  </si>
  <si>
    <t>Hake</t>
  </si>
  <si>
    <t>Saithe</t>
  </si>
  <si>
    <t>Monkfish</t>
  </si>
  <si>
    <t>Large Demersal fish</t>
  </si>
  <si>
    <t>Herring</t>
  </si>
  <si>
    <t>Small pelagics</t>
  </si>
  <si>
    <t>Large Pelagics</t>
  </si>
  <si>
    <t>Sharks &amp; rays</t>
  </si>
  <si>
    <t>Seabirds</t>
  </si>
  <si>
    <t>Seals</t>
  </si>
  <si>
    <t>Cetaceans</t>
  </si>
  <si>
    <t xml:space="preserve">Detritus </t>
  </si>
  <si>
    <t>Total Catch</t>
  </si>
  <si>
    <t>Main Species</t>
  </si>
  <si>
    <t>-</t>
  </si>
  <si>
    <t>Zooplankton species &lt;2mm in length</t>
  </si>
  <si>
    <t>Zooplankton species &gt;2mm in length</t>
  </si>
  <si>
    <t>Polychaete worms (Polychaeta), razor clams (Ensis ensis, Phaxas pellucidus), Faroe sunset shell (Gari fervensis), burrowing bivalves (Cochlodesma praetenue, Myrtea spinifera, Thyasira spp.)</t>
  </si>
  <si>
    <t>Oysters (Anomia ephippium, Pododesmus patelliformis), Mussels (Mytilus edulis, Modiolus modiolus, Modiolus barbatus, Musculus niger), Clams, Cockles, Periwinkle, Scallops (Pecten maximus), Whelks (Bussinum undatum), Other Shellfish</t>
  </si>
  <si>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t>
  </si>
  <si>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t>
  </si>
  <si>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t>
  </si>
  <si>
    <t>Turbot (Scophthalmus maximus)</t>
  </si>
  <si>
    <t xml:space="preserve">Atlantic cod (Gadus morhua) </t>
  </si>
  <si>
    <t>Common ling (Molva molva)</t>
  </si>
  <si>
    <t xml:space="preserve">Haddock (Melanogrammus aeglefinus) </t>
  </si>
  <si>
    <t>Whiting (Merlangius merlangus)</t>
  </si>
  <si>
    <t>Hake (Merluccius merluccius)</t>
  </si>
  <si>
    <t>Saithe (Pollachius virens)</t>
  </si>
  <si>
    <t>White-bellied monkfish (Lophius piscatorius), black-bellied monkfish (Lophius budegassa)</t>
  </si>
  <si>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t>
  </si>
  <si>
    <t>Atlantic herring (Clupea harengus)</t>
  </si>
  <si>
    <t>Norway pout (Trisopterus esmarkii), European sprat (Sprattus sprattus), anchovy (Engraulis encrasicolus), Argentines (Argentina sp.), silvery lightfish (Maurolicus muelleri), Lesser sandeel (Ammodytes marinus), greater sandeel (Hyperoplus lanceolatus), small sandeel (Ammodytes tobianus)</t>
  </si>
  <si>
    <t>Atlantic mackerel (Scomber scombrus), Atlantic horse mackerel (Trachurus trachurus), blue whiting (Micromesistius poutassou)</t>
  </si>
  <si>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t>
  </si>
  <si>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t>
  </si>
  <si>
    <t>Grey seal (Halichoerus grypus), harbour seals (Phoca vitulina)</t>
  </si>
  <si>
    <t>Minke whale (Balaenoptera acutorostrata), Harbour porpoise (Phocoena phocoena), bottlenose dolphin (Tursiops truncatus), white beaked dolphin (Lagenorhynchus albirostris), Atlantic white-sided dolphin (Lagenorhynchus acutus)</t>
  </si>
  <si>
    <t>#</t>
  </si>
  <si>
    <t>Prey/Predator</t>
  </si>
  <si>
    <t>Flatfish</t>
  </si>
  <si>
    <t>Large pelagics</t>
  </si>
  <si>
    <t>Sharks &amp; Rays</t>
  </si>
  <si>
    <t>Sum</t>
  </si>
  <si>
    <t>1-Sum</t>
  </si>
  <si>
    <t>Key Indices</t>
  </si>
  <si>
    <t>Mortalities</t>
  </si>
  <si>
    <t>Respiration</t>
  </si>
  <si>
    <t>FD</t>
  </si>
  <si>
    <t>NE</t>
  </si>
  <si>
    <t>OI</t>
  </si>
  <si>
    <t>F</t>
  </si>
  <si>
    <t>M2</t>
  </si>
  <si>
    <t>M0</t>
  </si>
  <si>
    <t>R</t>
  </si>
  <si>
    <t>R/A</t>
  </si>
  <si>
    <t>P/R</t>
  </si>
  <si>
    <t>R/B</t>
  </si>
  <si>
    <r>
      <rPr>
        <b/>
        <sz val="11"/>
        <color theme="1"/>
        <rFont val="Times New Roman"/>
        <family val="1"/>
      </rPr>
      <t>Table S1.</t>
    </r>
    <r>
      <rPr>
        <sz val="11"/>
        <color theme="1"/>
        <rFont val="Times New Roman"/>
        <family val="1"/>
      </rPr>
      <t xml:space="preserve"> The landings (t/km²/year) in the ECS-1890s and ECS-1990s models by fishing fleet and functional group: East Coast of Scotland (ECS)</t>
    </r>
  </si>
  <si>
    <r>
      <rPr>
        <b/>
        <sz val="11"/>
        <color theme="1"/>
        <rFont val="Times New Roman"/>
        <family val="1"/>
      </rPr>
      <t>Table S2.</t>
    </r>
    <r>
      <rPr>
        <sz val="11"/>
        <color theme="1"/>
        <rFont val="Times New Roman"/>
        <family val="1"/>
      </rPr>
      <t xml:space="preserve"> Detailed descriptions of the functional groups</t>
    </r>
  </si>
  <si>
    <r>
      <t xml:space="preserve">Table S3. </t>
    </r>
    <r>
      <rPr>
        <sz val="12"/>
        <color theme="1"/>
        <rFont val="Aptos Narrow"/>
        <scheme val="minor"/>
      </rPr>
      <t>Diet matrix</t>
    </r>
  </si>
  <si>
    <r>
      <rPr>
        <b/>
        <sz val="11"/>
        <color theme="1"/>
        <rFont val="Times New Roman"/>
        <family val="1"/>
      </rPr>
      <t xml:space="preserve">Table S4. </t>
    </r>
    <r>
      <rPr>
        <sz val="11"/>
        <color theme="1"/>
        <rFont val="Times New Roman"/>
        <family val="1"/>
      </rPr>
      <t>Detailed outputs obtained from Ecopath models: Trophic level (TL); biomass (B); production/biomass (P/B); consumption/biomass (Q/B); ecotrophic efficiency (EE); production/consumption (P/Q); flow to detritus (FD); net efficiency (NE); omnivory index (OI); fishing mortality (F); predation mortality (M2); other natural mortality (M0); exploitation rate (E=F/Z); respiration/assimilation (R/A); production/respiration (P/R); respiration/biomass (R/B); MixedTrophic Impact (MTI)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</si>
</sst>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00"/>
  </numFmts>
  <fonts count="9" x14ac:knownFonts="1">
    <font>
      <sz val="12"/>
      <color theme="1"/>
      <name val="Aptos Narrow"/>
      <family val="2"/>
      <scheme val="minor"/>
    </font>
    <font>
      <b/>
      <sz val="12"/>
      <color theme="1"/>
      <name val="Aptos Narrow"/>
      <family val="2"/>
      <scheme val="minor"/>
    </font>
    <font>
      <sz val="11"/>
      <color theme="1"/>
      <name val="Aptos Narrow"/>
      <family val="2"/>
      <scheme val="minor"/>
    </font>
    <font>
      <sz val="11"/>
      <color theme="1"/>
      <name val="Times New Roman"/>
      <family val="1"/>
    </font>
    <font>
      <b/>
      <sz val="11"/>
      <color theme="1"/>
      <name val="Times New Roman"/>
      <family val="1"/>
    </font>
    <font>
      <sz val="10"/>
      <color rgb="FF000000"/>
      <name val="Helvetica"/>
      <family val="2"/>
    </font>
    <font>
      <sz val="12"/>
      <color theme="1"/>
      <name val="Aptos Narrow"/>
      <scheme val="minor"/>
    </font>
    <font>
      <i/>
      <sz val="12"/>
      <color theme="1"/>
      <name val="Aptos Narrow"/>
      <family val="2"/>
      <scheme val="minor"/>
    </font>
    <font>
      <sz val="1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33">
    <border>
      <left/>
      <right/>
      <top/>
      <bottom/>
      <diagonal/>
    </border>
    <border>
      <left/>
      <right/>
      <top/>
      <bottom style="medium">
        <color auto="1"/>
      </bottom>
      <diagonal/>
    </border>
    <border>
      <left style="medium">
        <color auto="1"/>
      </left>
      <right/>
      <top style="medium">
        <color auto="1"/>
      </top>
      <bottom style="thin">
        <color auto="1"/>
      </bottom>
      <diagonal/>
    </border>
    <border>
      <left/>
      <right style="medium">
        <color indexed="64"/>
      </right>
      <top style="medium">
        <color indexed="64"/>
      </top>
      <bottom style="thin">
        <color auto="1"/>
      </bottom>
      <diagonal/>
    </border>
    <border>
      <left/>
      <right/>
      <top style="medium">
        <color indexed="64"/>
      </top>
      <bottom style="thin">
        <color auto="1"/>
      </bottom>
      <diagonal/>
    </border>
    <border>
      <left style="medium">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indexed="64"/>
      </right>
      <top style="medium">
        <color indexed="64"/>
      </top>
      <bottom/>
      <diagonal/>
    </border>
    <border>
      <left style="medium">
        <color auto="1"/>
      </left>
      <right style="medium">
        <color indexed="64"/>
      </right>
      <top/>
      <bottom/>
      <diagonal/>
    </border>
    <border>
      <left style="medium">
        <color auto="1"/>
      </left>
      <right style="medium">
        <color indexed="64"/>
      </right>
      <top/>
      <bottom style="medium">
        <color indexed="64"/>
      </bottom>
      <diagonal/>
    </border>
    <border>
      <left style="medium">
        <color auto="1"/>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auto="1"/>
      </bottom>
      <diagonal/>
    </border>
    <border>
      <left/>
      <right/>
      <top style="medium">
        <color indexed="64"/>
      </top>
      <bottom style="medium">
        <color auto="1"/>
      </bottom>
      <diagonal/>
    </border>
    <border>
      <left/>
      <right style="medium">
        <color indexed="64"/>
      </right>
      <top style="medium">
        <color indexed="64"/>
      </top>
      <bottom style="medium">
        <color auto="1"/>
      </bottom>
      <diagonal/>
    </border>
    <border>
      <left style="medium">
        <color auto="1"/>
      </left>
      <right style="thin">
        <color auto="1"/>
      </right>
      <top style="thin">
        <color auto="1"/>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auto="1"/>
      </right>
      <top style="thin">
        <color auto="1"/>
      </top>
      <bottom style="thin">
        <color auto="1"/>
      </bottom>
      <diagonal/>
    </border>
    <border>
      <left/>
      <right style="thin">
        <color indexed="64"/>
      </right>
      <top style="thin">
        <color indexed="64"/>
      </top>
      <bottom style="thin">
        <color indexed="64"/>
      </bottom>
      <diagonal/>
    </border>
    <border>
      <left style="medium">
        <color auto="1"/>
      </left>
      <right style="thin">
        <color indexed="64"/>
      </right>
      <top/>
      <bottom style="medium">
        <color auto="1"/>
      </bottom>
      <diagonal/>
    </border>
    <border>
      <left/>
      <right style="thin">
        <color auto="1"/>
      </right>
      <top style="thin">
        <color auto="1"/>
      </top>
      <bottom style="medium">
        <color indexed="64"/>
      </bottom>
      <diagonal/>
    </border>
  </borders>
  <cellStyleXfs count="2">
    <xf numFmtId="0" fontId="0" fillId="0" borderId="0"/>
    <xf numFmtId="0" fontId="2" fillId="0" borderId="0"/>
  </cellStyleXfs>
  <cellXfs count="81">
    <xf numFmtId="0" fontId="0" fillId="0" borderId="0" xfId="0"/>
    <xf numFmtId="0" fontId="3" fillId="0" borderId="0" xfId="1" applyFont="1"/>
    <xf numFmtId="0" fontId="4"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4" fillId="3" borderId="7" xfId="1" applyFont="1" applyFill="1" applyBorder="1" applyAlignment="1">
      <alignment horizontal="center" vertical="center"/>
    </xf>
    <xf numFmtId="0" fontId="4" fillId="0" borderId="8" xfId="1" applyFont="1" applyBorder="1" applyAlignment="1">
      <alignment horizontal="left" vertical="center"/>
    </xf>
    <xf numFmtId="0" fontId="4" fillId="0" borderId="9" xfId="1" applyFont="1" applyBorder="1"/>
    <xf numFmtId="164" fontId="2" fillId="0" borderId="0" xfId="1" applyNumberFormat="1" applyAlignment="1">
      <alignment horizontal="center" vertical="center"/>
    </xf>
    <xf numFmtId="164" fontId="2" fillId="0" borderId="9" xfId="1" applyNumberFormat="1" applyBorder="1" applyAlignment="1">
      <alignment horizontal="center" vertical="center"/>
    </xf>
    <xf numFmtId="165" fontId="2" fillId="0" borderId="0" xfId="1" applyNumberFormat="1" applyAlignment="1">
      <alignment horizontal="center" vertical="center"/>
    </xf>
    <xf numFmtId="166" fontId="2" fillId="0" borderId="0" xfId="1" applyNumberFormat="1" applyAlignment="1">
      <alignment horizontal="center" vertical="center"/>
    </xf>
    <xf numFmtId="2" fontId="2" fillId="0" borderId="9" xfId="1" applyNumberFormat="1" applyBorder="1" applyAlignment="1">
      <alignment horizontal="center" vertical="center"/>
    </xf>
    <xf numFmtId="2" fontId="3" fillId="0" borderId="1" xfId="1" applyNumberFormat="1" applyFont="1" applyBorder="1" applyAlignment="1">
      <alignment horizontal="center" vertical="center"/>
    </xf>
    <xf numFmtId="2" fontId="3" fillId="0" borderId="11" xfId="1" applyNumberFormat="1" applyFont="1" applyBorder="1" applyAlignment="1">
      <alignment horizontal="center" vertical="center"/>
    </xf>
    <xf numFmtId="0" fontId="4" fillId="3" borderId="12" xfId="1" applyFont="1" applyFill="1" applyBorder="1" applyAlignment="1">
      <alignment horizontal="center" vertical="center"/>
    </xf>
    <xf numFmtId="0" fontId="4" fillId="3" borderId="13" xfId="1" applyFont="1" applyFill="1" applyBorder="1" applyAlignment="1">
      <alignment horizontal="center" vertical="center"/>
    </xf>
    <xf numFmtId="0" fontId="4" fillId="3" borderId="14" xfId="1" applyFont="1" applyFill="1" applyBorder="1" applyAlignment="1">
      <alignment horizontal="center" vertical="center"/>
    </xf>
    <xf numFmtId="164" fontId="2" fillId="0" borderId="15" xfId="1" applyNumberFormat="1" applyBorder="1" applyAlignment="1">
      <alignment vertical="center"/>
    </xf>
    <xf numFmtId="164" fontId="2" fillId="0" borderId="16" xfId="1" applyNumberFormat="1" applyBorder="1" applyAlignment="1">
      <alignment horizontal="left" vertical="center"/>
    </xf>
    <xf numFmtId="0" fontId="5" fillId="0" borderId="9" xfId="0" applyFont="1" applyBorder="1" applyAlignment="1">
      <alignment horizontal="left"/>
    </xf>
    <xf numFmtId="0" fontId="5" fillId="0" borderId="9" xfId="0" applyFont="1" applyBorder="1"/>
    <xf numFmtId="0" fontId="4" fillId="0" borderId="10" xfId="1" applyFont="1" applyBorder="1" applyAlignment="1">
      <alignment horizontal="left" vertical="center"/>
    </xf>
    <xf numFmtId="0" fontId="4" fillId="0" borderId="11" xfId="1" applyFont="1" applyBorder="1"/>
    <xf numFmtId="165" fontId="2" fillId="0" borderId="17" xfId="1" applyNumberFormat="1" applyBorder="1" applyAlignment="1">
      <alignment vertical="center"/>
    </xf>
    <xf numFmtId="0" fontId="1" fillId="3" borderId="18" xfId="0" applyFont="1" applyFill="1" applyBorder="1" applyAlignment="1">
      <alignment horizontal="center"/>
    </xf>
    <xf numFmtId="0" fontId="1" fillId="3" borderId="19"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8" xfId="0" applyFont="1" applyFill="1" applyBorder="1" applyAlignment="1">
      <alignment horizontal="center" vertical="center"/>
    </xf>
    <xf numFmtId="0" fontId="7" fillId="0" borderId="9" xfId="0" applyFont="1" applyBorder="1"/>
    <xf numFmtId="166" fontId="0" fillId="0" borderId="8" xfId="0" applyNumberFormat="1" applyBorder="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center"/>
    </xf>
    <xf numFmtId="166" fontId="0" fillId="0" borderId="9" xfId="0" applyNumberFormat="1" applyBorder="1" applyAlignment="1">
      <alignment horizontal="center"/>
    </xf>
    <xf numFmtId="166" fontId="6" fillId="0" borderId="0" xfId="0" applyNumberFormat="1" applyFont="1" applyAlignment="1">
      <alignment horizontal="center" vertical="center"/>
    </xf>
    <xf numFmtId="166" fontId="6" fillId="0" borderId="0" xfId="0" applyNumberFormat="1" applyFont="1" applyAlignment="1">
      <alignment horizontal="center"/>
    </xf>
    <xf numFmtId="166" fontId="6" fillId="0" borderId="9" xfId="0" applyNumberFormat="1" applyFont="1" applyBorder="1" applyAlignment="1">
      <alignment horizontal="center"/>
    </xf>
    <xf numFmtId="166" fontId="0" fillId="0" borderId="8" xfId="0" applyNumberFormat="1" applyBorder="1" applyAlignment="1">
      <alignment horizontal="center"/>
    </xf>
    <xf numFmtId="0" fontId="1" fillId="3" borderId="10" xfId="0" applyFont="1" applyFill="1" applyBorder="1" applyAlignment="1">
      <alignment horizontal="center" vertical="center"/>
    </xf>
    <xf numFmtId="0" fontId="7" fillId="0" borderId="11" xfId="0" applyFont="1" applyBorder="1"/>
    <xf numFmtId="166" fontId="0" fillId="0" borderId="10" xfId="0" applyNumberFormat="1" applyBorder="1" applyAlignment="1">
      <alignment horizontal="center"/>
    </xf>
    <xf numFmtId="166" fontId="0" fillId="0" borderId="1" xfId="0" applyNumberFormat="1" applyBorder="1" applyAlignment="1">
      <alignment horizontal="center"/>
    </xf>
    <xf numFmtId="166" fontId="0" fillId="0" borderId="11" xfId="0" applyNumberFormat="1" applyBorder="1" applyAlignment="1">
      <alignment horizontal="center"/>
    </xf>
    <xf numFmtId="2" fontId="0" fillId="0" borderId="0" xfId="0" applyNumberFormat="1"/>
    <xf numFmtId="2" fontId="0" fillId="0" borderId="9" xfId="0" applyNumberFormat="1" applyBorder="1"/>
    <xf numFmtId="166" fontId="0" fillId="0" borderId="1" xfId="0" applyNumberFormat="1" applyBorder="1"/>
    <xf numFmtId="164" fontId="0" fillId="0" borderId="1" xfId="0" applyNumberFormat="1" applyBorder="1"/>
    <xf numFmtId="166" fontId="0" fillId="0" borderId="11" xfId="0" applyNumberFormat="1" applyBorder="1"/>
    <xf numFmtId="0" fontId="4" fillId="3" borderId="32" xfId="1" applyFont="1" applyFill="1" applyBorder="1" applyAlignment="1">
      <alignment horizontal="center" vertical="center"/>
    </xf>
    <xf numFmtId="2" fontId="3" fillId="0" borderId="0" xfId="1" applyNumberFormat="1" applyFont="1" applyAlignment="1">
      <alignment horizontal="center" vertical="center"/>
    </xf>
    <xf numFmtId="2" fontId="3" fillId="0" borderId="19" xfId="1" applyNumberFormat="1" applyFont="1" applyBorder="1" applyAlignment="1">
      <alignment horizontal="center" vertical="center"/>
    </xf>
    <xf numFmtId="2" fontId="3" fillId="0" borderId="9" xfId="1" applyNumberFormat="1" applyFont="1" applyBorder="1" applyAlignment="1">
      <alignment horizontal="center" vertical="center"/>
    </xf>
    <xf numFmtId="2" fontId="8" fillId="0" borderId="0" xfId="1" applyNumberFormat="1" applyFont="1" applyAlignment="1">
      <alignment horizontal="center" vertical="center"/>
    </xf>
    <xf numFmtId="2" fontId="8" fillId="0" borderId="1" xfId="1" applyNumberFormat="1" applyFont="1" applyBorder="1" applyAlignment="1">
      <alignment horizontal="center" vertical="center"/>
    </xf>
    <xf numFmtId="2" fontId="8" fillId="0" borderId="0" xfId="1" applyNumberFormat="1" applyFont="1"/>
    <xf numFmtId="0" fontId="8" fillId="0" borderId="0" xfId="1" applyFont="1"/>
    <xf numFmtId="0" fontId="3" fillId="0" borderId="1" xfId="1" applyFont="1" applyBorder="1" applyAlignment="1">
      <alignment horizontal="left"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xf>
    <xf numFmtId="0" fontId="4" fillId="2" borderId="4" xfId="1" applyFont="1" applyFill="1" applyBorder="1" applyAlignment="1">
      <alignment horizontal="center"/>
    </xf>
    <xf numFmtId="0" fontId="4" fillId="2" borderId="3" xfId="1" applyFont="1" applyFill="1" applyBorder="1" applyAlignment="1">
      <alignment horizont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1" fillId="0" borderId="0" xfId="0" applyFont="1" applyAlignment="1">
      <alignment horizontal="left" vertical="center"/>
    </xf>
    <xf numFmtId="0" fontId="7" fillId="0" borderId="8" xfId="0" applyFont="1" applyBorder="1" applyAlignment="1">
      <alignment horizontal="right" vertical="center"/>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4" fillId="3" borderId="26" xfId="1" applyFont="1" applyFill="1" applyBorder="1" applyAlignment="1">
      <alignment horizontal="center" vertical="center"/>
    </xf>
    <xf numFmtId="0" fontId="4" fillId="3" borderId="27" xfId="1" applyFont="1" applyFill="1" applyBorder="1" applyAlignment="1">
      <alignment horizontal="center" vertical="center"/>
    </xf>
    <xf numFmtId="0" fontId="4" fillId="3" borderId="28" xfId="1" applyFont="1" applyFill="1" applyBorder="1" applyAlignment="1">
      <alignment horizontal="center" vertical="center"/>
    </xf>
    <xf numFmtId="0" fontId="4" fillId="3" borderId="29" xfId="1" applyFont="1" applyFill="1" applyBorder="1" applyAlignment="1">
      <alignment horizontal="center" vertical="center"/>
    </xf>
    <xf numFmtId="0" fontId="3" fillId="0" borderId="21" xfId="1" applyFont="1" applyBorder="1" applyAlignment="1">
      <alignment horizontal="left" vertical="center"/>
    </xf>
    <xf numFmtId="0" fontId="3" fillId="0" borderId="22" xfId="1" applyFont="1" applyBorder="1" applyAlignment="1">
      <alignment horizontal="left" vertical="center"/>
    </xf>
    <xf numFmtId="0" fontId="3" fillId="0" borderId="23" xfId="1" applyFont="1" applyBorder="1" applyAlignment="1">
      <alignment horizontal="left" vertical="center"/>
    </xf>
    <xf numFmtId="0" fontId="4" fillId="3" borderId="24" xfId="1" applyFont="1" applyFill="1" applyBorder="1" applyAlignment="1">
      <alignment horizontal="center" vertical="center"/>
    </xf>
    <xf numFmtId="0" fontId="4" fillId="3" borderId="31" xfId="1" applyFont="1" applyFill="1" applyBorder="1" applyAlignment="1">
      <alignment horizontal="center" vertical="center"/>
    </xf>
    <xf numFmtId="0" fontId="4" fillId="3" borderId="25" xfId="1" applyFont="1" applyFill="1" applyBorder="1" applyAlignment="1">
      <alignment horizontal="center" vertical="center"/>
    </xf>
    <xf numFmtId="0" fontId="4" fillId="3" borderId="11" xfId="1" applyFont="1" applyFill="1" applyBorder="1" applyAlignment="1">
      <alignment horizontal="center" vertical="center"/>
    </xf>
    <xf numFmtId="0" fontId="4" fillId="3" borderId="30" xfId="1" applyFont="1" applyFill="1" applyBorder="1" applyAlignment="1">
      <alignment horizontal="center" vertical="center"/>
    </xf>
  </cellXfs>
  <cellStyles count="2">
    <cellStyle name="Normal" xfId="0" builtinId="0"/>
    <cellStyle name="Normal 2" xfId="1" xr:uid="{C56A145D-1413-184E-BC3E-511611362F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8735-85F5-634C-98C0-2F000D2B9298}">
  <dimension ref="A1:J29"/>
  <sheetViews>
    <sheetView tabSelected="1" workbookViewId="0">
      <selection activeCell="C39" sqref="C39"/>
    </sheetView>
  </sheetViews>
  <sheetFormatPr baseColWidth="10" defaultColWidth="8.83203125" defaultRowHeight="14" x14ac:dyDescent="0.15"/>
  <cols>
    <col min="1" max="1" width="3.5" style="1" bestFit="1" customWidth="1"/>
    <col min="2" max="2" width="17.5" style="1" bestFit="1" customWidth="1"/>
    <col min="3" max="3" width="14.6640625" style="1" bestFit="1" customWidth="1"/>
    <col min="4" max="4" width="15.83203125" style="1" bestFit="1" customWidth="1"/>
    <col min="5" max="5" width="6.6640625" style="1" bestFit="1" customWidth="1"/>
    <col min="6" max="6" width="11.33203125" style="1" bestFit="1" customWidth="1"/>
    <col min="7" max="7" width="14.6640625" style="1" bestFit="1" customWidth="1"/>
    <col min="8" max="8" width="15.83203125" style="1" bestFit="1" customWidth="1"/>
    <col min="9" max="9" width="6.1640625" style="1" bestFit="1" customWidth="1"/>
    <col min="10" max="10" width="11.33203125" style="1" bestFit="1" customWidth="1"/>
    <col min="11" max="16384" width="8.83203125" style="1"/>
  </cols>
  <sheetData>
    <row r="1" spans="1:10" ht="16" customHeight="1" thickBot="1" x14ac:dyDescent="0.2">
      <c r="A1" s="56" t="s">
        <v>80</v>
      </c>
      <c r="B1" s="56"/>
      <c r="C1" s="56"/>
      <c r="D1" s="56"/>
      <c r="E1" s="56"/>
      <c r="F1" s="56"/>
      <c r="G1" s="56"/>
      <c r="H1" s="56"/>
      <c r="I1" s="56"/>
      <c r="J1" s="56"/>
    </row>
    <row r="2" spans="1:10" ht="15" customHeight="1" x14ac:dyDescent="0.15">
      <c r="A2" s="57" t="s">
        <v>0</v>
      </c>
      <c r="B2" s="58"/>
      <c r="C2" s="59" t="s">
        <v>1</v>
      </c>
      <c r="D2" s="60"/>
      <c r="E2" s="60"/>
      <c r="F2" s="61"/>
      <c r="G2" s="59" t="s">
        <v>2</v>
      </c>
      <c r="H2" s="60"/>
      <c r="I2" s="60"/>
      <c r="J2" s="61"/>
    </row>
    <row r="3" spans="1:10" ht="15" thickBot="1" x14ac:dyDescent="0.2">
      <c r="A3" s="2" t="s">
        <v>3</v>
      </c>
      <c r="B3" s="3" t="s">
        <v>4</v>
      </c>
      <c r="C3" s="4" t="s">
        <v>5</v>
      </c>
      <c r="D3" s="4" t="s">
        <v>6</v>
      </c>
      <c r="E3" s="4" t="s">
        <v>7</v>
      </c>
      <c r="F3" s="3" t="s">
        <v>8</v>
      </c>
      <c r="G3" s="4" t="s">
        <v>5</v>
      </c>
      <c r="H3" s="4" t="s">
        <v>6</v>
      </c>
      <c r="I3" s="4" t="s">
        <v>7</v>
      </c>
      <c r="J3" s="3" t="s">
        <v>8</v>
      </c>
    </row>
    <row r="4" spans="1:10" ht="15" x14ac:dyDescent="0.15">
      <c r="A4" s="5">
        <v>1</v>
      </c>
      <c r="B4" s="6" t="s">
        <v>9</v>
      </c>
      <c r="C4" s="7"/>
      <c r="D4" s="7"/>
      <c r="E4" s="7"/>
      <c r="F4" s="8"/>
      <c r="G4" s="9"/>
      <c r="H4" s="10"/>
      <c r="I4" s="10"/>
      <c r="J4" s="11"/>
    </row>
    <row r="5" spans="1:10" ht="15" x14ac:dyDescent="0.15">
      <c r="A5" s="5">
        <v>2</v>
      </c>
      <c r="B5" s="6" t="s">
        <v>10</v>
      </c>
      <c r="C5" s="7"/>
      <c r="D5" s="7"/>
      <c r="E5" s="7"/>
      <c r="F5" s="8"/>
      <c r="G5" s="9"/>
      <c r="H5" s="10"/>
      <c r="I5" s="10"/>
      <c r="J5" s="11"/>
    </row>
    <row r="6" spans="1:10" ht="15" x14ac:dyDescent="0.15">
      <c r="A6" s="5">
        <v>3</v>
      </c>
      <c r="B6" s="6" t="s">
        <v>11</v>
      </c>
      <c r="C6" s="7"/>
      <c r="D6" s="7"/>
      <c r="E6" s="7"/>
      <c r="F6" s="8"/>
      <c r="G6" s="9"/>
      <c r="H6" s="10"/>
      <c r="I6" s="10"/>
      <c r="J6" s="11"/>
    </row>
    <row r="7" spans="1:10" ht="15" x14ac:dyDescent="0.15">
      <c r="A7" s="5">
        <v>4</v>
      </c>
      <c r="B7" s="6" t="s">
        <v>12</v>
      </c>
      <c r="C7" s="7"/>
      <c r="D7" s="7"/>
      <c r="E7" s="7"/>
      <c r="F7" s="8"/>
      <c r="G7" s="9"/>
      <c r="H7" s="10"/>
      <c r="I7" s="10"/>
      <c r="J7" s="11"/>
    </row>
    <row r="8" spans="1:10" ht="15" x14ac:dyDescent="0.15">
      <c r="A8" s="5">
        <v>5</v>
      </c>
      <c r="B8" s="6" t="s">
        <v>13</v>
      </c>
      <c r="C8" s="7"/>
      <c r="D8" s="7">
        <v>8.5236700000000006E-3</v>
      </c>
      <c r="E8" s="7">
        <v>2.2931070000000001E-2</v>
      </c>
      <c r="F8" s="8">
        <v>3.1454740000000002E-2</v>
      </c>
      <c r="G8" s="9"/>
      <c r="H8" s="10">
        <v>4.0887900000000001E-3</v>
      </c>
      <c r="I8" s="10">
        <v>1.0999999999999999E-2</v>
      </c>
      <c r="J8" s="11">
        <v>1.5088789999999999E-2</v>
      </c>
    </row>
    <row r="9" spans="1:10" ht="15" x14ac:dyDescent="0.15">
      <c r="A9" s="5">
        <v>6</v>
      </c>
      <c r="B9" s="6" t="s">
        <v>14</v>
      </c>
      <c r="C9" s="7">
        <v>1.3E-7</v>
      </c>
      <c r="D9" s="7">
        <v>3.029898E-2</v>
      </c>
      <c r="E9" s="7">
        <v>5.9637600000000002E-3</v>
      </c>
      <c r="F9" s="8">
        <v>3.6262870000000003E-2</v>
      </c>
      <c r="G9" s="9">
        <v>1.5529999999999999E-7</v>
      </c>
      <c r="H9" s="10">
        <v>3.5949700000000001E-2</v>
      </c>
      <c r="I9" s="10">
        <v>7.0759999999999998E-3</v>
      </c>
      <c r="J9" s="11">
        <v>4.3025849999999997E-2</v>
      </c>
    </row>
    <row r="10" spans="1:10" ht="15" x14ac:dyDescent="0.15">
      <c r="A10" s="5">
        <v>7</v>
      </c>
      <c r="B10" s="6" t="s">
        <v>15</v>
      </c>
      <c r="C10" s="7"/>
      <c r="D10" s="7">
        <v>5.6291999999999996E-4</v>
      </c>
      <c r="E10" s="7"/>
      <c r="F10" s="8">
        <v>5.6291999999999996E-4</v>
      </c>
      <c r="G10" s="9"/>
      <c r="H10" s="10">
        <v>3.5469999999999998E-3</v>
      </c>
      <c r="I10" s="10"/>
      <c r="J10" s="11">
        <v>3.5469999999999998E-3</v>
      </c>
    </row>
    <row r="11" spans="1:10" ht="15" x14ac:dyDescent="0.15">
      <c r="A11" s="5">
        <v>8</v>
      </c>
      <c r="B11" s="6" t="s">
        <v>16</v>
      </c>
      <c r="C11" s="7">
        <v>5.7599999999999999E-6</v>
      </c>
      <c r="D11" s="7">
        <v>5.0918030000000003E-2</v>
      </c>
      <c r="E11" s="7">
        <v>2.9999999999999999E-7</v>
      </c>
      <c r="F11" s="8">
        <v>5.0924089999999998E-2</v>
      </c>
      <c r="G11" s="9">
        <v>1.4980999999999999E-5</v>
      </c>
      <c r="H11" s="10">
        <v>0.1324168</v>
      </c>
      <c r="I11" s="10">
        <v>7.8311000000000003E-7</v>
      </c>
      <c r="J11" s="11">
        <v>0.13243260000000001</v>
      </c>
    </row>
    <row r="12" spans="1:10" ht="15" x14ac:dyDescent="0.15">
      <c r="A12" s="5">
        <v>9</v>
      </c>
      <c r="B12" s="6" t="s">
        <v>17</v>
      </c>
      <c r="C12" s="7">
        <v>4.8999999999999997E-7</v>
      </c>
      <c r="D12" s="7">
        <v>2.1870609999999999E-2</v>
      </c>
      <c r="E12" s="7"/>
      <c r="F12" s="8">
        <v>2.1871100000000001E-2</v>
      </c>
      <c r="G12" s="9">
        <v>2.1E-7</v>
      </c>
      <c r="H12" s="10">
        <v>9.3652000000000006E-3</v>
      </c>
      <c r="I12" s="10"/>
      <c r="J12" s="11">
        <v>9.3654099999999994E-3</v>
      </c>
    </row>
    <row r="13" spans="1:10" ht="15" x14ac:dyDescent="0.15">
      <c r="A13" s="5">
        <v>10</v>
      </c>
      <c r="B13" s="6" t="s">
        <v>18</v>
      </c>
      <c r="C13" s="7">
        <v>1.925E-5</v>
      </c>
      <c r="D13" s="7">
        <v>0.11067680000000001</v>
      </c>
      <c r="E13" s="7">
        <v>2.3249999999999999E-5</v>
      </c>
      <c r="F13" s="8">
        <v>0.11071930000000001</v>
      </c>
      <c r="G13" s="9">
        <v>2.6568E-5</v>
      </c>
      <c r="H13" s="10">
        <v>0.15275569999999999</v>
      </c>
      <c r="I13" s="10">
        <v>3.2089869999999997E-5</v>
      </c>
      <c r="J13" s="11">
        <v>0.15281439999999999</v>
      </c>
    </row>
    <row r="14" spans="1:10" ht="15" x14ac:dyDescent="0.15">
      <c r="A14" s="5">
        <v>11</v>
      </c>
      <c r="B14" s="6" t="s">
        <v>19</v>
      </c>
      <c r="C14" s="7">
        <v>3.04E-5</v>
      </c>
      <c r="D14" s="7">
        <v>9.3861189999999997E-2</v>
      </c>
      <c r="E14" s="7">
        <v>7.3819999999999995E-5</v>
      </c>
      <c r="F14" s="8">
        <v>9.3965409999999999E-2</v>
      </c>
      <c r="G14" s="9">
        <v>1.6059E-5</v>
      </c>
      <c r="H14" s="10">
        <v>4.9584999999999997E-2</v>
      </c>
      <c r="I14" s="10">
        <v>3.8999999999999999E-5</v>
      </c>
      <c r="J14" s="11">
        <v>4.964006E-2</v>
      </c>
    </row>
    <row r="15" spans="1:10" ht="15" x14ac:dyDescent="0.15">
      <c r="A15" s="5">
        <v>12</v>
      </c>
      <c r="B15" s="6" t="s">
        <v>20</v>
      </c>
      <c r="C15" s="7">
        <v>2.8453000000000002E-4</v>
      </c>
      <c r="D15" s="7">
        <v>0.2723293</v>
      </c>
      <c r="E15" s="7">
        <v>8.67E-6</v>
      </c>
      <c r="F15" s="8">
        <v>0.27262249999999999</v>
      </c>
      <c r="G15" s="9">
        <v>3.0129000000000001E-4</v>
      </c>
      <c r="H15" s="10">
        <v>0.2883754</v>
      </c>
      <c r="I15" s="10">
        <v>9.1799899999999995E-6</v>
      </c>
      <c r="J15" s="11">
        <v>0.2886859</v>
      </c>
    </row>
    <row r="16" spans="1:10" ht="15" x14ac:dyDescent="0.15">
      <c r="A16" s="5">
        <v>13</v>
      </c>
      <c r="B16" s="6" t="s">
        <v>21</v>
      </c>
      <c r="C16" s="7">
        <v>8.9500000000000007E-6</v>
      </c>
      <c r="D16" s="7">
        <v>1.113224E-2</v>
      </c>
      <c r="E16" s="7">
        <v>1.4999999999999999E-7</v>
      </c>
      <c r="F16" s="8">
        <v>1.114134E-2</v>
      </c>
      <c r="G16" s="9">
        <v>7.6580000000000002E-5</v>
      </c>
      <c r="H16" s="10">
        <v>9.530139E-2</v>
      </c>
      <c r="I16" s="10">
        <v>1.2561999999999999E-6</v>
      </c>
      <c r="J16" s="11">
        <v>9.5379229999999995E-2</v>
      </c>
    </row>
    <row r="17" spans="1:10" ht="15" x14ac:dyDescent="0.15">
      <c r="A17" s="5">
        <v>14</v>
      </c>
      <c r="B17" s="6" t="s">
        <v>22</v>
      </c>
      <c r="C17" s="7">
        <v>9.5790000000000003E-5</v>
      </c>
      <c r="D17" s="7">
        <v>0.14895829999999999</v>
      </c>
      <c r="E17" s="7"/>
      <c r="F17" s="8">
        <v>0.14905409999999999</v>
      </c>
      <c r="G17" s="9">
        <v>3.0012999999999999E-5</v>
      </c>
      <c r="H17" s="10">
        <v>4.6669889999999999E-2</v>
      </c>
      <c r="I17" s="10"/>
      <c r="J17" s="11">
        <v>4.6699900000000003E-2</v>
      </c>
    </row>
    <row r="18" spans="1:10" ht="15" x14ac:dyDescent="0.15">
      <c r="A18" s="5">
        <v>15</v>
      </c>
      <c r="B18" s="6" t="s">
        <v>23</v>
      </c>
      <c r="C18" s="7">
        <v>5.6857999999999995E-4</v>
      </c>
      <c r="D18" s="7">
        <v>0.215887</v>
      </c>
      <c r="E18" s="7">
        <v>4.3739999999999998E-5</v>
      </c>
      <c r="F18" s="8">
        <v>0.21649930000000001</v>
      </c>
      <c r="G18" s="9">
        <v>1.2999999999999999E-3</v>
      </c>
      <c r="H18" s="10">
        <v>0.49360159999999997</v>
      </c>
      <c r="I18" s="10">
        <v>1E-4</v>
      </c>
      <c r="J18" s="11">
        <v>0.49500159999999999</v>
      </c>
    </row>
    <row r="19" spans="1:10" ht="15" x14ac:dyDescent="0.15">
      <c r="A19" s="5">
        <v>16</v>
      </c>
      <c r="B19" s="6" t="s">
        <v>24</v>
      </c>
      <c r="C19" s="7">
        <v>1.84E-6</v>
      </c>
      <c r="D19" s="7">
        <v>3.29131E-3</v>
      </c>
      <c r="E19" s="7">
        <v>8.0000000000000002E-8</v>
      </c>
      <c r="F19" s="8">
        <v>3.2932299999999999E-3</v>
      </c>
      <c r="G19" s="9">
        <v>2.1250000000000002E-5</v>
      </c>
      <c r="H19" s="10">
        <v>3.8100000000000002E-2</v>
      </c>
      <c r="I19" s="10">
        <v>9.8016010000000006E-7</v>
      </c>
      <c r="J19" s="11">
        <v>3.812223E-2</v>
      </c>
    </row>
    <row r="20" spans="1:10" ht="15" x14ac:dyDescent="0.15">
      <c r="A20" s="5">
        <v>17</v>
      </c>
      <c r="B20" s="6" t="s">
        <v>25</v>
      </c>
      <c r="C20" s="7">
        <v>1.2072E-4</v>
      </c>
      <c r="D20" s="7">
        <v>0.1221016</v>
      </c>
      <c r="E20" s="7">
        <v>2.3188000000000001E-4</v>
      </c>
      <c r="F20" s="8">
        <v>0.1224542</v>
      </c>
      <c r="G20" s="9">
        <v>5.2062999999999999E-5</v>
      </c>
      <c r="H20" s="10">
        <v>5.26586E-2</v>
      </c>
      <c r="I20" s="10">
        <v>1.000009E-4</v>
      </c>
      <c r="J20" s="11">
        <v>5.2810669999999997E-2</v>
      </c>
    </row>
    <row r="21" spans="1:10" ht="15" x14ac:dyDescent="0.15">
      <c r="A21" s="5">
        <v>18</v>
      </c>
      <c r="B21" s="6" t="s">
        <v>26</v>
      </c>
      <c r="C21" s="7">
        <v>2.0348670000000002</v>
      </c>
      <c r="D21" s="7">
        <v>0.1215792</v>
      </c>
      <c r="E21" s="7"/>
      <c r="F21" s="8">
        <v>2.1564459999999999</v>
      </c>
      <c r="G21" s="9">
        <v>1.0209999999999999</v>
      </c>
      <c r="H21" s="10">
        <v>6.10027E-2</v>
      </c>
      <c r="I21" s="10">
        <v>7.2999999999999996E-10</v>
      </c>
      <c r="J21" s="11">
        <v>1.082003</v>
      </c>
    </row>
    <row r="22" spans="1:10" ht="15" x14ac:dyDescent="0.15">
      <c r="A22" s="5">
        <v>19</v>
      </c>
      <c r="B22" s="6" t="s">
        <v>27</v>
      </c>
      <c r="C22" s="7">
        <v>2.9301900000000001E-3</v>
      </c>
      <c r="D22" s="7">
        <v>3.9001330000000001E-2</v>
      </c>
      <c r="E22" s="7"/>
      <c r="F22" s="8">
        <v>4.193152E-2</v>
      </c>
      <c r="G22" s="9">
        <v>4.3021999999999998E-2</v>
      </c>
      <c r="H22" s="10">
        <v>0.572631</v>
      </c>
      <c r="I22" s="10"/>
      <c r="J22" s="11">
        <v>0.61565300000000001</v>
      </c>
    </row>
    <row r="23" spans="1:10" ht="15" x14ac:dyDescent="0.15">
      <c r="A23" s="5">
        <v>20</v>
      </c>
      <c r="B23" s="6" t="s">
        <v>28</v>
      </c>
      <c r="C23" s="7">
        <v>3.9749999999999997E-5</v>
      </c>
      <c r="D23" s="7">
        <v>1.048E-5</v>
      </c>
      <c r="E23" s="7"/>
      <c r="F23" s="8">
        <v>5.0229999999999998E-5</v>
      </c>
      <c r="G23" s="9">
        <v>0.247</v>
      </c>
      <c r="H23" s="10">
        <v>6.5145170000000002E-2</v>
      </c>
      <c r="I23" s="10">
        <v>2.1059999999999998E-6</v>
      </c>
      <c r="J23" s="11">
        <v>0.31214730000000002</v>
      </c>
    </row>
    <row r="24" spans="1:10" ht="15" x14ac:dyDescent="0.15">
      <c r="A24" s="5">
        <v>21</v>
      </c>
      <c r="B24" s="6" t="s">
        <v>29</v>
      </c>
      <c r="C24" s="7">
        <v>3.7049999999999999E-5</v>
      </c>
      <c r="D24" s="7">
        <v>1.4626979999999999E-2</v>
      </c>
      <c r="E24" s="7"/>
      <c r="F24" s="8">
        <v>1.466403E-2</v>
      </c>
      <c r="G24" s="9">
        <v>7.3695999999999994E-5</v>
      </c>
      <c r="H24" s="10">
        <v>2.9094399999999999E-2</v>
      </c>
      <c r="I24" s="10">
        <v>2.8000000000000002E-10</v>
      </c>
      <c r="J24" s="11">
        <v>2.9168099999999999E-2</v>
      </c>
    </row>
    <row r="25" spans="1:10" ht="15" x14ac:dyDescent="0.15">
      <c r="A25" s="5">
        <v>22</v>
      </c>
      <c r="B25" s="6" t="s">
        <v>30</v>
      </c>
      <c r="C25" s="7"/>
      <c r="D25" s="7"/>
      <c r="E25" s="7"/>
      <c r="F25" s="8"/>
      <c r="G25" s="9"/>
      <c r="H25" s="10"/>
      <c r="I25" s="10"/>
      <c r="J25" s="11"/>
    </row>
    <row r="26" spans="1:10" ht="15" x14ac:dyDescent="0.15">
      <c r="A26" s="5">
        <v>23</v>
      </c>
      <c r="B26" s="6" t="s">
        <v>31</v>
      </c>
      <c r="C26" s="7"/>
      <c r="D26" s="7">
        <v>1E-4</v>
      </c>
      <c r="E26" s="7"/>
      <c r="F26" s="8">
        <v>1E-4</v>
      </c>
      <c r="G26" s="9"/>
      <c r="H26" s="10">
        <v>3.4E-5</v>
      </c>
      <c r="I26" s="10"/>
      <c r="J26" s="11">
        <v>3.4E-5</v>
      </c>
    </row>
    <row r="27" spans="1:10" ht="15" x14ac:dyDescent="0.15">
      <c r="A27" s="5">
        <v>24</v>
      </c>
      <c r="B27" s="6" t="s">
        <v>32</v>
      </c>
      <c r="C27" s="7">
        <v>4.9999999999999998E-7</v>
      </c>
      <c r="D27" s="7">
        <v>9.6000000000000002E-5</v>
      </c>
      <c r="E27" s="7"/>
      <c r="F27" s="8">
        <v>9.6500000000000001E-5</v>
      </c>
      <c r="G27" s="9">
        <v>4.9999999999999998E-7</v>
      </c>
      <c r="H27" s="10">
        <v>9.6000000000000002E-5</v>
      </c>
      <c r="I27" s="10"/>
      <c r="J27" s="11">
        <v>9.6500000000000001E-5</v>
      </c>
    </row>
    <row r="28" spans="1:10" ht="15" x14ac:dyDescent="0.15">
      <c r="A28" s="5">
        <v>25</v>
      </c>
      <c r="B28" s="6" t="s">
        <v>33</v>
      </c>
      <c r="C28" s="9"/>
      <c r="D28" s="10"/>
      <c r="E28" s="10"/>
      <c r="F28" s="11"/>
      <c r="G28" s="9"/>
      <c r="H28" s="10"/>
      <c r="I28" s="10"/>
      <c r="J28" s="11"/>
    </row>
    <row r="29" spans="1:10" ht="16" customHeight="1" thickBot="1" x14ac:dyDescent="0.2">
      <c r="A29" s="62" t="s">
        <v>34</v>
      </c>
      <c r="B29" s="63"/>
      <c r="C29" s="12">
        <v>2.0390109999999999</v>
      </c>
      <c r="D29" s="12">
        <v>1.2658259999999999</v>
      </c>
      <c r="E29" s="12">
        <v>2.9276719999999999E-2</v>
      </c>
      <c r="F29" s="13">
        <v>3.3341129999999999</v>
      </c>
      <c r="G29" s="12">
        <v>1.312935</v>
      </c>
      <c r="H29" s="12">
        <v>2.1304189999999998</v>
      </c>
      <c r="I29" s="12">
        <v>1.8361389999999998E-2</v>
      </c>
      <c r="J29" s="13">
        <v>3.4617149999999999</v>
      </c>
    </row>
  </sheetData>
  <mergeCells count="5">
    <mergeCell ref="A1:J1"/>
    <mergeCell ref="A2:B2"/>
    <mergeCell ref="C2:F2"/>
    <mergeCell ref="G2:J2"/>
    <mergeCell ref="A29:B29"/>
  </mergeCells>
  <pageMargins left="0.7" right="0.7" top="0.75" bottom="0.75" header="0.3" footer="0.3"/>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4DFB-F770-804B-8907-A3CED02ECB15}">
  <dimension ref="A1:C27"/>
  <sheetViews>
    <sheetView workbookViewId="0">
      <selection activeCell="C40" sqref="C40"/>
    </sheetView>
  </sheetViews>
  <sheetFormatPr baseColWidth="10" defaultColWidth="8.83203125" defaultRowHeight="14" x14ac:dyDescent="0.15"/>
  <cols>
    <col min="1" max="1" width="3.5" style="1" bestFit="1" customWidth="1"/>
    <col min="2" max="2" width="17.5" style="1" bestFit="1" customWidth="1"/>
    <col min="3" max="3" width="149.83203125" style="1" customWidth="1"/>
    <col min="4" max="16384" width="8.83203125" style="1"/>
  </cols>
  <sheetData>
    <row r="1" spans="1:3" ht="16" customHeight="1" thickBot="1" x14ac:dyDescent="0.2">
      <c r="A1" s="56" t="s">
        <v>81</v>
      </c>
      <c r="B1" s="56"/>
      <c r="C1" s="56"/>
    </row>
    <row r="2" spans="1:3" ht="15" thickBot="1" x14ac:dyDescent="0.2">
      <c r="A2" s="14" t="s">
        <v>3</v>
      </c>
      <c r="B2" s="15" t="s">
        <v>4</v>
      </c>
      <c r="C2" s="16" t="s">
        <v>35</v>
      </c>
    </row>
    <row r="3" spans="1:3" ht="15" x14ac:dyDescent="0.15">
      <c r="A3" s="5">
        <v>1</v>
      </c>
      <c r="B3" s="6" t="s">
        <v>9</v>
      </c>
      <c r="C3" s="17" t="s">
        <v>36</v>
      </c>
    </row>
    <row r="4" spans="1:3" ht="15" x14ac:dyDescent="0.15">
      <c r="A4" s="5">
        <v>2</v>
      </c>
      <c r="B4" s="6" t="s">
        <v>10</v>
      </c>
      <c r="C4" s="18" t="s">
        <v>37</v>
      </c>
    </row>
    <row r="5" spans="1:3" ht="15" x14ac:dyDescent="0.15">
      <c r="A5" s="5">
        <v>3</v>
      </c>
      <c r="B5" s="6" t="s">
        <v>11</v>
      </c>
      <c r="C5" s="18" t="s">
        <v>38</v>
      </c>
    </row>
    <row r="6" spans="1:3" x14ac:dyDescent="0.15">
      <c r="A6" s="5">
        <v>4</v>
      </c>
      <c r="B6" s="6" t="s">
        <v>12</v>
      </c>
      <c r="C6" s="19" t="s">
        <v>39</v>
      </c>
    </row>
    <row r="7" spans="1:3" x14ac:dyDescent="0.15">
      <c r="A7" s="5">
        <v>5</v>
      </c>
      <c r="B7" s="6" t="s">
        <v>13</v>
      </c>
      <c r="C7" s="19" t="s">
        <v>40</v>
      </c>
    </row>
    <row r="8" spans="1:3" x14ac:dyDescent="0.15">
      <c r="A8" s="5">
        <v>6</v>
      </c>
      <c r="B8" s="6" t="s">
        <v>14</v>
      </c>
      <c r="C8" s="20" t="s">
        <v>41</v>
      </c>
    </row>
    <row r="9" spans="1:3" x14ac:dyDescent="0.15">
      <c r="A9" s="5">
        <v>7</v>
      </c>
      <c r="B9" s="6" t="s">
        <v>15</v>
      </c>
      <c r="C9" s="20" t="s">
        <v>42</v>
      </c>
    </row>
    <row r="10" spans="1:3" x14ac:dyDescent="0.15">
      <c r="A10" s="5">
        <v>8</v>
      </c>
      <c r="B10" s="6" t="s">
        <v>16</v>
      </c>
      <c r="C10" s="20" t="s">
        <v>43</v>
      </c>
    </row>
    <row r="11" spans="1:3" x14ac:dyDescent="0.15">
      <c r="A11" s="5">
        <v>9</v>
      </c>
      <c r="B11" s="6" t="s">
        <v>17</v>
      </c>
      <c r="C11" s="20" t="s">
        <v>44</v>
      </c>
    </row>
    <row r="12" spans="1:3" x14ac:dyDescent="0.15">
      <c r="A12" s="5">
        <v>10</v>
      </c>
      <c r="B12" s="6" t="s">
        <v>18</v>
      </c>
      <c r="C12" s="20" t="s">
        <v>45</v>
      </c>
    </row>
    <row r="13" spans="1:3" x14ac:dyDescent="0.15">
      <c r="A13" s="5">
        <v>11</v>
      </c>
      <c r="B13" s="6" t="s">
        <v>19</v>
      </c>
      <c r="C13" s="20" t="s">
        <v>46</v>
      </c>
    </row>
    <row r="14" spans="1:3" x14ac:dyDescent="0.15">
      <c r="A14" s="5">
        <v>12</v>
      </c>
      <c r="B14" s="6" t="s">
        <v>20</v>
      </c>
      <c r="C14" s="20" t="s">
        <v>47</v>
      </c>
    </row>
    <row r="15" spans="1:3" x14ac:dyDescent="0.15">
      <c r="A15" s="5">
        <v>13</v>
      </c>
      <c r="B15" s="6" t="s">
        <v>21</v>
      </c>
      <c r="C15" s="20" t="s">
        <v>48</v>
      </c>
    </row>
    <row r="16" spans="1:3" x14ac:dyDescent="0.15">
      <c r="A16" s="5">
        <v>14</v>
      </c>
      <c r="B16" s="6" t="s">
        <v>22</v>
      </c>
      <c r="C16" s="20" t="s">
        <v>49</v>
      </c>
    </row>
    <row r="17" spans="1:3" x14ac:dyDescent="0.15">
      <c r="A17" s="5">
        <v>15</v>
      </c>
      <c r="B17" s="6" t="s">
        <v>23</v>
      </c>
      <c r="C17" s="20" t="s">
        <v>50</v>
      </c>
    </row>
    <row r="18" spans="1:3" x14ac:dyDescent="0.15">
      <c r="A18" s="5">
        <v>16</v>
      </c>
      <c r="B18" s="6" t="s">
        <v>24</v>
      </c>
      <c r="C18" s="20" t="s">
        <v>51</v>
      </c>
    </row>
    <row r="19" spans="1:3" x14ac:dyDescent="0.15">
      <c r="A19" s="5">
        <v>17</v>
      </c>
      <c r="B19" s="6" t="s">
        <v>25</v>
      </c>
      <c r="C19" s="20" t="s">
        <v>52</v>
      </c>
    </row>
    <row r="20" spans="1:3" x14ac:dyDescent="0.15">
      <c r="A20" s="5">
        <v>18</v>
      </c>
      <c r="B20" s="6" t="s">
        <v>26</v>
      </c>
      <c r="C20" s="20" t="s">
        <v>53</v>
      </c>
    </row>
    <row r="21" spans="1:3" x14ac:dyDescent="0.15">
      <c r="A21" s="5">
        <v>19</v>
      </c>
      <c r="B21" s="6" t="s">
        <v>27</v>
      </c>
      <c r="C21" s="20" t="s">
        <v>54</v>
      </c>
    </row>
    <row r="22" spans="1:3" x14ac:dyDescent="0.15">
      <c r="A22" s="5">
        <v>20</v>
      </c>
      <c r="B22" s="6" t="s">
        <v>28</v>
      </c>
      <c r="C22" s="20" t="s">
        <v>55</v>
      </c>
    </row>
    <row r="23" spans="1:3" x14ac:dyDescent="0.15">
      <c r="A23" s="5">
        <v>21</v>
      </c>
      <c r="B23" s="6" t="s">
        <v>29</v>
      </c>
      <c r="C23" s="20" t="s">
        <v>56</v>
      </c>
    </row>
    <row r="24" spans="1:3" x14ac:dyDescent="0.15">
      <c r="A24" s="5">
        <v>22</v>
      </c>
      <c r="B24" s="6" t="s">
        <v>30</v>
      </c>
      <c r="C24" s="20" t="s">
        <v>57</v>
      </c>
    </row>
    <row r="25" spans="1:3" x14ac:dyDescent="0.15">
      <c r="A25" s="5">
        <v>23</v>
      </c>
      <c r="B25" s="6" t="s">
        <v>31</v>
      </c>
      <c r="C25" s="20" t="s">
        <v>58</v>
      </c>
    </row>
    <row r="26" spans="1:3" x14ac:dyDescent="0.15">
      <c r="A26" s="5">
        <v>24</v>
      </c>
      <c r="B26" s="6" t="s">
        <v>32</v>
      </c>
      <c r="C26" s="20" t="s">
        <v>59</v>
      </c>
    </row>
    <row r="27" spans="1:3" ht="16" thickBot="1" x14ac:dyDescent="0.2">
      <c r="A27" s="21">
        <v>25</v>
      </c>
      <c r="B27" s="22" t="s">
        <v>33</v>
      </c>
      <c r="C27" s="23" t="s">
        <v>36</v>
      </c>
    </row>
  </sheetData>
  <mergeCells count="1">
    <mergeCell ref="A1:C1"/>
  </mergeCells>
  <pageMargins left="0.7" right="0.7" top="0.75" bottom="0.75" header="0.3" footer="0.3"/>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CBE3-31F9-4F4C-910E-133A81041FDE}">
  <dimension ref="A1:Y29"/>
  <sheetViews>
    <sheetView workbookViewId="0">
      <selection activeCell="G38" sqref="G38"/>
    </sheetView>
  </sheetViews>
  <sheetFormatPr baseColWidth="10" defaultRowHeight="16" x14ac:dyDescent="0.2"/>
  <cols>
    <col min="2" max="2" width="17.6640625" bestFit="1" customWidth="1"/>
    <col min="3" max="21" width="5.6640625" bestFit="1" customWidth="1"/>
    <col min="22" max="22" width="6.6640625" bestFit="1" customWidth="1"/>
    <col min="23" max="25" width="5.6640625" bestFit="1" customWidth="1"/>
  </cols>
  <sheetData>
    <row r="1" spans="1:25" ht="17" thickBot="1" x14ac:dyDescent="0.25">
      <c r="A1" s="64" t="s">
        <v>82</v>
      </c>
      <c r="B1" s="64"/>
      <c r="C1" s="64"/>
      <c r="D1" s="64"/>
      <c r="E1" s="64"/>
      <c r="F1" s="64"/>
      <c r="G1" s="64"/>
      <c r="H1" s="64"/>
      <c r="I1" s="64"/>
      <c r="J1" s="64"/>
      <c r="K1" s="64"/>
      <c r="L1" s="64"/>
      <c r="M1" s="64"/>
      <c r="N1" s="64"/>
      <c r="O1" s="64"/>
      <c r="P1" s="64"/>
      <c r="Q1" s="64"/>
      <c r="R1" s="64"/>
      <c r="S1" s="64"/>
      <c r="T1" s="64"/>
      <c r="U1" s="64"/>
      <c r="V1" s="64"/>
      <c r="W1" s="64"/>
      <c r="X1" s="64"/>
      <c r="Y1" s="64"/>
    </row>
    <row r="2" spans="1:25" x14ac:dyDescent="0.2">
      <c r="A2" s="24" t="s">
        <v>60</v>
      </c>
      <c r="B2" s="25" t="s">
        <v>61</v>
      </c>
      <c r="C2" s="26">
        <v>2</v>
      </c>
      <c r="D2" s="27">
        <v>3</v>
      </c>
      <c r="E2" s="27">
        <v>4</v>
      </c>
      <c r="F2" s="27">
        <v>5</v>
      </c>
      <c r="G2" s="27">
        <v>6</v>
      </c>
      <c r="H2" s="27">
        <v>7</v>
      </c>
      <c r="I2" s="27">
        <v>8</v>
      </c>
      <c r="J2" s="27">
        <v>9</v>
      </c>
      <c r="K2" s="27">
        <v>10</v>
      </c>
      <c r="L2" s="27">
        <v>11</v>
      </c>
      <c r="M2" s="27">
        <v>12</v>
      </c>
      <c r="N2" s="27">
        <v>13</v>
      </c>
      <c r="O2" s="27">
        <v>14</v>
      </c>
      <c r="P2" s="27">
        <v>15</v>
      </c>
      <c r="Q2" s="27">
        <v>16</v>
      </c>
      <c r="R2" s="27">
        <v>17</v>
      </c>
      <c r="S2" s="27">
        <v>18</v>
      </c>
      <c r="T2" s="27">
        <v>19</v>
      </c>
      <c r="U2" s="27">
        <v>20</v>
      </c>
      <c r="V2" s="27">
        <v>21</v>
      </c>
      <c r="W2" s="27">
        <v>22</v>
      </c>
      <c r="X2" s="27">
        <v>23</v>
      </c>
      <c r="Y2" s="25">
        <v>24</v>
      </c>
    </row>
    <row r="3" spans="1:25" x14ac:dyDescent="0.2">
      <c r="A3" s="28">
        <v>1</v>
      </c>
      <c r="B3" s="29" t="s">
        <v>9</v>
      </c>
      <c r="C3" s="30">
        <v>0.9</v>
      </c>
      <c r="D3" s="31">
        <v>0.52300000000000002</v>
      </c>
      <c r="E3" s="31">
        <v>0.29599999999999999</v>
      </c>
      <c r="F3" s="31">
        <v>0.28799999999999998</v>
      </c>
      <c r="G3" s="31">
        <v>2.1999999999999999E-2</v>
      </c>
      <c r="H3" s="31">
        <v>5.1999999999999998E-2</v>
      </c>
      <c r="I3" s="31"/>
      <c r="J3" s="31"/>
      <c r="K3" s="31"/>
      <c r="L3" s="31"/>
      <c r="M3" s="31"/>
      <c r="N3" s="31"/>
      <c r="O3" s="31"/>
      <c r="P3" s="31"/>
      <c r="Q3" s="31"/>
      <c r="R3" s="31"/>
      <c r="S3" s="31"/>
      <c r="T3" s="32">
        <v>2.1999999999999999E-2</v>
      </c>
      <c r="U3" s="32"/>
      <c r="V3" s="32"/>
      <c r="W3" s="32"/>
      <c r="X3" s="32"/>
      <c r="Y3" s="33"/>
    </row>
    <row r="4" spans="1:25" x14ac:dyDescent="0.2">
      <c r="A4" s="28">
        <v>2</v>
      </c>
      <c r="B4" s="29" t="s">
        <v>10</v>
      </c>
      <c r="C4" s="30">
        <v>0.05</v>
      </c>
      <c r="D4" s="31">
        <v>0.30499999999999999</v>
      </c>
      <c r="E4" s="31"/>
      <c r="F4" s="31">
        <v>0.115</v>
      </c>
      <c r="G4" s="31">
        <v>0.214</v>
      </c>
      <c r="H4" s="31">
        <v>0.4</v>
      </c>
      <c r="I4" s="31">
        <v>5.0000000000000001E-3</v>
      </c>
      <c r="J4" s="31">
        <v>5.0000000000000001E-3</v>
      </c>
      <c r="K4" s="31">
        <v>0.06</v>
      </c>
      <c r="L4" s="31"/>
      <c r="M4" s="31">
        <v>0.2</v>
      </c>
      <c r="N4" s="31">
        <v>0.15</v>
      </c>
      <c r="O4" s="31"/>
      <c r="P4" s="31"/>
      <c r="Q4" s="31"/>
      <c r="R4" s="31"/>
      <c r="S4" s="31">
        <v>0.14799999999999999</v>
      </c>
      <c r="T4" s="32">
        <v>0.38800000000000001</v>
      </c>
      <c r="U4" s="32">
        <v>0.15</v>
      </c>
      <c r="V4" s="32"/>
      <c r="W4" s="32">
        <v>5.0999999999999997E-2</v>
      </c>
      <c r="X4" s="32"/>
      <c r="Y4" s="33">
        <v>0.05</v>
      </c>
    </row>
    <row r="5" spans="1:25" x14ac:dyDescent="0.2">
      <c r="A5" s="28">
        <v>3</v>
      </c>
      <c r="B5" s="29" t="s">
        <v>11</v>
      </c>
      <c r="C5" s="30"/>
      <c r="D5" s="31">
        <v>0.05</v>
      </c>
      <c r="E5" s="31"/>
      <c r="F5" s="31"/>
      <c r="G5" s="31">
        <v>3.9E-2</v>
      </c>
      <c r="H5" s="31">
        <v>0.22900000000000001</v>
      </c>
      <c r="I5" s="31">
        <v>3.0000000000000001E-3</v>
      </c>
      <c r="J5" s="31">
        <v>6.0000000000000001E-3</v>
      </c>
      <c r="K5" s="31">
        <v>0.2</v>
      </c>
      <c r="L5" s="31">
        <v>1E-3</v>
      </c>
      <c r="M5" s="31">
        <v>0.15</v>
      </c>
      <c r="N5" s="31">
        <v>7.0000000000000007E-2</v>
      </c>
      <c r="O5" s="31">
        <v>1.9E-2</v>
      </c>
      <c r="P5" s="31">
        <v>8.0000000000000002E-3</v>
      </c>
      <c r="Q5" s="31"/>
      <c r="R5" s="31">
        <v>1E-3</v>
      </c>
      <c r="S5" s="31">
        <v>0.755</v>
      </c>
      <c r="T5" s="32">
        <v>0.44</v>
      </c>
      <c r="U5" s="32">
        <v>0.35</v>
      </c>
      <c r="V5" s="32">
        <v>2E-3</v>
      </c>
      <c r="W5" s="32">
        <v>6.6000000000000003E-2</v>
      </c>
      <c r="X5" s="32"/>
      <c r="Y5" s="33">
        <v>0.08</v>
      </c>
    </row>
    <row r="6" spans="1:25" x14ac:dyDescent="0.2">
      <c r="A6" s="28">
        <v>4</v>
      </c>
      <c r="B6" s="29" t="s">
        <v>12</v>
      </c>
      <c r="C6" s="30"/>
      <c r="D6" s="31"/>
      <c r="E6" s="31">
        <v>1E-3</v>
      </c>
      <c r="F6" s="31">
        <v>0.34499999999999997</v>
      </c>
      <c r="G6" s="31">
        <v>0.217</v>
      </c>
      <c r="H6" s="31">
        <v>2.1999999999999999E-2</v>
      </c>
      <c r="I6" s="31">
        <v>0.33800000000000002</v>
      </c>
      <c r="J6" s="31">
        <v>0.184</v>
      </c>
      <c r="K6" s="31">
        <v>5.0000000000000001E-3</v>
      </c>
      <c r="L6" s="31">
        <v>3.0000000000000001E-3</v>
      </c>
      <c r="M6" s="31">
        <v>5.5E-2</v>
      </c>
      <c r="N6" s="31">
        <v>6.0000000000000001E-3</v>
      </c>
      <c r="O6" s="31"/>
      <c r="P6" s="31">
        <v>2E-3</v>
      </c>
      <c r="Q6" s="31"/>
      <c r="R6" s="31">
        <v>0.04</v>
      </c>
      <c r="S6" s="31"/>
      <c r="T6" s="32">
        <v>4.7E-2</v>
      </c>
      <c r="U6" s="32"/>
      <c r="V6" s="32">
        <v>5.8999999999999997E-2</v>
      </c>
      <c r="W6" s="32"/>
      <c r="X6" s="32"/>
      <c r="Y6" s="33"/>
    </row>
    <row r="7" spans="1:25" x14ac:dyDescent="0.2">
      <c r="A7" s="28">
        <v>5</v>
      </c>
      <c r="B7" s="29" t="s">
        <v>13</v>
      </c>
      <c r="C7" s="30"/>
      <c r="D7" s="31"/>
      <c r="E7" s="31"/>
      <c r="F7" s="31">
        <v>5.0000000000000001E-3</v>
      </c>
      <c r="G7" s="31">
        <v>0.27</v>
      </c>
      <c r="H7" s="31">
        <v>0.20300000000000001</v>
      </c>
      <c r="I7" s="31">
        <v>0.40500000000000003</v>
      </c>
      <c r="J7" s="31">
        <v>0.27200000000000002</v>
      </c>
      <c r="K7" s="31">
        <v>0.1</v>
      </c>
      <c r="L7" s="31">
        <v>0.27300000000000002</v>
      </c>
      <c r="M7" s="31">
        <v>0.4</v>
      </c>
      <c r="N7" s="31">
        <v>7.0000000000000001E-3</v>
      </c>
      <c r="O7" s="31">
        <v>1E-3</v>
      </c>
      <c r="P7" s="31">
        <v>0.1</v>
      </c>
      <c r="Q7" s="31">
        <v>1E-3</v>
      </c>
      <c r="R7" s="31">
        <v>0.35</v>
      </c>
      <c r="S7" s="31">
        <v>4.7E-2</v>
      </c>
      <c r="T7" s="32">
        <v>0.09</v>
      </c>
      <c r="U7" s="32">
        <v>0.13</v>
      </c>
      <c r="V7" s="32">
        <v>0.192</v>
      </c>
      <c r="W7" s="32"/>
      <c r="X7" s="32"/>
      <c r="Y7" s="33"/>
    </row>
    <row r="8" spans="1:25" x14ac:dyDescent="0.2">
      <c r="A8" s="28">
        <v>6</v>
      </c>
      <c r="B8" s="29" t="s">
        <v>14</v>
      </c>
      <c r="C8" s="30"/>
      <c r="D8" s="31"/>
      <c r="E8" s="31"/>
      <c r="F8" s="31"/>
      <c r="G8" s="31">
        <v>2.5000000000000001E-2</v>
      </c>
      <c r="H8" s="31">
        <v>0.03</v>
      </c>
      <c r="I8" s="31">
        <v>0.106</v>
      </c>
      <c r="J8" s="31">
        <v>0.25600000000000001</v>
      </c>
      <c r="K8" s="31">
        <v>0.17299999999999999</v>
      </c>
      <c r="L8" s="31">
        <v>6.6000000000000003E-2</v>
      </c>
      <c r="M8" s="31">
        <v>0.04</v>
      </c>
      <c r="N8" s="31">
        <v>0.14000000000000001</v>
      </c>
      <c r="O8" s="31"/>
      <c r="P8" s="31">
        <v>0.31</v>
      </c>
      <c r="Q8" s="31"/>
      <c r="R8" s="31">
        <v>2.0000000000000001E-4</v>
      </c>
      <c r="S8" s="31"/>
      <c r="T8" s="32">
        <v>0.01</v>
      </c>
      <c r="U8" s="32"/>
      <c r="V8" s="32">
        <v>0.19600000000000001</v>
      </c>
      <c r="W8" s="31">
        <v>4.0000000000000002E-4</v>
      </c>
      <c r="X8" s="32">
        <v>3.0000000000000001E-3</v>
      </c>
      <c r="Y8" s="33"/>
    </row>
    <row r="9" spans="1:25" x14ac:dyDescent="0.2">
      <c r="A9" s="28">
        <v>7</v>
      </c>
      <c r="B9" s="29" t="s">
        <v>15</v>
      </c>
      <c r="C9" s="30"/>
      <c r="D9" s="31"/>
      <c r="E9" s="31"/>
      <c r="F9" s="31"/>
      <c r="G9" s="31">
        <v>1E-4</v>
      </c>
      <c r="H9" s="31">
        <v>5.0000000000000001E-3</v>
      </c>
      <c r="I9" s="31">
        <v>2E-3</v>
      </c>
      <c r="J9" s="31">
        <v>8.0000000000000002E-3</v>
      </c>
      <c r="K9" s="31">
        <v>0.01</v>
      </c>
      <c r="L9" s="31">
        <v>2.5999999999999999E-2</v>
      </c>
      <c r="M9" s="31">
        <v>2E-3</v>
      </c>
      <c r="N9" s="31">
        <v>4.0000000000000001E-3</v>
      </c>
      <c r="O9" s="31">
        <v>1E-3</v>
      </c>
      <c r="P9" s="31">
        <v>8.9999999999999993E-3</v>
      </c>
      <c r="Q9" s="31">
        <v>0.02</v>
      </c>
      <c r="R9" s="31"/>
      <c r="S9" s="31"/>
      <c r="T9" s="32"/>
      <c r="U9" s="32"/>
      <c r="V9" s="32">
        <v>4.0000000000000001E-3</v>
      </c>
      <c r="W9" s="32"/>
      <c r="X9" s="32">
        <v>6.0000000000000001E-3</v>
      </c>
      <c r="Y9" s="33">
        <v>4.7E-2</v>
      </c>
    </row>
    <row r="10" spans="1:25" x14ac:dyDescent="0.2">
      <c r="A10" s="28">
        <v>8</v>
      </c>
      <c r="B10" s="29" t="s">
        <v>62</v>
      </c>
      <c r="C10" s="30"/>
      <c r="D10" s="31"/>
      <c r="E10" s="31"/>
      <c r="F10" s="31"/>
      <c r="G10" s="31"/>
      <c r="H10" s="31">
        <v>0.02</v>
      </c>
      <c r="I10" s="31"/>
      <c r="J10" s="31">
        <v>0.01</v>
      </c>
      <c r="K10" s="31">
        <v>0.06</v>
      </c>
      <c r="L10" s="31">
        <v>8.0000000000000002E-3</v>
      </c>
      <c r="M10" s="31">
        <v>0.05</v>
      </c>
      <c r="N10" s="31">
        <v>0.02</v>
      </c>
      <c r="O10" s="31">
        <v>2E-3</v>
      </c>
      <c r="P10" s="31">
        <v>1.4999999999999999E-2</v>
      </c>
      <c r="Q10" s="31">
        <v>0.09</v>
      </c>
      <c r="R10" s="31">
        <v>8.0000000000000002E-3</v>
      </c>
      <c r="S10" s="31"/>
      <c r="T10" s="32"/>
      <c r="U10" s="32"/>
      <c r="V10" s="32">
        <v>3.3000000000000002E-2</v>
      </c>
      <c r="W10" s="32"/>
      <c r="X10" s="32">
        <v>2.9000000000000001E-2</v>
      </c>
      <c r="Y10" s="33"/>
    </row>
    <row r="11" spans="1:25" x14ac:dyDescent="0.2">
      <c r="A11" s="28">
        <v>9</v>
      </c>
      <c r="B11" s="29" t="s">
        <v>17</v>
      </c>
      <c r="C11" s="30"/>
      <c r="D11" s="31"/>
      <c r="E11" s="31"/>
      <c r="F11" s="34"/>
      <c r="G11" s="34"/>
      <c r="H11" s="34">
        <v>9.0000000000000006E-5</v>
      </c>
      <c r="I11" s="34">
        <v>5.0000000000000001E-4</v>
      </c>
      <c r="J11" s="34"/>
      <c r="K11" s="34">
        <v>1E-3</v>
      </c>
      <c r="L11" s="34"/>
      <c r="M11" s="34"/>
      <c r="N11" s="34">
        <v>6.9999999999999999E-4</v>
      </c>
      <c r="O11" s="34"/>
      <c r="P11" s="34"/>
      <c r="Q11" s="34"/>
      <c r="R11" s="34"/>
      <c r="S11" s="34"/>
      <c r="T11" s="35"/>
      <c r="U11" s="35"/>
      <c r="V11" s="35"/>
      <c r="W11" s="35"/>
      <c r="X11" s="35">
        <v>1E-3</v>
      </c>
      <c r="Y11" s="36"/>
    </row>
    <row r="12" spans="1:25" x14ac:dyDescent="0.2">
      <c r="A12" s="28">
        <v>10</v>
      </c>
      <c r="B12" s="29" t="s">
        <v>18</v>
      </c>
      <c r="C12" s="30"/>
      <c r="D12" s="31"/>
      <c r="E12" s="31"/>
      <c r="F12" s="34"/>
      <c r="G12" s="34"/>
      <c r="H12" s="34"/>
      <c r="I12" s="34"/>
      <c r="J12" s="34"/>
      <c r="K12" s="34">
        <v>4.0000000000000002E-4</v>
      </c>
      <c r="L12" s="34">
        <v>0.127</v>
      </c>
      <c r="M12" s="34"/>
      <c r="N12" s="34"/>
      <c r="O12" s="34"/>
      <c r="P12" s="34">
        <v>0.04</v>
      </c>
      <c r="Q12" s="34">
        <v>0.13800000000000001</v>
      </c>
      <c r="R12" s="34"/>
      <c r="S12" s="34"/>
      <c r="T12" s="35"/>
      <c r="U12" s="35"/>
      <c r="V12" s="35">
        <v>1.6E-2</v>
      </c>
      <c r="W12" s="35">
        <v>1.4E-2</v>
      </c>
      <c r="X12" s="35">
        <v>0.20699999999999999</v>
      </c>
      <c r="Y12" s="36">
        <v>0.01</v>
      </c>
    </row>
    <row r="13" spans="1:25" x14ac:dyDescent="0.2">
      <c r="A13" s="28">
        <v>11</v>
      </c>
      <c r="B13" s="29" t="s">
        <v>19</v>
      </c>
      <c r="C13" s="30"/>
      <c r="D13" s="31"/>
      <c r="E13" s="31"/>
      <c r="F13" s="34"/>
      <c r="G13" s="34"/>
      <c r="H13" s="34"/>
      <c r="I13" s="34"/>
      <c r="J13" s="34"/>
      <c r="K13" s="34"/>
      <c r="L13" s="34"/>
      <c r="M13" s="34"/>
      <c r="N13" s="34"/>
      <c r="O13" s="34"/>
      <c r="P13" s="34"/>
      <c r="Q13" s="34"/>
      <c r="R13" s="34"/>
      <c r="S13" s="34"/>
      <c r="T13" s="35"/>
      <c r="U13" s="35"/>
      <c r="V13" s="35">
        <v>3.0000000000000001E-3</v>
      </c>
      <c r="W13" s="35"/>
      <c r="X13" s="35">
        <v>8.0000000000000002E-3</v>
      </c>
      <c r="Y13" s="36">
        <v>1E-3</v>
      </c>
    </row>
    <row r="14" spans="1:25" x14ac:dyDescent="0.2">
      <c r="A14" s="28">
        <v>12</v>
      </c>
      <c r="B14" s="29" t="s">
        <v>20</v>
      </c>
      <c r="C14" s="30"/>
      <c r="D14" s="31"/>
      <c r="E14" s="31"/>
      <c r="F14" s="34"/>
      <c r="G14" s="34"/>
      <c r="H14" s="34"/>
      <c r="I14" s="34"/>
      <c r="J14" s="34"/>
      <c r="K14" s="34">
        <v>0.05</v>
      </c>
      <c r="L14" s="34"/>
      <c r="M14" s="34">
        <v>1E-3</v>
      </c>
      <c r="N14" s="34">
        <v>3.0000000000000001E-3</v>
      </c>
      <c r="O14" s="34"/>
      <c r="P14" s="34">
        <v>5.0000000000000001E-3</v>
      </c>
      <c r="Q14" s="34">
        <v>5.1999999999999998E-2</v>
      </c>
      <c r="R14" s="34">
        <v>2E-3</v>
      </c>
      <c r="S14" s="34"/>
      <c r="T14" s="35"/>
      <c r="U14" s="35">
        <v>1.4999999999999999E-2</v>
      </c>
      <c r="V14" s="35"/>
      <c r="W14" s="35">
        <v>2.5000000000000001E-2</v>
      </c>
      <c r="X14" s="35">
        <v>3.0000000000000001E-3</v>
      </c>
      <c r="Y14" s="36">
        <v>5.2999999999999999E-2</v>
      </c>
    </row>
    <row r="15" spans="1:25" x14ac:dyDescent="0.2">
      <c r="A15" s="28">
        <v>13</v>
      </c>
      <c r="B15" s="29" t="s">
        <v>21</v>
      </c>
      <c r="C15" s="30"/>
      <c r="D15" s="31"/>
      <c r="E15" s="31"/>
      <c r="F15" s="34"/>
      <c r="G15" s="34"/>
      <c r="H15" s="34"/>
      <c r="I15" s="34"/>
      <c r="J15" s="34"/>
      <c r="K15" s="34">
        <v>7.0000000000000001E-3</v>
      </c>
      <c r="L15" s="34"/>
      <c r="M15" s="34">
        <v>2E-3</v>
      </c>
      <c r="N15" s="34">
        <v>6.0000000000000001E-3</v>
      </c>
      <c r="O15" s="34">
        <v>2.1999999999999999E-2</v>
      </c>
      <c r="P15" s="34">
        <v>1E-3</v>
      </c>
      <c r="Q15" s="34">
        <v>1.0999999999999999E-2</v>
      </c>
      <c r="R15" s="34"/>
      <c r="S15" s="34"/>
      <c r="T15" s="34">
        <v>2.0000000000000001E-4</v>
      </c>
      <c r="U15" s="35"/>
      <c r="V15" s="35">
        <v>2E-3</v>
      </c>
      <c r="W15" s="35">
        <v>1.4E-2</v>
      </c>
      <c r="X15" s="35">
        <v>3.5000000000000003E-2</v>
      </c>
      <c r="Y15" s="36">
        <v>0.1</v>
      </c>
    </row>
    <row r="16" spans="1:25" x14ac:dyDescent="0.2">
      <c r="A16" s="28">
        <v>14</v>
      </c>
      <c r="B16" s="29" t="s">
        <v>22</v>
      </c>
      <c r="C16" s="30"/>
      <c r="D16" s="31"/>
      <c r="E16" s="31"/>
      <c r="F16" s="34"/>
      <c r="G16" s="34"/>
      <c r="H16" s="34"/>
      <c r="I16" s="34"/>
      <c r="J16" s="34"/>
      <c r="K16" s="34">
        <v>8.9999999999999998E-4</v>
      </c>
      <c r="L16" s="34"/>
      <c r="M16" s="34"/>
      <c r="N16" s="34"/>
      <c r="O16" s="34">
        <v>1E-3</v>
      </c>
      <c r="P16" s="34"/>
      <c r="Q16" s="34"/>
      <c r="R16" s="34"/>
      <c r="S16" s="34"/>
      <c r="T16" s="35"/>
      <c r="U16" s="35"/>
      <c r="V16" s="35">
        <v>2E-3</v>
      </c>
      <c r="W16" s="35"/>
      <c r="X16" s="35">
        <v>1E-3</v>
      </c>
      <c r="Y16" s="36">
        <v>2E-3</v>
      </c>
    </row>
    <row r="17" spans="1:25" x14ac:dyDescent="0.2">
      <c r="A17" s="28">
        <v>15</v>
      </c>
      <c r="B17" s="29" t="s">
        <v>23</v>
      </c>
      <c r="C17" s="30"/>
      <c r="D17" s="31"/>
      <c r="E17" s="31"/>
      <c r="F17" s="34"/>
      <c r="G17" s="34"/>
      <c r="H17" s="34"/>
      <c r="I17" s="34"/>
      <c r="J17" s="34"/>
      <c r="K17" s="34"/>
      <c r="L17" s="34">
        <v>0.153</v>
      </c>
      <c r="M17" s="34"/>
      <c r="N17" s="34">
        <v>6.0000000000000001E-3</v>
      </c>
      <c r="O17" s="34"/>
      <c r="P17" s="34"/>
      <c r="Q17" s="34">
        <v>8.9999999999999993E-3</v>
      </c>
      <c r="R17" s="34"/>
      <c r="S17" s="34"/>
      <c r="T17" s="35"/>
      <c r="U17" s="35"/>
      <c r="V17" s="35"/>
      <c r="W17" s="35">
        <v>1.4E-2</v>
      </c>
      <c r="X17" s="35">
        <v>0.309</v>
      </c>
      <c r="Y17" s="36">
        <v>0.12</v>
      </c>
    </row>
    <row r="18" spans="1:25" x14ac:dyDescent="0.2">
      <c r="A18" s="28">
        <v>16</v>
      </c>
      <c r="B18" s="29" t="s">
        <v>24</v>
      </c>
      <c r="C18" s="30"/>
      <c r="D18" s="31"/>
      <c r="E18" s="31"/>
      <c r="F18" s="34"/>
      <c r="G18" s="34"/>
      <c r="H18" s="34"/>
      <c r="I18" s="34"/>
      <c r="J18" s="34"/>
      <c r="K18" s="34"/>
      <c r="L18" s="34"/>
      <c r="M18" s="34"/>
      <c r="N18" s="34"/>
      <c r="O18" s="34"/>
      <c r="P18" s="34"/>
      <c r="Q18" s="34"/>
      <c r="R18" s="34"/>
      <c r="S18" s="34"/>
      <c r="T18" s="35"/>
      <c r="U18" s="35"/>
      <c r="V18" s="34">
        <v>5.0000000000000001E-4</v>
      </c>
      <c r="W18" s="35"/>
      <c r="X18" s="35">
        <v>0.01</v>
      </c>
      <c r="Y18" s="36"/>
    </row>
    <row r="19" spans="1:25" x14ac:dyDescent="0.2">
      <c r="A19" s="28">
        <v>17</v>
      </c>
      <c r="B19" s="29" t="s">
        <v>25</v>
      </c>
      <c r="C19" s="30"/>
      <c r="D19" s="31"/>
      <c r="E19" s="31"/>
      <c r="F19" s="34"/>
      <c r="G19" s="34"/>
      <c r="H19" s="34"/>
      <c r="I19" s="34"/>
      <c r="J19" s="34"/>
      <c r="K19" s="34">
        <v>6.0000000000000001E-3</v>
      </c>
      <c r="L19" s="34">
        <v>5.5E-2</v>
      </c>
      <c r="M19" s="34">
        <v>1E-4</v>
      </c>
      <c r="N19" s="34"/>
      <c r="O19" s="34">
        <v>2E-3</v>
      </c>
      <c r="P19" s="34">
        <v>1E-4</v>
      </c>
      <c r="Q19" s="34">
        <v>5.0000000000000001E-3</v>
      </c>
      <c r="R19" s="34">
        <v>1.2E-2</v>
      </c>
      <c r="S19" s="34"/>
      <c r="T19" s="35"/>
      <c r="U19" s="35"/>
      <c r="V19" s="35">
        <v>7.0000000000000001E-3</v>
      </c>
      <c r="W19" s="35">
        <v>8.9999999999999993E-3</v>
      </c>
      <c r="X19" s="35">
        <v>5.6000000000000001E-2</v>
      </c>
      <c r="Y19" s="36">
        <v>7.0000000000000001E-3</v>
      </c>
    </row>
    <row r="20" spans="1:25" x14ac:dyDescent="0.2">
      <c r="A20" s="28">
        <v>18</v>
      </c>
      <c r="B20" s="29" t="s">
        <v>26</v>
      </c>
      <c r="C20" s="30"/>
      <c r="D20" s="31"/>
      <c r="E20" s="31"/>
      <c r="F20" s="34"/>
      <c r="G20" s="34"/>
      <c r="H20" s="34">
        <v>0.01</v>
      </c>
      <c r="I20" s="34"/>
      <c r="J20" s="34"/>
      <c r="K20" s="34">
        <v>2.4E-2</v>
      </c>
      <c r="L20" s="34">
        <v>0.158</v>
      </c>
      <c r="M20" s="34"/>
      <c r="N20" s="34">
        <v>0.123</v>
      </c>
      <c r="O20" s="34">
        <v>1.7000000000000001E-2</v>
      </c>
      <c r="P20" s="34">
        <v>0.15</v>
      </c>
      <c r="Q20" s="34">
        <v>0.23</v>
      </c>
      <c r="R20" s="34">
        <v>0.2</v>
      </c>
      <c r="S20" s="34"/>
      <c r="T20" s="35"/>
      <c r="U20" s="34">
        <v>5.5E-2</v>
      </c>
      <c r="V20" s="35">
        <v>0.03</v>
      </c>
      <c r="W20" s="35">
        <v>3.5999999999999997E-2</v>
      </c>
      <c r="X20" s="35">
        <v>2.1000000000000001E-2</v>
      </c>
      <c r="Y20" s="36">
        <v>0.05</v>
      </c>
    </row>
    <row r="21" spans="1:25" x14ac:dyDescent="0.2">
      <c r="A21" s="28">
        <v>19</v>
      </c>
      <c r="B21" s="29" t="s">
        <v>27</v>
      </c>
      <c r="C21" s="37"/>
      <c r="D21" s="32"/>
      <c r="E21" s="32"/>
      <c r="F21" s="34"/>
      <c r="G21" s="34"/>
      <c r="H21" s="34">
        <v>2.9000000000000001E-2</v>
      </c>
      <c r="I21" s="35">
        <v>8.5000000000000006E-2</v>
      </c>
      <c r="J21" s="34">
        <v>0.17899999999999999</v>
      </c>
      <c r="K21" s="34">
        <v>0.3</v>
      </c>
      <c r="L21" s="34">
        <v>2.1999999999999999E-2</v>
      </c>
      <c r="M21" s="34">
        <v>0.1</v>
      </c>
      <c r="N21" s="34">
        <v>0.4</v>
      </c>
      <c r="O21" s="35">
        <v>9.4E-2</v>
      </c>
      <c r="P21" s="34">
        <v>0.3</v>
      </c>
      <c r="Q21" s="34">
        <v>0.1</v>
      </c>
      <c r="R21" s="34">
        <v>0.20599999999999999</v>
      </c>
      <c r="S21" s="35">
        <v>0.05</v>
      </c>
      <c r="T21" s="35">
        <v>3.0000000000000001E-3</v>
      </c>
      <c r="U21" s="35">
        <v>0.3</v>
      </c>
      <c r="V21" s="35">
        <v>0.28000000000000003</v>
      </c>
      <c r="W21" s="35">
        <v>0.53100000000000003</v>
      </c>
      <c r="X21" s="35">
        <v>0.27900000000000003</v>
      </c>
      <c r="Y21" s="36">
        <v>0.4</v>
      </c>
    </row>
    <row r="22" spans="1:25" x14ac:dyDescent="0.2">
      <c r="A22" s="28">
        <v>20</v>
      </c>
      <c r="B22" s="29" t="s">
        <v>63</v>
      </c>
      <c r="C22" s="37"/>
      <c r="D22" s="32"/>
      <c r="E22" s="32"/>
      <c r="F22" s="35"/>
      <c r="G22" s="35"/>
      <c r="H22" s="35"/>
      <c r="I22" s="35">
        <v>1.4E-2</v>
      </c>
      <c r="J22" s="35"/>
      <c r="K22" s="35">
        <v>2E-3</v>
      </c>
      <c r="L22" s="35">
        <v>0.108</v>
      </c>
      <c r="M22" s="35"/>
      <c r="N22" s="35">
        <v>6.4000000000000001E-2</v>
      </c>
      <c r="O22" s="35">
        <v>0.84099999999999997</v>
      </c>
      <c r="P22" s="35">
        <v>0.03</v>
      </c>
      <c r="Q22" s="35">
        <v>0.33700000000000002</v>
      </c>
      <c r="R22" s="35">
        <v>0.12</v>
      </c>
      <c r="S22" s="35"/>
      <c r="T22" s="35"/>
      <c r="U22" s="35"/>
      <c r="V22" s="35">
        <v>4.9000000000000002E-2</v>
      </c>
      <c r="W22" s="35">
        <v>0.03</v>
      </c>
      <c r="X22" s="35"/>
      <c r="Y22" s="36">
        <v>0.05</v>
      </c>
    </row>
    <row r="23" spans="1:25" x14ac:dyDescent="0.2">
      <c r="A23" s="28">
        <v>21</v>
      </c>
      <c r="B23" s="29" t="s">
        <v>64</v>
      </c>
      <c r="C23" s="37"/>
      <c r="D23" s="32"/>
      <c r="E23" s="32"/>
      <c r="F23" s="35"/>
      <c r="G23" s="35"/>
      <c r="H23" s="35"/>
      <c r="I23" s="35"/>
      <c r="J23" s="35"/>
      <c r="K23" s="34">
        <v>5.9999999999999995E-4</v>
      </c>
      <c r="L23" s="35"/>
      <c r="M23" s="35"/>
      <c r="N23" s="35"/>
      <c r="O23" s="35"/>
      <c r="P23" s="35"/>
      <c r="Q23" s="35">
        <v>7.0000000000000001E-3</v>
      </c>
      <c r="R23" s="35"/>
      <c r="S23" s="35"/>
      <c r="T23" s="35"/>
      <c r="U23" s="35"/>
      <c r="V23" s="35">
        <v>1.4E-2</v>
      </c>
      <c r="W23" s="35"/>
      <c r="X23" s="35">
        <v>0.02</v>
      </c>
      <c r="Y23" s="36">
        <v>0.03</v>
      </c>
    </row>
    <row r="24" spans="1:25" x14ac:dyDescent="0.2">
      <c r="A24" s="28">
        <v>22</v>
      </c>
      <c r="B24" s="29" t="s">
        <v>30</v>
      </c>
      <c r="C24" s="37"/>
      <c r="D24" s="32"/>
      <c r="E24" s="32"/>
      <c r="F24" s="35"/>
      <c r="G24" s="35"/>
      <c r="H24" s="35"/>
      <c r="I24" s="35"/>
      <c r="J24" s="35"/>
      <c r="K24" s="35"/>
      <c r="L24" s="35"/>
      <c r="M24" s="35"/>
      <c r="N24" s="35"/>
      <c r="O24" s="35"/>
      <c r="P24" s="35"/>
      <c r="Q24" s="35"/>
      <c r="R24" s="35"/>
      <c r="S24" s="35"/>
      <c r="T24" s="35"/>
      <c r="U24" s="35"/>
      <c r="V24" s="35"/>
      <c r="W24" s="35">
        <v>2.0000000000000001E-4</v>
      </c>
      <c r="X24" s="35"/>
      <c r="Y24" s="36"/>
    </row>
    <row r="25" spans="1:25" x14ac:dyDescent="0.2">
      <c r="A25" s="28">
        <v>23</v>
      </c>
      <c r="B25" s="29" t="s">
        <v>31</v>
      </c>
      <c r="C25" s="37"/>
      <c r="D25" s="32"/>
      <c r="E25" s="32"/>
      <c r="F25" s="35"/>
      <c r="G25" s="35"/>
      <c r="H25" s="35"/>
      <c r="I25" s="35"/>
      <c r="J25" s="35"/>
      <c r="K25" s="35"/>
      <c r="L25" s="35"/>
      <c r="M25" s="35"/>
      <c r="N25" s="35"/>
      <c r="O25" s="35"/>
      <c r="P25" s="35"/>
      <c r="Q25" s="35"/>
      <c r="R25" s="35"/>
      <c r="S25" s="35"/>
      <c r="T25" s="35"/>
      <c r="U25" s="35"/>
      <c r="V25" s="35"/>
      <c r="W25" s="35"/>
      <c r="X25" s="35"/>
      <c r="Y25" s="36"/>
    </row>
    <row r="26" spans="1:25" x14ac:dyDescent="0.2">
      <c r="A26" s="28">
        <v>24</v>
      </c>
      <c r="B26" s="29" t="s">
        <v>32</v>
      </c>
      <c r="C26" s="37"/>
      <c r="D26" s="32"/>
      <c r="E26" s="32"/>
      <c r="F26" s="32"/>
      <c r="G26" s="32"/>
      <c r="H26" s="32"/>
      <c r="I26" s="32"/>
      <c r="J26" s="32"/>
      <c r="K26" s="32"/>
      <c r="L26" s="32"/>
      <c r="M26" s="32"/>
      <c r="N26" s="32"/>
      <c r="O26" s="32"/>
      <c r="P26" s="32"/>
      <c r="Q26" s="32"/>
      <c r="R26" s="32"/>
      <c r="S26" s="32"/>
      <c r="T26" s="32"/>
      <c r="U26" s="32"/>
      <c r="V26" s="32"/>
      <c r="W26" s="32"/>
      <c r="X26" s="32"/>
      <c r="Y26" s="33"/>
    </row>
    <row r="27" spans="1:25" ht="17" thickBot="1" x14ac:dyDescent="0.25">
      <c r="A27" s="38">
        <v>25</v>
      </c>
      <c r="B27" s="39" t="s">
        <v>33</v>
      </c>
      <c r="C27" s="40">
        <v>0.05</v>
      </c>
      <c r="D27" s="41">
        <v>0.122</v>
      </c>
      <c r="E27" s="41">
        <v>0.70299999999999996</v>
      </c>
      <c r="F27" s="41">
        <v>0.247</v>
      </c>
      <c r="G27" s="41">
        <v>0.21299999999999999</v>
      </c>
      <c r="H27" s="41"/>
      <c r="I27" s="41">
        <v>4.2000000000000003E-2</v>
      </c>
      <c r="J27" s="41">
        <v>0.08</v>
      </c>
      <c r="K27" s="41"/>
      <c r="L27" s="41"/>
      <c r="M27" s="41"/>
      <c r="N27" s="41"/>
      <c r="O27" s="41"/>
      <c r="P27" s="41">
        <v>0.03</v>
      </c>
      <c r="Q27" s="41"/>
      <c r="R27" s="41">
        <v>6.0999999999999999E-2</v>
      </c>
      <c r="S27" s="41"/>
      <c r="T27" s="41"/>
      <c r="U27" s="41"/>
      <c r="V27" s="41">
        <v>0.11049999999999993</v>
      </c>
      <c r="W27" s="41">
        <v>0.20899999999999999</v>
      </c>
      <c r="X27" s="41">
        <v>1.2E-2</v>
      </c>
      <c r="Y27" s="42"/>
    </row>
    <row r="28" spans="1:25" x14ac:dyDescent="0.2">
      <c r="A28" s="65" t="s">
        <v>65</v>
      </c>
      <c r="B28" s="66"/>
      <c r="C28" s="43">
        <f t="shared" ref="C28:Y28" si="0">SUM(C3:C27)</f>
        <v>1</v>
      </c>
      <c r="D28" s="43">
        <f t="shared" si="0"/>
        <v>1</v>
      </c>
      <c r="E28" s="43">
        <f t="shared" si="0"/>
        <v>1</v>
      </c>
      <c r="F28" s="43">
        <f t="shared" si="0"/>
        <v>1</v>
      </c>
      <c r="G28" s="43">
        <f t="shared" si="0"/>
        <v>1.0001</v>
      </c>
      <c r="H28" s="43">
        <f t="shared" si="0"/>
        <v>1.0000900000000001</v>
      </c>
      <c r="I28" s="43">
        <f t="shared" si="0"/>
        <v>1.0004999999999999</v>
      </c>
      <c r="J28" s="43">
        <f t="shared" si="0"/>
        <v>1.0000000000000002</v>
      </c>
      <c r="K28" s="43">
        <f t="shared" si="0"/>
        <v>0.99990000000000012</v>
      </c>
      <c r="L28" s="43">
        <f t="shared" si="0"/>
        <v>1.0000000000000002</v>
      </c>
      <c r="M28" s="43">
        <f t="shared" si="0"/>
        <v>1.0001</v>
      </c>
      <c r="N28" s="43">
        <f t="shared" si="0"/>
        <v>0.99970000000000003</v>
      </c>
      <c r="O28" s="43">
        <f t="shared" si="0"/>
        <v>1</v>
      </c>
      <c r="P28" s="43">
        <f t="shared" si="0"/>
        <v>1.0001</v>
      </c>
      <c r="Q28" s="43">
        <f t="shared" si="0"/>
        <v>1</v>
      </c>
      <c r="R28" s="43">
        <f t="shared" si="0"/>
        <v>1.0002</v>
      </c>
      <c r="S28" s="43">
        <f t="shared" si="0"/>
        <v>1</v>
      </c>
      <c r="T28" s="43">
        <f t="shared" si="0"/>
        <v>1.0002</v>
      </c>
      <c r="U28" s="43">
        <f t="shared" si="0"/>
        <v>1</v>
      </c>
      <c r="V28" s="43">
        <f t="shared" si="0"/>
        <v>1</v>
      </c>
      <c r="W28" s="43">
        <f t="shared" si="0"/>
        <v>0.99960000000000004</v>
      </c>
      <c r="X28" s="43">
        <f t="shared" si="0"/>
        <v>1.0000000000000002</v>
      </c>
      <c r="Y28" s="44">
        <f t="shared" si="0"/>
        <v>1</v>
      </c>
    </row>
    <row r="29" spans="1:25" ht="17" thickBot="1" x14ac:dyDescent="0.25">
      <c r="A29" s="67" t="s">
        <v>66</v>
      </c>
      <c r="B29" s="68"/>
      <c r="C29" s="45">
        <f>1-C28</f>
        <v>0</v>
      </c>
      <c r="D29" s="45">
        <f t="shared" ref="D29:Y29" si="1">1-D28</f>
        <v>0</v>
      </c>
      <c r="E29" s="45">
        <f t="shared" si="1"/>
        <v>0</v>
      </c>
      <c r="F29" s="45">
        <f t="shared" si="1"/>
        <v>0</v>
      </c>
      <c r="G29" s="45">
        <f t="shared" si="1"/>
        <v>-9.9999999999988987E-5</v>
      </c>
      <c r="H29" s="45">
        <f t="shared" si="1"/>
        <v>-9.0000000000145519E-5</v>
      </c>
      <c r="I29" s="45">
        <f t="shared" si="1"/>
        <v>-4.9999999999994493E-4</v>
      </c>
      <c r="J29" s="45">
        <f t="shared" si="1"/>
        <v>0</v>
      </c>
      <c r="K29" s="45">
        <f t="shared" si="1"/>
        <v>9.9999999999877964E-5</v>
      </c>
      <c r="L29" s="45">
        <f t="shared" si="1"/>
        <v>0</v>
      </c>
      <c r="M29" s="45">
        <f t="shared" si="1"/>
        <v>-9.9999999999988987E-5</v>
      </c>
      <c r="N29" s="45">
        <f t="shared" si="1"/>
        <v>2.9999999999996696E-4</v>
      </c>
      <c r="O29" s="45">
        <f t="shared" si="1"/>
        <v>0</v>
      </c>
      <c r="P29" s="45">
        <f t="shared" si="1"/>
        <v>-9.9999999999988987E-5</v>
      </c>
      <c r="Q29" s="45">
        <f t="shared" si="1"/>
        <v>0</v>
      </c>
      <c r="R29" s="45">
        <f t="shared" si="1"/>
        <v>-1.9999999999997797E-4</v>
      </c>
      <c r="S29" s="45">
        <f t="shared" si="1"/>
        <v>0</v>
      </c>
      <c r="T29" s="45">
        <f t="shared" si="1"/>
        <v>-1.9999999999997797E-4</v>
      </c>
      <c r="U29" s="45">
        <f t="shared" si="1"/>
        <v>0</v>
      </c>
      <c r="V29" s="46">
        <f t="shared" si="1"/>
        <v>0</v>
      </c>
      <c r="W29" s="45">
        <f t="shared" si="1"/>
        <v>3.9999999999995595E-4</v>
      </c>
      <c r="X29" s="45">
        <f t="shared" si="1"/>
        <v>0</v>
      </c>
      <c r="Y29" s="47">
        <f t="shared" si="1"/>
        <v>0</v>
      </c>
    </row>
  </sheetData>
  <mergeCells count="3">
    <mergeCell ref="A1:Y1"/>
    <mergeCell ref="A28:B28"/>
    <mergeCell ref="A29:B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F899E-1ECC-8A48-84AD-9FA9DE0B0093}">
  <dimension ref="A1:V30"/>
  <sheetViews>
    <sheetView workbookViewId="0">
      <selection activeCell="K37" sqref="K37"/>
    </sheetView>
  </sheetViews>
  <sheetFormatPr baseColWidth="10" defaultColWidth="8.83203125" defaultRowHeight="14" x14ac:dyDescent="0.15"/>
  <cols>
    <col min="1" max="1" width="3.1640625" style="1" bestFit="1" customWidth="1"/>
    <col min="2" max="2" width="37.5" style="1" bestFit="1" customWidth="1"/>
    <col min="3" max="3" width="6.6640625" style="1" bestFit="1" customWidth="1"/>
    <col min="4" max="5" width="4.83203125" style="1" customWidth="1"/>
    <col min="6" max="6" width="4.6640625" style="1" bestFit="1" customWidth="1"/>
    <col min="7" max="9" width="6.6640625" style="1" bestFit="1" customWidth="1"/>
    <col min="10" max="11" width="4.6640625" style="1" bestFit="1" customWidth="1"/>
    <col min="12" max="12" width="5.6640625" style="1" bestFit="1" customWidth="1"/>
    <col min="13" max="13" width="7.6640625" style="1" bestFit="1" customWidth="1"/>
    <col min="14" max="14" width="4.83203125" style="1" customWidth="1"/>
    <col min="15" max="16" width="4.6640625" style="1" bestFit="1" customWidth="1"/>
    <col min="17" max="17" width="5.6640625" style="1" bestFit="1" customWidth="1"/>
    <col min="18" max="19" width="6.6640625" style="1" bestFit="1" customWidth="1"/>
    <col min="20" max="21" width="4.6640625" style="1" bestFit="1" customWidth="1"/>
    <col min="22" max="22" width="5.6640625" style="1" bestFit="1" customWidth="1"/>
    <col min="23" max="16384" width="8.83203125" style="1"/>
  </cols>
  <sheetData>
    <row r="1" spans="1:22" ht="16" customHeight="1" thickBot="1" x14ac:dyDescent="0.2">
      <c r="A1" s="73" t="s">
        <v>83</v>
      </c>
      <c r="B1" s="74"/>
      <c r="C1" s="74"/>
      <c r="D1" s="74"/>
      <c r="E1" s="74"/>
      <c r="F1" s="74"/>
      <c r="G1" s="74"/>
      <c r="H1" s="74"/>
      <c r="I1" s="74"/>
      <c r="J1" s="74"/>
      <c r="K1" s="74"/>
      <c r="L1" s="74"/>
      <c r="M1" s="74"/>
      <c r="N1" s="74"/>
      <c r="O1" s="74"/>
      <c r="P1" s="74"/>
      <c r="Q1" s="74"/>
      <c r="R1" s="74"/>
      <c r="S1" s="74"/>
      <c r="T1" s="74"/>
      <c r="U1" s="74"/>
      <c r="V1" s="75"/>
    </row>
    <row r="2" spans="1:22" ht="15" customHeight="1" x14ac:dyDescent="0.15">
      <c r="A2" s="57" t="s">
        <v>0</v>
      </c>
      <c r="B2" s="58"/>
      <c r="C2" s="60" t="s">
        <v>1</v>
      </c>
      <c r="D2" s="60"/>
      <c r="E2" s="60"/>
      <c r="F2" s="60"/>
      <c r="G2" s="60"/>
      <c r="H2" s="60"/>
      <c r="I2" s="60"/>
      <c r="J2" s="60"/>
      <c r="K2" s="60"/>
      <c r="L2" s="61"/>
      <c r="M2" s="60" t="s">
        <v>2</v>
      </c>
      <c r="N2" s="60"/>
      <c r="O2" s="60"/>
      <c r="P2" s="60"/>
      <c r="Q2" s="60"/>
      <c r="R2" s="60"/>
      <c r="S2" s="60"/>
      <c r="T2" s="60"/>
      <c r="U2" s="60"/>
      <c r="V2" s="61"/>
    </row>
    <row r="3" spans="1:22" x14ac:dyDescent="0.15">
      <c r="A3" s="76" t="s">
        <v>3</v>
      </c>
      <c r="B3" s="78" t="s">
        <v>4</v>
      </c>
      <c r="C3" s="69" t="s">
        <v>67</v>
      </c>
      <c r="D3" s="69"/>
      <c r="E3" s="69"/>
      <c r="F3" s="69" t="s">
        <v>68</v>
      </c>
      <c r="G3" s="69"/>
      <c r="H3" s="69"/>
      <c r="I3" s="70" t="s">
        <v>69</v>
      </c>
      <c r="J3" s="71"/>
      <c r="K3" s="71"/>
      <c r="L3" s="72"/>
      <c r="M3" s="80" t="s">
        <v>67</v>
      </c>
      <c r="N3" s="69"/>
      <c r="O3" s="69"/>
      <c r="P3" s="69" t="s">
        <v>68</v>
      </c>
      <c r="Q3" s="69"/>
      <c r="R3" s="69"/>
      <c r="S3" s="70" t="s">
        <v>69</v>
      </c>
      <c r="T3" s="71"/>
      <c r="U3" s="71"/>
      <c r="V3" s="72"/>
    </row>
    <row r="4" spans="1:22" ht="15" thickBot="1" x14ac:dyDescent="0.2">
      <c r="A4" s="77"/>
      <c r="B4" s="79"/>
      <c r="C4" s="4" t="s">
        <v>70</v>
      </c>
      <c r="D4" s="4" t="s">
        <v>71</v>
      </c>
      <c r="E4" s="4" t="s">
        <v>72</v>
      </c>
      <c r="F4" s="4" t="s">
        <v>73</v>
      </c>
      <c r="G4" s="4" t="s">
        <v>74</v>
      </c>
      <c r="H4" s="4" t="s">
        <v>75</v>
      </c>
      <c r="I4" s="4" t="s">
        <v>76</v>
      </c>
      <c r="J4" s="4" t="s">
        <v>77</v>
      </c>
      <c r="K4" s="4" t="s">
        <v>78</v>
      </c>
      <c r="L4" s="3" t="s">
        <v>79</v>
      </c>
      <c r="M4" s="48" t="s">
        <v>70</v>
      </c>
      <c r="N4" s="4" t="s">
        <v>71</v>
      </c>
      <c r="O4" s="4" t="s">
        <v>72</v>
      </c>
      <c r="P4" s="4" t="s">
        <v>73</v>
      </c>
      <c r="Q4" s="4" t="s">
        <v>74</v>
      </c>
      <c r="R4" s="4" t="s">
        <v>75</v>
      </c>
      <c r="S4" s="4" t="s">
        <v>76</v>
      </c>
      <c r="T4" s="4" t="s">
        <v>77</v>
      </c>
      <c r="U4" s="4" t="s">
        <v>78</v>
      </c>
      <c r="V4" s="3" t="s">
        <v>79</v>
      </c>
    </row>
    <row r="5" spans="1:22" x14ac:dyDescent="0.15">
      <c r="A5" s="5">
        <v>1</v>
      </c>
      <c r="B5" s="6" t="s">
        <v>9</v>
      </c>
      <c r="C5" s="49">
        <v>836.77509999999995</v>
      </c>
      <c r="D5" s="49"/>
      <c r="E5" s="49"/>
      <c r="F5" s="49"/>
      <c r="G5" s="49">
        <v>174.43</v>
      </c>
      <c r="H5" s="49">
        <v>111.57</v>
      </c>
      <c r="I5" s="49"/>
      <c r="J5" s="49"/>
      <c r="K5" s="49"/>
      <c r="L5" s="50"/>
      <c r="M5" s="49">
        <v>1528.9359999999999</v>
      </c>
      <c r="N5" s="49"/>
      <c r="O5" s="49"/>
      <c r="P5" s="49"/>
      <c r="Q5" s="49">
        <v>82.141840000000002</v>
      </c>
      <c r="R5" s="49">
        <v>203.85820000000001</v>
      </c>
      <c r="S5" s="49"/>
      <c r="T5" s="49"/>
      <c r="U5" s="49"/>
      <c r="V5" s="50"/>
    </row>
    <row r="6" spans="1:22" x14ac:dyDescent="0.15">
      <c r="A6" s="5">
        <v>2</v>
      </c>
      <c r="B6" s="6" t="s">
        <v>10</v>
      </c>
      <c r="C6" s="49">
        <v>253.70930000000001</v>
      </c>
      <c r="D6" s="49">
        <v>0.38250000000000001</v>
      </c>
      <c r="E6" s="49">
        <v>5.2631579999999997E-2</v>
      </c>
      <c r="F6" s="49"/>
      <c r="G6" s="49">
        <v>7.7002800000000002</v>
      </c>
      <c r="H6" s="49">
        <v>1.46672</v>
      </c>
      <c r="I6" s="49">
        <v>503.42380000000003</v>
      </c>
      <c r="J6" s="49">
        <v>0.61750000000000005</v>
      </c>
      <c r="K6" s="49">
        <v>0.61943320000000002</v>
      </c>
      <c r="L6" s="51">
        <v>14.799010000000001</v>
      </c>
      <c r="M6" s="49">
        <v>119.6545</v>
      </c>
      <c r="N6" s="49">
        <v>0.38195829999999997</v>
      </c>
      <c r="O6" s="49">
        <v>5.2631579999999997E-2</v>
      </c>
      <c r="P6" s="49"/>
      <c r="Q6" s="49">
        <v>7.6885909999999997</v>
      </c>
      <c r="R6" s="49">
        <v>1.4784090000000001</v>
      </c>
      <c r="S6" s="49">
        <v>237.328</v>
      </c>
      <c r="T6" s="49">
        <v>0.61804170000000003</v>
      </c>
      <c r="U6" s="49">
        <v>0.6180139</v>
      </c>
      <c r="V6" s="51">
        <v>14.833</v>
      </c>
    </row>
    <row r="7" spans="1:22" x14ac:dyDescent="0.15">
      <c r="A7" s="5">
        <v>3</v>
      </c>
      <c r="B7" s="6" t="s">
        <v>11</v>
      </c>
      <c r="C7" s="49">
        <v>90.091239999999999</v>
      </c>
      <c r="D7" s="49">
        <v>0.4</v>
      </c>
      <c r="E7" s="49">
        <v>0.282082</v>
      </c>
      <c r="F7" s="49"/>
      <c r="G7" s="49">
        <v>3.6</v>
      </c>
      <c r="H7" s="49">
        <v>0.39999990000000002</v>
      </c>
      <c r="I7" s="49">
        <v>186.39570000000001</v>
      </c>
      <c r="J7" s="49">
        <v>0.60000010000000004</v>
      </c>
      <c r="K7" s="49">
        <v>0.6666666</v>
      </c>
      <c r="L7" s="51">
        <v>6.0000010000000001</v>
      </c>
      <c r="M7" s="49">
        <v>41.516910000000003</v>
      </c>
      <c r="N7" s="49">
        <v>0.4</v>
      </c>
      <c r="O7" s="49">
        <v>0.282082</v>
      </c>
      <c r="P7" s="49"/>
      <c r="Q7" s="49">
        <v>3.6</v>
      </c>
      <c r="R7" s="49">
        <v>0.40000029999999998</v>
      </c>
      <c r="S7" s="49">
        <v>85.897049999999993</v>
      </c>
      <c r="T7" s="49">
        <v>0.6</v>
      </c>
      <c r="U7" s="49">
        <v>0.66666669999999995</v>
      </c>
      <c r="V7" s="51">
        <v>6</v>
      </c>
    </row>
    <row r="8" spans="1:22" x14ac:dyDescent="0.15">
      <c r="A8" s="5">
        <v>4</v>
      </c>
      <c r="B8" s="6" t="s">
        <v>12</v>
      </c>
      <c r="C8" s="49">
        <v>95.098820000000003</v>
      </c>
      <c r="D8" s="49">
        <v>0.3125</v>
      </c>
      <c r="E8" s="49">
        <v>1.0010010000000001E-3</v>
      </c>
      <c r="F8" s="49"/>
      <c r="G8" s="49">
        <v>18</v>
      </c>
      <c r="H8" s="49">
        <v>1.9999979999999999</v>
      </c>
      <c r="I8" s="49">
        <v>232.46379999999999</v>
      </c>
      <c r="J8" s="49">
        <v>0.68750009999999995</v>
      </c>
      <c r="K8" s="49">
        <v>0.45454539999999999</v>
      </c>
      <c r="L8" s="51">
        <v>44</v>
      </c>
      <c r="M8" s="49">
        <v>45.733930000000001</v>
      </c>
      <c r="N8" s="49">
        <v>0.3125</v>
      </c>
      <c r="O8" s="49">
        <v>1.0010010000000001E-3</v>
      </c>
      <c r="P8" s="49"/>
      <c r="Q8" s="49">
        <v>18</v>
      </c>
      <c r="R8" s="49">
        <v>1.9999990000000001</v>
      </c>
      <c r="S8" s="49">
        <v>111.794</v>
      </c>
      <c r="T8" s="49">
        <v>0.68749990000000005</v>
      </c>
      <c r="U8" s="49">
        <v>0.45454549999999999</v>
      </c>
      <c r="V8" s="51">
        <v>44</v>
      </c>
    </row>
    <row r="9" spans="1:22" x14ac:dyDescent="0.15">
      <c r="A9" s="5">
        <v>5</v>
      </c>
      <c r="B9" s="6" t="s">
        <v>13</v>
      </c>
      <c r="C9" s="49">
        <v>47.018729999999998</v>
      </c>
      <c r="D9" s="49">
        <v>0.31125000000000003</v>
      </c>
      <c r="E9" s="49">
        <v>0.25951990000000003</v>
      </c>
      <c r="F9" s="49">
        <v>1.1172629999999999E-2</v>
      </c>
      <c r="G9" s="49">
        <v>15.90803</v>
      </c>
      <c r="H9" s="49">
        <v>2.170798</v>
      </c>
      <c r="I9" s="49">
        <v>112.69929999999999</v>
      </c>
      <c r="J9" s="49">
        <v>0.68874999999999997</v>
      </c>
      <c r="K9" s="49">
        <v>0.45190560000000002</v>
      </c>
      <c r="L9" s="51">
        <v>40.030479999999997</v>
      </c>
      <c r="M9" s="49">
        <v>22.663239999999998</v>
      </c>
      <c r="N9" s="49">
        <v>0.31125000000000003</v>
      </c>
      <c r="O9" s="49">
        <v>0.25951990000000003</v>
      </c>
      <c r="P9" s="49">
        <v>1.1119179999999999E-2</v>
      </c>
      <c r="Q9" s="49">
        <v>15.90808</v>
      </c>
      <c r="R9" s="49">
        <v>2.1707990000000001</v>
      </c>
      <c r="S9" s="49">
        <v>54.321579999999997</v>
      </c>
      <c r="T9" s="49">
        <v>0.68874999999999997</v>
      </c>
      <c r="U9" s="49">
        <v>0.45190570000000002</v>
      </c>
      <c r="V9" s="51">
        <v>40.030479999999997</v>
      </c>
    </row>
    <row r="10" spans="1:22" x14ac:dyDescent="0.15">
      <c r="A10" s="5">
        <v>6</v>
      </c>
      <c r="B10" s="6" t="s">
        <v>14</v>
      </c>
      <c r="C10" s="49">
        <v>15.56982</v>
      </c>
      <c r="D10" s="49">
        <v>0.21</v>
      </c>
      <c r="E10" s="49">
        <v>0.32135360000000002</v>
      </c>
      <c r="F10" s="49">
        <v>7.2599120000000003E-3</v>
      </c>
      <c r="G10" s="49">
        <v>1.82172</v>
      </c>
      <c r="H10" s="49">
        <v>0.42901980000000001</v>
      </c>
      <c r="I10" s="49">
        <v>42.42897</v>
      </c>
      <c r="J10" s="49">
        <v>0.79</v>
      </c>
      <c r="K10" s="49">
        <v>0.26582280000000003</v>
      </c>
      <c r="L10" s="51">
        <v>8.4943810000000006</v>
      </c>
      <c r="M10" s="49">
        <v>7.525741</v>
      </c>
      <c r="N10" s="49">
        <v>0.21</v>
      </c>
      <c r="O10" s="49">
        <v>0.32135360000000002</v>
      </c>
      <c r="P10" s="49">
        <v>1.7867879999999999E-2</v>
      </c>
      <c r="Q10" s="49">
        <v>1.8029189999999999</v>
      </c>
      <c r="R10" s="49">
        <v>0.43721260000000001</v>
      </c>
      <c r="S10" s="49">
        <v>20.454470000000001</v>
      </c>
      <c r="T10" s="49">
        <v>0.79</v>
      </c>
      <c r="U10" s="49">
        <v>0.26582280000000003</v>
      </c>
      <c r="V10" s="51">
        <v>8.4943810000000006</v>
      </c>
    </row>
    <row r="11" spans="1:22" x14ac:dyDescent="0.15">
      <c r="A11" s="5">
        <v>7</v>
      </c>
      <c r="B11" s="6" t="s">
        <v>15</v>
      </c>
      <c r="C11" s="49">
        <v>0.64539340000000001</v>
      </c>
      <c r="D11" s="49">
        <v>0.16625000000000001</v>
      </c>
      <c r="E11" s="49">
        <v>0.19856960000000001</v>
      </c>
      <c r="F11" s="49">
        <v>2.7104160000000002E-3</v>
      </c>
      <c r="G11" s="49">
        <v>1.8972899999999999</v>
      </c>
      <c r="H11" s="49">
        <v>0.1</v>
      </c>
      <c r="I11" s="49">
        <v>2.0831230000000001</v>
      </c>
      <c r="J11" s="49">
        <v>0.83374990000000004</v>
      </c>
      <c r="K11" s="49">
        <v>0.1994003</v>
      </c>
      <c r="L11" s="51">
        <v>10.03007</v>
      </c>
      <c r="M11" s="49">
        <v>0.2668722</v>
      </c>
      <c r="N11" s="49">
        <v>0.1666667</v>
      </c>
      <c r="O11" s="49">
        <v>0.19856960000000001</v>
      </c>
      <c r="P11" s="49">
        <v>4.1202120000000002E-2</v>
      </c>
      <c r="Q11" s="49">
        <v>1.858798</v>
      </c>
      <c r="R11" s="49">
        <v>0.1000003</v>
      </c>
      <c r="S11" s="49">
        <v>0.86087800000000003</v>
      </c>
      <c r="T11" s="49">
        <v>0.8333334</v>
      </c>
      <c r="U11" s="49">
        <v>0.2</v>
      </c>
      <c r="V11" s="51">
        <v>10</v>
      </c>
    </row>
    <row r="12" spans="1:22" x14ac:dyDescent="0.15">
      <c r="A12" s="5">
        <v>8</v>
      </c>
      <c r="B12" s="6" t="s">
        <v>16</v>
      </c>
      <c r="C12" s="49">
        <v>2.0965250000000002</v>
      </c>
      <c r="D12" s="49">
        <v>0.20624999999999999</v>
      </c>
      <c r="E12" s="49">
        <v>0.25283040000000001</v>
      </c>
      <c r="F12" s="49">
        <v>1.2450879999999999E-2</v>
      </c>
      <c r="G12" s="49">
        <v>0.3332543</v>
      </c>
      <c r="H12" s="49">
        <v>4.2294810000000002E-2</v>
      </c>
      <c r="I12" s="49">
        <v>6.1072379999999997</v>
      </c>
      <c r="J12" s="49">
        <v>0.79374999999999996</v>
      </c>
      <c r="K12" s="49">
        <v>0.25984249999999998</v>
      </c>
      <c r="L12" s="51">
        <v>1.493212</v>
      </c>
      <c r="M12" s="49">
        <v>1.0195110000000001</v>
      </c>
      <c r="N12" s="49">
        <v>0.20667679999999999</v>
      </c>
      <c r="O12" s="49">
        <v>0.25283040000000001</v>
      </c>
      <c r="P12" s="49">
        <v>0.1193543</v>
      </c>
      <c r="Q12" s="49">
        <v>0.52401569999999997</v>
      </c>
      <c r="R12" s="49">
        <v>6.3629980000000003E-2</v>
      </c>
      <c r="S12" s="49">
        <v>3.0111659999999998</v>
      </c>
      <c r="T12" s="49">
        <v>0.79332320000000001</v>
      </c>
      <c r="U12" s="49">
        <v>0.26052029999999998</v>
      </c>
      <c r="V12" s="51">
        <v>2.7138</v>
      </c>
    </row>
    <row r="13" spans="1:22" x14ac:dyDescent="0.15">
      <c r="A13" s="5">
        <v>9</v>
      </c>
      <c r="B13" s="6" t="s">
        <v>17</v>
      </c>
      <c r="C13" s="49">
        <v>0.92022590000000004</v>
      </c>
      <c r="D13" s="49">
        <v>0.25374999999999998</v>
      </c>
      <c r="E13" s="49">
        <v>0.38304250000000001</v>
      </c>
      <c r="F13" s="49">
        <v>2.0157689999999999E-2</v>
      </c>
      <c r="G13" s="49">
        <v>1.711669E-2</v>
      </c>
      <c r="H13" s="49">
        <v>0.40872560000000002</v>
      </c>
      <c r="I13" s="49">
        <v>1.4231240000000001</v>
      </c>
      <c r="J13" s="49">
        <v>0.74624999999999997</v>
      </c>
      <c r="K13" s="49">
        <v>0.34003349999999999</v>
      </c>
      <c r="L13" s="51">
        <v>1.3116350000000001</v>
      </c>
      <c r="M13" s="49">
        <v>2.2327940000000001E-2</v>
      </c>
      <c r="N13" s="49">
        <v>0.2536737</v>
      </c>
      <c r="O13" s="49">
        <v>0.38304250000000001</v>
      </c>
      <c r="P13" s="49">
        <v>0.3902254</v>
      </c>
      <c r="Q13" s="49">
        <v>0.26984360000000002</v>
      </c>
      <c r="R13" s="49">
        <v>0.140931</v>
      </c>
      <c r="S13" s="49">
        <v>5.6558400000000002E-2</v>
      </c>
      <c r="T13" s="49">
        <v>0.7463263</v>
      </c>
      <c r="U13" s="49">
        <v>0.33989639999999999</v>
      </c>
      <c r="V13" s="51">
        <v>2.3565999999999998</v>
      </c>
    </row>
    <row r="14" spans="1:22" x14ac:dyDescent="0.15">
      <c r="A14" s="5">
        <v>10</v>
      </c>
      <c r="B14" s="6" t="s">
        <v>18</v>
      </c>
      <c r="C14" s="49">
        <v>3.5779459999999998</v>
      </c>
      <c r="D14" s="49">
        <v>0.29249999999999998</v>
      </c>
      <c r="E14" s="49">
        <v>0.20749790000000001</v>
      </c>
      <c r="F14" s="49">
        <v>5.27235E-2</v>
      </c>
      <c r="G14" s="49">
        <v>0.15568899999999999</v>
      </c>
      <c r="H14" s="49">
        <v>0.82258750000000003</v>
      </c>
      <c r="I14" s="49">
        <v>5.2369510000000004</v>
      </c>
      <c r="J14" s="49">
        <v>0.70750000000000002</v>
      </c>
      <c r="K14" s="49">
        <v>0.41342760000000001</v>
      </c>
      <c r="L14" s="51">
        <v>2.4937860000000001</v>
      </c>
      <c r="M14" s="49">
        <v>0.54565129999999995</v>
      </c>
      <c r="N14" s="49">
        <v>0.29288429999999999</v>
      </c>
      <c r="O14" s="49">
        <v>0.20749790000000001</v>
      </c>
      <c r="P14" s="49">
        <v>0.37639010000000001</v>
      </c>
      <c r="Q14" s="49">
        <v>0.79124139999999998</v>
      </c>
      <c r="R14" s="49">
        <v>0.1873686</v>
      </c>
      <c r="S14" s="49">
        <v>1.3281879999999999</v>
      </c>
      <c r="T14" s="49">
        <v>0.70711570000000001</v>
      </c>
      <c r="U14" s="49">
        <v>0.4141957</v>
      </c>
      <c r="V14" s="51">
        <v>3.2713999999999999</v>
      </c>
    </row>
    <row r="15" spans="1:22" x14ac:dyDescent="0.15">
      <c r="A15" s="5">
        <v>11</v>
      </c>
      <c r="B15" s="6" t="s">
        <v>19</v>
      </c>
      <c r="C15" s="52">
        <v>0.1715536</v>
      </c>
      <c r="D15" s="52">
        <v>0.3725</v>
      </c>
      <c r="E15" s="52">
        <v>0.36759900000000001</v>
      </c>
      <c r="F15" s="52">
        <v>0.25464880000000001</v>
      </c>
      <c r="G15" s="52">
        <v>4.0805399999999999E-2</v>
      </c>
      <c r="H15" s="52">
        <v>0.15954579999999999</v>
      </c>
      <c r="I15" s="52">
        <v>0.28282980000000002</v>
      </c>
      <c r="J15" s="49">
        <v>0.6274999</v>
      </c>
      <c r="K15" s="49">
        <v>0.59362550000000003</v>
      </c>
      <c r="L15" s="51">
        <v>0.76647650000000001</v>
      </c>
      <c r="M15" s="52">
        <v>4.5065279999999999E-2</v>
      </c>
      <c r="N15" s="52">
        <v>0.37215209999999999</v>
      </c>
      <c r="O15" s="52">
        <v>0.36759900000000001</v>
      </c>
      <c r="P15" s="52">
        <v>0.77562589999999998</v>
      </c>
      <c r="Q15" s="52">
        <v>0.13682910000000001</v>
      </c>
      <c r="R15" s="52">
        <v>5.4545030000000001E-2</v>
      </c>
      <c r="S15" s="52">
        <v>0.10440960000000001</v>
      </c>
      <c r="T15" s="49">
        <v>0.62784790000000001</v>
      </c>
      <c r="U15" s="49">
        <v>0.59274249999999995</v>
      </c>
      <c r="V15" s="51">
        <v>1.6314</v>
      </c>
    </row>
    <row r="16" spans="1:22" x14ac:dyDescent="0.15">
      <c r="A16" s="5">
        <v>12</v>
      </c>
      <c r="B16" s="6" t="s">
        <v>20</v>
      </c>
      <c r="C16" s="52">
        <v>1.6064959999999999</v>
      </c>
      <c r="D16" s="52">
        <v>0.215</v>
      </c>
      <c r="E16" s="52">
        <v>0.1622229</v>
      </c>
      <c r="F16" s="52">
        <v>0.22718540000000001</v>
      </c>
      <c r="G16" s="52">
        <v>0.84341630000000001</v>
      </c>
      <c r="H16" s="52">
        <v>4.3398230000000003E-2</v>
      </c>
      <c r="I16" s="52">
        <v>4.8808740000000004</v>
      </c>
      <c r="J16" s="49">
        <v>0.78500000000000003</v>
      </c>
      <c r="K16" s="49">
        <v>0.2738854</v>
      </c>
      <c r="L16" s="51">
        <v>4.0673950000000003</v>
      </c>
      <c r="M16" s="52">
        <v>0.93471280000000001</v>
      </c>
      <c r="N16" s="52">
        <v>0.2143873</v>
      </c>
      <c r="O16" s="52">
        <v>0.1622229</v>
      </c>
      <c r="P16" s="52">
        <v>0.53559540000000005</v>
      </c>
      <c r="Q16" s="52">
        <v>0.7346435</v>
      </c>
      <c r="R16" s="52">
        <v>0.116761</v>
      </c>
      <c r="S16" s="52">
        <v>2.739522</v>
      </c>
      <c r="T16" s="49">
        <v>0.7856128</v>
      </c>
      <c r="U16" s="49">
        <v>0.27289180000000002</v>
      </c>
      <c r="V16" s="51">
        <v>5.0826010000000004</v>
      </c>
    </row>
    <row r="17" spans="1:22" x14ac:dyDescent="0.15">
      <c r="A17" s="5">
        <v>13</v>
      </c>
      <c r="B17" s="6" t="s">
        <v>21</v>
      </c>
      <c r="C17" s="52">
        <v>1.668304</v>
      </c>
      <c r="D17" s="52">
        <v>0.19875000000000001</v>
      </c>
      <c r="E17" s="52">
        <v>0.25369639999999999</v>
      </c>
      <c r="F17" s="52">
        <v>1.172773E-2</v>
      </c>
      <c r="G17" s="52">
        <v>0.49905579999999999</v>
      </c>
      <c r="H17" s="52">
        <v>0.4932165</v>
      </c>
      <c r="I17" s="52">
        <v>3.8451930000000001</v>
      </c>
      <c r="J17" s="49">
        <v>0.80125000000000002</v>
      </c>
      <c r="K17" s="49">
        <v>0.24804989999999999</v>
      </c>
      <c r="L17" s="51">
        <v>4.0475719999999997</v>
      </c>
      <c r="M17" s="52">
        <v>0.41707260000000002</v>
      </c>
      <c r="N17" s="52">
        <v>0.1986733</v>
      </c>
      <c r="O17" s="52">
        <v>0.25369639999999999</v>
      </c>
      <c r="P17" s="52">
        <v>0.37999690000000003</v>
      </c>
      <c r="Q17" s="52">
        <v>0.6909592</v>
      </c>
      <c r="R17" s="52">
        <v>0.1390439</v>
      </c>
      <c r="S17" s="52">
        <v>1.22498</v>
      </c>
      <c r="T17" s="49">
        <v>0.80132669999999995</v>
      </c>
      <c r="U17" s="49">
        <v>0.2479305</v>
      </c>
      <c r="V17" s="51">
        <v>4.8803999999999998</v>
      </c>
    </row>
    <row r="18" spans="1:22" x14ac:dyDescent="0.15">
      <c r="A18" s="5">
        <v>14</v>
      </c>
      <c r="B18" s="6" t="s">
        <v>22</v>
      </c>
      <c r="C18" s="52">
        <v>0.31812380000000001</v>
      </c>
      <c r="D18" s="52">
        <v>0.37125000000000002</v>
      </c>
      <c r="E18" s="52">
        <v>5.2268780000000001E-2</v>
      </c>
      <c r="F18" s="52">
        <v>0.25435839999999998</v>
      </c>
      <c r="G18" s="52">
        <v>3.9468660000000003E-2</v>
      </c>
      <c r="H18" s="52">
        <v>0.20617289999999999</v>
      </c>
      <c r="I18" s="52">
        <v>0.49622559999999999</v>
      </c>
      <c r="J18" s="49">
        <v>0.62875000000000003</v>
      </c>
      <c r="K18" s="49">
        <v>0.59045729999999996</v>
      </c>
      <c r="L18" s="51">
        <v>0.84680129999999998</v>
      </c>
      <c r="M18" s="52">
        <v>4.4641300000000002E-2</v>
      </c>
      <c r="N18" s="52">
        <v>0.37110389999999999</v>
      </c>
      <c r="O18" s="52">
        <v>5.2268780000000001E-2</v>
      </c>
      <c r="P18" s="52">
        <v>0.89807499999999996</v>
      </c>
      <c r="Q18" s="52">
        <v>0.15643850000000001</v>
      </c>
      <c r="R18" s="52">
        <v>8.8486490000000001E-2</v>
      </c>
      <c r="S18" s="52">
        <v>0.10072399999999999</v>
      </c>
      <c r="T18" s="49">
        <v>0.62889609999999996</v>
      </c>
      <c r="U18" s="49">
        <v>0.59008780000000005</v>
      </c>
      <c r="V18" s="51">
        <v>1.9370000000000001</v>
      </c>
    </row>
    <row r="19" spans="1:22" x14ac:dyDescent="0.15">
      <c r="A19" s="5">
        <v>15</v>
      </c>
      <c r="B19" s="6" t="s">
        <v>23</v>
      </c>
      <c r="C19" s="52">
        <v>0.71493070000000003</v>
      </c>
      <c r="D19" s="52">
        <v>0.26</v>
      </c>
      <c r="E19" s="52">
        <v>0.23917240000000001</v>
      </c>
      <c r="F19" s="52">
        <v>0.178925</v>
      </c>
      <c r="G19" s="52">
        <v>0.40714630000000002</v>
      </c>
      <c r="H19" s="52">
        <v>1.392871E-2</v>
      </c>
      <c r="I19" s="52">
        <v>2.0663079999999998</v>
      </c>
      <c r="J19" s="49">
        <v>0.74</v>
      </c>
      <c r="K19" s="49">
        <v>0.35135139999999998</v>
      </c>
      <c r="L19" s="51">
        <v>1.707692</v>
      </c>
      <c r="M19" s="52">
        <v>0.87445899999999999</v>
      </c>
      <c r="N19" s="52">
        <v>0.2602584</v>
      </c>
      <c r="O19" s="52">
        <v>0.23917240000000001</v>
      </c>
      <c r="P19" s="52">
        <v>0.40808050000000001</v>
      </c>
      <c r="Q19" s="52">
        <v>0.2140136</v>
      </c>
      <c r="R19" s="52">
        <v>6.2905929999999999E-2</v>
      </c>
      <c r="S19" s="52">
        <v>2.3617110000000001</v>
      </c>
      <c r="T19" s="49">
        <v>0.7397416</v>
      </c>
      <c r="U19" s="49">
        <v>0.35182330000000001</v>
      </c>
      <c r="V19" s="51">
        <v>1.9470000000000001</v>
      </c>
    </row>
    <row r="20" spans="1:22" x14ac:dyDescent="0.15">
      <c r="A20" s="5">
        <v>16</v>
      </c>
      <c r="B20" s="6" t="s">
        <v>24</v>
      </c>
      <c r="C20" s="52">
        <v>6.0452049999999997E-3</v>
      </c>
      <c r="D20" s="52">
        <v>0.27250000000000002</v>
      </c>
      <c r="E20" s="52">
        <v>4.9218089999999999E-2</v>
      </c>
      <c r="F20" s="52">
        <v>0.10977430000000001</v>
      </c>
      <c r="G20" s="52">
        <v>7.6039949999999995E-2</v>
      </c>
      <c r="H20" s="52">
        <v>1.6185720000000001E-2</v>
      </c>
      <c r="I20" s="52">
        <v>1.617853E-2</v>
      </c>
      <c r="J20" s="49">
        <v>0.72750000000000004</v>
      </c>
      <c r="K20" s="49">
        <v>0.37457040000000003</v>
      </c>
      <c r="L20" s="51">
        <v>0.53928449999999994</v>
      </c>
      <c r="M20" s="52">
        <v>4.483318E-2</v>
      </c>
      <c r="N20" s="52">
        <v>0.27211229999999997</v>
      </c>
      <c r="O20" s="52">
        <v>4.9218089999999999E-2</v>
      </c>
      <c r="P20" s="52">
        <v>0.45383610000000002</v>
      </c>
      <c r="Q20" s="52">
        <v>4.6635530000000001E-2</v>
      </c>
      <c r="R20" s="52">
        <v>3.8528380000000001E-2</v>
      </c>
      <c r="S20" s="52">
        <v>0.1211112</v>
      </c>
      <c r="T20" s="49">
        <v>0.72788770000000003</v>
      </c>
      <c r="U20" s="49">
        <v>0.37383820000000001</v>
      </c>
      <c r="V20" s="51">
        <v>1.4418</v>
      </c>
    </row>
    <row r="21" spans="1:22" x14ac:dyDescent="0.15">
      <c r="A21" s="5">
        <v>17</v>
      </c>
      <c r="B21" s="6" t="s">
        <v>25</v>
      </c>
      <c r="C21" s="52">
        <v>0.51475360000000003</v>
      </c>
      <c r="D21" s="52">
        <v>0.15625</v>
      </c>
      <c r="E21" s="52">
        <v>0.4704547</v>
      </c>
      <c r="F21" s="52">
        <v>0.25458259999999999</v>
      </c>
      <c r="G21" s="52">
        <v>0.3652436</v>
      </c>
      <c r="H21" s="52">
        <v>3.0173720000000001E-2</v>
      </c>
      <c r="I21" s="52">
        <v>1.68831</v>
      </c>
      <c r="J21" s="49">
        <v>0.84374990000000005</v>
      </c>
      <c r="K21" s="49">
        <v>0.18518519999999999</v>
      </c>
      <c r="L21" s="51">
        <v>3.51</v>
      </c>
      <c r="M21" s="52">
        <v>0.2381548</v>
      </c>
      <c r="N21" s="52">
        <v>0.1559912</v>
      </c>
      <c r="O21" s="52">
        <v>0.4704547</v>
      </c>
      <c r="P21" s="52">
        <v>0.1671223</v>
      </c>
      <c r="Q21" s="52">
        <v>0.2556233</v>
      </c>
      <c r="R21" s="52">
        <v>2.925432E-2</v>
      </c>
      <c r="S21" s="52">
        <v>0.77280959999999999</v>
      </c>
      <c r="T21" s="49">
        <v>0.8440088</v>
      </c>
      <c r="U21" s="49">
        <v>0.18482170000000001</v>
      </c>
      <c r="V21" s="51">
        <v>2.4456000000000002</v>
      </c>
    </row>
    <row r="22" spans="1:22" x14ac:dyDescent="0.15">
      <c r="A22" s="5">
        <v>18</v>
      </c>
      <c r="B22" s="6" t="s">
        <v>26</v>
      </c>
      <c r="C22" s="52">
        <v>10.88466</v>
      </c>
      <c r="D22" s="52">
        <v>0.25</v>
      </c>
      <c r="E22" s="52">
        <v>5.2142250000000001E-2</v>
      </c>
      <c r="F22" s="52">
        <v>0.2200455</v>
      </c>
      <c r="G22" s="52">
        <v>0.36927500000000002</v>
      </c>
      <c r="H22" s="52">
        <v>0.26067950000000001</v>
      </c>
      <c r="I22" s="52">
        <v>24.99</v>
      </c>
      <c r="J22" s="49">
        <v>0.74999990000000005</v>
      </c>
      <c r="K22" s="49">
        <v>0.3333334</v>
      </c>
      <c r="L22" s="51">
        <v>2.5499999999999998</v>
      </c>
      <c r="M22" s="52">
        <v>3.7558240000000001</v>
      </c>
      <c r="N22" s="52">
        <v>0.25</v>
      </c>
      <c r="O22" s="52">
        <v>5.2142250000000001E-2</v>
      </c>
      <c r="P22" s="52">
        <v>0.41615489999999999</v>
      </c>
      <c r="Q22" s="52">
        <v>0.7604976</v>
      </c>
      <c r="R22" s="52">
        <v>0.1339475</v>
      </c>
      <c r="S22" s="52">
        <v>10.22268</v>
      </c>
      <c r="T22" s="49">
        <v>0.74999990000000005</v>
      </c>
      <c r="U22" s="49">
        <v>0.3333333</v>
      </c>
      <c r="V22" s="51">
        <v>3.9318</v>
      </c>
    </row>
    <row r="23" spans="1:22" x14ac:dyDescent="0.15">
      <c r="A23" s="5">
        <v>19</v>
      </c>
      <c r="B23" s="6" t="s">
        <v>27</v>
      </c>
      <c r="C23" s="52">
        <v>23.798919999999999</v>
      </c>
      <c r="D23" s="52">
        <v>0.27875</v>
      </c>
      <c r="E23" s="52">
        <v>7.3334250000000004E-2</v>
      </c>
      <c r="F23" s="52">
        <v>3.3861550000000001E-3</v>
      </c>
      <c r="G23" s="52">
        <v>1.6598139999999999</v>
      </c>
      <c r="H23" s="52">
        <v>0.2268</v>
      </c>
      <c r="I23" s="52">
        <v>60.557310000000001</v>
      </c>
      <c r="J23" s="49">
        <v>0.72124999999999995</v>
      </c>
      <c r="K23" s="49">
        <v>0.38648179999999999</v>
      </c>
      <c r="L23" s="51">
        <v>4.890269</v>
      </c>
      <c r="M23" s="52">
        <v>11.69486</v>
      </c>
      <c r="N23" s="52">
        <v>0.27875</v>
      </c>
      <c r="O23" s="52">
        <v>7.3334250000000004E-2</v>
      </c>
      <c r="P23" s="52">
        <v>0.1014924</v>
      </c>
      <c r="Q23" s="52">
        <v>1.5648029999999999</v>
      </c>
      <c r="R23" s="52">
        <v>0.2285353</v>
      </c>
      <c r="S23" s="52">
        <v>29.740200000000002</v>
      </c>
      <c r="T23" s="49">
        <v>0.72124999999999995</v>
      </c>
      <c r="U23" s="49">
        <v>0.38648179999999999</v>
      </c>
      <c r="V23" s="51">
        <v>4.9027690000000002</v>
      </c>
    </row>
    <row r="24" spans="1:22" x14ac:dyDescent="0.15">
      <c r="A24" s="5">
        <v>20</v>
      </c>
      <c r="B24" s="6" t="s">
        <v>28</v>
      </c>
      <c r="C24" s="52">
        <v>4.6148150000000001</v>
      </c>
      <c r="D24" s="52">
        <v>0.14000000000000001</v>
      </c>
      <c r="E24" s="52">
        <v>0.2208417</v>
      </c>
      <c r="F24" s="52">
        <v>1.1083539999999999E-5</v>
      </c>
      <c r="G24" s="52">
        <v>0.4859889</v>
      </c>
      <c r="H24" s="52">
        <v>5.4000020000000003E-2</v>
      </c>
      <c r="I24" s="52">
        <v>15.033110000000001</v>
      </c>
      <c r="J24" s="49">
        <v>0.86</v>
      </c>
      <c r="K24" s="49">
        <v>0.16279070000000001</v>
      </c>
      <c r="L24" s="51">
        <v>3.3171430000000002</v>
      </c>
      <c r="M24" s="52">
        <v>2.4602930000000001</v>
      </c>
      <c r="N24" s="52">
        <v>0.139435</v>
      </c>
      <c r="O24" s="52">
        <v>0.2208417</v>
      </c>
      <c r="P24" s="52">
        <v>0.1294496</v>
      </c>
      <c r="Q24" s="52">
        <v>0.35565039999999998</v>
      </c>
      <c r="R24" s="52">
        <v>5.3900009999999998E-2</v>
      </c>
      <c r="S24" s="52">
        <v>8.0215709999999998</v>
      </c>
      <c r="T24" s="49">
        <v>0.86056489999999997</v>
      </c>
      <c r="U24" s="49">
        <v>0.16202730000000001</v>
      </c>
      <c r="V24" s="51">
        <v>3.3266</v>
      </c>
    </row>
    <row r="25" spans="1:22" x14ac:dyDescent="0.15">
      <c r="A25" s="5">
        <v>21</v>
      </c>
      <c r="B25" s="6" t="s">
        <v>29</v>
      </c>
      <c r="C25" s="52">
        <v>1.1075459999999999</v>
      </c>
      <c r="D25" s="52">
        <v>0.15125</v>
      </c>
      <c r="E25" s="52">
        <v>0.58860420000000002</v>
      </c>
      <c r="F25" s="52">
        <v>6.8204779999999996E-3</v>
      </c>
      <c r="G25" s="52">
        <v>6.9637060000000001E-2</v>
      </c>
      <c r="H25" s="52">
        <v>0.14654249999999999</v>
      </c>
      <c r="I25" s="52">
        <v>2.6904680000000001</v>
      </c>
      <c r="J25" s="49">
        <v>0.84874989999999995</v>
      </c>
      <c r="K25" s="49">
        <v>0.17820320000000001</v>
      </c>
      <c r="L25" s="51">
        <v>1.2513799999999999</v>
      </c>
      <c r="M25" s="52">
        <v>0.48226590000000003</v>
      </c>
      <c r="N25" s="52">
        <v>0.15125</v>
      </c>
      <c r="O25" s="52">
        <v>0.58860420000000002</v>
      </c>
      <c r="P25" s="52">
        <v>5.753076E-2</v>
      </c>
      <c r="Q25" s="52">
        <v>0.1243845</v>
      </c>
      <c r="R25" s="52">
        <v>0.24521480000000001</v>
      </c>
      <c r="S25" s="52">
        <v>1.2152130000000001</v>
      </c>
      <c r="T25" s="49">
        <v>0.84875009999999995</v>
      </c>
      <c r="U25" s="49">
        <v>0.17820320000000001</v>
      </c>
      <c r="V25" s="51">
        <v>2.3968699999999998</v>
      </c>
    </row>
    <row r="26" spans="1:22" x14ac:dyDescent="0.15">
      <c r="A26" s="5">
        <v>22</v>
      </c>
      <c r="B26" s="6" t="s">
        <v>30</v>
      </c>
      <c r="C26" s="52">
        <v>0.13719999999999999</v>
      </c>
      <c r="D26" s="52">
        <v>7.4999999999999997E-3</v>
      </c>
      <c r="E26" s="52">
        <v>0.92215130000000001</v>
      </c>
      <c r="F26" s="52"/>
      <c r="G26" s="52">
        <v>1.3333329999999999E-2</v>
      </c>
      <c r="H26" s="52">
        <v>0.38666669999999997</v>
      </c>
      <c r="I26" s="52">
        <v>0.52933330000000001</v>
      </c>
      <c r="J26" s="49">
        <v>0.99250000000000005</v>
      </c>
      <c r="K26" s="49">
        <v>7.556676E-3</v>
      </c>
      <c r="L26" s="51">
        <v>52.933329999999998</v>
      </c>
      <c r="M26" s="52">
        <v>6.8671259999999998E-2</v>
      </c>
      <c r="N26" s="52">
        <v>7.4919829999999998E-3</v>
      </c>
      <c r="O26" s="52">
        <v>0.92215130000000001</v>
      </c>
      <c r="P26" s="52"/>
      <c r="Q26" s="52">
        <v>1.3347599999999999E-2</v>
      </c>
      <c r="R26" s="52">
        <v>0.38665240000000001</v>
      </c>
      <c r="S26" s="52">
        <v>0.26495200000000002</v>
      </c>
      <c r="T26" s="49">
        <v>0.9925079</v>
      </c>
      <c r="U26" s="49">
        <v>7.5485379999999996E-3</v>
      </c>
      <c r="V26" s="51">
        <v>52.990389999999998</v>
      </c>
    </row>
    <row r="27" spans="1:22" x14ac:dyDescent="0.15">
      <c r="A27" s="5">
        <v>23</v>
      </c>
      <c r="B27" s="6" t="s">
        <v>31</v>
      </c>
      <c r="C27" s="52">
        <v>6.0200000000000002E-3</v>
      </c>
      <c r="D27" s="52">
        <v>5.0000000000000001E-3</v>
      </c>
      <c r="E27" s="52">
        <v>0.2216651</v>
      </c>
      <c r="F27" s="52">
        <v>0.05</v>
      </c>
      <c r="G27" s="52"/>
      <c r="H27" s="52">
        <v>0.01</v>
      </c>
      <c r="I27" s="52">
        <v>2.3879999999999998E-2</v>
      </c>
      <c r="J27" s="49">
        <v>0.99499990000000005</v>
      </c>
      <c r="K27" s="49">
        <v>5.0251269999999999E-3</v>
      </c>
      <c r="L27" s="51">
        <v>11.94</v>
      </c>
      <c r="M27" s="52">
        <v>6.1676599999999998E-2</v>
      </c>
      <c r="N27" s="52">
        <v>5.2108670000000001E-3</v>
      </c>
      <c r="O27" s="52">
        <v>0.2216651</v>
      </c>
      <c r="P27" s="52">
        <v>1.6190480000000001E-3</v>
      </c>
      <c r="Q27" s="52"/>
      <c r="R27" s="52">
        <v>5.8380950000000001E-2</v>
      </c>
      <c r="S27" s="52">
        <v>0.24054239999999999</v>
      </c>
      <c r="T27" s="49">
        <v>0.99478909999999998</v>
      </c>
      <c r="U27" s="49">
        <v>5.2381620000000002E-3</v>
      </c>
      <c r="V27" s="51">
        <v>11.4544</v>
      </c>
    </row>
    <row r="28" spans="1:22" x14ac:dyDescent="0.15">
      <c r="A28" s="5">
        <v>24</v>
      </c>
      <c r="B28" s="6" t="s">
        <v>32</v>
      </c>
      <c r="C28" s="52">
        <v>0.59176340000000005</v>
      </c>
      <c r="D28" s="52">
        <v>2.5000000000000001E-3</v>
      </c>
      <c r="E28" s="52">
        <v>0.28731040000000002</v>
      </c>
      <c r="F28" s="52">
        <v>3.2935149999999998E-4</v>
      </c>
      <c r="G28" s="52"/>
      <c r="H28" s="52">
        <v>1.9670650000000001E-2</v>
      </c>
      <c r="I28" s="52">
        <v>2.3381400000000001</v>
      </c>
      <c r="J28" s="49">
        <v>0.99749989999999999</v>
      </c>
      <c r="K28" s="49">
        <v>2.506266E-3</v>
      </c>
      <c r="L28" s="51">
        <v>7.9799990000000003</v>
      </c>
      <c r="M28" s="52">
        <v>0.19618550000000001</v>
      </c>
      <c r="N28" s="52">
        <v>2.9641929999999999E-3</v>
      </c>
      <c r="O28" s="52">
        <v>0.28731040000000002</v>
      </c>
      <c r="P28" s="52">
        <v>8.3913040000000003E-4</v>
      </c>
      <c r="Q28" s="52"/>
      <c r="R28" s="52">
        <v>1.916087E-2</v>
      </c>
      <c r="S28" s="52">
        <v>0.77362799999999998</v>
      </c>
      <c r="T28" s="49">
        <v>0.99703580000000003</v>
      </c>
      <c r="U28" s="49">
        <v>2.9730049999999999E-3</v>
      </c>
      <c r="V28" s="51">
        <v>6.7271999999999998</v>
      </c>
    </row>
    <row r="29" spans="1:22" ht="15" thickBot="1" x14ac:dyDescent="0.2">
      <c r="A29" s="21">
        <v>25</v>
      </c>
      <c r="B29" s="22" t="s">
        <v>33</v>
      </c>
      <c r="C29" s="53"/>
      <c r="D29" s="53"/>
      <c r="E29" s="53">
        <v>0.4772421</v>
      </c>
      <c r="F29" s="53"/>
      <c r="G29" s="53"/>
      <c r="H29" s="53"/>
      <c r="I29" s="53"/>
      <c r="J29" s="12"/>
      <c r="K29" s="12"/>
      <c r="L29" s="13"/>
      <c r="M29" s="53"/>
      <c r="N29" s="53"/>
      <c r="O29" s="53">
        <v>0.23004369999999999</v>
      </c>
      <c r="P29" s="53"/>
      <c r="Q29" s="53"/>
      <c r="R29" s="53"/>
      <c r="S29" s="53"/>
      <c r="T29" s="12"/>
      <c r="U29" s="12"/>
      <c r="V29" s="13"/>
    </row>
    <row r="30" spans="1:22" x14ac:dyDescent="0.15">
      <c r="C30" s="54"/>
      <c r="D30" s="55"/>
      <c r="E30" s="55"/>
      <c r="F30" s="55"/>
      <c r="G30" s="55"/>
      <c r="H30" s="55"/>
      <c r="I30" s="54"/>
    </row>
  </sheetData>
  <mergeCells count="12">
    <mergeCell ref="P3:R3"/>
    <mergeCell ref="S3:V3"/>
    <mergeCell ref="A1:V1"/>
    <mergeCell ref="A2:B2"/>
    <mergeCell ref="C2:L2"/>
    <mergeCell ref="M2:V2"/>
    <mergeCell ref="A3:A4"/>
    <mergeCell ref="B3:B4"/>
    <mergeCell ref="C3:E3"/>
    <mergeCell ref="F3:H3"/>
    <mergeCell ref="I3:L3"/>
    <mergeCell ref="M3:O3"/>
  </mergeCells>
  <pageMargins left="0.7" right="0.7" top="0.75" bottom="0.75" header="0.3" footer="0.3"/>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 S1</vt:lpstr>
      <vt:lpstr>Table S2</vt:lpstr>
      <vt:lpstr>Table S3</vt:lpstr>
      <vt:lpstr>Table 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Saygu, Ismet</dc:creator>
  <cp:lastModifiedBy>Saygu, Ismet</cp:lastModifiedBy>
  <dcterms:created xsi:type="dcterms:W3CDTF">2025-02-12T12:04:55Z</dcterms:created>
  <dcterms:modified xsi:type="dcterms:W3CDTF">2025-03-28T10:20:23Z</dcterms:modified>
</cp:coreProperties>
</file>