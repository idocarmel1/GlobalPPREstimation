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f7e1e7840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4a5b609dceb4e82"/>
    <x:sheet xmlns:r="http://schemas.openxmlformats.org/officeDocument/2006/relationships" name="DC carbon" sheetId="2" r:id="R752bde81a67b4f13"/>
    <x:sheet xmlns:r="http://schemas.openxmlformats.org/officeDocument/2006/relationships" name="DC wet" sheetId="3" r:id="R59af24c670e447fb"/>
    <x:sheet xmlns:r="http://schemas.openxmlformats.org/officeDocument/2006/relationships" name="Label hypothesis" sheetId="4" r:id="Rf432c7d11cf847ca"/>
    <x:sheet xmlns:r="http://schemas.openxmlformats.org/officeDocument/2006/relationships" name="Carbon flows" sheetId="5" r:id="Re83ebaa580254e65"/>
    <x:sheet xmlns:r="http://schemas.openxmlformats.org/officeDocument/2006/relationships" name="Arrow ledger" sheetId="6" r:id="R18c88fd46b3c41f5"/>
    <x:sheet xmlns:r="http://schemas.openxmlformats.org/officeDocument/2006/relationships" name="Groups" sheetId="7" r:id="Rf094801cac424f58"/>
    <x:sheet xmlns:r="http://schemas.openxmlformats.org/officeDocument/2006/relationships" name="Budget checks" sheetId="8" r:id="R637299461f35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0.000%"/>
    <x:numFmt numFmtId="202" formatCode="0.000"/>
  </x:numFmts>
  <x:fonts count="7">
    <x:font>
      <x:sz val="11"/>
      <x:name val="Carlito"/>
    </x:font>
    <x:font>
      <x:sz val="11"/>
      <x:color rgb="FF21343B"/>
      <x:name val="Arial"/>
    </x:font>
    <x:font>
      <x:b/>
      <x:sz val="17"/>
      <x:color rgb="FFFFFFFF"/>
      <x:name val="Arial"/>
    </x:font>
    <x:font>
      <x:b/>
      <x:sz val="11"/>
      <x:color rgb="FF21343B"/>
      <x:name val="Arial"/>
    </x:font>
    <x:font>
      <x:sz val="10"/>
      <x:color rgb="FF53676E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D4C"/>
      </x:patternFill>
    </x:fill>
    <x:fill>
      <x:patternFill patternType="solid">
        <x:fgColor rgb="FFFFF0CC"/>
      </x:patternFill>
    </x:fill>
    <x:fill>
      <x:patternFill patternType="solid">
        <x:fgColor rgb="FFFFFFFF"/>
      </x:patternFill>
    </x:fill>
    <x:fill>
      <x:patternFill patternType="solid">
        <x:fgColor rgb="FFE9F3F3"/>
      </x:patternFill>
    </x:fill>
    <x:fill>
      <x:patternFill patternType="solid">
        <x:fgColor rgb="FF176D72"/>
      </x:patternFill>
    </x:fill>
    <x:fill>
      <x:patternFill patternType="solid">
        <x:fgColor rgb="FFFCE3E3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6" fillId="2" borderId="0" xfId="0" applyNumberFormat="1" applyFont="1" applyFill="1" applyBorder="1" applyAlignment="1">
      <x:alignment wrapText="1"/>
    </x:xf>
    <x:xf numFmtId="200" fontId="1" fillId="7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6" fillId="2" borderId="0" xfId="0" applyNumberFormat="1" applyFont="1" applyFill="1" applyBorder="1" applyAlignment="1">
      <x:alignment wrapText="1"/>
    </x:xf>
    <x:xf numFmtId="201" fontId="1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wrapText="1"/>
    </x:xf>
    <x:xf numFmtId="202" fontId="1" fillId="3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0" fontId="1" fillId="7" borderId="0" xfId="0" applyNumberFormat="1" applyFont="1" applyFill="1" applyBorder="1"/>
    <x:xf numFmtId="202" fontId="1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d405a4841460c" /><Relationship Type="http://schemas.openxmlformats.org/officeDocument/2006/relationships/theme" Target="/xl/theme/theme1.xml" Id="Rd487676e4dd54694" /><Relationship Type="http://schemas.openxmlformats.org/officeDocument/2006/relationships/sharedStrings" Target="/xl/sharedStrings.xml" Id="Rb9095b80d165448d" /><Relationship Type="http://schemas.openxmlformats.org/officeDocument/2006/relationships/worksheet" Target="/xl/worksheets/sheet1.xml" Id="R14a5b609dceb4e82" /><Relationship Type="http://schemas.openxmlformats.org/officeDocument/2006/relationships/worksheet" Target="/xl/worksheets/sheet2.xml" Id="R752bde81a67b4f13" /><Relationship Type="http://schemas.openxmlformats.org/officeDocument/2006/relationships/worksheet" Target="/xl/worksheets/sheet3.xml" Id="R59af24c670e447fb" /><Relationship Type="http://schemas.openxmlformats.org/officeDocument/2006/relationships/worksheet" Target="/xl/worksheets/sheet4.xml" Id="Rf432c7d11cf847ca" /><Relationship Type="http://schemas.openxmlformats.org/officeDocument/2006/relationships/worksheet" Target="/xl/worksheets/sheet5.xml" Id="Re83ebaa580254e65" /><Relationship Type="http://schemas.openxmlformats.org/officeDocument/2006/relationships/worksheet" Target="/xl/worksheets/sheet6.xml" Id="R18c88fd46b3c41f5" /><Relationship Type="http://schemas.openxmlformats.org/officeDocument/2006/relationships/worksheet" Target="/xl/worksheets/sheet7.xml" Id="Rf094801cac424f58" /><Relationship Type="http://schemas.openxmlformats.org/officeDocument/2006/relationships/worksheet" Target="/xl/worksheets/sheet8.xml" Id="R637299461f3547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6D72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3" t="str">
        <x:v>OKHOTSK · Figure 9 diet reconstruction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PROVISIONAL RESEARCH CANDIDATE — uncertain routes and unresolved labels; not ready for Ecopath balancing or SPPR/PPR.</x:v>
      </x:c>
      <x:c r="B2" s="6"/>
      <x:c r="C2" s="6"/>
      <x:c r="D2" s="6"/>
      <x:c r="E2" s="6"/>
      <x:c r="F2" s="6"/>
      <x:c r="G2" s="6"/>
      <x:c r="H2" s="6"/>
    </x:row>
    <x:row r="3" ht="25" customHeight="1">
      <x:c r="A3" s="6"/>
      <x:c r="B3" s="6"/>
      <x:c r="C3" s="6"/>
      <x:c r="D3" s="6"/>
      <x:c r="E3" s="6"/>
      <x:c r="F3" s="6"/>
      <x:c r="G3" s="6"/>
      <x:c r="H3" s="6"/>
    </x:row>
    <x:row r="4" ht="25" customHeight="1">
      <x:c r="A4" s="1"/>
      <x:c r="B4" s="1"/>
      <x:c r="C4" s="1"/>
      <x:c r="D4" s="1"/>
      <x:c r="E4" s="1"/>
      <x:c r="F4" s="1"/>
      <x:c r="G4" s="1"/>
      <x:c r="H4" s="1"/>
    </x:row>
    <x:row r="5" ht="35" customHeight="1">
      <x:c r="A5" s="10" t="str">
        <x:v>Scope</x:v>
      </x:c>
      <x:c r="B5" s="10"/>
      <x:c r="C5" s="9" t="str">
        <x:v>2000–2014 epipelagic community (0–200 m); 22 groups, 20 consumers.</x:v>
      </x:c>
      <x:c r="D5" s="9"/>
      <x:c r="E5" s="9"/>
      <x:c r="F5" s="9"/>
      <x:c r="G5" s="9"/>
      <x:c r="H5" s="9"/>
    </x:row>
    <x:row r="6" ht="35" customHeight="1">
      <x:c r="A6" s="14" t="str">
        <x:v>Source basis</x:v>
      </x:c>
      <x:c r="B6" s="14"/>
      <x:c r="C6" s="13" t="str">
        <x:v>Numeric labels are carbon consumption flows; box values are production.</x:v>
      </x:c>
      <x:c r="D6" s="13"/>
      <x:c r="E6" s="13"/>
      <x:c r="F6" s="13"/>
      <x:c r="G6" s="13"/>
      <x:c r="H6" s="13"/>
    </x:row>
    <x:row r="7" ht="35" customHeight="1">
      <x:c r="A7" s="10" t="str">
        <x:v>Zero rule</x:v>
      </x:c>
      <x:c r="B7" s="10"/>
      <x:c r="C7" s="9" t="str">
        <x:v>Missing displayed feeding arrows = zero, as instructed. Other unknown parameters remain unknown.</x:v>
      </x:c>
      <x:c r="D7" s="9"/>
      <x:c r="E7" s="9"/>
      <x:c r="F7" s="9"/>
      <x:c r="G7" s="9"/>
      <x:c r="H7" s="9"/>
    </x:row>
    <x:row r="8" ht="35" customHeight="1">
      <x:c r="A8" s="14" t="str">
        <x:v>Readable labels</x:v>
      </x:c>
      <x:c r="B8" s="14"/>
      <x:c r="C8" s="13" t="str">
        <x:v>78 readings: 43 clearly traced routes, 33 tentative routes, 2 overprinted labels.</x:v>
      </x:c>
      <x:c r="D8" s="13"/>
      <x:c r="E8" s="13"/>
      <x:c r="F8" s="13"/>
      <x:c r="G8" s="13"/>
      <x:c r="H8" s="13"/>
    </x:row>
    <x:row r="9" ht="35" customHeight="1">
      <x:c r="A9" s="10" t="str">
        <x:v>DC carbon</x:v>
      </x:c>
      <x:c r="B9" s="10"/>
      <x:c r="C9" s="9" t="str">
        <x:v>19/20 columns numerically complete under the adopted routes; 1 column unresolved.</x:v>
      </x:c>
      <x:c r="D9" s="9"/>
      <x:c r="E9" s="9"/>
      <x:c r="F9" s="9"/>
      <x:c r="G9" s="9"/>
      <x:c r="H9" s="9"/>
    </x:row>
    <x:row r="10" ht="35" customHeight="1">
      <x:c r="A10" s="14" t="str">
        <x:v>DC wet</x:v>
      </x:c>
      <x:c r="B10" s="14"/>
      <x:c r="C10" s="13" t="str">
        <x:v>16/20 columns numerically complete; microbial conversions and whale labels are missing.</x:v>
      </x:c>
      <x:c r="D10" s="13"/>
      <x:c r="E10" s="13"/>
      <x:c r="F10" s="13"/>
      <x:c r="G10" s="13"/>
      <x:c r="H10" s="13"/>
    </x:row>
    <x:row r="11" ht="35" customHeight="1">
      <x:c r="A11" s="10" t="str">
        <x:v>Label hypothesis</x:v>
      </x:c>
      <x:c r="B11" s="10"/>
      <x:c r="C11" s="9" t="str">
        <x:v>Illustrative only: assumes F62 = 0.023 and F67 = 0.05 million tC/year.</x:v>
      </x:c>
      <x:c r="D11" s="9"/>
      <x:c r="E11" s="9"/>
      <x:c r="F11" s="9"/>
      <x:c r="G11" s="9"/>
      <x:c r="H11" s="9"/>
    </x:row>
    <x:row r="12" ht="44" customHeight="1">
      <x:c r="A12" s="14" t="str">
        <x:v>Normalization</x:v>
      </x:c>
      <x:c r="B12" s="14"/>
      <x:c r="C12" s="13" t="str">
        <x:v>Each consumer column = prey flow / sum of all its incoming flows; no rounding of stored values.</x:v>
      </x:c>
      <x:c r="D12" s="13"/>
      <x:c r="E12" s="13"/>
      <x:c r="F12" s="13"/>
      <x:c r="G12" s="13"/>
      <x:c r="H12" s="13"/>
    </x:row>
    <x:row r="13" ht="35" customHeight="1">
      <x:c r="A13" s="10" t="str">
        <x:v>Wet conversion</x:v>
      </x:c>
      <x:c r="B13" s="10"/>
      <x:c r="C13" s="9" t="str">
        <x:v>Convert each prey flow with its own Table 3 wet/C factor before normalization.</x:v>
      </x:c>
      <x:c r="D13" s="9"/>
      <x:c r="E13" s="9"/>
      <x:c r="F13" s="9"/>
      <x:c r="G13" s="9"/>
      <x:c r="H13" s="9"/>
    </x:row>
    <x:row r="14" ht="35" customHeight="1">
      <x:c r="A14" s="14" t="str">
        <x:v>Bacteria</x:v>
      </x:c>
      <x:c r="B14" s="14"/>
      <x:c r="C14" s="13" t="str">
        <x:v>A single detritus prey yields DC = 1 even though its wet consumption and Q/B remain unknown.</x:v>
      </x:c>
      <x:c r="D14" s="13"/>
      <x:c r="E14" s="13"/>
      <x:c r="F14" s="13"/>
      <x:c r="G14" s="13"/>
      <x:c r="H14" s="13"/>
    </x:row>
    <x:row r="15" ht="35" customHeight="1">
      <x:c r="A15" s="10" t="str">
        <x:v>Balance</x:v>
      </x:c>
      <x:c r="B15" s="10"/>
      <x:c r="C15" s="9" t="str">
        <x:v>Energy and predation checks fail. Column sums of 1 do not establish biological consistency.</x:v>
      </x:c>
      <x:c r="D15" s="9"/>
      <x:c r="E15" s="9"/>
      <x:c r="F15" s="9"/>
      <x:c r="G15" s="9"/>
      <x:c r="H15" s="9"/>
    </x:row>
    <x:row r="16" ht="35" customHeight="1">
      <x:c r="A16" s="14" t="str">
        <x:v>Review first</x:v>
      </x:c>
      <x:c r="B16" s="14"/>
      <x:c r="C16" s="13" t="str">
        <x:v>Arrow ledger: amber routes are hypotheses; red readings are unresolved.</x:v>
      </x:c>
      <x:c r="D16" s="13"/>
      <x:c r="E16" s="13"/>
      <x:c r="F16" s="13"/>
      <x:c r="G16" s="13"/>
      <x:c r="H16" s="13"/>
    </x:row>
    <x:row r="17" ht="44" customHeight="1">
      <x:c r="A17" s="10" t="str">
        <x:v>Raw converter</x:v>
      </x:c>
      <x:c r="B17" s="10"/>
      <x:c r="C17" s="9" t="str">
        <x:v>The native converter dropped 3 groups and misclassified 3 consumers. Its output is rejected.</x:v>
      </x:c>
      <x:c r="D17" s="9"/>
      <x:c r="E17" s="9"/>
      <x:c r="F17" s="9"/>
      <x:c r="G17" s="9"/>
      <x:c r="H17" s="9"/>
    </x:row>
    <x:row r="18" ht="35" customHeight="1">
      <x:c r="A18" s="14" t="str">
        <x:v>Preserved candidate</x:v>
      </x:c>
      <x:c r="B18" s="14"/>
      <x:c r="C18" s="13" t="str">
        <x:v>model.json keeps all 22 groups and unknowns; its status is BLOCKED, not a selected model.</x:v>
      </x:c>
      <x:c r="D18" s="13"/>
      <x:c r="E18" s="13"/>
      <x:c r="F18" s="13"/>
      <x:c r="G18" s="13"/>
      <x:c r="H18" s="13"/>
    </x:row>
    <x:row r="19" ht="35" customHeight="1">
      <x:c r="A19" s="10" t="str">
        <x:v>Files</x:v>
      </x:c>
      <x:c r="B19" s="10"/>
      <x:c r="C19" s="9" t="str">
        <x:v>Original PDFs: ../../papers/OKH-GM2019; figure crop, per-cell provenance and checks: audit/.</x:v>
      </x:c>
      <x:c r="D19" s="9"/>
      <x:c r="E19" s="9"/>
      <x:c r="F19" s="9"/>
      <x:c r="G19" s="9"/>
      <x:c r="H19" s="9"/>
    </x:row>
    <x:row r="20" ht="35" customHeight="1">
      <x:c r="A20" s="14" t="str">
        <x:v>No integration</x:v>
      </x:c>
      <x:c r="B20" s="14"/>
      <x:c r="C20" s="13" t="str">
        <x:v>Selected model, validation DOCX, map and regional workbook are unchanged.</x:v>
      </x:c>
      <x:c r="D20" s="13"/>
      <x:c r="E20" s="13"/>
      <x:c r="F20" s="13"/>
      <x:c r="G20" s="13"/>
      <x:c r="H20" s="13"/>
    </x:row>
    <x:row r="21" ht="35" customHeight="1">
      <x:c r="A21" s="10" t="str">
        <x:v>Display</x:v>
      </x:c>
      <x:c r="B21" s="10"/>
      <x:c r="C21" s="9" t="str">
        <x:v>Percentages display 3 decimals. A displayed 0.000% may be a small positive value.</x:v>
      </x:c>
      <x:c r="D21" s="9"/>
      <x:c r="E21" s="9"/>
      <x:c r="F21" s="9"/>
      <x:c r="G21" s="9"/>
      <x:c r="H21" s="9"/>
    </x:row>
    <x:row r="22" ht="35" customHeight="1">
      <x:c r="A22" s="14" t="str">
        <x:v>Reproduction</x:v>
      </x:c>
      <x:c r="B22" s="14"/>
      <x:c r="C22" s="13" t="str">
        <x:v>python reconstruct.py; node audit/build_review.mjs; python finalize_package.py.</x:v>
      </x:c>
      <x:c r="D22" s="13"/>
      <x:c r="E22" s="13"/>
      <x:c r="F22" s="13"/>
      <x:c r="G22" s="13"/>
      <x:c r="H22" s="13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</x:row>
  </x:sheetData>
  <x:mergeCells>
    <x:mergeCell ref="A1:H1"/>
    <x:mergeCell ref="A2:H3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4:B14"/>
    <x:mergeCell ref="C14:H14"/>
    <x:mergeCell ref="A15:B15"/>
    <x:mergeCell ref="C15:H15"/>
    <x:mergeCell ref="A16:B16"/>
    <x:mergeCell ref="C16:H16"/>
    <x:mergeCell ref="A17:B17"/>
    <x:mergeCell ref="C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2:B22"/>
    <x:mergeCell ref="C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6D72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" hidden="0" customWidth="1"/>
    <x:col min="2" max="2" width="3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34" customHeight="1">
      <x:c r="A1" s="3" t="str">
        <x:v>Diet composition · carbon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5" customHeight="1">
      <x:c r="A2" s="6" t="str">
        <x:v>19/20 numerically complete columns. The baleen-whale column is unresolved. Read the Arrow ledger before using these diets.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3" ht="2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</x:row>
    <x:row r="4" ht="25" customHeight="1">
      <x:c r="A4" s="15" t="str">
        <x:v>Columns = consumers; rows = prey. All numeric columns remain provisional because 33 endpoint assignments are tentative.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60" customHeight="1">
      <x:c r="A6" s="19" t="str">
        <x:v>ID</x:v>
      </x:c>
      <x:c r="B6" s="19" t="str">
        <x:v>Prey</x:v>
      </x:c>
      <x:c r="C6" s="19" t="str">
        <x:v>2 Bacteria</x:v>
      </x:c>
      <x:c r="D6" s="19" t="str">
        <x:v>3 Protozoa</x:v>
      </x:c>
      <x:c r="E6" s="19" t="str">
        <x:v>4 Copepods</x:v>
      </x:c>
      <x:c r="F6" s="19" t="str">
        <x:v>5 Euphausiids</x:v>
      </x:c>
      <x:c r="G6" s="19" t="str">
        <x:v>6 Hyperiids</x:v>
      </x:c>
      <x:c r="H6" s="19" t="str">
        <x:v>7 Chaetognaths</x:v>
      </x:c>
      <x:c r="I6" s="19" t="str">
        <x:v>8 Salmon</x:v>
      </x:c>
      <x:c r="J6" s="19" t="str">
        <x:v>9 Squid III</x:v>
      </x:c>
      <x:c r="K6" s="19" t="str">
        <x:v>10 Herring</x:v>
      </x:c>
      <x:c r="L6" s="19" t="str">
        <x:v>11 Deep-sea smelt</x:v>
      </x:c>
      <x:c r="M6" s="19" t="str">
        <x:v>12 Pollock less than 30 cm</x:v>
      </x:c>
      <x:c r="N6" s="19" t="str">
        <x:v>13 Capelin</x:v>
      </x:c>
      <x:c r="O6" s="19" t="str">
        <x:v>14 Jellyfish</x:v>
      </x:c>
      <x:c r="P6" s="19" t="str">
        <x:v>15 Pollock 30-60 cm</x:v>
      </x:c>
      <x:c r="Q6" s="19" t="str">
        <x:v>16 Squid IV</x:v>
      </x:c>
      <x:c r="R6" s="19" t="str">
        <x:v>17 Predatory salmon</x:v>
      </x:c>
      <x:c r="S6" s="19" t="str">
        <x:v>18 Baleen whales</x:v>
      </x:c>
      <x:c r="T6" s="19" t="str">
        <x:v>19 Pollock greater than 60 cm</x:v>
      </x:c>
      <x:c r="U6" s="19" t="str">
        <x:v>20 Predatory fish</x:v>
      </x:c>
      <x:c r="V6" s="19" t="str">
        <x:v>21 Predatory mammals</x:v>
      </x:c>
    </x:row>
    <x:row r="7" ht="25" customHeight="1">
      <x:c r="A7" s="11" t="n">
        <x:v>1</x:v>
      </x:c>
      <x:c r="B7" s="11" t="str">
        <x:v>Phytoplankton</x:v>
      </x:c>
      <x:c r="C7" s="26" t="n">
        <x:f>IF('Carbon flows'!C7=0,0,IF(ISNUMBER('Carbon flows'!C$30),'Carbon flows'!C7/'Carbon flows'!C$30,"n.a."))</x:f>
        <x:v>0</x:v>
      </x:c>
      <x:c r="D7" s="26" t="n">
        <x:f>IF('Carbon flows'!D7=0,0,IF(ISNUMBER('Carbon flows'!D$30),'Carbon flows'!D7/'Carbon flows'!D$30,"n.a."))</x:f>
        <x:v>0.6944444444444444</x:v>
      </x:c>
      <x:c r="E7" s="26" t="n">
        <x:f>IF('Carbon flows'!E7=0,0,IF(ISNUMBER('Carbon flows'!E$30),'Carbon flows'!E7/'Carbon flows'!E$30,"n.a."))</x:f>
        <x:v>0.6420454545454546</x:v>
      </x:c>
      <x:c r="F7" s="26" t="n">
        <x:f>IF('Carbon flows'!F7=0,0,IF(ISNUMBER('Carbon flows'!F$30),'Carbon flows'!F7/'Carbon flows'!F$30,"n.a."))</x:f>
        <x:v>0.6551724137931034</x:v>
      </x:c>
      <x:c r="G7" s="26" t="n">
        <x:f>IF('Carbon flows'!G7=0,0,IF(ISNUMBER('Carbon flows'!G$30),'Carbon flows'!G7/'Carbon flows'!G$30,"n.a."))</x:f>
        <x:v>0</x:v>
      </x:c>
      <x:c r="H7" s="26" t="n">
        <x:f>IF('Carbon flows'!H7=0,0,IF(ISNUMBER('Carbon flows'!H$30),'Carbon flows'!H7/'Carbon flows'!H$30,"n.a."))</x:f>
        <x:v>0</x:v>
      </x:c>
      <x:c r="I7" s="26" t="n">
        <x:f>IF('Carbon flows'!I7=0,0,IF(ISNUMBER('Carbon flows'!I$30),'Carbon flows'!I7/'Carbon flows'!I$30,"n.a."))</x:f>
        <x:v>0</x:v>
      </x:c>
      <x:c r="J7" s="26" t="n">
        <x:f>IF('Carbon flows'!J7=0,0,IF(ISNUMBER('Carbon flows'!J$30),'Carbon flows'!J7/'Carbon flows'!J$30,"n.a."))</x:f>
        <x:v>0</x:v>
      </x:c>
      <x:c r="K7" s="26" t="n">
        <x:f>IF('Carbon flows'!K7=0,0,IF(ISNUMBER('Carbon flows'!K$30),'Carbon flows'!K7/'Carbon flows'!K$30,"n.a."))</x:f>
        <x:v>0</x:v>
      </x:c>
      <x:c r="L7" s="26" t="n">
        <x:f>IF('Carbon flows'!L7=0,0,IF(ISNUMBER('Carbon flows'!L$30),'Carbon flows'!L7/'Carbon flows'!L$30,"n.a."))</x:f>
        <x:v>0</x:v>
      </x:c>
      <x:c r="M7" s="26" t="n">
        <x:f>IF('Carbon flows'!M7=0,0,IF(ISNUMBER('Carbon flows'!M$30),'Carbon flows'!M7/'Carbon flows'!M$30,"n.a."))</x:f>
        <x:v>0</x:v>
      </x:c>
      <x:c r="N7" s="26" t="n">
        <x:f>IF('Carbon flows'!N7=0,0,IF(ISNUMBER('Carbon flows'!N$30),'Carbon flows'!N7/'Carbon flows'!N$30,"n.a."))</x:f>
        <x:v>0</x:v>
      </x:c>
      <x:c r="O7" s="26" t="n">
        <x:f>IF('Carbon flows'!O7=0,0,IF(ISNUMBER('Carbon flows'!O$30),'Carbon flows'!O7/'Carbon flows'!O$30,"n.a."))</x:f>
        <x:v>0</x:v>
      </x:c>
      <x:c r="P7" s="26" t="n">
        <x:f>IF('Carbon flows'!P7=0,0,IF(ISNUMBER('Carbon flows'!P$30),'Carbon flows'!P7/'Carbon flows'!P$30,"n.a."))</x:f>
        <x:v>0</x:v>
      </x:c>
      <x:c r="Q7" s="26" t="n">
        <x:f>IF('Carbon flows'!Q7=0,0,IF(ISNUMBER('Carbon flows'!Q$30),'Carbon flows'!Q7/'Carbon flows'!Q$30,"n.a."))</x:f>
        <x:v>0</x:v>
      </x:c>
      <x:c r="R7" s="26" t="n">
        <x:f>IF('Carbon flows'!R7=0,0,IF(ISNUMBER('Carbon flows'!R$30),'Carbon flows'!R7/'Carbon flows'!R$30,"n.a."))</x:f>
        <x:v>0</x:v>
      </x:c>
      <x:c r="S7" s="26" t="n">
        <x:f>IF('Carbon flows'!S7=0,0,IF(ISNUMBER('Carbon flows'!S$30),'Carbon flows'!S7/'Carbon flows'!S$30,"n.a."))</x:f>
        <x:v>0</x:v>
      </x:c>
      <x:c r="T7" s="26" t="n">
        <x:f>IF('Carbon flows'!T7=0,0,IF(ISNUMBER('Carbon flows'!T$30),'Carbon flows'!T7/'Carbon flows'!T$30,"n.a."))</x:f>
        <x:v>0</x:v>
      </x:c>
      <x:c r="U7" s="26" t="n">
        <x:f>IF('Carbon flows'!U7=0,0,IF(ISNUMBER('Carbon flows'!U$30),'Carbon flows'!U7/'Carbon flows'!U$30,"n.a."))</x:f>
        <x:v>0</x:v>
      </x:c>
      <x:c r="V7" s="26" t="n">
        <x:f>IF('Carbon flows'!V7=0,0,IF(ISNUMBER('Carbon flows'!V$30),'Carbon flows'!V7/'Carbon flows'!V$30,"n.a."))</x:f>
        <x:v>0</x:v>
      </x:c>
    </x:row>
    <x:row r="8" ht="25" customHeight="1">
      <x:c r="A8" s="11" t="n">
        <x:v>2</x:v>
      </x:c>
      <x:c r="B8" s="11" t="str">
        <x:v>Bacteria</x:v>
      </x:c>
      <x:c r="C8" s="26" t="n">
        <x:f>IF('Carbon flows'!C8=0,0,IF(ISNUMBER('Carbon flows'!C$30),'Carbon flows'!C8/'Carbon flows'!C$30,"n.a."))</x:f>
        <x:v>0</x:v>
      </x:c>
      <x:c r="D8" s="26" t="n">
        <x:f>IF('Carbon flows'!D8=0,0,IF(ISNUMBER('Carbon flows'!D$30),'Carbon flows'!D8/'Carbon flows'!D$30,"n.a."))</x:f>
        <x:v>0.3055555555555556</x:v>
      </x:c>
      <x:c r="E8" s="26" t="n">
        <x:f>IF('Carbon flows'!E8=0,0,IF(ISNUMBER('Carbon flows'!E$30),'Carbon flows'!E8/'Carbon flows'!E$30,"n.a."))</x:f>
        <x:v>0.23863636363636365</x:v>
      </x:c>
      <x:c r="F8" s="26" t="n">
        <x:f>IF('Carbon flows'!F8=0,0,IF(ISNUMBER('Carbon flows'!F$30),'Carbon flows'!F8/'Carbon flows'!F$30,"n.a."))</x:f>
        <x:v>0.20689655172413793</x:v>
      </x:c>
      <x:c r="G8" s="26" t="n">
        <x:f>IF('Carbon flows'!G8=0,0,IF(ISNUMBER('Carbon flows'!G$30),'Carbon flows'!G8/'Carbon flows'!G$30,"n.a."))</x:f>
        <x:v>0</x:v>
      </x:c>
      <x:c r="H8" s="26" t="n">
        <x:f>IF('Carbon flows'!H8=0,0,IF(ISNUMBER('Carbon flows'!H$30),'Carbon flows'!H8/'Carbon flows'!H$30,"n.a."))</x:f>
        <x:v>0</x:v>
      </x:c>
      <x:c r="I8" s="26" t="n">
        <x:f>IF('Carbon flows'!I8=0,0,IF(ISNUMBER('Carbon flows'!I$30),'Carbon flows'!I8/'Carbon flows'!I$30,"n.a."))</x:f>
        <x:v>0</x:v>
      </x:c>
      <x:c r="J8" s="26" t="n">
        <x:f>IF('Carbon flows'!J8=0,0,IF(ISNUMBER('Carbon flows'!J$30),'Carbon flows'!J8/'Carbon flows'!J$30,"n.a."))</x:f>
        <x:v>0</x:v>
      </x:c>
      <x:c r="K8" s="26" t="n">
        <x:f>IF('Carbon flows'!K8=0,0,IF(ISNUMBER('Carbon flows'!K$30),'Carbon flows'!K8/'Carbon flows'!K$30,"n.a."))</x:f>
        <x:v>0</x:v>
      </x:c>
      <x:c r="L8" s="26" t="n">
        <x:f>IF('Carbon flows'!L8=0,0,IF(ISNUMBER('Carbon flows'!L$30),'Carbon flows'!L8/'Carbon flows'!L$30,"n.a."))</x:f>
        <x:v>0</x:v>
      </x:c>
      <x:c r="M8" s="26" t="n">
        <x:f>IF('Carbon flows'!M8=0,0,IF(ISNUMBER('Carbon flows'!M$30),'Carbon flows'!M8/'Carbon flows'!M$30,"n.a."))</x:f>
        <x:v>0</x:v>
      </x:c>
      <x:c r="N8" s="26" t="n">
        <x:f>IF('Carbon flows'!N8=0,0,IF(ISNUMBER('Carbon flows'!N$30),'Carbon flows'!N8/'Carbon flows'!N$30,"n.a."))</x:f>
        <x:v>0</x:v>
      </x:c>
      <x:c r="O8" s="26" t="n">
        <x:f>IF('Carbon flows'!O8=0,0,IF(ISNUMBER('Carbon flows'!O$30),'Carbon flows'!O8/'Carbon flows'!O$30,"n.a."))</x:f>
        <x:v>0</x:v>
      </x:c>
      <x:c r="P8" s="26" t="n">
        <x:f>IF('Carbon flows'!P8=0,0,IF(ISNUMBER('Carbon flows'!P$30),'Carbon flows'!P8/'Carbon flows'!P$30,"n.a."))</x:f>
        <x:v>0</x:v>
      </x:c>
      <x:c r="Q8" s="26" t="n">
        <x:f>IF('Carbon flows'!Q8=0,0,IF(ISNUMBER('Carbon flows'!Q$30),'Carbon flows'!Q8/'Carbon flows'!Q$30,"n.a."))</x:f>
        <x:v>0</x:v>
      </x:c>
      <x:c r="R8" s="26" t="n">
        <x:f>IF('Carbon flows'!R8=0,0,IF(ISNUMBER('Carbon flows'!R$30),'Carbon flows'!R8/'Carbon flows'!R$30,"n.a."))</x:f>
        <x:v>0</x:v>
      </x:c>
      <x:c r="S8" s="26" t="n">
        <x:f>IF('Carbon flows'!S8=0,0,IF(ISNUMBER('Carbon flows'!S$30),'Carbon flows'!S8/'Carbon flows'!S$30,"n.a."))</x:f>
        <x:v>0</x:v>
      </x:c>
      <x:c r="T8" s="26" t="n">
        <x:f>IF('Carbon flows'!T8=0,0,IF(ISNUMBER('Carbon flows'!T$30),'Carbon flows'!T8/'Carbon flows'!T$30,"n.a."))</x:f>
        <x:v>0</x:v>
      </x:c>
      <x:c r="U8" s="26" t="n">
        <x:f>IF('Carbon flows'!U8=0,0,IF(ISNUMBER('Carbon flows'!U$30),'Carbon flows'!U8/'Carbon flows'!U$30,"n.a."))</x:f>
        <x:v>0</x:v>
      </x:c>
      <x:c r="V8" s="26" t="n">
        <x:f>IF('Carbon flows'!V8=0,0,IF(ISNUMBER('Carbon flows'!V$30),'Carbon flows'!V8/'Carbon flows'!V$30,"n.a."))</x:f>
        <x:v>0</x:v>
      </x:c>
    </x:row>
    <x:row r="9" ht="25" customHeight="1">
      <x:c r="A9" s="11" t="n">
        <x:v>3</x:v>
      </x:c>
      <x:c r="B9" s="11" t="str">
        <x:v>Protozoa</x:v>
      </x:c>
      <x:c r="C9" s="26" t="n">
        <x:f>IF('Carbon flows'!C9=0,0,IF(ISNUMBER('Carbon flows'!C$30),'Carbon flows'!C9/'Carbon flows'!C$30,"n.a."))</x:f>
        <x:v>0</x:v>
      </x:c>
      <x:c r="D9" s="26" t="n">
        <x:f>IF('Carbon flows'!D9=0,0,IF(ISNUMBER('Carbon flows'!D$30),'Carbon flows'!D9/'Carbon flows'!D$30,"n.a."))</x:f>
        <x:v>0</x:v>
      </x:c>
      <x:c r="E9" s="26" t="n">
        <x:f>IF('Carbon flows'!E9=0,0,IF(ISNUMBER('Carbon flows'!E$30),'Carbon flows'!E9/'Carbon flows'!E$30,"n.a."))</x:f>
        <x:v>0.11931818181818182</x:v>
      </x:c>
      <x:c r="F9" s="26" t="n">
        <x:f>IF('Carbon flows'!F9=0,0,IF(ISNUMBER('Carbon flows'!F$30),'Carbon flows'!F9/'Carbon flows'!F$30,"n.a."))</x:f>
        <x:v>0.13793103448275862</x:v>
      </x:c>
      <x:c r="G9" s="26" t="n">
        <x:f>IF('Carbon flows'!G9=0,0,IF(ISNUMBER('Carbon flows'!G$30),'Carbon flows'!G9/'Carbon flows'!G$30,"n.a."))</x:f>
        <x:v>0</x:v>
      </x:c>
      <x:c r="H9" s="26" t="n">
        <x:f>IF('Carbon flows'!H9=0,0,IF(ISNUMBER('Carbon flows'!H$30),'Carbon flows'!H9/'Carbon flows'!H$30,"n.a."))</x:f>
        <x:v>0</x:v>
      </x:c>
      <x:c r="I9" s="26" t="n">
        <x:f>IF('Carbon flows'!I9=0,0,IF(ISNUMBER('Carbon flows'!I$30),'Carbon flows'!I9/'Carbon flows'!I$30,"n.a."))</x:f>
        <x:v>0</x:v>
      </x:c>
      <x:c r="J9" s="26" t="n">
        <x:f>IF('Carbon flows'!J9=0,0,IF(ISNUMBER('Carbon flows'!J$30),'Carbon flows'!J9/'Carbon flows'!J$30,"n.a."))</x:f>
        <x:v>0</x:v>
      </x:c>
      <x:c r="K9" s="26" t="n">
        <x:f>IF('Carbon flows'!K9=0,0,IF(ISNUMBER('Carbon flows'!K$30),'Carbon flows'!K9/'Carbon flows'!K$30,"n.a."))</x:f>
        <x:v>0</x:v>
      </x:c>
      <x:c r="L9" s="26" t="n">
        <x:f>IF('Carbon flows'!L9=0,0,IF(ISNUMBER('Carbon flows'!L$30),'Carbon flows'!L9/'Carbon flows'!L$30,"n.a."))</x:f>
        <x:v>0</x:v>
      </x:c>
      <x:c r="M9" s="26" t="n">
        <x:f>IF('Carbon flows'!M9=0,0,IF(ISNUMBER('Carbon flows'!M$30),'Carbon flows'!M9/'Carbon flows'!M$30,"n.a."))</x:f>
        <x:v>0</x:v>
      </x:c>
      <x:c r="N9" s="26" t="n">
        <x:f>IF('Carbon flows'!N9=0,0,IF(ISNUMBER('Carbon flows'!N$30),'Carbon flows'!N9/'Carbon flows'!N$30,"n.a."))</x:f>
        <x:v>0</x:v>
      </x:c>
      <x:c r="O9" s="26" t="n">
        <x:f>IF('Carbon flows'!O9=0,0,IF(ISNUMBER('Carbon flows'!O$30),'Carbon flows'!O9/'Carbon flows'!O$30,"n.a."))</x:f>
        <x:v>0</x:v>
      </x:c>
      <x:c r="P9" s="26" t="n">
        <x:f>IF('Carbon flows'!P9=0,0,IF(ISNUMBER('Carbon flows'!P$30),'Carbon flows'!P9/'Carbon flows'!P$30,"n.a."))</x:f>
        <x:v>0</x:v>
      </x:c>
      <x:c r="Q9" s="26" t="n">
        <x:f>IF('Carbon flows'!Q9=0,0,IF(ISNUMBER('Carbon flows'!Q$30),'Carbon flows'!Q9/'Carbon flows'!Q$30,"n.a."))</x:f>
        <x:v>0</x:v>
      </x:c>
      <x:c r="R9" s="26" t="n">
        <x:f>IF('Carbon flows'!R9=0,0,IF(ISNUMBER('Carbon flows'!R$30),'Carbon flows'!R9/'Carbon flows'!R$30,"n.a."))</x:f>
        <x:v>0</x:v>
      </x:c>
      <x:c r="S9" s="26" t="n">
        <x:f>IF('Carbon flows'!S9=0,0,IF(ISNUMBER('Carbon flows'!S$30),'Carbon flows'!S9/'Carbon flows'!S$30,"n.a."))</x:f>
        <x:v>0</x:v>
      </x:c>
      <x:c r="T9" s="26" t="n">
        <x:f>IF('Carbon flows'!T9=0,0,IF(ISNUMBER('Carbon flows'!T$30),'Carbon flows'!T9/'Carbon flows'!T$30,"n.a."))</x:f>
        <x:v>0</x:v>
      </x:c>
      <x:c r="U9" s="26" t="n">
        <x:f>IF('Carbon flows'!U9=0,0,IF(ISNUMBER('Carbon flows'!U$30),'Carbon flows'!U9/'Carbon flows'!U$30,"n.a."))</x:f>
        <x:v>0</x:v>
      </x:c>
      <x:c r="V9" s="26" t="n">
        <x:f>IF('Carbon flows'!V9=0,0,IF(ISNUMBER('Carbon flows'!V$30),'Carbon flows'!V9/'Carbon flows'!V$30,"n.a."))</x:f>
        <x:v>0</x:v>
      </x:c>
    </x:row>
    <x:row r="10" ht="25" customHeight="1">
      <x:c r="A10" s="11" t="n">
        <x:v>4</x:v>
      </x:c>
      <x:c r="B10" s="11" t="str">
        <x:v>Copepods</x:v>
      </x:c>
      <x:c r="C10" s="26" t="n">
        <x:f>IF('Carbon flows'!C10=0,0,IF(ISNUMBER('Carbon flows'!C$30),'Carbon flows'!C10/'Carbon flows'!C$30,"n.a."))</x:f>
        <x:v>0</x:v>
      </x:c>
      <x:c r="D10" s="26" t="n">
        <x:f>IF('Carbon flows'!D10=0,0,IF(ISNUMBER('Carbon flows'!D$30),'Carbon flows'!D10/'Carbon flows'!D$30,"n.a."))</x:f>
        <x:v>0</x:v>
      </x:c>
      <x:c r="E10" s="26" t="n">
        <x:f>IF('Carbon flows'!E10=0,0,IF(ISNUMBER('Carbon flows'!E$30),'Carbon flows'!E10/'Carbon flows'!E$30,"n.a."))</x:f>
        <x:v>0</x:v>
      </x:c>
      <x:c r="F10" s="26" t="n">
        <x:f>IF('Carbon flows'!F10=0,0,IF(ISNUMBER('Carbon flows'!F$30),'Carbon flows'!F10/'Carbon flows'!F$30,"n.a."))</x:f>
        <x:v>0</x:v>
      </x:c>
      <x:c r="G10" s="26" t="n">
        <x:f>IF('Carbon flows'!G10=0,0,IF(ISNUMBER('Carbon flows'!G$30),'Carbon flows'!G10/'Carbon flows'!G$30,"n.a."))</x:f>
        <x:v>0.9354323522701345</x:v>
      </x:c>
      <x:c r="H10" s="26" t="n">
        <x:f>IF('Carbon flows'!H10=0,0,IF(ISNUMBER('Carbon flows'!H$30),'Carbon flows'!H10/'Carbon flows'!H$30,"n.a."))</x:f>
        <x:v>0.9726120197425724</x:v>
      </x:c>
      <x:c r="I10" s="26" t="n">
        <x:f>IF('Carbon flows'!I10=0,0,IF(ISNUMBER('Carbon flows'!I$30),'Carbon flows'!I10/'Carbon flows'!I$30,"n.a."))</x:f>
        <x:v>0</x:v>
      </x:c>
      <x:c r="J10" s="26" t="n">
        <x:f>IF('Carbon flows'!J10=0,0,IF(ISNUMBER('Carbon flows'!J$30),'Carbon flows'!J10/'Carbon flows'!J$30,"n.a."))</x:f>
        <x:v>0</x:v>
      </x:c>
      <x:c r="K10" s="26" t="n">
        <x:f>IF('Carbon flows'!K10=0,0,IF(ISNUMBER('Carbon flows'!K$30),'Carbon flows'!K10/'Carbon flows'!K$30,"n.a."))</x:f>
        <x:v>0.3991291727140784</x:v>
      </x:c>
      <x:c r="L10" s="26" t="n">
        <x:f>IF('Carbon flows'!L10=0,0,IF(ISNUMBER('Carbon flows'!L$30),'Carbon flows'!L10/'Carbon flows'!L$30,"n.a."))</x:f>
        <x:v>0</x:v>
      </x:c>
      <x:c r="M10" s="26" t="n">
        <x:f>IF('Carbon flows'!M10=0,0,IF(ISNUMBER('Carbon flows'!M$30),'Carbon flows'!M10/'Carbon flows'!M$30,"n.a."))</x:f>
        <x:v>0.563984674329502</x:v>
      </x:c>
      <x:c r="N10" s="26" t="n">
        <x:f>IF('Carbon flows'!N10=0,0,IF(ISNUMBER('Carbon flows'!N$30),'Carbon flows'!N10/'Carbon flows'!N$30,"n.a."))</x:f>
        <x:v>0</x:v>
      </x:c>
      <x:c r="O10" s="26" t="n">
        <x:f>IF('Carbon flows'!O10=0,0,IF(ISNUMBER('Carbon flows'!O$30),'Carbon flows'!O10/'Carbon flows'!O$30,"n.a."))</x:f>
        <x:v>0</x:v>
      </x:c>
      <x:c r="P10" s="26" t="n">
        <x:f>IF('Carbon flows'!P10=0,0,IF(ISNUMBER('Carbon flows'!P$30),'Carbon flows'!P10/'Carbon flows'!P$30,"n.a."))</x:f>
        <x:v>0</x:v>
      </x:c>
      <x:c r="Q10" s="26" t="n">
        <x:f>IF('Carbon flows'!Q10=0,0,IF(ISNUMBER('Carbon flows'!Q$30),'Carbon flows'!Q10/'Carbon flows'!Q$30,"n.a."))</x:f>
        <x:v>0</x:v>
      </x:c>
      <x:c r="R10" s="26" t="n">
        <x:f>IF('Carbon flows'!R10=0,0,IF(ISNUMBER('Carbon flows'!R$30),'Carbon flows'!R10/'Carbon flows'!R$30,"n.a."))</x:f>
        <x:v>0</x:v>
      </x:c>
      <x:c r="S10" s="26" t="n">
        <x:f>IF('Carbon flows'!S10=0,0,IF(ISNUMBER('Carbon flows'!S$30),'Carbon flows'!S10/'Carbon flows'!S$30,"n.a."))</x:f>
        <x:v>0</x:v>
      </x:c>
      <x:c r="T10" s="26" t="n">
        <x:f>IF('Carbon flows'!T10=0,0,IF(ISNUMBER('Carbon flows'!T$30),'Carbon flows'!T10/'Carbon flows'!T$30,"n.a."))</x:f>
        <x:v>0</x:v>
      </x:c>
      <x:c r="U10" s="26" t="n">
        <x:f>IF('Carbon flows'!U10=0,0,IF(ISNUMBER('Carbon flows'!U$30),'Carbon flows'!U10/'Carbon flows'!U$30,"n.a."))</x:f>
        <x:v>0</x:v>
      </x:c>
      <x:c r="V10" s="26" t="n">
        <x:f>IF('Carbon flows'!V10=0,0,IF(ISNUMBER('Carbon flows'!V$30),'Carbon flows'!V10/'Carbon flows'!V$30,"n.a."))</x:f>
        <x:v>0</x:v>
      </x:c>
    </x:row>
    <x:row r="11" ht="25" customHeight="1">
      <x:c r="A11" s="11" t="n">
        <x:v>5</x:v>
      </x:c>
      <x:c r="B11" s="11" t="str">
        <x:v>Euphausiids</x:v>
      </x:c>
      <x:c r="C11" s="26" t="n">
        <x:f>IF('Carbon flows'!C11=0,0,IF(ISNUMBER('Carbon flows'!C$30),'Carbon flows'!C11/'Carbon flows'!C$30,"n.a."))</x:f>
        <x:v>0</x:v>
      </x:c>
      <x:c r="D11" s="26" t="n">
        <x:f>IF('Carbon flows'!D11=0,0,IF(ISNUMBER('Carbon flows'!D$30),'Carbon flows'!D11/'Carbon flows'!D$30,"n.a."))</x:f>
        <x:v>0</x:v>
      </x:c>
      <x:c r="E11" s="26" t="n">
        <x:f>IF('Carbon flows'!E11=0,0,IF(ISNUMBER('Carbon flows'!E$30),'Carbon flows'!E11/'Carbon flows'!E$30,"n.a."))</x:f>
        <x:v>0</x:v>
      </x:c>
      <x:c r="F11" s="26" t="n">
        <x:f>IF('Carbon flows'!F11=0,0,IF(ISNUMBER('Carbon flows'!F$30),'Carbon flows'!F11/'Carbon flows'!F$30,"n.a."))</x:f>
        <x:v>0</x:v>
      </x:c>
      <x:c r="G11" s="26" t="n">
        <x:f>IF('Carbon flows'!G11=0,0,IF(ISNUMBER('Carbon flows'!G$30),'Carbon flows'!G11/'Carbon flows'!G$30,"n.a."))</x:f>
        <x:v>0.06456764772986538</x:v>
      </x:c>
      <x:c r="H11" s="26" t="n">
        <x:f>IF('Carbon flows'!H11=0,0,IF(ISNUMBER('Carbon flows'!H$30),'Carbon flows'!H11/'Carbon flows'!H$30,"n.a."))</x:f>
        <x:v>0.027387980257427655</x:v>
      </x:c>
      <x:c r="I11" s="26" t="n">
        <x:f>IF('Carbon flows'!I11=0,0,IF(ISNUMBER('Carbon flows'!I$30),'Carbon flows'!I11/'Carbon flows'!I$30,"n.a."))</x:f>
        <x:v>0</x:v>
      </x:c>
      <x:c r="J11" s="26" t="n">
        <x:f>IF('Carbon flows'!J11=0,0,IF(ISNUMBER('Carbon flows'!J$30),'Carbon flows'!J11/'Carbon flows'!J$30,"n.a."))</x:f>
        <x:v>0.8265389860728182</x:v>
      </x:c>
      <x:c r="K11" s="26" t="n">
        <x:f>IF('Carbon flows'!K11=0,0,IF(ISNUMBER('Carbon flows'!K$30),'Carbon flows'!K11/'Carbon flows'!K$30,"n.a."))</x:f>
        <x:v>0.5442670537010159</x:v>
      </x:c>
      <x:c r="L11" s="26" t="n">
        <x:f>IF('Carbon flows'!L11=0,0,IF(ISNUMBER('Carbon flows'!L$30),'Carbon flows'!L11/'Carbon flows'!L$30,"n.a."))</x:f>
        <x:v>0.9707475622968581</x:v>
      </x:c>
      <x:c r="M11" s="26" t="n">
        <x:f>IF('Carbon flows'!M11=0,0,IF(ISNUMBER('Carbon flows'!M$30),'Carbon flows'!M11/'Carbon flows'!M$30,"n.a."))</x:f>
        <x:v>0.3846743295019157</x:v>
      </x:c>
      <x:c r="N11" s="26" t="n">
        <x:f>IF('Carbon flows'!N11=0,0,IF(ISNUMBER('Carbon flows'!N$30),'Carbon flows'!N11/'Carbon flows'!N$30,"n.a."))</x:f>
        <x:v>0.9478672985781991</x:v>
      </x:c>
      <x:c r="O11" s="26" t="n">
        <x:f>IF('Carbon flows'!O11=0,0,IF(ISNUMBER('Carbon flows'!O$30),'Carbon flows'!O11/'Carbon flows'!O$30,"n.a."))</x:f>
        <x:v>0</x:v>
      </x:c>
      <x:c r="P11" s="26" t="n">
        <x:f>IF('Carbon flows'!P11=0,0,IF(ISNUMBER('Carbon flows'!P$30),'Carbon flows'!P11/'Carbon flows'!P$30,"n.a."))</x:f>
        <x:v>0.7282236308568213</x:v>
      </x:c>
      <x:c r="Q11" s="26" t="n">
        <x:f>IF('Carbon flows'!Q11=0,0,IF(ISNUMBER('Carbon flows'!Q$30),'Carbon flows'!Q11/'Carbon flows'!Q$30,"n.a."))</x:f>
        <x:v>0</x:v>
      </x:c>
      <x:c r="R11" s="26" t="n">
        <x:f>IF('Carbon flows'!R11=0,0,IF(ISNUMBER('Carbon flows'!R$30),'Carbon flows'!R11/'Carbon flows'!R$30,"n.a."))</x:f>
        <x:v>0</x:v>
      </x:c>
      <x:c r="S11" s="28" t="str">
        <x:f>IF('Carbon flows'!S11=0,0,IF(ISNUMBER('Carbon flows'!S$30),'Carbon flows'!S11/'Carbon flows'!S$30,"n.a."))</x:f>
        <x:v>n.a.</x:v>
      </x:c>
      <x:c r="T11" s="26" t="n">
        <x:f>IF('Carbon flows'!T11=0,0,IF(ISNUMBER('Carbon flows'!T$30),'Carbon flows'!T11/'Carbon flows'!T$30,"n.a."))</x:f>
        <x:v>0.10738831615120274</x:v>
      </x:c>
      <x:c r="U11" s="26" t="n">
        <x:f>IF('Carbon flows'!U11=0,0,IF(ISNUMBER('Carbon flows'!U$30),'Carbon flows'!U11/'Carbon flows'!U$30,"n.a."))</x:f>
        <x:v>0</x:v>
      </x:c>
      <x:c r="V11" s="26" t="n">
        <x:f>IF('Carbon flows'!V11=0,0,IF(ISNUMBER('Carbon flows'!V$30),'Carbon flows'!V11/'Carbon flows'!V$30,"n.a."))</x:f>
        <x:v>0</x:v>
      </x:c>
    </x:row>
    <x:row r="12" ht="25" customHeight="1">
      <x:c r="A12" s="11" t="n">
        <x:v>6</x:v>
      </x:c>
      <x:c r="B12" s="11" t="str">
        <x:v>Hyperiids</x:v>
      </x:c>
      <x:c r="C12" s="26" t="n">
        <x:f>IF('Carbon flows'!C12=0,0,IF(ISNUMBER('Carbon flows'!C$30),'Carbon flows'!C12/'Carbon flows'!C$30,"n.a."))</x:f>
        <x:v>0</x:v>
      </x:c>
      <x:c r="D12" s="26" t="n">
        <x:f>IF('Carbon flows'!D12=0,0,IF(ISNUMBER('Carbon flows'!D$30),'Carbon flows'!D12/'Carbon flows'!D$30,"n.a."))</x:f>
        <x:v>0</x:v>
      </x:c>
      <x:c r="E12" s="26" t="n">
        <x:f>IF('Carbon flows'!E12=0,0,IF(ISNUMBER('Carbon flows'!E$30),'Carbon flows'!E12/'Carbon flows'!E$30,"n.a."))</x:f>
        <x:v>0</x:v>
      </x:c>
      <x:c r="F12" s="26" t="n">
        <x:f>IF('Carbon flows'!F12=0,0,IF(ISNUMBER('Carbon flows'!F$30),'Carbon flows'!F12/'Carbon flows'!F$30,"n.a."))</x:f>
        <x:v>0</x:v>
      </x:c>
      <x:c r="G12" s="26" t="n">
        <x:f>IF('Carbon flows'!G12=0,0,IF(ISNUMBER('Carbon flows'!G$30),'Carbon flows'!G12/'Carbon flows'!G$30,"n.a."))</x:f>
        <x:v>0</x:v>
      </x:c>
      <x:c r="H12" s="26" t="n">
        <x:f>IF('Carbon flows'!H12=0,0,IF(ISNUMBER('Carbon flows'!H$30),'Carbon flows'!H12/'Carbon flows'!H$30,"n.a."))</x:f>
        <x:v>0</x:v>
      </x:c>
      <x:c r="I12" s="26" t="n">
        <x:f>IF('Carbon flows'!I12=0,0,IF(ISNUMBER('Carbon flows'!I$30),'Carbon flows'!I12/'Carbon flows'!I$30,"n.a."))</x:f>
        <x:v>0.7523939808481532</x:v>
      </x:c>
      <x:c r="J12" s="26" t="n">
        <x:f>IF('Carbon flows'!J12=0,0,IF(ISNUMBER('Carbon flows'!J$30),'Carbon flows'!J12/'Carbon flows'!J$30,"n.a."))</x:f>
        <x:v>0.1546808673936274</x:v>
      </x:c>
      <x:c r="K12" s="26" t="n">
        <x:f>IF('Carbon flows'!K12=0,0,IF(ISNUMBER('Carbon flows'!K$30),'Carbon flows'!K12/'Carbon flows'!K$30,"n.a."))</x:f>
        <x:v>0.056603773584905655</x:v>
      </x:c>
      <x:c r="L12" s="26" t="n">
        <x:f>IF('Carbon flows'!L12=0,0,IF(ISNUMBER('Carbon flows'!L$30),'Carbon flows'!L12/'Carbon flows'!L$30,"n.a."))</x:f>
        <x:v>0.018418201516793065</x:v>
      </x:c>
      <x:c r="M12" s="26" t="n">
        <x:f>IF('Carbon flows'!M12=0,0,IF(ISNUMBER('Carbon flows'!M$30),'Carbon flows'!M12/'Carbon flows'!M$30,"n.a."))</x:f>
        <x:v>0.03524904214559387</x:v>
      </x:c>
      <x:c r="N12" s="26" t="n">
        <x:f>IF('Carbon flows'!N12=0,0,IF(ISNUMBER('Carbon flows'!N$30),'Carbon flows'!N12/'Carbon flows'!N$30,"n.a."))</x:f>
        <x:v>0.05213270142180095</x:v>
      </x:c>
      <x:c r="O12" s="26" t="n">
        <x:f>IF('Carbon flows'!O12=0,0,IF(ISNUMBER('Carbon flows'!O$30),'Carbon flows'!O12/'Carbon flows'!O$30,"n.a."))</x:f>
        <x:v>0.9108910891089108</x:v>
      </x:c>
      <x:c r="P12" s="26" t="n">
        <x:f>IF('Carbon flows'!P12=0,0,IF(ISNUMBER('Carbon flows'!P$30),'Carbon flows'!P12/'Carbon flows'!P$30,"n.a."))</x:f>
        <x:v>0.00228397411496003</x:v>
      </x:c>
      <x:c r="Q12" s="26" t="n">
        <x:f>IF('Carbon flows'!Q12=0,0,IF(ISNUMBER('Carbon flows'!Q$30),'Carbon flows'!Q12/'Carbon flows'!Q$30,"n.a."))</x:f>
        <x:v>0.13970588235294118</x:v>
      </x:c>
      <x:c r="R12" s="26" t="n">
        <x:f>IF('Carbon flows'!R12=0,0,IF(ISNUMBER('Carbon flows'!R$30),'Carbon flows'!R12/'Carbon flows'!R$30,"n.a."))</x:f>
        <x:v>0</x:v>
      </x:c>
      <x:c r="S12" s="26" t="n">
        <x:f>IF('Carbon flows'!S12=0,0,IF(ISNUMBER('Carbon flows'!S$30),'Carbon flows'!S12/'Carbon flows'!S$30,"n.a."))</x:f>
        <x:v>0</x:v>
      </x:c>
      <x:c r="T12" s="26" t="n">
        <x:f>IF('Carbon flows'!T12=0,0,IF(ISNUMBER('Carbon flows'!T$30),'Carbon flows'!T12/'Carbon flows'!T$30,"n.a."))</x:f>
        <x:v>0</x:v>
      </x:c>
      <x:c r="U12" s="26" t="n">
        <x:f>IF('Carbon flows'!U12=0,0,IF(ISNUMBER('Carbon flows'!U$30),'Carbon flows'!U12/'Carbon flows'!U$30,"n.a."))</x:f>
        <x:v>0.11694706606483381</x:v>
      </x:c>
      <x:c r="V12" s="26" t="n">
        <x:f>IF('Carbon flows'!V12=0,0,IF(ISNUMBER('Carbon flows'!V$30),'Carbon flows'!V12/'Carbon flows'!V$30,"n.a."))</x:f>
        <x:v>0</x:v>
      </x:c>
    </x:row>
    <x:row r="13" ht="25" customHeight="1">
      <x:c r="A13" s="11" t="n">
        <x:v>7</x:v>
      </x:c>
      <x:c r="B13" s="11" t="str">
        <x:v>Chaetognaths</x:v>
      </x:c>
      <x:c r="C13" s="26" t="n">
        <x:f>IF('Carbon flows'!C13=0,0,IF(ISNUMBER('Carbon flows'!C$30),'Carbon flows'!C13/'Carbon flows'!C$30,"n.a."))</x:f>
        <x:v>0</x:v>
      </x:c>
      <x:c r="D13" s="26" t="n">
        <x:f>IF('Carbon flows'!D13=0,0,IF(ISNUMBER('Carbon flows'!D$30),'Carbon flows'!D13/'Carbon flows'!D$30,"n.a."))</x:f>
        <x:v>0</x:v>
      </x:c>
      <x:c r="E13" s="26" t="n">
        <x:f>IF('Carbon flows'!E13=0,0,IF(ISNUMBER('Carbon flows'!E$30),'Carbon flows'!E13/'Carbon flows'!E$30,"n.a."))</x:f>
        <x:v>0</x:v>
      </x:c>
      <x:c r="F13" s="26" t="n">
        <x:f>IF('Carbon flows'!F13=0,0,IF(ISNUMBER('Carbon flows'!F$30),'Carbon flows'!F13/'Carbon flows'!F$30,"n.a."))</x:f>
        <x:v>0</x:v>
      </x:c>
      <x:c r="G13" s="26" t="n">
        <x:f>IF('Carbon flows'!G13=0,0,IF(ISNUMBER('Carbon flows'!G$30),'Carbon flows'!G13/'Carbon flows'!G$30,"n.a."))</x:f>
        <x:v>0</x:v>
      </x:c>
      <x:c r="H13" s="26" t="n">
        <x:f>IF('Carbon flows'!H13=0,0,IF(ISNUMBER('Carbon flows'!H$30),'Carbon flows'!H13/'Carbon flows'!H$30,"n.a."))</x:f>
        <x:v>0</x:v>
      </x:c>
      <x:c r="I13" s="26" t="n">
        <x:f>IF('Carbon flows'!I13=0,0,IF(ISNUMBER('Carbon flows'!I$30),'Carbon flows'!I13/'Carbon flows'!I$30,"n.a."))</x:f>
        <x:v>0.03419972640218878</x:v>
      </x:c>
      <x:c r="J13" s="26" t="n">
        <x:f>IF('Carbon flows'!J13=0,0,IF(ISNUMBER('Carbon flows'!J$30),'Carbon flows'!J13/'Carbon flows'!J$30,"n.a."))</x:f>
        <x:v>0.008855774850780195</x:v>
      </x:c>
      <x:c r="K13" s="26" t="n">
        <x:f>IF('Carbon flows'!K13=0,0,IF(ISNUMBER('Carbon flows'!K$30),'Carbon flows'!K13/'Carbon flows'!K$30,"n.a."))</x:f>
        <x:v>0</x:v>
      </x:c>
      <x:c r="L13" s="26" t="n">
        <x:f>IF('Carbon flows'!L13=0,0,IF(ISNUMBER('Carbon flows'!L$30),'Carbon flows'!L13/'Carbon flows'!L$30,"n.a."))</x:f>
        <x:v>0.010834236186348862</x:v>
      </x:c>
      <x:c r="M13" s="26" t="n">
        <x:f>IF('Carbon flows'!M13=0,0,IF(ISNUMBER('Carbon flows'!M$30),'Carbon flows'!M13/'Carbon flows'!M$30,"n.a."))</x:f>
        <x:v>0.0022988505747126436</x:v>
      </x:c>
      <x:c r="N13" s="26" t="n">
        <x:f>IF('Carbon flows'!N13=0,0,IF(ISNUMBER('Carbon flows'!N$30),'Carbon flows'!N13/'Carbon flows'!N$30,"n.a."))</x:f>
        <x:v>0</x:v>
      </x:c>
      <x:c r="O13" s="26" t="n">
        <x:f>IF('Carbon flows'!O13=0,0,IF(ISNUMBER('Carbon flows'!O$30),'Carbon flows'!O13/'Carbon flows'!O$30,"n.a."))</x:f>
        <x:v>0.0297029702970297</x:v>
      </x:c>
      <x:c r="P13" s="26" t="n">
        <x:f>IF('Carbon flows'!P13=0,0,IF(ISNUMBER('Carbon flows'!P$30),'Carbon flows'!P13/'Carbon flows'!P$30,"n.a."))</x:f>
        <x:v>0.015938167193525428</x:v>
      </x:c>
      <x:c r="Q13" s="26" t="n">
        <x:f>IF('Carbon flows'!Q13=0,0,IF(ISNUMBER('Carbon flows'!Q$30),'Carbon flows'!Q13/'Carbon flows'!Q$30,"n.a."))</x:f>
        <x:v>0</x:v>
      </x:c>
      <x:c r="R13" s="26" t="n">
        <x:f>IF('Carbon flows'!R13=0,0,IF(ISNUMBER('Carbon flows'!R$30),'Carbon flows'!R13/'Carbon flows'!R$30,"n.a."))</x:f>
        <x:v>0</x:v>
      </x:c>
      <x:c r="S13" s="26" t="n">
        <x:f>IF('Carbon flows'!S13=0,0,IF(ISNUMBER('Carbon flows'!S$30),'Carbon flows'!S13/'Carbon flows'!S$30,"n.a."))</x:f>
        <x:v>0</x:v>
      </x:c>
      <x:c r="T13" s="26" t="n">
        <x:f>IF('Carbon flows'!T13=0,0,IF(ISNUMBER('Carbon flows'!T$30),'Carbon flows'!T13/'Carbon flows'!T$30,"n.a."))</x:f>
        <x:v>0</x:v>
      </x:c>
      <x:c r="U13" s="26" t="n">
        <x:f>IF('Carbon flows'!U13=0,0,IF(ISNUMBER('Carbon flows'!U$30),'Carbon flows'!U13/'Carbon flows'!U$30,"n.a."))</x:f>
        <x:v>0</x:v>
      </x:c>
      <x:c r="V13" s="26" t="n">
        <x:f>IF('Carbon flows'!V13=0,0,IF(ISNUMBER('Carbon flows'!V$30),'Carbon flows'!V13/'Carbon flows'!V$30,"n.a."))</x:f>
        <x:v>0</x:v>
      </x:c>
    </x:row>
    <x:row r="14" ht="25" customHeight="1">
      <x:c r="A14" s="11" t="n">
        <x:v>8</x:v>
      </x:c>
      <x:c r="B14" s="11" t="str">
        <x:v>Salmon</x:v>
      </x:c>
      <x:c r="C14" s="26" t="n">
        <x:f>IF('Carbon flows'!C14=0,0,IF(ISNUMBER('Carbon flows'!C$30),'Carbon flows'!C14/'Carbon flows'!C$30,"n.a."))</x:f>
        <x:v>0</x:v>
      </x:c>
      <x:c r="D14" s="26" t="n">
        <x:f>IF('Carbon flows'!D14=0,0,IF(ISNUMBER('Carbon flows'!D$30),'Carbon flows'!D14/'Carbon flows'!D$30,"n.a."))</x:f>
        <x:v>0</x:v>
      </x:c>
      <x:c r="E14" s="26" t="n">
        <x:f>IF('Carbon flows'!E14=0,0,IF(ISNUMBER('Carbon flows'!E$30),'Carbon flows'!E14/'Carbon flows'!E$30,"n.a."))</x:f>
        <x:v>0</x:v>
      </x:c>
      <x:c r="F14" s="26" t="n">
        <x:f>IF('Carbon flows'!F14=0,0,IF(ISNUMBER('Carbon flows'!F$30),'Carbon flows'!F14/'Carbon flows'!F$30,"n.a."))</x:f>
        <x:v>0</x:v>
      </x:c>
      <x:c r="G14" s="26" t="n">
        <x:f>IF('Carbon flows'!G14=0,0,IF(ISNUMBER('Carbon flows'!G$30),'Carbon flows'!G14/'Carbon flows'!G$30,"n.a."))</x:f>
        <x:v>0</x:v>
      </x:c>
      <x:c r="H14" s="26" t="n">
        <x:f>IF('Carbon flows'!H14=0,0,IF(ISNUMBER('Carbon flows'!H$30),'Carbon flows'!H14/'Carbon flows'!H$30,"n.a."))</x:f>
        <x:v>0</x:v>
      </x:c>
      <x:c r="I14" s="26" t="n">
        <x:f>IF('Carbon flows'!I14=0,0,IF(ISNUMBER('Carbon flows'!I$30),'Carbon flows'!I14/'Carbon flows'!I$30,"n.a."))</x:f>
        <x:v>0</x:v>
      </x:c>
      <x:c r="J14" s="26" t="n">
        <x:f>IF('Carbon flows'!J14=0,0,IF(ISNUMBER('Carbon flows'!J$30),'Carbon flows'!J14/'Carbon flows'!J$30,"n.a."))</x:f>
        <x:v>0.001416923976124831</x:v>
      </x:c>
      <x:c r="K14" s="26" t="n">
        <x:f>IF('Carbon flows'!K14=0,0,IF(ISNUMBER('Carbon flows'!K$30),'Carbon flows'!K14/'Carbon flows'!K$30,"n.a."))</x:f>
        <x:v>0</x:v>
      </x:c>
      <x:c r="L14" s="26" t="n">
        <x:f>IF('Carbon flows'!L14=0,0,IF(ISNUMBER('Carbon flows'!L$30),'Carbon flows'!L14/'Carbon flows'!L$30,"n.a."))</x:f>
        <x:v>0</x:v>
      </x:c>
      <x:c r="M14" s="26" t="n">
        <x:f>IF('Carbon flows'!M14=0,0,IF(ISNUMBER('Carbon flows'!M$30),'Carbon flows'!M14/'Carbon flows'!M$30,"n.a."))</x:f>
        <x:v>0.013793103448275862</x:v>
      </x:c>
      <x:c r="N14" s="26" t="n">
        <x:f>IF('Carbon flows'!N14=0,0,IF(ISNUMBER('Carbon flows'!N$30),'Carbon flows'!N14/'Carbon flows'!N$30,"n.a."))</x:f>
        <x:v>0</x:v>
      </x:c>
      <x:c r="O14" s="26" t="n">
        <x:f>IF('Carbon flows'!O14=0,0,IF(ISNUMBER('Carbon flows'!O$30),'Carbon flows'!O14/'Carbon flows'!O$30,"n.a."))</x:f>
        <x:v>0</x:v>
      </x:c>
      <x:c r="P14" s="26" t="n">
        <x:f>IF('Carbon flows'!P14=0,0,IF(ISNUMBER('Carbon flows'!P$30),'Carbon flows'!P14/'Carbon flows'!P$30,"n.a."))</x:f>
        <x:v>0</x:v>
      </x:c>
      <x:c r="Q14" s="26" t="n">
        <x:f>IF('Carbon flows'!Q14=0,0,IF(ISNUMBER('Carbon flows'!Q$30),'Carbon flows'!Q14/'Carbon flows'!Q$30,"n.a."))</x:f>
        <x:v>0</x:v>
      </x:c>
      <x:c r="R14" s="26" t="n">
        <x:f>IF('Carbon flows'!R14=0,0,IF(ISNUMBER('Carbon flows'!R$30),'Carbon flows'!R14/'Carbon flows'!R$30,"n.a."))</x:f>
        <x:v>0</x:v>
      </x:c>
      <x:c r="S14" s="26" t="n">
        <x:f>IF('Carbon flows'!S14=0,0,IF(ISNUMBER('Carbon flows'!S$30),'Carbon flows'!S14/'Carbon flows'!S$30,"n.a."))</x:f>
        <x:v>0</x:v>
      </x:c>
      <x:c r="T14" s="26" t="n">
        <x:f>IF('Carbon flows'!T14=0,0,IF(ISNUMBER('Carbon flows'!T$30),'Carbon flows'!T14/'Carbon flows'!T$30,"n.a."))</x:f>
        <x:v>0</x:v>
      </x:c>
      <x:c r="U14" s="26" t="n">
        <x:f>IF('Carbon flows'!U14=0,0,IF(ISNUMBER('Carbon flows'!U$30),'Carbon flows'!U14/'Carbon flows'!U$30,"n.a."))</x:f>
        <x:v>0</x:v>
      </x:c>
      <x:c r="V14" s="26" t="n">
        <x:f>IF('Carbon flows'!V14=0,0,IF(ISNUMBER('Carbon flows'!V$30),'Carbon flows'!V14/'Carbon flows'!V$30,"n.a."))</x:f>
        <x:v>0.11708253358925143</x:v>
      </x:c>
    </x:row>
    <x:row r="15" ht="25" customHeight="1">
      <x:c r="A15" s="11" t="n">
        <x:v>9</x:v>
      </x:c>
      <x:c r="B15" s="11" t="str">
        <x:v>Squid III</x:v>
      </x:c>
      <x:c r="C15" s="26" t="n">
        <x:f>IF('Carbon flows'!C15=0,0,IF(ISNUMBER('Carbon flows'!C$30),'Carbon flows'!C15/'Carbon flows'!C$30,"n.a."))</x:f>
        <x:v>0</x:v>
      </x:c>
      <x:c r="D15" s="26" t="n">
        <x:f>IF('Carbon flows'!D15=0,0,IF(ISNUMBER('Carbon flows'!D$30),'Carbon flows'!D15/'Carbon flows'!D$30,"n.a."))</x:f>
        <x:v>0</x:v>
      </x:c>
      <x:c r="E15" s="26" t="n">
        <x:f>IF('Carbon flows'!E15=0,0,IF(ISNUMBER('Carbon flows'!E$30),'Carbon flows'!E15/'Carbon flows'!E$30,"n.a."))</x:f>
        <x:v>0</x:v>
      </x:c>
      <x:c r="F15" s="26" t="n">
        <x:f>IF('Carbon flows'!F15=0,0,IF(ISNUMBER('Carbon flows'!F$30),'Carbon flows'!F15/'Carbon flows'!F$30,"n.a."))</x:f>
        <x:v>0</x:v>
      </x:c>
      <x:c r="G15" s="26" t="n">
        <x:f>IF('Carbon flows'!G15=0,0,IF(ISNUMBER('Carbon flows'!G$30),'Carbon flows'!G15/'Carbon flows'!G$30,"n.a."))</x:f>
        <x:v>0</x:v>
      </x:c>
      <x:c r="H15" s="26" t="n">
        <x:f>IF('Carbon flows'!H15=0,0,IF(ISNUMBER('Carbon flows'!H$30),'Carbon flows'!H15/'Carbon flows'!H$30,"n.a."))</x:f>
        <x:v>0</x:v>
      </x:c>
      <x:c r="I15" s="26" t="n">
        <x:f>IF('Carbon flows'!I15=0,0,IF(ISNUMBER('Carbon flows'!I$30),'Carbon flows'!I15/'Carbon flows'!I$30,"n.a."))</x:f>
        <x:v>0.06292749658002736</x:v>
      </x:c>
      <x:c r="J15" s="26" t="n">
        <x:f>IF('Carbon flows'!J15=0,0,IF(ISNUMBER('Carbon flows'!J$30),'Carbon flows'!J15/'Carbon flows'!J$30,"n.a."))</x:f>
        <x:v>0</x:v>
      </x:c>
      <x:c r="K15" s="26" t="n">
        <x:f>IF('Carbon flows'!K15=0,0,IF(ISNUMBER('Carbon flows'!K$30),'Carbon flows'!K15/'Carbon flows'!K$30,"n.a."))</x:f>
        <x:v>0</x:v>
      </x:c>
      <x:c r="L15" s="26" t="n">
        <x:f>IF('Carbon flows'!L15=0,0,IF(ISNUMBER('Carbon flows'!L$30),'Carbon flows'!L15/'Carbon flows'!L$30,"n.a."))</x:f>
        <x:v>0</x:v>
      </x:c>
      <x:c r="M15" s="26" t="n">
        <x:f>IF('Carbon flows'!M15=0,0,IF(ISNUMBER('Carbon flows'!M$30),'Carbon flows'!M15/'Carbon flows'!M$30,"n.a."))</x:f>
        <x:v>0</x:v>
      </x:c>
      <x:c r="N15" s="26" t="n">
        <x:f>IF('Carbon flows'!N15=0,0,IF(ISNUMBER('Carbon flows'!N$30),'Carbon flows'!N15/'Carbon flows'!N$30,"n.a."))</x:f>
        <x:v>0</x:v>
      </x:c>
      <x:c r="O15" s="26" t="n">
        <x:f>IF('Carbon flows'!O15=0,0,IF(ISNUMBER('Carbon flows'!O$30),'Carbon flows'!O15/'Carbon flows'!O$30,"n.a."))</x:f>
        <x:v>0</x:v>
      </x:c>
      <x:c r="P15" s="26" t="n">
        <x:f>IF('Carbon flows'!P15=0,0,IF(ISNUMBER('Carbon flows'!P$30),'Carbon flows'!P15/'Carbon flows'!P$30,"n.a."))</x:f>
        <x:v>0</x:v>
      </x:c>
      <x:c r="Q15" s="26" t="n">
        <x:f>IF('Carbon flows'!Q15=0,0,IF(ISNUMBER('Carbon flows'!Q$30),'Carbon flows'!Q15/'Carbon flows'!Q$30,"n.a."))</x:f>
        <x:v>0.7205882352941176</x:v>
      </x:c>
      <x:c r="R15" s="26" t="n">
        <x:f>IF('Carbon flows'!R15=0,0,IF(ISNUMBER('Carbon flows'!R$30),'Carbon flows'!R15/'Carbon flows'!R$30,"n.a."))</x:f>
        <x:v>0.14645858343337334</x:v>
      </x:c>
      <x:c r="S15" s="28" t="str">
        <x:f>IF('Carbon flows'!S15=0,0,IF(ISNUMBER('Carbon flows'!S$30),'Carbon flows'!S15/'Carbon flows'!S$30,"n.a."))</x:f>
        <x:v>n.a.</x:v>
      </x:c>
      <x:c r="T15" s="26" t="n">
        <x:f>IF('Carbon flows'!T15=0,0,IF(ISNUMBER('Carbon flows'!T$30),'Carbon flows'!T15/'Carbon flows'!T$30,"n.a."))</x:f>
        <x:v>0</x:v>
      </x:c>
      <x:c r="U15" s="26" t="n">
        <x:f>IF('Carbon flows'!U15=0,0,IF(ISNUMBER('Carbon flows'!U$30),'Carbon flows'!U15/'Carbon flows'!U$30,"n.a."))</x:f>
        <x:v>0.08617152236356175</x:v>
      </x:c>
      <x:c r="V15" s="26" t="n">
        <x:f>IF('Carbon flows'!V15=0,0,IF(ISNUMBER('Carbon flows'!V$30),'Carbon flows'!V15/'Carbon flows'!V$30,"n.a."))</x:f>
        <x:v>0</x:v>
      </x:c>
    </x:row>
    <x:row r="16" ht="25" customHeight="1">
      <x:c r="A16" s="11" t="n">
        <x:v>10</x:v>
      </x:c>
      <x:c r="B16" s="11" t="str">
        <x:v>Herring</x:v>
      </x:c>
      <x:c r="C16" s="26" t="n">
        <x:f>IF('Carbon flows'!C16=0,0,IF(ISNUMBER('Carbon flows'!C$30),'Carbon flows'!C16/'Carbon flows'!C$30,"n.a."))</x:f>
        <x:v>0</x:v>
      </x:c>
      <x:c r="D16" s="26" t="n">
        <x:f>IF('Carbon flows'!D16=0,0,IF(ISNUMBER('Carbon flows'!D$30),'Carbon flows'!D16/'Carbon flows'!D$30,"n.a."))</x:f>
        <x:v>0</x:v>
      </x:c>
      <x:c r="E16" s="26" t="n">
        <x:f>IF('Carbon flows'!E16=0,0,IF(ISNUMBER('Carbon flows'!E$30),'Carbon flows'!E16/'Carbon flows'!E$30,"n.a."))</x:f>
        <x:v>0</x:v>
      </x:c>
      <x:c r="F16" s="26" t="n">
        <x:f>IF('Carbon flows'!F16=0,0,IF(ISNUMBER('Carbon flows'!F$30),'Carbon flows'!F16/'Carbon flows'!F$30,"n.a."))</x:f>
        <x:v>0</x:v>
      </x:c>
      <x:c r="G16" s="26" t="n">
        <x:f>IF('Carbon flows'!G16=0,0,IF(ISNUMBER('Carbon flows'!G$30),'Carbon flows'!G16/'Carbon flows'!G$30,"n.a."))</x:f>
        <x:v>0</x:v>
      </x:c>
      <x:c r="H16" s="26" t="n">
        <x:f>IF('Carbon flows'!H16=0,0,IF(ISNUMBER('Carbon flows'!H$30),'Carbon flows'!H16/'Carbon flows'!H$30,"n.a."))</x:f>
        <x:v>0</x:v>
      </x:c>
      <x:c r="I16" s="26" t="n">
        <x:f>IF('Carbon flows'!I16=0,0,IF(ISNUMBER('Carbon flows'!I$30),'Carbon flows'!I16/'Carbon flows'!I$30,"n.a."))</x:f>
        <x:v>0</x:v>
      </x:c>
      <x:c r="J16" s="26" t="n">
        <x:f>IF('Carbon flows'!J16=0,0,IF(ISNUMBER('Carbon flows'!J$30),'Carbon flows'!J16/'Carbon flows'!J$30,"n.a."))</x:f>
        <x:v>0</x:v>
      </x:c>
      <x:c r="K16" s="26" t="n">
        <x:f>IF('Carbon flows'!K16=0,0,IF(ISNUMBER('Carbon flows'!K$30),'Carbon flows'!K16/'Carbon flows'!K$30,"n.a."))</x:f>
        <x:v>0</x:v>
      </x:c>
      <x:c r="L16" s="26" t="n">
        <x:f>IF('Carbon flows'!L16=0,0,IF(ISNUMBER('Carbon flows'!L$30),'Carbon flows'!L16/'Carbon flows'!L$30,"n.a."))</x:f>
        <x:v>0</x:v>
      </x:c>
      <x:c r="M16" s="26" t="n">
        <x:f>IF('Carbon flows'!M16=0,0,IF(ISNUMBER('Carbon flows'!M$30),'Carbon flows'!M16/'Carbon flows'!M$30,"n.a."))</x:f>
        <x:v>0</x:v>
      </x:c>
      <x:c r="N16" s="26" t="n">
        <x:f>IF('Carbon flows'!N16=0,0,IF(ISNUMBER('Carbon flows'!N$30),'Carbon flows'!N16/'Carbon flows'!N$30,"n.a."))</x:f>
        <x:v>0</x:v>
      </x:c>
      <x:c r="O16" s="26" t="n">
        <x:f>IF('Carbon flows'!O16=0,0,IF(ISNUMBER('Carbon flows'!O$30),'Carbon flows'!O16/'Carbon flows'!O$30,"n.a."))</x:f>
        <x:v>0</x:v>
      </x:c>
      <x:c r="P16" s="26" t="n">
        <x:f>IF('Carbon flows'!P16=0,0,IF(ISNUMBER('Carbon flows'!P$30),'Carbon flows'!P16/'Carbon flows'!P$30,"n.a."))</x:f>
        <x:v>0.1363764254150047</x:v>
      </x:c>
      <x:c r="Q16" s="26" t="n">
        <x:f>IF('Carbon flows'!Q16=0,0,IF(ISNUMBER('Carbon flows'!Q$30),'Carbon flows'!Q16/'Carbon flows'!Q$30,"n.a."))</x:f>
        <x:v>0</x:v>
      </x:c>
      <x:c r="R16" s="26" t="n">
        <x:f>IF('Carbon flows'!R16=0,0,IF(ISNUMBER('Carbon flows'!R$30),'Carbon flows'!R16/'Carbon flows'!R$30,"n.a."))</x:f>
        <x:v>0</x:v>
      </x:c>
      <x:c r="S16" s="28" t="str">
        <x:f>IF('Carbon flows'!S16=0,0,IF(ISNUMBER('Carbon flows'!S$30),'Carbon flows'!S16/'Carbon flows'!S$30,"n.a."))</x:f>
        <x:v>n.a.</x:v>
      </x:c>
      <x:c r="T16" s="26" t="n">
        <x:f>IF('Carbon flows'!T16=0,0,IF(ISNUMBER('Carbon flows'!T$30),'Carbon flows'!T16/'Carbon flows'!T$30,"n.a."))</x:f>
        <x:v>0.002004581901489118</x:v>
      </x:c>
      <x:c r="U16" s="26" t="n">
        <x:f>IF('Carbon flows'!U16=0,0,IF(ISNUMBER('Carbon flows'!U$30),'Carbon flows'!U16/'Carbon flows'!U$30,"n.a."))</x:f>
        <x:v>0.4103405826836274</x:v>
      </x:c>
      <x:c r="V16" s="26" t="n">
        <x:f>IF('Carbon flows'!V16=0,0,IF(ISNUMBER('Carbon flows'!V$30),'Carbon flows'!V16/'Carbon flows'!V$30,"n.a."))</x:f>
        <x:v>0</x:v>
      </x:c>
    </x:row>
    <x:row r="17" ht="25" customHeight="1">
      <x:c r="A17" s="11" t="n">
        <x:v>11</x:v>
      </x:c>
      <x:c r="B17" s="11" t="str">
        <x:v>Deep-sea smelt</x:v>
      </x:c>
      <x:c r="C17" s="26" t="n">
        <x:f>IF('Carbon flows'!C17=0,0,IF(ISNUMBER('Carbon flows'!C$30),'Carbon flows'!C17/'Carbon flows'!C$30,"n.a."))</x:f>
        <x:v>0</x:v>
      </x:c>
      <x:c r="D17" s="26" t="n">
        <x:f>IF('Carbon flows'!D17=0,0,IF(ISNUMBER('Carbon flows'!D$30),'Carbon flows'!D17/'Carbon flows'!D$30,"n.a."))</x:f>
        <x:v>0</x:v>
      </x:c>
      <x:c r="E17" s="26" t="n">
        <x:f>IF('Carbon flows'!E17=0,0,IF(ISNUMBER('Carbon flows'!E$30),'Carbon flows'!E17/'Carbon flows'!E$30,"n.a."))</x:f>
        <x:v>0</x:v>
      </x:c>
      <x:c r="F17" s="26" t="n">
        <x:f>IF('Carbon flows'!F17=0,0,IF(ISNUMBER('Carbon flows'!F$30),'Carbon flows'!F17/'Carbon flows'!F$30,"n.a."))</x:f>
        <x:v>0</x:v>
      </x:c>
      <x:c r="G17" s="26" t="n">
        <x:f>IF('Carbon flows'!G17=0,0,IF(ISNUMBER('Carbon flows'!G$30),'Carbon flows'!G17/'Carbon flows'!G$30,"n.a."))</x:f>
        <x:v>0</x:v>
      </x:c>
      <x:c r="H17" s="26" t="n">
        <x:f>IF('Carbon flows'!H17=0,0,IF(ISNUMBER('Carbon flows'!H$30),'Carbon flows'!H17/'Carbon flows'!H$30,"n.a."))</x:f>
        <x:v>0</x:v>
      </x:c>
      <x:c r="I17" s="26" t="n">
        <x:f>IF('Carbon flows'!I17=0,0,IF(ISNUMBER('Carbon flows'!I$30),'Carbon flows'!I17/'Carbon flows'!I$30,"n.a."))</x:f>
        <x:v>0.15047879616963064</x:v>
      </x:c>
      <x:c r="J17" s="26" t="n">
        <x:f>IF('Carbon flows'!J17=0,0,IF(ISNUMBER('Carbon flows'!J$30),'Carbon flows'!J17/'Carbon flows'!J$30,"n.a."))</x:f>
        <x:v>0</x:v>
      </x:c>
      <x:c r="K17" s="26" t="n">
        <x:f>IF('Carbon flows'!K17=0,0,IF(ISNUMBER('Carbon flows'!K$30),'Carbon flows'!K17/'Carbon flows'!K$30,"n.a."))</x:f>
        <x:v>0</x:v>
      </x:c>
      <x:c r="L17" s="26" t="n">
        <x:f>IF('Carbon flows'!L17=0,0,IF(ISNUMBER('Carbon flows'!L$30),'Carbon flows'!L17/'Carbon flows'!L$30,"n.a."))</x:f>
        <x:v>0</x:v>
      </x:c>
      <x:c r="M17" s="26" t="n">
        <x:f>IF('Carbon flows'!M17=0,0,IF(ISNUMBER('Carbon flows'!M$30),'Carbon flows'!M17/'Carbon flows'!M$30,"n.a."))</x:f>
        <x:v>0</x:v>
      </x:c>
      <x:c r="N17" s="26" t="n">
        <x:f>IF('Carbon flows'!N17=0,0,IF(ISNUMBER('Carbon flows'!N$30),'Carbon flows'!N17/'Carbon flows'!N$30,"n.a."))</x:f>
        <x:v>0</x:v>
      </x:c>
      <x:c r="O17" s="26" t="n">
        <x:f>IF('Carbon flows'!O17=0,0,IF(ISNUMBER('Carbon flows'!O$30),'Carbon flows'!O17/'Carbon flows'!O$30,"n.a."))</x:f>
        <x:v>0.0594059405940594</x:v>
      </x:c>
      <x:c r="P17" s="26" t="n">
        <x:f>IF('Carbon flows'!P17=0,0,IF(ISNUMBER('Carbon flows'!P$30),'Carbon flows'!P17/'Carbon flows'!P$30,"n.a."))</x:f>
        <x:v>0.018867612254017643</x:v>
      </x:c>
      <x:c r="Q17" s="26" t="n">
        <x:f>IF('Carbon flows'!Q17=0,0,IF(ISNUMBER('Carbon flows'!Q$30),'Carbon flows'!Q17/'Carbon flows'!Q$30,"n.a."))</x:f>
        <x:v>0</x:v>
      </x:c>
      <x:c r="R17" s="26" t="n">
        <x:f>IF('Carbon flows'!R17=0,0,IF(ISNUMBER('Carbon flows'!R$30),'Carbon flows'!R17/'Carbon flows'!R$30,"n.a."))</x:f>
        <x:v>0.07202881152460984</x:v>
      </x:c>
      <x:c r="S17" s="28" t="str">
        <x:f>IF('Carbon flows'!S17=0,0,IF(ISNUMBER('Carbon flows'!S$30),'Carbon flows'!S17/'Carbon flows'!S$30,"n.a."))</x:f>
        <x:v>n.a.</x:v>
      </x:c>
      <x:c r="T17" s="26" t="n">
        <x:f>IF('Carbon flows'!T17=0,0,IF(ISNUMBER('Carbon flows'!T$30),'Carbon flows'!T17/'Carbon flows'!T$30,"n.a."))</x:f>
        <x:v>0</x:v>
      </x:c>
      <x:c r="U17" s="26" t="n">
        <x:f>IF('Carbon flows'!U17=0,0,IF(ISNUMBER('Carbon flows'!U$30),'Carbon flows'!U17/'Carbon flows'!U$30,"n.a."))</x:f>
        <x:v>0.02338941321296676</x:v>
      </x:c>
      <x:c r="V17" s="26" t="n">
        <x:f>IF('Carbon flows'!V17=0,0,IF(ISNUMBER('Carbon flows'!V$30),'Carbon flows'!V17/'Carbon flows'!V$30,"n.a."))</x:f>
        <x:v>0</x:v>
      </x:c>
    </x:row>
    <x:row r="18" ht="25" customHeight="1">
      <x:c r="A18" s="11" t="n">
        <x:v>12</x:v>
      </x:c>
      <x:c r="B18" s="11" t="str">
        <x:v>Pollock less than 30 cm</x:v>
      </x:c>
      <x:c r="C18" s="26" t="n">
        <x:f>IF('Carbon flows'!C18=0,0,IF(ISNUMBER('Carbon flows'!C$30),'Carbon flows'!C18/'Carbon flows'!C$30,"n.a."))</x:f>
        <x:v>0</x:v>
      </x:c>
      <x:c r="D18" s="26" t="n">
        <x:f>IF('Carbon flows'!D18=0,0,IF(ISNUMBER('Carbon flows'!D$30),'Carbon flows'!D18/'Carbon flows'!D$30,"n.a."))</x:f>
        <x:v>0</x:v>
      </x:c>
      <x:c r="E18" s="26" t="n">
        <x:f>IF('Carbon flows'!E18=0,0,IF(ISNUMBER('Carbon flows'!E$30),'Carbon flows'!E18/'Carbon flows'!E$30,"n.a."))</x:f>
        <x:v>0</x:v>
      </x:c>
      <x:c r="F18" s="26" t="n">
        <x:f>IF('Carbon flows'!F18=0,0,IF(ISNUMBER('Carbon flows'!F$30),'Carbon flows'!F18/'Carbon flows'!F$30,"n.a."))</x:f>
        <x:v>0</x:v>
      </x:c>
      <x:c r="G18" s="26" t="n">
        <x:f>IF('Carbon flows'!G18=0,0,IF(ISNUMBER('Carbon flows'!G$30),'Carbon flows'!G18/'Carbon flows'!G$30,"n.a."))</x:f>
        <x:v>0</x:v>
      </x:c>
      <x:c r="H18" s="26" t="n">
        <x:f>IF('Carbon flows'!H18=0,0,IF(ISNUMBER('Carbon flows'!H$30),'Carbon flows'!H18/'Carbon flows'!H$30,"n.a."))</x:f>
        <x:v>0</x:v>
      </x:c>
      <x:c r="I18" s="26" t="n">
        <x:f>IF('Carbon flows'!I18=0,0,IF(ISNUMBER('Carbon flows'!I$30),'Carbon flows'!I18/'Carbon flows'!I$30,"n.a."))</x:f>
        <x:v>0</x:v>
      </x:c>
      <x:c r="J18" s="26" t="n">
        <x:f>IF('Carbon flows'!J18=0,0,IF(ISNUMBER('Carbon flows'!J$30),'Carbon flows'!J18/'Carbon flows'!J$30,"n.a."))</x:f>
        <x:v>0.0017711549701560389</x:v>
      </x:c>
      <x:c r="K18" s="26" t="n">
        <x:f>IF('Carbon flows'!K18=0,0,IF(ISNUMBER('Carbon flows'!K$30),'Carbon flows'!K18/'Carbon flows'!K$30,"n.a."))</x:f>
        <x:v>0</x:v>
      </x:c>
      <x:c r="L18" s="26" t="n">
        <x:f>IF('Carbon flows'!L18=0,0,IF(ISNUMBER('Carbon flows'!L$30),'Carbon flows'!L18/'Carbon flows'!L$30,"n.a."))</x:f>
        <x:v>0</x:v>
      </x:c>
      <x:c r="M18" s="26" t="n">
        <x:f>IF('Carbon flows'!M18=0,0,IF(ISNUMBER('Carbon flows'!M$30),'Carbon flows'!M18/'Carbon flows'!M$30,"n.a."))</x:f>
        <x:v>0</x:v>
      </x:c>
      <x:c r="N18" s="26" t="n">
        <x:f>IF('Carbon flows'!N18=0,0,IF(ISNUMBER('Carbon flows'!N$30),'Carbon flows'!N18/'Carbon flows'!N$30,"n.a."))</x:f>
        <x:v>0</x:v>
      </x:c>
      <x:c r="O18" s="26" t="n">
        <x:f>IF('Carbon flows'!O18=0,0,IF(ISNUMBER('Carbon flows'!O$30),'Carbon flows'!O18/'Carbon flows'!O$30,"n.a."))</x:f>
        <x:v>0</x:v>
      </x:c>
      <x:c r="P18" s="26" t="n">
        <x:f>IF('Carbon flows'!P18=0,0,IF(ISNUMBER('Carbon flows'!P$30),'Carbon flows'!P18/'Carbon flows'!P$30,"n.a."))</x:f>
        <x:v>0</x:v>
      </x:c>
      <x:c r="Q18" s="26" t="n">
        <x:f>IF('Carbon flows'!Q18=0,0,IF(ISNUMBER('Carbon flows'!Q$30),'Carbon flows'!Q18/'Carbon flows'!Q$30,"n.a."))</x:f>
        <x:v>0</x:v>
      </x:c>
      <x:c r="R18" s="26" t="n">
        <x:f>IF('Carbon flows'!R18=0,0,IF(ISNUMBER('Carbon flows'!R$30),'Carbon flows'!R18/'Carbon flows'!R$30,"n.a."))</x:f>
        <x:v>0.006002400960384153</x:v>
      </x:c>
      <x:c r="S18" s="28" t="str">
        <x:f>IF('Carbon flows'!S18=0,0,IF(ISNUMBER('Carbon flows'!S$30),'Carbon flows'!S18/'Carbon flows'!S$30,"n.a."))</x:f>
        <x:v>n.a.</x:v>
      </x:c>
      <x:c r="T18" s="26" t="n">
        <x:f>IF('Carbon flows'!T18=0,0,IF(ISNUMBER('Carbon flows'!T$30),'Carbon flows'!T18/'Carbon flows'!T$30,"n.a."))</x:f>
        <x:v>0.17468499427262316</x:v>
      </x:c>
      <x:c r="U18" s="26" t="n">
        <x:f>IF('Carbon flows'!U18=0,0,IF(ISNUMBER('Carbon flows'!U$30),'Carbon flows'!U18/'Carbon flows'!U$30,"n.a."))</x:f>
        <x:v>0</x:v>
      </x:c>
      <x:c r="V18" s="26" t="n">
        <x:f>IF('Carbon flows'!V18=0,0,IF(ISNUMBER('Carbon flows'!V$30),'Carbon flows'!V18/'Carbon flows'!V$30,"n.a."))</x:f>
        <x:v>0</x:v>
      </x:c>
    </x:row>
    <x:row r="19" ht="25" customHeight="1">
      <x:c r="A19" s="11" t="n">
        <x:v>13</x:v>
      </x:c>
      <x:c r="B19" s="11" t="str">
        <x:v>Capelin</x:v>
      </x:c>
      <x:c r="C19" s="26" t="n">
        <x:f>IF('Carbon flows'!C19=0,0,IF(ISNUMBER('Carbon flows'!C$30),'Carbon flows'!C19/'Carbon flows'!C$30,"n.a."))</x:f>
        <x:v>0</x:v>
      </x:c>
      <x:c r="D19" s="26" t="n">
        <x:f>IF('Carbon flows'!D19=0,0,IF(ISNUMBER('Carbon flows'!D$30),'Carbon flows'!D19/'Carbon flows'!D$30,"n.a."))</x:f>
        <x:v>0</x:v>
      </x:c>
      <x:c r="E19" s="26" t="n">
        <x:f>IF('Carbon flows'!E19=0,0,IF(ISNUMBER('Carbon flows'!E$30),'Carbon flows'!E19/'Carbon flows'!E$30,"n.a."))</x:f>
        <x:v>0</x:v>
      </x:c>
      <x:c r="F19" s="26" t="n">
        <x:f>IF('Carbon flows'!F19=0,0,IF(ISNUMBER('Carbon flows'!F$30),'Carbon flows'!F19/'Carbon flows'!F$30,"n.a."))</x:f>
        <x:v>0</x:v>
      </x:c>
      <x:c r="G19" s="26" t="n">
        <x:f>IF('Carbon flows'!G19=0,0,IF(ISNUMBER('Carbon flows'!G$30),'Carbon flows'!G19/'Carbon flows'!G$30,"n.a."))</x:f>
        <x:v>0</x:v>
      </x:c>
      <x:c r="H19" s="26" t="n">
        <x:f>IF('Carbon flows'!H19=0,0,IF(ISNUMBER('Carbon flows'!H$30),'Carbon flows'!H19/'Carbon flows'!H$30,"n.a."))</x:f>
        <x:v>0</x:v>
      </x:c>
      <x:c r="I19" s="26" t="n">
        <x:f>IF('Carbon flows'!I19=0,0,IF(ISNUMBER('Carbon flows'!I$30),'Carbon flows'!I19/'Carbon flows'!I$30,"n.a."))</x:f>
        <x:v>0</x:v>
      </x:c>
      <x:c r="J19" s="26" t="n">
        <x:f>IF('Carbon flows'!J19=0,0,IF(ISNUMBER('Carbon flows'!J$30),'Carbon flows'!J19/'Carbon flows'!J$30,"n.a."))</x:f>
        <x:v>0.006730388886592948</x:v>
      </x:c>
      <x:c r="K19" s="26" t="n">
        <x:f>IF('Carbon flows'!K19=0,0,IF(ISNUMBER('Carbon flows'!K$30),'Carbon flows'!K19/'Carbon flows'!K$30,"n.a."))</x:f>
        <x:v>0</x:v>
      </x:c>
      <x:c r="L19" s="26" t="n">
        <x:f>IF('Carbon flows'!L19=0,0,IF(ISNUMBER('Carbon flows'!L$30),'Carbon flows'!L19/'Carbon flows'!L$30,"n.a."))</x:f>
        <x:v>0</x:v>
      </x:c>
      <x:c r="M19" s="26" t="n">
        <x:f>IF('Carbon flows'!M19=0,0,IF(ISNUMBER('Carbon flows'!M$30),'Carbon flows'!M19/'Carbon flows'!M$30,"n.a."))</x:f>
        <x:v>0</x:v>
      </x:c>
      <x:c r="N19" s="26" t="n">
        <x:f>IF('Carbon flows'!N19=0,0,IF(ISNUMBER('Carbon flows'!N$30),'Carbon flows'!N19/'Carbon flows'!N$30,"n.a."))</x:f>
        <x:v>0</x:v>
      </x:c>
      <x:c r="O19" s="26" t="n">
        <x:f>IF('Carbon flows'!O19=0,0,IF(ISNUMBER('Carbon flows'!O$30),'Carbon flows'!O19/'Carbon flows'!O$30,"n.a."))</x:f>
        <x:v>0</x:v>
      </x:c>
      <x:c r="P19" s="26" t="n">
        <x:f>IF('Carbon flows'!P19=0,0,IF(ISNUMBER('Carbon flows'!P$30),'Carbon flows'!P19/'Carbon flows'!P$30,"n.a."))</x:f>
        <x:v>0.09831019016567086</x:v>
      </x:c>
      <x:c r="Q19" s="26" t="n">
        <x:f>IF('Carbon flows'!Q19=0,0,IF(ISNUMBER('Carbon flows'!Q$30),'Carbon flows'!Q19/'Carbon flows'!Q$30,"n.a."))</x:f>
        <x:v>0.13970588235294118</x:v>
      </x:c>
      <x:c r="R19" s="26" t="n">
        <x:f>IF('Carbon flows'!R19=0,0,IF(ISNUMBER('Carbon flows'!R$30),'Carbon flows'!R19/'Carbon flows'!R$30,"n.a."))</x:f>
        <x:v>0.012004801920768306</x:v>
      </x:c>
      <x:c r="S19" s="26" t="n">
        <x:f>IF('Carbon flows'!S19=0,0,IF(ISNUMBER('Carbon flows'!S$30),'Carbon flows'!S19/'Carbon flows'!S$30,"n.a."))</x:f>
        <x:v>0</x:v>
      </x:c>
      <x:c r="T19" s="26" t="n">
        <x:f>IF('Carbon flows'!T19=0,0,IF(ISNUMBER('Carbon flows'!T$30),'Carbon flows'!T19/'Carbon flows'!T$30,"n.a."))</x:f>
        <x:v>0</x:v>
      </x:c>
      <x:c r="U19" s="26" t="n">
        <x:f>IF('Carbon flows'!U19=0,0,IF(ISNUMBER('Carbon flows'!U$30),'Carbon flows'!U19/'Carbon flows'!U$30,"n.a."))</x:f>
        <x:v>0.11694706606483381</x:v>
      </x:c>
      <x:c r="V19" s="26" t="n">
        <x:f>IF('Carbon flows'!V19=0,0,IF(ISNUMBER('Carbon flows'!V$30),'Carbon flows'!V19/'Carbon flows'!V$30,"n.a."))</x:f>
        <x:v>0</x:v>
      </x:c>
    </x:row>
    <x:row r="20" ht="25" customHeight="1">
      <x:c r="A20" s="11" t="n">
        <x:v>14</x:v>
      </x:c>
      <x:c r="B20" s="11" t="str">
        <x:v>Jellyfish</x:v>
      </x:c>
      <x:c r="C20" s="26" t="n">
        <x:f>IF('Carbon flows'!C20=0,0,IF(ISNUMBER('Carbon flows'!C$30),'Carbon flows'!C20/'Carbon flows'!C$30,"n.a."))</x:f>
        <x:v>0</x:v>
      </x:c>
      <x:c r="D20" s="26" t="n">
        <x:f>IF('Carbon flows'!D20=0,0,IF(ISNUMBER('Carbon flows'!D$30),'Carbon flows'!D20/'Carbon flows'!D$30,"n.a."))</x:f>
        <x:v>0</x:v>
      </x:c>
      <x:c r="E20" s="26" t="n">
        <x:f>IF('Carbon flows'!E20=0,0,IF(ISNUMBER('Carbon flows'!E$30),'Carbon flows'!E20/'Carbon flows'!E$30,"n.a."))</x:f>
        <x:v>0</x:v>
      </x:c>
      <x:c r="F20" s="26" t="n">
        <x:f>IF('Carbon flows'!F20=0,0,IF(ISNUMBER('Carbon flows'!F$30),'Carbon flows'!F20/'Carbon flows'!F$30,"n.a."))</x:f>
        <x:v>0</x:v>
      </x:c>
      <x:c r="G20" s="26" t="n">
        <x:f>IF('Carbon flows'!G20=0,0,IF(ISNUMBER('Carbon flows'!G$30),'Carbon flows'!G20/'Carbon flows'!G$30,"n.a."))</x:f>
        <x:v>0</x:v>
      </x:c>
      <x:c r="H20" s="26" t="n">
        <x:f>IF('Carbon flows'!H20=0,0,IF(ISNUMBER('Carbon flows'!H$30),'Carbon flows'!H20/'Carbon flows'!H$30,"n.a."))</x:f>
        <x:v>0</x:v>
      </x:c>
      <x:c r="I20" s="26" t="n">
        <x:f>IF('Carbon flows'!I20=0,0,IF(ISNUMBER('Carbon flows'!I$30),'Carbon flows'!I20/'Carbon flows'!I$30,"n.a."))</x:f>
        <x:v>0</x:v>
      </x:c>
      <x:c r="J20" s="26" t="n">
        <x:f>IF('Carbon flows'!J20=0,0,IF(ISNUMBER('Carbon flows'!J$30),'Carbon flows'!J20/'Carbon flows'!J$30,"n.a."))</x:f>
        <x:v>0.00000590384990052013</x:v>
      </x:c>
      <x:c r="K20" s="26" t="n">
        <x:f>IF('Carbon flows'!K20=0,0,IF(ISNUMBER('Carbon flows'!K$30),'Carbon flows'!K20/'Carbon flows'!K$30,"n.a."))</x:f>
        <x:v>0</x:v>
      </x:c>
      <x:c r="L20" s="26" t="n">
        <x:f>IF('Carbon flows'!L20=0,0,IF(ISNUMBER('Carbon flows'!L$30),'Carbon flows'!L20/'Carbon flows'!L$30,"n.a."))</x:f>
        <x:v>0</x:v>
      </x:c>
      <x:c r="M20" s="26" t="n">
        <x:f>IF('Carbon flows'!M20=0,0,IF(ISNUMBER('Carbon flows'!M$30),'Carbon flows'!M20/'Carbon flows'!M$30,"n.a."))</x:f>
        <x:v>0</x:v>
      </x:c>
      <x:c r="N20" s="26" t="n">
        <x:f>IF('Carbon flows'!N20=0,0,IF(ISNUMBER('Carbon flows'!N$30),'Carbon flows'!N20/'Carbon flows'!N$30,"n.a."))</x:f>
        <x:v>0</x:v>
      </x:c>
      <x:c r="O20" s="26" t="n">
        <x:f>IF('Carbon flows'!O20=0,0,IF(ISNUMBER('Carbon flows'!O$30),'Carbon flows'!O20/'Carbon flows'!O$30,"n.a."))</x:f>
        <x:v>0</x:v>
      </x:c>
      <x:c r="P20" s="26" t="n">
        <x:f>IF('Carbon flows'!P20=0,0,IF(ISNUMBER('Carbon flows'!P$30),'Carbon flows'!P20/'Carbon flows'!P$30,"n.a."))</x:f>
        <x:v>0</x:v>
      </x:c>
      <x:c r="Q20" s="26" t="n">
        <x:f>IF('Carbon flows'!Q20=0,0,IF(ISNUMBER('Carbon flows'!Q$30),'Carbon flows'!Q20/'Carbon flows'!Q$30,"n.a."))</x:f>
        <x:v>0</x:v>
      </x:c>
      <x:c r="R20" s="26" t="n">
        <x:f>IF('Carbon flows'!R20=0,0,IF(ISNUMBER('Carbon flows'!R$30),'Carbon flows'!R20/'Carbon flows'!R$30,"n.a."))</x:f>
        <x:v>0.007202881152460983</x:v>
      </x:c>
      <x:c r="S20" s="26" t="n">
        <x:f>IF('Carbon flows'!S20=0,0,IF(ISNUMBER('Carbon flows'!S$30),'Carbon flows'!S20/'Carbon flows'!S$30,"n.a."))</x:f>
        <x:v>0</x:v>
      </x:c>
      <x:c r="T20" s="26" t="n">
        <x:f>IF('Carbon flows'!T20=0,0,IF(ISNUMBER('Carbon flows'!T$30),'Carbon flows'!T20/'Carbon flows'!T$30,"n.a."))</x:f>
        <x:v>0</x:v>
      </x:c>
      <x:c r="U20" s="26" t="n">
        <x:f>IF('Carbon flows'!U20=0,0,IF(ISNUMBER('Carbon flows'!U$30),'Carbon flows'!U20/'Carbon flows'!U$30,"n.a."))</x:f>
        <x:v>0</x:v>
      </x:c>
      <x:c r="V20" s="26" t="n">
        <x:f>IF('Carbon flows'!V20=0,0,IF(ISNUMBER('Carbon flows'!V$30),'Carbon flows'!V20/'Carbon flows'!V$30,"n.a."))</x:f>
        <x:v>0</x:v>
      </x:c>
    </x:row>
    <x:row r="21" ht="25" customHeight="1">
      <x:c r="A21" s="11" t="n">
        <x:v>15</x:v>
      </x:c>
      <x:c r="B21" s="11" t="str">
        <x:v>Pollock 30-60 cm</x:v>
      </x:c>
      <x:c r="C21" s="26" t="n">
        <x:f>IF('Carbon flows'!C21=0,0,IF(ISNUMBER('Carbon flows'!C$30),'Carbon flows'!C21/'Carbon flows'!C$30,"n.a."))</x:f>
        <x:v>0</x:v>
      </x:c>
      <x:c r="D21" s="26" t="n">
        <x:f>IF('Carbon flows'!D21=0,0,IF(ISNUMBER('Carbon flows'!D$30),'Carbon flows'!D21/'Carbon flows'!D$30,"n.a."))</x:f>
        <x:v>0</x:v>
      </x:c>
      <x:c r="E21" s="26" t="n">
        <x:f>IF('Carbon flows'!E21=0,0,IF(ISNUMBER('Carbon flows'!E$30),'Carbon flows'!E21/'Carbon flows'!E$30,"n.a."))</x:f>
        <x:v>0</x:v>
      </x:c>
      <x:c r="F21" s="26" t="n">
        <x:f>IF('Carbon flows'!F21=0,0,IF(ISNUMBER('Carbon flows'!F$30),'Carbon flows'!F21/'Carbon flows'!F$30,"n.a."))</x:f>
        <x:v>0</x:v>
      </x:c>
      <x:c r="G21" s="26" t="n">
        <x:f>IF('Carbon flows'!G21=0,0,IF(ISNUMBER('Carbon flows'!G$30),'Carbon flows'!G21/'Carbon flows'!G$30,"n.a."))</x:f>
        <x:v>0</x:v>
      </x:c>
      <x:c r="H21" s="26" t="n">
        <x:f>IF('Carbon flows'!H21=0,0,IF(ISNUMBER('Carbon flows'!H$30),'Carbon flows'!H21/'Carbon flows'!H$30,"n.a."))</x:f>
        <x:v>0</x:v>
      </x:c>
      <x:c r="I21" s="26" t="n">
        <x:f>IF('Carbon flows'!I21=0,0,IF(ISNUMBER('Carbon flows'!I$30),'Carbon flows'!I21/'Carbon flows'!I$30,"n.a."))</x:f>
        <x:v>0</x:v>
      </x:c>
      <x:c r="J21" s="26" t="n">
        <x:f>IF('Carbon flows'!J21=0,0,IF(ISNUMBER('Carbon flows'!J$30),'Carbon flows'!J21/'Carbon flows'!J$30,"n.a."))</x:f>
        <x:v>0</x:v>
      </x:c>
      <x:c r="K21" s="26" t="n">
        <x:f>IF('Carbon flows'!K21=0,0,IF(ISNUMBER('Carbon flows'!K$30),'Carbon flows'!K21/'Carbon flows'!K$30,"n.a."))</x:f>
        <x:v>0</x:v>
      </x:c>
      <x:c r="L21" s="26" t="n">
        <x:f>IF('Carbon flows'!L21=0,0,IF(ISNUMBER('Carbon flows'!L$30),'Carbon flows'!L21/'Carbon flows'!L$30,"n.a."))</x:f>
        <x:v>0</x:v>
      </x:c>
      <x:c r="M21" s="26" t="n">
        <x:f>IF('Carbon flows'!M21=0,0,IF(ISNUMBER('Carbon flows'!M$30),'Carbon flows'!M21/'Carbon flows'!M$30,"n.a."))</x:f>
        <x:v>0</x:v>
      </x:c>
      <x:c r="N21" s="26" t="n">
        <x:f>IF('Carbon flows'!N21=0,0,IF(ISNUMBER('Carbon flows'!N$30),'Carbon flows'!N21/'Carbon flows'!N$30,"n.a."))</x:f>
        <x:v>0</x:v>
      </x:c>
      <x:c r="O21" s="26" t="n">
        <x:f>IF('Carbon flows'!O21=0,0,IF(ISNUMBER('Carbon flows'!O$30),'Carbon flows'!O21/'Carbon flows'!O$30,"n.a."))</x:f>
        <x:v>0</x:v>
      </x:c>
      <x:c r="P21" s="26" t="n">
        <x:f>IF('Carbon flows'!P21=0,0,IF(ISNUMBER('Carbon flows'!P$30),'Carbon flows'!P21/'Carbon flows'!P$30,"n.a."))</x:f>
        <x:v>0</x:v>
      </x:c>
      <x:c r="Q21" s="26" t="n">
        <x:f>IF('Carbon flows'!Q21=0,0,IF(ISNUMBER('Carbon flows'!Q$30),'Carbon flows'!Q21/'Carbon flows'!Q$30,"n.a."))</x:f>
        <x:v>0</x:v>
      </x:c>
      <x:c r="R21" s="26" t="n">
        <x:f>IF('Carbon flows'!R21=0,0,IF(ISNUMBER('Carbon flows'!R$30),'Carbon flows'!R21/'Carbon flows'!R$30,"n.a."))</x:f>
        <x:v>0</x:v>
      </x:c>
      <x:c r="S21" s="26" t="n">
        <x:f>IF('Carbon flows'!S21=0,0,IF(ISNUMBER('Carbon flows'!S$30),'Carbon flows'!S21/'Carbon flows'!S$30,"n.a."))</x:f>
        <x:v>0</x:v>
      </x:c>
      <x:c r="T21" s="26" t="n">
        <x:f>IF('Carbon flows'!T21=0,0,IF(ISNUMBER('Carbon flows'!T$30),'Carbon flows'!T21/'Carbon flows'!T$30,"n.a."))</x:f>
        <x:v>0.715922107674685</x:v>
      </x:c>
      <x:c r="U21" s="26" t="n">
        <x:f>IF('Carbon flows'!U21=0,0,IF(ISNUMBER('Carbon flows'!U$30),'Carbon flows'!U21/'Carbon flows'!U$30,"n.a."))</x:f>
        <x:v>0</x:v>
      </x:c>
      <x:c r="V21" s="26" t="n">
        <x:f>IF('Carbon flows'!V21=0,0,IF(ISNUMBER('Carbon flows'!V$30),'Carbon flows'!V21/'Carbon flows'!V$30,"n.a."))</x:f>
        <x:v>0.47984644913627633</x:v>
      </x:c>
    </x:row>
    <x:row r="22" ht="25" customHeight="1">
      <x:c r="A22" s="11" t="n">
        <x:v>16</x:v>
      </x:c>
      <x:c r="B22" s="11" t="str">
        <x:v>Squid IV</x:v>
      </x:c>
      <x:c r="C22" s="26" t="n">
        <x:f>IF('Carbon flows'!C22=0,0,IF(ISNUMBER('Carbon flows'!C$30),'Carbon flows'!C22/'Carbon flows'!C$30,"n.a."))</x:f>
        <x:v>0</x:v>
      </x:c>
      <x:c r="D22" s="26" t="n">
        <x:f>IF('Carbon flows'!D22=0,0,IF(ISNUMBER('Carbon flows'!D$30),'Carbon flows'!D22/'Carbon flows'!D$30,"n.a."))</x:f>
        <x:v>0</x:v>
      </x:c>
      <x:c r="E22" s="26" t="n">
        <x:f>IF('Carbon flows'!E22=0,0,IF(ISNUMBER('Carbon flows'!E$30),'Carbon flows'!E22/'Carbon flows'!E$30,"n.a."))</x:f>
        <x:v>0</x:v>
      </x:c>
      <x:c r="F22" s="26" t="n">
        <x:f>IF('Carbon flows'!F22=0,0,IF(ISNUMBER('Carbon flows'!F$30),'Carbon flows'!F22/'Carbon flows'!F$30,"n.a."))</x:f>
        <x:v>0</x:v>
      </x:c>
      <x:c r="G22" s="26" t="n">
        <x:f>IF('Carbon flows'!G22=0,0,IF(ISNUMBER('Carbon flows'!G$30),'Carbon flows'!G22/'Carbon flows'!G$30,"n.a."))</x:f>
        <x:v>0</x:v>
      </x:c>
      <x:c r="H22" s="26" t="n">
        <x:f>IF('Carbon flows'!H22=0,0,IF(ISNUMBER('Carbon flows'!H$30),'Carbon flows'!H22/'Carbon flows'!H$30,"n.a."))</x:f>
        <x:v>0</x:v>
      </x:c>
      <x:c r="I22" s="26" t="n">
        <x:f>IF('Carbon flows'!I22=0,0,IF(ISNUMBER('Carbon flows'!I$30),'Carbon flows'!I22/'Carbon flows'!I$30,"n.a."))</x:f>
        <x:v>0</x:v>
      </x:c>
      <x:c r="J22" s="26" t="n">
        <x:f>IF('Carbon flows'!J22=0,0,IF(ISNUMBER('Carbon flows'!J$30),'Carbon flows'!J22/'Carbon flows'!J$30,"n.a."))</x:f>
        <x:v>0</x:v>
      </x:c>
      <x:c r="K22" s="26" t="n">
        <x:f>IF('Carbon flows'!K22=0,0,IF(ISNUMBER('Carbon flows'!K$30),'Carbon flows'!K22/'Carbon flows'!K$30,"n.a."))</x:f>
        <x:v>0</x:v>
      </x:c>
      <x:c r="L22" s="26" t="n">
        <x:f>IF('Carbon flows'!L22=0,0,IF(ISNUMBER('Carbon flows'!L$30),'Carbon flows'!L22/'Carbon flows'!L$30,"n.a."))</x:f>
        <x:v>0</x:v>
      </x:c>
      <x:c r="M22" s="26" t="n">
        <x:f>IF('Carbon flows'!M22=0,0,IF(ISNUMBER('Carbon flows'!M$30),'Carbon flows'!M22/'Carbon flows'!M$30,"n.a."))</x:f>
        <x:v>0</x:v>
      </x:c>
      <x:c r="N22" s="26" t="n">
        <x:f>IF('Carbon flows'!N22=0,0,IF(ISNUMBER('Carbon flows'!N$30),'Carbon flows'!N22/'Carbon flows'!N$30,"n.a."))</x:f>
        <x:v>0</x:v>
      </x:c>
      <x:c r="O22" s="26" t="n">
        <x:f>IF('Carbon flows'!O22=0,0,IF(ISNUMBER('Carbon flows'!O$30),'Carbon flows'!O22/'Carbon flows'!O$30,"n.a."))</x:f>
        <x:v>0</x:v>
      </x:c>
      <x:c r="P22" s="26" t="n">
        <x:f>IF('Carbon flows'!P22=0,0,IF(ISNUMBER('Carbon flows'!P$30),'Carbon flows'!P22/'Carbon flows'!P$30,"n.a."))</x:f>
        <x:v>0</x:v>
      </x:c>
      <x:c r="Q22" s="26" t="n">
        <x:f>IF('Carbon flows'!Q22=0,0,IF(ISNUMBER('Carbon flows'!Q$30),'Carbon flows'!Q22/'Carbon flows'!Q$30,"n.a."))</x:f>
        <x:v>0</x:v>
      </x:c>
      <x:c r="R22" s="26" t="n">
        <x:f>IF('Carbon flows'!R22=0,0,IF(ISNUMBER('Carbon flows'!R$30),'Carbon flows'!R22/'Carbon flows'!R$30,"n.a."))</x:f>
        <x:v>0.07202881152460984</x:v>
      </x:c>
      <x:c r="S22" s="26" t="n">
        <x:f>IF('Carbon flows'!S22=0,0,IF(ISNUMBER('Carbon flows'!S$30),'Carbon flows'!S22/'Carbon flows'!S$30,"n.a."))</x:f>
        <x:v>0</x:v>
      </x:c>
      <x:c r="T22" s="26" t="n">
        <x:f>IF('Carbon flows'!T22=0,0,IF(ISNUMBER('Carbon flows'!T$30),'Carbon flows'!T22/'Carbon flows'!T$30,"n.a."))</x:f>
        <x:v>0</x:v>
      </x:c>
      <x:c r="U22" s="26" t="n">
        <x:f>IF('Carbon flows'!U22=0,0,IF(ISNUMBER('Carbon flows'!U$30),'Carbon flows'!U22/'Carbon flows'!U$30,"n.a."))</x:f>
        <x:v>0.22568732047599505</x:v>
      </x:c>
      <x:c r="V22" s="26" t="n">
        <x:f>IF('Carbon flows'!V22=0,0,IF(ISNUMBER('Carbon flows'!V$30),'Carbon flows'!V22/'Carbon flows'!V$30,"n.a."))</x:f>
        <x:v>0.40307101727447214</x:v>
      </x:c>
    </x:row>
    <x:row r="23" ht="25" customHeight="1">
      <x:c r="A23" s="11" t="n">
        <x:v>17</x:v>
      </x:c>
      <x:c r="B23" s="11" t="str">
        <x:v>Predatory salmon</x:v>
      </x:c>
      <x:c r="C23" s="26" t="n">
        <x:f>IF('Carbon flows'!C23=0,0,IF(ISNUMBER('Carbon flows'!C$30),'Carbon flows'!C23/'Carbon flows'!C$30,"n.a."))</x:f>
        <x:v>0</x:v>
      </x:c>
      <x:c r="D23" s="26" t="n">
        <x:f>IF('Carbon flows'!D23=0,0,IF(ISNUMBER('Carbon flows'!D$30),'Carbon flows'!D23/'Carbon flows'!D$30,"n.a."))</x:f>
        <x:v>0</x:v>
      </x:c>
      <x:c r="E23" s="26" t="n">
        <x:f>IF('Carbon flows'!E23=0,0,IF(ISNUMBER('Carbon flows'!E$30),'Carbon flows'!E23/'Carbon flows'!E$30,"n.a."))</x:f>
        <x:v>0</x:v>
      </x:c>
      <x:c r="F23" s="26" t="n">
        <x:f>IF('Carbon flows'!F23=0,0,IF(ISNUMBER('Carbon flows'!F$30),'Carbon flows'!F23/'Carbon flows'!F$30,"n.a."))</x:f>
        <x:v>0</x:v>
      </x:c>
      <x:c r="G23" s="26" t="n">
        <x:f>IF('Carbon flows'!G23=0,0,IF(ISNUMBER('Carbon flows'!G$30),'Carbon flows'!G23/'Carbon flows'!G$30,"n.a."))</x:f>
        <x:v>0</x:v>
      </x:c>
      <x:c r="H23" s="26" t="n">
        <x:f>IF('Carbon flows'!H23=0,0,IF(ISNUMBER('Carbon flows'!H$30),'Carbon flows'!H23/'Carbon flows'!H$30,"n.a."))</x:f>
        <x:v>0</x:v>
      </x:c>
      <x:c r="I23" s="26" t="n">
        <x:f>IF('Carbon flows'!I23=0,0,IF(ISNUMBER('Carbon flows'!I$30),'Carbon flows'!I23/'Carbon flows'!I$30,"n.a."))</x:f>
        <x:v>0</x:v>
      </x:c>
      <x:c r="J23" s="26" t="n">
        <x:f>IF('Carbon flows'!J23=0,0,IF(ISNUMBER('Carbon flows'!J$30),'Carbon flows'!J23/'Carbon flows'!J$30,"n.a."))</x:f>
        <x:v>0</x:v>
      </x:c>
      <x:c r="K23" s="26" t="n">
        <x:f>IF('Carbon flows'!K23=0,0,IF(ISNUMBER('Carbon flows'!K$30),'Carbon flows'!K23/'Carbon flows'!K$30,"n.a."))</x:f>
        <x:v>0</x:v>
      </x:c>
      <x:c r="L23" s="26" t="n">
        <x:f>IF('Carbon flows'!L23=0,0,IF(ISNUMBER('Carbon flows'!L$30),'Carbon flows'!L23/'Carbon flows'!L$30,"n.a."))</x:f>
        <x:v>0</x:v>
      </x:c>
      <x:c r="M23" s="26" t="n">
        <x:f>IF('Carbon flows'!M23=0,0,IF(ISNUMBER('Carbon flows'!M$30),'Carbon flows'!M23/'Carbon flows'!M$30,"n.a."))</x:f>
        <x:v>0</x:v>
      </x:c>
      <x:c r="N23" s="26" t="n">
        <x:f>IF('Carbon flows'!N23=0,0,IF(ISNUMBER('Carbon flows'!N$30),'Carbon flows'!N23/'Carbon flows'!N$30,"n.a."))</x:f>
        <x:v>0</x:v>
      </x:c>
      <x:c r="O23" s="26" t="n">
        <x:f>IF('Carbon flows'!O23=0,0,IF(ISNUMBER('Carbon flows'!O$30),'Carbon flows'!O23/'Carbon flows'!O$30,"n.a."))</x:f>
        <x:v>0</x:v>
      </x:c>
      <x:c r="P23" s="26" t="n">
        <x:f>IF('Carbon flows'!P23=0,0,IF(ISNUMBER('Carbon flows'!P$30),'Carbon flows'!P23/'Carbon flows'!P$30,"n.a."))</x:f>
        <x:v>0</x:v>
      </x:c>
      <x:c r="Q23" s="26" t="n">
        <x:f>IF('Carbon flows'!Q23=0,0,IF(ISNUMBER('Carbon flows'!Q$30),'Carbon flows'!Q23/'Carbon flows'!Q$30,"n.a."))</x:f>
        <x:v>0</x:v>
      </x:c>
      <x:c r="R23" s="26" t="n">
        <x:f>IF('Carbon flows'!R23=0,0,IF(ISNUMBER('Carbon flows'!R$30),'Carbon flows'!R23/'Carbon flows'!R$30,"n.a."))</x:f>
        <x:v>0</x:v>
      </x:c>
      <x:c r="S23" s="26" t="n">
        <x:f>IF('Carbon flows'!S23=0,0,IF(ISNUMBER('Carbon flows'!S$30),'Carbon flows'!S23/'Carbon flows'!S$30,"n.a."))</x:f>
        <x:v>0</x:v>
      </x:c>
      <x:c r="T23" s="26" t="n">
        <x:f>IF('Carbon flows'!T23=0,0,IF(ISNUMBER('Carbon flows'!T$30),'Carbon flows'!T23/'Carbon flows'!T$30,"n.a."))</x:f>
        <x:v>0</x:v>
      </x:c>
      <x:c r="U23" s="26" t="n">
        <x:f>IF('Carbon flows'!U23=0,0,IF(ISNUMBER('Carbon flows'!U$30),'Carbon flows'!U23/'Carbon flows'!U$30,"n.a."))</x:f>
        <x:v>0</x:v>
      </x:c>
      <x:c r="V23" s="26" t="n">
        <x:f>IF('Carbon flows'!V23=0,0,IF(ISNUMBER('Carbon flows'!V$30),'Carbon flows'!V23/'Carbon flows'!V$30,"n.a."))</x:f>
        <x:v>0</x:v>
      </x:c>
    </x:row>
    <x:row r="24" ht="25" customHeight="1">
      <x:c r="A24" s="11" t="n">
        <x:v>18</x:v>
      </x:c>
      <x:c r="B24" s="11" t="str">
        <x:v>Baleen whales</x:v>
      </x:c>
      <x:c r="C24" s="26" t="n">
        <x:f>IF('Carbon flows'!C24=0,0,IF(ISNUMBER('Carbon flows'!C$30),'Carbon flows'!C24/'Carbon flows'!C$30,"n.a."))</x:f>
        <x:v>0</x:v>
      </x:c>
      <x:c r="D24" s="26" t="n">
        <x:f>IF('Carbon flows'!D24=0,0,IF(ISNUMBER('Carbon flows'!D$30),'Carbon flows'!D24/'Carbon flows'!D$30,"n.a."))</x:f>
        <x:v>0</x:v>
      </x:c>
      <x:c r="E24" s="26" t="n">
        <x:f>IF('Carbon flows'!E24=0,0,IF(ISNUMBER('Carbon flows'!E$30),'Carbon flows'!E24/'Carbon flows'!E$30,"n.a."))</x:f>
        <x:v>0</x:v>
      </x:c>
      <x:c r="F24" s="26" t="n">
        <x:f>IF('Carbon flows'!F24=0,0,IF(ISNUMBER('Carbon flows'!F$30),'Carbon flows'!F24/'Carbon flows'!F$30,"n.a."))</x:f>
        <x:v>0</x:v>
      </x:c>
      <x:c r="G24" s="26" t="n">
        <x:f>IF('Carbon flows'!G24=0,0,IF(ISNUMBER('Carbon flows'!G$30),'Carbon flows'!G24/'Carbon flows'!G$30,"n.a."))</x:f>
        <x:v>0</x:v>
      </x:c>
      <x:c r="H24" s="26" t="n">
        <x:f>IF('Carbon flows'!H24=0,0,IF(ISNUMBER('Carbon flows'!H$30),'Carbon flows'!H24/'Carbon flows'!H$30,"n.a."))</x:f>
        <x:v>0</x:v>
      </x:c>
      <x:c r="I24" s="26" t="n">
        <x:f>IF('Carbon flows'!I24=0,0,IF(ISNUMBER('Carbon flows'!I$30),'Carbon flows'!I24/'Carbon flows'!I$30,"n.a."))</x:f>
        <x:v>0</x:v>
      </x:c>
      <x:c r="J24" s="26" t="n">
        <x:f>IF('Carbon flows'!J24=0,0,IF(ISNUMBER('Carbon flows'!J$30),'Carbon flows'!J24/'Carbon flows'!J$30,"n.a."))</x:f>
        <x:v>0</x:v>
      </x:c>
      <x:c r="K24" s="26" t="n">
        <x:f>IF('Carbon flows'!K24=0,0,IF(ISNUMBER('Carbon flows'!K$30),'Carbon flows'!K24/'Carbon flows'!K$30,"n.a."))</x:f>
        <x:v>0</x:v>
      </x:c>
      <x:c r="L24" s="26" t="n">
        <x:f>IF('Carbon flows'!L24=0,0,IF(ISNUMBER('Carbon flows'!L$30),'Carbon flows'!L24/'Carbon flows'!L$30,"n.a."))</x:f>
        <x:v>0</x:v>
      </x:c>
      <x:c r="M24" s="26" t="n">
        <x:f>IF('Carbon flows'!M24=0,0,IF(ISNUMBER('Carbon flows'!M$30),'Carbon flows'!M24/'Carbon flows'!M$30,"n.a."))</x:f>
        <x:v>0</x:v>
      </x:c>
      <x:c r="N24" s="26" t="n">
        <x:f>IF('Carbon flows'!N24=0,0,IF(ISNUMBER('Carbon flows'!N$30),'Carbon flows'!N24/'Carbon flows'!N$30,"n.a."))</x:f>
        <x:v>0</x:v>
      </x:c>
      <x:c r="O24" s="26" t="n">
        <x:f>IF('Carbon flows'!O24=0,0,IF(ISNUMBER('Carbon flows'!O$30),'Carbon flows'!O24/'Carbon flows'!O$30,"n.a."))</x:f>
        <x:v>0</x:v>
      </x:c>
      <x:c r="P24" s="26" t="n">
        <x:f>IF('Carbon flows'!P24=0,0,IF(ISNUMBER('Carbon flows'!P$30),'Carbon flows'!P24/'Carbon flows'!P$30,"n.a."))</x:f>
        <x:v>0</x:v>
      </x:c>
      <x:c r="Q24" s="26" t="n">
        <x:f>IF('Carbon flows'!Q24=0,0,IF(ISNUMBER('Carbon flows'!Q$30),'Carbon flows'!Q24/'Carbon flows'!Q$30,"n.a."))</x:f>
        <x:v>0</x:v>
      </x:c>
      <x:c r="R24" s="26" t="n">
        <x:f>IF('Carbon flows'!R24=0,0,IF(ISNUMBER('Carbon flows'!R$30),'Carbon flows'!R24/'Carbon flows'!R$30,"n.a."))</x:f>
        <x:v>0</x:v>
      </x:c>
      <x:c r="S24" s="26" t="n">
        <x:f>IF('Carbon flows'!S24=0,0,IF(ISNUMBER('Carbon flows'!S$30),'Carbon flows'!S24/'Carbon flows'!S$30,"n.a."))</x:f>
        <x:v>0</x:v>
      </x:c>
      <x:c r="T24" s="26" t="n">
        <x:f>IF('Carbon flows'!T24=0,0,IF(ISNUMBER('Carbon flows'!T$30),'Carbon flows'!T24/'Carbon flows'!T$30,"n.a."))</x:f>
        <x:v>0</x:v>
      </x:c>
      <x:c r="U24" s="26" t="n">
        <x:f>IF('Carbon flows'!U24=0,0,IF(ISNUMBER('Carbon flows'!U$30),'Carbon flows'!U24/'Carbon flows'!U$30,"n.a."))</x:f>
        <x:v>0</x:v>
      </x:c>
      <x:c r="V24" s="26" t="n">
        <x:f>IF('Carbon flows'!V24=0,0,IF(ISNUMBER('Carbon flows'!V$30),'Carbon flows'!V24/'Carbon flows'!V$30,"n.a."))</x:f>
        <x:v>0</x:v>
      </x:c>
    </x:row>
    <x:row r="25" ht="25" customHeight="1">
      <x:c r="A25" s="11" t="n">
        <x:v>19</x:v>
      </x:c>
      <x:c r="B25" s="11" t="str">
        <x:v>Pollock greater than 60 cm</x:v>
      </x:c>
      <x:c r="C25" s="26" t="n">
        <x:f>IF('Carbon flows'!C25=0,0,IF(ISNUMBER('Carbon flows'!C$30),'Carbon flows'!C25/'Carbon flows'!C$30,"n.a."))</x:f>
        <x:v>0</x:v>
      </x:c>
      <x:c r="D25" s="26" t="n">
        <x:f>IF('Carbon flows'!D25=0,0,IF(ISNUMBER('Carbon flows'!D$30),'Carbon flows'!D25/'Carbon flows'!D$30,"n.a."))</x:f>
        <x:v>0</x:v>
      </x:c>
      <x:c r="E25" s="26" t="n">
        <x:f>IF('Carbon flows'!E25=0,0,IF(ISNUMBER('Carbon flows'!E$30),'Carbon flows'!E25/'Carbon flows'!E$30,"n.a."))</x:f>
        <x:v>0</x:v>
      </x:c>
      <x:c r="F25" s="26" t="n">
        <x:f>IF('Carbon flows'!F25=0,0,IF(ISNUMBER('Carbon flows'!F$30),'Carbon flows'!F25/'Carbon flows'!F$30,"n.a."))</x:f>
        <x:v>0</x:v>
      </x:c>
      <x:c r="G25" s="26" t="n">
        <x:f>IF('Carbon flows'!G25=0,0,IF(ISNUMBER('Carbon flows'!G$30),'Carbon flows'!G25/'Carbon flows'!G$30,"n.a."))</x:f>
        <x:v>0</x:v>
      </x:c>
      <x:c r="H25" s="26" t="n">
        <x:f>IF('Carbon flows'!H25=0,0,IF(ISNUMBER('Carbon flows'!H$30),'Carbon flows'!H25/'Carbon flows'!H$30,"n.a."))</x:f>
        <x:v>0</x:v>
      </x:c>
      <x:c r="I25" s="26" t="n">
        <x:f>IF('Carbon flows'!I25=0,0,IF(ISNUMBER('Carbon flows'!I$30),'Carbon flows'!I25/'Carbon flows'!I$30,"n.a."))</x:f>
        <x:v>0</x:v>
      </x:c>
      <x:c r="J25" s="26" t="n">
        <x:f>IF('Carbon flows'!J25=0,0,IF(ISNUMBER('Carbon flows'!J$30),'Carbon flows'!J25/'Carbon flows'!J$30,"n.a."))</x:f>
        <x:v>0</x:v>
      </x:c>
      <x:c r="K25" s="26" t="n">
        <x:f>IF('Carbon flows'!K25=0,0,IF(ISNUMBER('Carbon flows'!K$30),'Carbon flows'!K25/'Carbon flows'!K$30,"n.a."))</x:f>
        <x:v>0</x:v>
      </x:c>
      <x:c r="L25" s="26" t="n">
        <x:f>IF('Carbon flows'!L25=0,0,IF(ISNUMBER('Carbon flows'!L$30),'Carbon flows'!L25/'Carbon flows'!L$30,"n.a."))</x:f>
        <x:v>0</x:v>
      </x:c>
      <x:c r="M25" s="26" t="n">
        <x:f>IF('Carbon flows'!M25=0,0,IF(ISNUMBER('Carbon flows'!M$30),'Carbon flows'!M25/'Carbon flows'!M$30,"n.a."))</x:f>
        <x:v>0</x:v>
      </x:c>
      <x:c r="N25" s="26" t="n">
        <x:f>IF('Carbon flows'!N25=0,0,IF(ISNUMBER('Carbon flows'!N$30),'Carbon flows'!N25/'Carbon flows'!N$30,"n.a."))</x:f>
        <x:v>0</x:v>
      </x:c>
      <x:c r="O25" s="26" t="n">
        <x:f>IF('Carbon flows'!O25=0,0,IF(ISNUMBER('Carbon flows'!O$30),'Carbon flows'!O25/'Carbon flows'!O$30,"n.a."))</x:f>
        <x:v>0</x:v>
      </x:c>
      <x:c r="P25" s="26" t="n">
        <x:f>IF('Carbon flows'!P25=0,0,IF(ISNUMBER('Carbon flows'!P$30),'Carbon flows'!P25/'Carbon flows'!P$30,"n.a."))</x:f>
        <x:v>0</x:v>
      </x:c>
      <x:c r="Q25" s="26" t="n">
        <x:f>IF('Carbon flows'!Q25=0,0,IF(ISNUMBER('Carbon flows'!Q$30),'Carbon flows'!Q25/'Carbon flows'!Q$30,"n.a."))</x:f>
        <x:v>0</x:v>
      </x:c>
      <x:c r="R25" s="26" t="n">
        <x:f>IF('Carbon flows'!R25=0,0,IF(ISNUMBER('Carbon flows'!R$30),'Carbon flows'!R25/'Carbon flows'!R$30,"n.a."))</x:f>
        <x:v>0.6842737094837934</x:v>
      </x:c>
      <x:c r="S25" s="26" t="n">
        <x:f>IF('Carbon flows'!S25=0,0,IF(ISNUMBER('Carbon flows'!S$30),'Carbon flows'!S25/'Carbon flows'!S$30,"n.a."))</x:f>
        <x:v>0</x:v>
      </x:c>
      <x:c r="T25" s="26" t="n">
        <x:f>IF('Carbon flows'!T25=0,0,IF(ISNUMBER('Carbon flows'!T$30),'Carbon flows'!T25/'Carbon flows'!T$30,"n.a."))</x:f>
        <x:v>0</x:v>
      </x:c>
      <x:c r="U25" s="26" t="n">
        <x:f>IF('Carbon flows'!U25=0,0,IF(ISNUMBER('Carbon flows'!U$30),'Carbon flows'!U25/'Carbon flows'!U$30,"n.a."))</x:f>
        <x:v>0.02051702913418137</x:v>
      </x:c>
      <x:c r="V25" s="26" t="n">
        <x:f>IF('Carbon flows'!V25=0,0,IF(ISNUMBER('Carbon flows'!V$30),'Carbon flows'!V25/'Carbon flows'!V$30,"n.a."))</x:f>
        <x:v>0</x:v>
      </x:c>
    </x:row>
    <x:row r="26" ht="25" customHeight="1">
      <x:c r="A26" s="11" t="n">
        <x:v>20</x:v>
      </x:c>
      <x:c r="B26" s="11" t="str">
        <x:v>Predatory fish</x:v>
      </x:c>
      <x:c r="C26" s="26" t="n">
        <x:f>IF('Carbon flows'!C26=0,0,IF(ISNUMBER('Carbon flows'!C$30),'Carbon flows'!C26/'Carbon flows'!C$30,"n.a."))</x:f>
        <x:v>0</x:v>
      </x:c>
      <x:c r="D26" s="26" t="n">
        <x:f>IF('Carbon flows'!D26=0,0,IF(ISNUMBER('Carbon flows'!D$30),'Carbon flows'!D26/'Carbon flows'!D$30,"n.a."))</x:f>
        <x:v>0</x:v>
      </x:c>
      <x:c r="E26" s="26" t="n">
        <x:f>IF('Carbon flows'!E26=0,0,IF(ISNUMBER('Carbon flows'!E$30),'Carbon flows'!E26/'Carbon flows'!E$30,"n.a."))</x:f>
        <x:v>0</x:v>
      </x:c>
      <x:c r="F26" s="26" t="n">
        <x:f>IF('Carbon flows'!F26=0,0,IF(ISNUMBER('Carbon flows'!F$30),'Carbon flows'!F26/'Carbon flows'!F$30,"n.a."))</x:f>
        <x:v>0</x:v>
      </x:c>
      <x:c r="G26" s="26" t="n">
        <x:f>IF('Carbon flows'!G26=0,0,IF(ISNUMBER('Carbon flows'!G$30),'Carbon flows'!G26/'Carbon flows'!G$30,"n.a."))</x:f>
        <x:v>0</x:v>
      </x:c>
      <x:c r="H26" s="26" t="n">
        <x:f>IF('Carbon flows'!H26=0,0,IF(ISNUMBER('Carbon flows'!H$30),'Carbon flows'!H26/'Carbon flows'!H$30,"n.a."))</x:f>
        <x:v>0</x:v>
      </x:c>
      <x:c r="I26" s="26" t="n">
        <x:f>IF('Carbon flows'!I26=0,0,IF(ISNUMBER('Carbon flows'!I$30),'Carbon flows'!I26/'Carbon flows'!I$30,"n.a."))</x:f>
        <x:v>0</x:v>
      </x:c>
      <x:c r="J26" s="26" t="n">
        <x:f>IF('Carbon flows'!J26=0,0,IF(ISNUMBER('Carbon flows'!J$30),'Carbon flows'!J26/'Carbon flows'!J$30,"n.a."))</x:f>
        <x:v>0</x:v>
      </x:c>
      <x:c r="K26" s="26" t="n">
        <x:f>IF('Carbon flows'!K26=0,0,IF(ISNUMBER('Carbon flows'!K$30),'Carbon flows'!K26/'Carbon flows'!K$30,"n.a."))</x:f>
        <x:v>0</x:v>
      </x:c>
      <x:c r="L26" s="26" t="n">
        <x:f>IF('Carbon flows'!L26=0,0,IF(ISNUMBER('Carbon flows'!L$30),'Carbon flows'!L26/'Carbon flows'!L$30,"n.a."))</x:f>
        <x:v>0</x:v>
      </x:c>
      <x:c r="M26" s="26" t="n">
        <x:f>IF('Carbon flows'!M26=0,0,IF(ISNUMBER('Carbon flows'!M$30),'Carbon flows'!M26/'Carbon flows'!M$30,"n.a."))</x:f>
        <x:v>0</x:v>
      </x:c>
      <x:c r="N26" s="26" t="n">
        <x:f>IF('Carbon flows'!N26=0,0,IF(ISNUMBER('Carbon flows'!N$30),'Carbon flows'!N26/'Carbon flows'!N$30,"n.a."))</x:f>
        <x:v>0</x:v>
      </x:c>
      <x:c r="O26" s="26" t="n">
        <x:f>IF('Carbon flows'!O26=0,0,IF(ISNUMBER('Carbon flows'!O$30),'Carbon flows'!O26/'Carbon flows'!O$30,"n.a."))</x:f>
        <x:v>0</x:v>
      </x:c>
      <x:c r="P26" s="26" t="n">
        <x:f>IF('Carbon flows'!P26=0,0,IF(ISNUMBER('Carbon flows'!P$30),'Carbon flows'!P26/'Carbon flows'!P$30,"n.a."))</x:f>
        <x:v>0</x:v>
      </x:c>
      <x:c r="Q26" s="26" t="n">
        <x:f>IF('Carbon flows'!Q26=0,0,IF(ISNUMBER('Carbon flows'!Q$30),'Carbon flows'!Q26/'Carbon flows'!Q$30,"n.a."))</x:f>
        <x:v>0</x:v>
      </x:c>
      <x:c r="R26" s="26" t="n">
        <x:f>IF('Carbon flows'!R26=0,0,IF(ISNUMBER('Carbon flows'!R$30),'Carbon flows'!R26/'Carbon flows'!R$30,"n.a."))</x:f>
        <x:v>0</x:v>
      </x:c>
      <x:c r="S26" s="26" t="n">
        <x:f>IF('Carbon flows'!S26=0,0,IF(ISNUMBER('Carbon flows'!S$30),'Carbon flows'!S26/'Carbon flows'!S$30,"n.a."))</x:f>
        <x:v>0</x:v>
      </x:c>
      <x:c r="T26" s="26" t="n">
        <x:f>IF('Carbon flows'!T26=0,0,IF(ISNUMBER('Carbon flows'!T$30),'Carbon flows'!T26/'Carbon flows'!T$30,"n.a."))</x:f>
        <x:v>0</x:v>
      </x:c>
      <x:c r="U26" s="26" t="n">
        <x:f>IF('Carbon flows'!U26=0,0,IF(ISNUMBER('Carbon flows'!U$30),'Carbon flows'!U26/'Carbon flows'!U$30,"n.a."))</x:f>
        <x:v>0</x:v>
      </x:c>
      <x:c r="V26" s="26" t="n">
        <x:f>IF('Carbon flows'!V26=0,0,IF(ISNUMBER('Carbon flows'!V$30),'Carbon flows'!V26/'Carbon flows'!V$30,"n.a."))</x:f>
        <x:v>0</x:v>
      </x:c>
    </x:row>
    <x:row r="27" ht="25" customHeight="1">
      <x:c r="A27" s="11" t="n">
        <x:v>21</x:v>
      </x:c>
      <x:c r="B27" s="11" t="str">
        <x:v>Predatory mammals</x:v>
      </x:c>
      <x:c r="C27" s="26" t="n">
        <x:f>IF('Carbon flows'!C27=0,0,IF(ISNUMBER('Carbon flows'!C$30),'Carbon flows'!C27/'Carbon flows'!C$30,"n.a."))</x:f>
        <x:v>0</x:v>
      </x:c>
      <x:c r="D27" s="26" t="n">
        <x:f>IF('Carbon flows'!D27=0,0,IF(ISNUMBER('Carbon flows'!D$30),'Carbon flows'!D27/'Carbon flows'!D$30,"n.a."))</x:f>
        <x:v>0</x:v>
      </x:c>
      <x:c r="E27" s="26" t="n">
        <x:f>IF('Carbon flows'!E27=0,0,IF(ISNUMBER('Carbon flows'!E$30),'Carbon flows'!E27/'Carbon flows'!E$30,"n.a."))</x:f>
        <x:v>0</x:v>
      </x:c>
      <x:c r="F27" s="26" t="n">
        <x:f>IF('Carbon flows'!F27=0,0,IF(ISNUMBER('Carbon flows'!F$30),'Carbon flows'!F27/'Carbon flows'!F$30,"n.a."))</x:f>
        <x:v>0</x:v>
      </x:c>
      <x:c r="G27" s="26" t="n">
        <x:f>IF('Carbon flows'!G27=0,0,IF(ISNUMBER('Carbon flows'!G$30),'Carbon flows'!G27/'Carbon flows'!G$30,"n.a."))</x:f>
        <x:v>0</x:v>
      </x:c>
      <x:c r="H27" s="26" t="n">
        <x:f>IF('Carbon flows'!H27=0,0,IF(ISNUMBER('Carbon flows'!H$30),'Carbon flows'!H27/'Carbon flows'!H$30,"n.a."))</x:f>
        <x:v>0</x:v>
      </x:c>
      <x:c r="I27" s="26" t="n">
        <x:f>IF('Carbon flows'!I27=0,0,IF(ISNUMBER('Carbon flows'!I$30),'Carbon flows'!I27/'Carbon flows'!I$30,"n.a."))</x:f>
        <x:v>0</x:v>
      </x:c>
      <x:c r="J27" s="26" t="n">
        <x:f>IF('Carbon flows'!J27=0,0,IF(ISNUMBER('Carbon flows'!J$30),'Carbon flows'!J27/'Carbon flows'!J$30,"n.a."))</x:f>
        <x:v>0</x:v>
      </x:c>
      <x:c r="K27" s="26" t="n">
        <x:f>IF('Carbon flows'!K27=0,0,IF(ISNUMBER('Carbon flows'!K$30),'Carbon flows'!K27/'Carbon flows'!K$30,"n.a."))</x:f>
        <x:v>0</x:v>
      </x:c>
      <x:c r="L27" s="26" t="n">
        <x:f>IF('Carbon flows'!L27=0,0,IF(ISNUMBER('Carbon flows'!L$30),'Carbon flows'!L27/'Carbon flows'!L$30,"n.a."))</x:f>
        <x:v>0</x:v>
      </x:c>
      <x:c r="M27" s="26" t="n">
        <x:f>IF('Carbon flows'!M27=0,0,IF(ISNUMBER('Carbon flows'!M$30),'Carbon flows'!M27/'Carbon flows'!M$30,"n.a."))</x:f>
        <x:v>0</x:v>
      </x:c>
      <x:c r="N27" s="26" t="n">
        <x:f>IF('Carbon flows'!N27=0,0,IF(ISNUMBER('Carbon flows'!N$30),'Carbon flows'!N27/'Carbon flows'!N$30,"n.a."))</x:f>
        <x:v>0</x:v>
      </x:c>
      <x:c r="O27" s="26" t="n">
        <x:f>IF('Carbon flows'!O27=0,0,IF(ISNUMBER('Carbon flows'!O$30),'Carbon flows'!O27/'Carbon flows'!O$30,"n.a."))</x:f>
        <x:v>0</x:v>
      </x:c>
      <x:c r="P27" s="26" t="n">
        <x:f>IF('Carbon flows'!P27=0,0,IF(ISNUMBER('Carbon flows'!P$30),'Carbon flows'!P27/'Carbon flows'!P$30,"n.a."))</x:f>
        <x:v>0</x:v>
      </x:c>
      <x:c r="Q27" s="26" t="n">
        <x:f>IF('Carbon flows'!Q27=0,0,IF(ISNUMBER('Carbon flows'!Q$30),'Carbon flows'!Q27/'Carbon flows'!Q$30,"n.a."))</x:f>
        <x:v>0</x:v>
      </x:c>
      <x:c r="R27" s="26" t="n">
        <x:f>IF('Carbon flows'!R27=0,0,IF(ISNUMBER('Carbon flows'!R$30),'Carbon flows'!R27/'Carbon flows'!R$30,"n.a."))</x:f>
        <x:v>0</x:v>
      </x:c>
      <x:c r="S27" s="26" t="n">
        <x:f>IF('Carbon flows'!S27=0,0,IF(ISNUMBER('Carbon flows'!S$30),'Carbon flows'!S27/'Carbon flows'!S$30,"n.a."))</x:f>
        <x:v>0</x:v>
      </x:c>
      <x:c r="T27" s="26" t="n">
        <x:f>IF('Carbon flows'!T27=0,0,IF(ISNUMBER('Carbon flows'!T$30),'Carbon flows'!T27/'Carbon flows'!T$30,"n.a."))</x:f>
        <x:v>0</x:v>
      </x:c>
      <x:c r="U27" s="26" t="n">
        <x:f>IF('Carbon flows'!U27=0,0,IF(ISNUMBER('Carbon flows'!U$30),'Carbon flows'!U27/'Carbon flows'!U$30,"n.a."))</x:f>
        <x:v>0</x:v>
      </x:c>
      <x:c r="V27" s="26" t="n">
        <x:f>IF('Carbon flows'!V27=0,0,IF(ISNUMBER('Carbon flows'!V$30),'Carbon flows'!V27/'Carbon flows'!V$30,"n.a."))</x:f>
        <x:v>0</x:v>
      </x:c>
    </x:row>
    <x:row r="28" ht="25" customHeight="1">
      <x:c r="A28" s="11" t="n">
        <x:v>22</x:v>
      </x:c>
      <x:c r="B28" s="11" t="str">
        <x:v>Detritus</x:v>
      </x:c>
      <x:c r="C28" s="26" t="n">
        <x:f>IF('Carbon flows'!C28=0,0,IF(ISNUMBER('Carbon flows'!C$30),'Carbon flows'!C28/'Carbon flows'!C$30,"n.a."))</x:f>
        <x:v>1</x:v>
      </x:c>
      <x:c r="D28" s="26" t="n">
        <x:f>IF('Carbon flows'!D28=0,0,IF(ISNUMBER('Carbon flows'!D$30),'Carbon flows'!D28/'Carbon flows'!D$30,"n.a."))</x:f>
        <x:v>0</x:v>
      </x:c>
      <x:c r="E28" s="26" t="n">
        <x:f>IF('Carbon flows'!E28=0,0,IF(ISNUMBER('Carbon flows'!E$30),'Carbon flows'!E28/'Carbon flows'!E$30,"n.a."))</x:f>
        <x:v>0</x:v>
      </x:c>
      <x:c r="F28" s="26" t="n">
        <x:f>IF('Carbon flows'!F28=0,0,IF(ISNUMBER('Carbon flows'!F$30),'Carbon flows'!F28/'Carbon flows'!F$30,"n.a."))</x:f>
        <x:v>0</x:v>
      </x:c>
      <x:c r="G28" s="26" t="n">
        <x:f>IF('Carbon flows'!G28=0,0,IF(ISNUMBER('Carbon flows'!G$30),'Carbon flows'!G28/'Carbon flows'!G$30,"n.a."))</x:f>
        <x:v>0</x:v>
      </x:c>
      <x:c r="H28" s="26" t="n">
        <x:f>IF('Carbon flows'!H28=0,0,IF(ISNUMBER('Carbon flows'!H$30),'Carbon flows'!H28/'Carbon flows'!H$30,"n.a."))</x:f>
        <x:v>0</x:v>
      </x:c>
      <x:c r="I28" s="26" t="n">
        <x:f>IF('Carbon flows'!I28=0,0,IF(ISNUMBER('Carbon flows'!I$30),'Carbon flows'!I28/'Carbon flows'!I$30,"n.a."))</x:f>
        <x:v>0</x:v>
      </x:c>
      <x:c r="J28" s="26" t="n">
        <x:f>IF('Carbon flows'!J28=0,0,IF(ISNUMBER('Carbon flows'!J$30),'Carbon flows'!J28/'Carbon flows'!J$30,"n.a."))</x:f>
        <x:v>0</x:v>
      </x:c>
      <x:c r="K28" s="26" t="n">
        <x:f>IF('Carbon flows'!K28=0,0,IF(ISNUMBER('Carbon flows'!K$30),'Carbon flows'!K28/'Carbon flows'!K$30,"n.a."))</x:f>
        <x:v>0</x:v>
      </x:c>
      <x:c r="L28" s="26" t="n">
        <x:f>IF('Carbon flows'!L28=0,0,IF(ISNUMBER('Carbon flows'!L$30),'Carbon flows'!L28/'Carbon flows'!L$30,"n.a."))</x:f>
        <x:v>0</x:v>
      </x:c>
      <x:c r="M28" s="26" t="n">
        <x:f>IF('Carbon flows'!M28=0,0,IF(ISNUMBER('Carbon flows'!M$30),'Carbon flows'!M28/'Carbon flows'!M$30,"n.a."))</x:f>
        <x:v>0</x:v>
      </x:c>
      <x:c r="N28" s="26" t="n">
        <x:f>IF('Carbon flows'!N28=0,0,IF(ISNUMBER('Carbon flows'!N$30),'Carbon flows'!N28/'Carbon flows'!N$30,"n.a."))</x:f>
        <x:v>0</x:v>
      </x:c>
      <x:c r="O28" s="26" t="n">
        <x:f>IF('Carbon flows'!O28=0,0,IF(ISNUMBER('Carbon flows'!O$30),'Carbon flows'!O28/'Carbon flows'!O$30,"n.a."))</x:f>
        <x:v>0</x:v>
      </x:c>
      <x:c r="P28" s="26" t="n">
        <x:f>IF('Carbon flows'!P28=0,0,IF(ISNUMBER('Carbon flows'!P$30),'Carbon flows'!P28/'Carbon flows'!P$30,"n.a."))</x:f>
        <x:v>0</x:v>
      </x:c>
      <x:c r="Q28" s="26" t="n">
        <x:f>IF('Carbon flows'!Q28=0,0,IF(ISNUMBER('Carbon flows'!Q$30),'Carbon flows'!Q28/'Carbon flows'!Q$30,"n.a."))</x:f>
        <x:v>0</x:v>
      </x:c>
      <x:c r="R28" s="26" t="n">
        <x:f>IF('Carbon flows'!R28=0,0,IF(ISNUMBER('Carbon flows'!R$30),'Carbon flows'!R28/'Carbon flows'!R$30,"n.a."))</x:f>
        <x:v>0</x:v>
      </x:c>
      <x:c r="S28" s="26" t="n">
        <x:f>IF('Carbon flows'!S28=0,0,IF(ISNUMBER('Carbon flows'!S$30),'Carbon flows'!S28/'Carbon flows'!S$30,"n.a."))</x:f>
        <x:v>0</x:v>
      </x:c>
      <x:c r="T28" s="26" t="n">
        <x:f>IF('Carbon flows'!T28=0,0,IF(ISNUMBER('Carbon flows'!T$30),'Carbon flows'!T28/'Carbon flows'!T$30,"n.a."))</x:f>
        <x:v>0</x:v>
      </x:c>
      <x:c r="U28" s="26" t="n">
        <x:f>IF('Carbon flows'!U28=0,0,IF(ISNUMBER('Carbon flows'!U$30),'Carbon flows'!U28/'Carbon flows'!U$30,"n.a."))</x:f>
        <x:v>0</x:v>
      </x:c>
      <x:c r="V28" s="26" t="n">
        <x:f>IF('Carbon flows'!V28=0,0,IF(ISNUMBER('Carbon flows'!V$30),'Carbon flows'!V28/'Carbon flows'!V$30,"n.a."))</x:f>
        <x:v>0</x:v>
      </x:c>
    </x:row>
    <x:row r="29" ht="25" customHeight="1">
      <x:c r="A29" s="1"/>
      <x:c r="B29" s="1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</x:row>
    <x:row r="30" ht="35" customHeight="1">
      <x:c r="A30" s="21" t="str">
        <x:v>Column sum (numeric completeness only)</x:v>
      </x:c>
      <x:c r="B30" s="21"/>
      <x:c r="C30" s="27" t="n">
        <x:f>IF(COUNT(C7:C28)=22,SUM(C7:C28),"n.a.")</x:f>
        <x:v>1</x:v>
      </x:c>
      <x:c r="D30" s="27" t="n">
        <x:f>IF(COUNT(D7:D28)=22,SUM(D7:D28),"n.a.")</x:f>
        <x:v>1</x:v>
      </x:c>
      <x:c r="E30" s="27" t="n">
        <x:f>IF(COUNT(E7:E28)=22,SUM(E7:E28),"n.a.")</x:f>
        <x:v>1</x:v>
      </x:c>
      <x:c r="F30" s="27" t="n">
        <x:f>IF(COUNT(F7:F28)=22,SUM(F7:F28),"n.a.")</x:f>
        <x:v>1</x:v>
      </x:c>
      <x:c r="G30" s="27" t="n">
        <x:f>IF(COUNT(G7:G28)=22,SUM(G7:G28),"n.a.")</x:f>
        <x:v>0.9999999999999999</x:v>
      </x:c>
      <x:c r="H30" s="27" t="n">
        <x:f>IF(COUNT(H7:H28)=22,SUM(H7:H28),"n.a.")</x:f>
        <x:v>1</x:v>
      </x:c>
      <x:c r="I30" s="27" t="n">
        <x:f>IF(COUNT(I7:I28)=22,SUM(I7:I28),"n.a.")</x:f>
        <x:v>1</x:v>
      </x:c>
      <x:c r="J30" s="27" t="n">
        <x:f>IF(COUNT(J7:J28)=22,SUM(J7:J28),"n.a.")</x:f>
        <x:v>1</x:v>
      </x:c>
      <x:c r="K30" s="27" t="n">
        <x:f>IF(COUNT(K7:K28)=22,SUM(K7:K28),"n.a.")</x:f>
        <x:v>1</x:v>
      </x:c>
      <x:c r="L30" s="27" t="n">
        <x:f>IF(COUNT(L7:L28)=22,SUM(L7:L28),"n.a.")</x:f>
        <x:v>1</x:v>
      </x:c>
      <x:c r="M30" s="27" t="n">
        <x:f>IF(COUNT(M7:M28)=22,SUM(M7:M28),"n.a.")</x:f>
        <x:v>1</x:v>
      </x:c>
      <x:c r="N30" s="27" t="n">
        <x:f>IF(COUNT(N7:N28)=22,SUM(N7:N28),"n.a.")</x:f>
        <x:v>1</x:v>
      </x:c>
      <x:c r="O30" s="27" t="n">
        <x:f>IF(COUNT(O7:O28)=22,SUM(O7:O28),"n.a.")</x:f>
        <x:v>1</x:v>
      </x:c>
      <x:c r="P30" s="27" t="n">
        <x:f>IF(COUNT(P7:P28)=22,SUM(P7:P28),"n.a.")</x:f>
        <x:v>1</x:v>
      </x:c>
      <x:c r="Q30" s="27" t="n">
        <x:f>IF(COUNT(Q7:Q28)=22,SUM(Q7:Q28),"n.a.")</x:f>
        <x:v>1</x:v>
      </x:c>
      <x:c r="R30" s="27" t="n">
        <x:f>IF(COUNT(R7:R28)=22,SUM(R7:R28),"n.a.")</x:f>
        <x:v>0.9999999999999999</x:v>
      </x:c>
      <x:c r="S30" s="27" t="str">
        <x:f>IF(COUNT(S7:S28)=22,SUM(S7:S28),"n.a.")</x:f>
        <x:v>n.a.</x:v>
      </x:c>
      <x:c r="T30" s="27" t="n">
        <x:f>IF(COUNT(T7:T28)=22,SUM(T7:T28),"n.a.")</x:f>
        <x:v>1</x:v>
      </x:c>
      <x:c r="U30" s="27" t="n">
        <x:f>IF(COUNT(U7:U28)=22,SUM(U7:U28),"n.a.")</x:f>
        <x:v>1</x:v>
      </x:c>
      <x:c r="V30" s="27" t="n">
        <x:f>IF(COUNT(V7:V28)=22,SUM(V7:V28),"n.a.")</x:f>
        <x:v>0.9999999999999999</x:v>
      </x:c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</x:row>
    <x:row r="32" ht="30" customHeight="1">
      <x:c r="A32" s="25" t="str">
        <x:v>n.a. = fraction not identifiable; a known zero remains zero even when another entry in the column is unknown.</x:v>
      </x:c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</x:row>
  </x:sheetData>
  <x:mergeCells>
    <x:mergeCell ref="A1:V1"/>
    <x:mergeCell ref="A2:V3"/>
    <x:mergeCell ref="A4:V4"/>
    <x:mergeCell ref="A30:B30"/>
    <x:mergeCell ref="A32:V3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6D72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" hidden="0" customWidth="1"/>
    <x:col min="2" max="2" width="3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34" customHeight="1">
      <x:c r="A1" s="3" t="str">
        <x:v>Diet composition · wet weight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5" customHeight="1">
      <x:c r="A2" s="6" t="str">
        <x:v>16/20 numerically complete columns. Prey-specific mass conversion is applied; missing microbial factors are not borrowed from a pooled row.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3" ht="2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</x:row>
    <x:row r="4" ht="25" customHeight="1">
      <x:c r="A4" s="15" t="str">
        <x:v>Columns = consumers; rows = prey. All numeric columns remain provisional because 33 endpoint assignments are tentative.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60" customHeight="1">
      <x:c r="A6" s="19" t="str">
        <x:v>ID</x:v>
      </x:c>
      <x:c r="B6" s="19" t="str">
        <x:v>Prey</x:v>
      </x:c>
      <x:c r="C6" s="19" t="str">
        <x:v>2 Bacteria</x:v>
      </x:c>
      <x:c r="D6" s="19" t="str">
        <x:v>3 Protozoa</x:v>
      </x:c>
      <x:c r="E6" s="19" t="str">
        <x:v>4 Copepods</x:v>
      </x:c>
      <x:c r="F6" s="19" t="str">
        <x:v>5 Euphausiids</x:v>
      </x:c>
      <x:c r="G6" s="19" t="str">
        <x:v>6 Hyperiids</x:v>
      </x:c>
      <x:c r="H6" s="19" t="str">
        <x:v>7 Chaetognaths</x:v>
      </x:c>
      <x:c r="I6" s="19" t="str">
        <x:v>8 Salmon</x:v>
      </x:c>
      <x:c r="J6" s="19" t="str">
        <x:v>9 Squid III</x:v>
      </x:c>
      <x:c r="K6" s="19" t="str">
        <x:v>10 Herring</x:v>
      </x:c>
      <x:c r="L6" s="19" t="str">
        <x:v>11 Deep-sea smelt</x:v>
      </x:c>
      <x:c r="M6" s="19" t="str">
        <x:v>12 Pollock less than 30 cm</x:v>
      </x:c>
      <x:c r="N6" s="19" t="str">
        <x:v>13 Capelin</x:v>
      </x:c>
      <x:c r="O6" s="19" t="str">
        <x:v>14 Jellyfish</x:v>
      </x:c>
      <x:c r="P6" s="19" t="str">
        <x:v>15 Pollock 30-60 cm</x:v>
      </x:c>
      <x:c r="Q6" s="19" t="str">
        <x:v>16 Squid IV</x:v>
      </x:c>
      <x:c r="R6" s="19" t="str">
        <x:v>17 Predatory salmon</x:v>
      </x:c>
      <x:c r="S6" s="19" t="str">
        <x:v>18 Baleen whales</x:v>
      </x:c>
      <x:c r="T6" s="19" t="str">
        <x:v>19 Pollock greater than 60 cm</x:v>
      </x:c>
      <x:c r="U6" s="19" t="str">
        <x:v>20 Predatory fish</x:v>
      </x:c>
      <x:c r="V6" s="19" t="str">
        <x:v>21 Predatory mammals</x:v>
      </x:c>
    </x:row>
    <x:row r="7" ht="25" customHeight="1">
      <x:c r="A7" s="11" t="n">
        <x:v>1</x:v>
      </x:c>
      <x:c r="B7" s="11" t="str">
        <x:v>Phytoplankton</x:v>
      </x:c>
      <x:c r="C7" s="26" t="n">
        <x:v>0</x:v>
      </x:c>
      <x:c r="D7" s="28" t="str">
        <x:v>n.a.</x:v>
      </x:c>
      <x:c r="E7" s="28" t="str">
        <x:v>n.a.</x:v>
      </x:c>
      <x:c r="F7" s="28" t="str">
        <x:v>n.a.</x:v>
      </x:c>
      <x:c r="G7" s="26" t="n">
        <x:v>0</x:v>
      </x:c>
      <x:c r="H7" s="26" t="n">
        <x:v>0</x:v>
      </x:c>
      <x:c r="I7" s="26" t="n">
        <x:v>0</x:v>
      </x:c>
      <x:c r="J7" s="26" t="n">
        <x:v>0</x:v>
      </x:c>
      <x:c r="K7" s="26" t="n">
        <x:v>0</x:v>
      </x:c>
      <x:c r="L7" s="26" t="n">
        <x:v>0</x:v>
      </x:c>
      <x:c r="M7" s="26" t="n">
        <x:v>0</x:v>
      </x:c>
      <x:c r="N7" s="26" t="n">
        <x:v>0</x:v>
      </x:c>
      <x:c r="O7" s="26" t="n">
        <x:v>0</x:v>
      </x:c>
      <x:c r="P7" s="26" t="n">
        <x:v>0</x:v>
      </x:c>
      <x:c r="Q7" s="26" t="n">
        <x:v>0</x:v>
      </x:c>
      <x:c r="R7" s="26" t="n">
        <x:v>0</x:v>
      </x:c>
      <x:c r="S7" s="26" t="n">
        <x:v>0</x:v>
      </x:c>
      <x:c r="T7" s="26" t="n">
        <x:v>0</x:v>
      </x:c>
      <x:c r="U7" s="26" t="n">
        <x:v>0</x:v>
      </x:c>
      <x:c r="V7" s="26" t="n">
        <x:v>0</x:v>
      </x:c>
    </x:row>
    <x:row r="8" ht="25" customHeight="1">
      <x:c r="A8" s="11" t="n">
        <x:v>2</x:v>
      </x:c>
      <x:c r="B8" s="11" t="str">
        <x:v>Bacteria</x:v>
      </x:c>
      <x:c r="C8" s="26" t="n">
        <x:v>0</x:v>
      </x:c>
      <x:c r="D8" s="28" t="str">
        <x:v>n.a.</x:v>
      </x:c>
      <x:c r="E8" s="28" t="str">
        <x:v>n.a.</x:v>
      </x:c>
      <x:c r="F8" s="28" t="str">
        <x:v>n.a.</x:v>
      </x:c>
      <x:c r="G8" s="26" t="n">
        <x:v>0</x:v>
      </x:c>
      <x:c r="H8" s="26" t="n">
        <x:v>0</x:v>
      </x:c>
      <x:c r="I8" s="26" t="n">
        <x:v>0</x:v>
      </x:c>
      <x:c r="J8" s="26" t="n">
        <x:v>0</x:v>
      </x:c>
      <x:c r="K8" s="26" t="n">
        <x:v>0</x:v>
      </x:c>
      <x:c r="L8" s="26" t="n">
        <x:v>0</x:v>
      </x:c>
      <x:c r="M8" s="26" t="n">
        <x:v>0</x:v>
      </x:c>
      <x:c r="N8" s="26" t="n">
        <x:v>0</x:v>
      </x:c>
      <x:c r="O8" s="26" t="n">
        <x:v>0</x:v>
      </x:c>
      <x:c r="P8" s="26" t="n">
        <x:v>0</x:v>
      </x:c>
      <x:c r="Q8" s="26" t="n">
        <x:v>0</x:v>
      </x:c>
      <x:c r="R8" s="26" t="n">
        <x:v>0</x:v>
      </x:c>
      <x:c r="S8" s="26" t="n">
        <x:v>0</x:v>
      </x:c>
      <x:c r="T8" s="26" t="n">
        <x:v>0</x:v>
      </x:c>
      <x:c r="U8" s="26" t="n">
        <x:v>0</x:v>
      </x:c>
      <x:c r="V8" s="26" t="n">
        <x:v>0</x:v>
      </x:c>
    </x:row>
    <x:row r="9" ht="25" customHeight="1">
      <x:c r="A9" s="11" t="n">
        <x:v>3</x:v>
      </x:c>
      <x:c r="B9" s="11" t="str">
        <x:v>Protozoa</x:v>
      </x:c>
      <x:c r="C9" s="26" t="n">
        <x:v>0</x:v>
      </x:c>
      <x:c r="D9" s="26" t="n">
        <x:v>0</x:v>
      </x:c>
      <x:c r="E9" s="28" t="str">
        <x:v>n.a.</x:v>
      </x:c>
      <x:c r="F9" s="28" t="str">
        <x:v>n.a.</x:v>
      </x:c>
      <x:c r="G9" s="26" t="n">
        <x:v>0</x:v>
      </x:c>
      <x:c r="H9" s="26" t="n">
        <x:v>0</x:v>
      </x:c>
      <x:c r="I9" s="26" t="n">
        <x:v>0</x:v>
      </x:c>
      <x:c r="J9" s="26" t="n">
        <x:v>0</x:v>
      </x:c>
      <x:c r="K9" s="26" t="n">
        <x:v>0</x:v>
      </x:c>
      <x:c r="L9" s="26" t="n">
        <x:v>0</x:v>
      </x:c>
      <x:c r="M9" s="26" t="n">
        <x:v>0</x:v>
      </x:c>
      <x:c r="N9" s="26" t="n">
        <x:v>0</x:v>
      </x:c>
      <x:c r="O9" s="26" t="n">
        <x:v>0</x:v>
      </x:c>
      <x:c r="P9" s="26" t="n">
        <x:v>0</x:v>
      </x:c>
      <x:c r="Q9" s="26" t="n">
        <x:v>0</x:v>
      </x:c>
      <x:c r="R9" s="26" t="n">
        <x:v>0</x:v>
      </x:c>
      <x:c r="S9" s="26" t="n">
        <x:v>0</x:v>
      </x:c>
      <x:c r="T9" s="26" t="n">
        <x:v>0</x:v>
      </x:c>
      <x:c r="U9" s="26" t="n">
        <x:v>0</x:v>
      </x:c>
      <x:c r="V9" s="26" t="n">
        <x:v>0</x:v>
      </x:c>
    </x:row>
    <x:row r="10" ht="25" customHeight="1">
      <x:c r="A10" s="11" t="n">
        <x:v>4</x:v>
      </x:c>
      <x:c r="B10" s="11" t="str">
        <x:v>Copepods</x:v>
      </x:c>
      <x:c r="C10" s="26" t="n">
        <x:v>0</x:v>
      </x:c>
      <x:c r="D10" s="26" t="n">
        <x:v>0</x:v>
      </x:c>
      <x:c r="E10" s="26" t="n">
        <x:v>0</x:v>
      </x:c>
      <x:c r="F10" s="26" t="n">
        <x:v>0</x:v>
      </x:c>
      <x:c r="G10" s="26" t="n">
        <x:v>0.9503342726300418</x:v>
      </x:c>
      <x:c r="H10" s="26" t="n">
        <x:v>0.9791245360118803</x:v>
      </x:c>
      <x:c r="I10" s="26" t="n">
        <x:v>0</x:v>
      </x:c>
      <x:c r="J10" s="26" t="n">
        <x:v>0</x:v>
      </x:c>
      <x:c r="K10" s="26" t="n">
        <x:v>0.4588522734044455</x:v>
      </x:c>
      <x:c r="L10" s="26" t="n">
        <x:v>0</x:v>
      </x:c>
      <x:c r="M10" s="26" t="n">
        <x:v>0.6244924180899163</x:v>
      </x:c>
      <x:c r="N10" s="26" t="n">
        <x:v>0</x:v>
      </x:c>
      <x:c r="O10" s="26" t="n">
        <x:v>0</x:v>
      </x:c>
      <x:c r="P10" s="26" t="n">
        <x:v>0</x:v>
      </x:c>
      <x:c r="Q10" s="26" t="n">
        <x:v>0</x:v>
      </x:c>
      <x:c r="R10" s="26" t="n">
        <x:v>0</x:v>
      </x:c>
      <x:c r="S10" s="26" t="n">
        <x:v>0</x:v>
      </x:c>
      <x:c r="T10" s="26" t="n">
        <x:v>0</x:v>
      </x:c>
      <x:c r="U10" s="26" t="n">
        <x:v>0</x:v>
      </x:c>
      <x:c r="V10" s="26" t="n">
        <x:v>0</x:v>
      </x:c>
    </x:row>
    <x:row r="11" ht="25" customHeight="1">
      <x:c r="A11" s="11" t="n">
        <x:v>5</x:v>
      </x:c>
      <x:c r="B11" s="11" t="str">
        <x:v>Euphausiids</x:v>
      </x:c>
      <x:c r="C11" s="26" t="n">
        <x:v>0</x:v>
      </x:c>
      <x:c r="D11" s="26" t="n">
        <x:v>0</x:v>
      </x:c>
      <x:c r="E11" s="26" t="n">
        <x:v>0</x:v>
      </x:c>
      <x:c r="F11" s="26" t="n">
        <x:v>0</x:v>
      </x:c>
      <x:c r="G11" s="26" t="n">
        <x:v>0.04966572736995818</x:v>
      </x:c>
      <x:c r="H11" s="26" t="n">
        <x:v>0.020875463988119677</x:v>
      </x:c>
      <x:c r="I11" s="26" t="n">
        <x:v>0</x:v>
      </x:c>
      <x:c r="J11" s="26" t="n">
        <x:v>0.777270515070563</x:v>
      </x:c>
      <x:c r="K11" s="26" t="n">
        <x:v>0.4737500744890054</x:v>
      </x:c>
      <x:c r="L11" s="26" t="n">
        <x:v>0.9550990034291691</x:v>
      </x:c>
      <x:c r="M11" s="26" t="n">
        <x:v>0.3225008787985309</x:v>
      </x:c>
      <x:c r="N11" s="26" t="n">
        <x:v>0.9300285150252249</x:v>
      </x:c>
      <x:c r="O11" s="26" t="n">
        <x:v>0</x:v>
      </x:c>
      <x:c r="P11" s="26" t="n">
        <x:v>0.7656206139738895</x:v>
      </x:c>
      <x:c r="Q11" s="26" t="n">
        <x:v>0</x:v>
      </x:c>
      <x:c r="R11" s="26" t="n">
        <x:v>0</x:v>
      </x:c>
      <x:c r="S11" s="28" t="str">
        <x:v>n.a.</x:v>
      </x:c>
      <x:c r="T11" s="26" t="n">
        <x:v>0.1045436374347753</x:v>
      </x:c>
      <x:c r="U11" s="26" t="n">
        <x:v>0</x:v>
      </x:c>
      <x:c r="V11" s="26" t="n">
        <x:v>0</x:v>
      </x:c>
    </x:row>
    <x:row r="12" ht="25" customHeight="1">
      <x:c r="A12" s="11" t="n">
        <x:v>6</x:v>
      </x:c>
      <x:c r="B12" s="11" t="str">
        <x:v>Hyperiids</x:v>
      </x:c>
      <x:c r="C12" s="26" t="n">
        <x:v>0</x:v>
      </x:c>
      <x:c r="D12" s="26" t="n">
        <x:v>0</x:v>
      </x:c>
      <x:c r="E12" s="26" t="n">
        <x:v>0</x:v>
      </x:c>
      <x:c r="F12" s="26" t="n">
        <x:v>0</x:v>
      </x:c>
      <x:c r="G12" s="26" t="n">
        <x:v>0</x:v>
      </x:c>
      <x:c r="H12" s="26" t="n">
        <x:v>0</x:v>
      </x:c>
      <x:c r="I12" s="26" t="n">
        <x:v>0.7991462412569894</x:v>
      </x:c>
      <x:c r="J12" s="26" t="n">
        <x:v>0.19897915678929035</x:v>
      </x:c>
      <x:c r="K12" s="26" t="n">
        <x:v>0.06739765210654908</x:v>
      </x:c>
      <x:c r="L12" s="26" t="n">
        <x:v>0.02478856809565471</x:v>
      </x:c>
      <x:c r="M12" s="26" t="n">
        <x:v>0.04042473242099904</x:v>
      </x:c>
      <x:c r="N12" s="26" t="n">
        <x:v>0.06997148497477516</x:v>
      </x:c>
      <x:c r="O12" s="26" t="n">
        <x:v>0.9224173696584151</x:v>
      </x:c>
      <x:c r="P12" s="26" t="n">
        <x:v>0.0032847488176709965</x:v>
      </x:c>
      <x:c r="Q12" s="26" t="n">
        <x:v>0.1712350052831127</x:v>
      </x:c>
      <x:c r="R12" s="26" t="n">
        <x:v>0</x:v>
      </x:c>
      <x:c r="S12" s="26" t="n">
        <x:v>0</x:v>
      </x:c>
      <x:c r="T12" s="26" t="n">
        <x:v>0</x:v>
      </x:c>
      <x:c r="U12" s="26" t="n">
        <x:v>0.17249007634225036</x:v>
      </x:c>
      <x:c r="V12" s="26" t="n">
        <x:v>0</x:v>
      </x:c>
    </x:row>
    <x:row r="13" ht="25" customHeight="1">
      <x:c r="A13" s="11" t="n">
        <x:v>7</x:v>
      </x:c>
      <x:c r="B13" s="11" t="str">
        <x:v>Chaetognaths</x:v>
      </x:c>
      <x:c r="C13" s="26" t="n">
        <x:v>0</x:v>
      </x:c>
      <x:c r="D13" s="26" t="n">
        <x:v>0</x:v>
      </x:c>
      <x:c r="E13" s="26" t="n">
        <x:v>0</x:v>
      </x:c>
      <x:c r="F13" s="26" t="n">
        <x:v>0</x:v>
      </x:c>
      <x:c r="G13" s="26" t="n">
        <x:v>0</x:v>
      </x:c>
      <x:c r="H13" s="26" t="n">
        <x:v>0</x:v>
      </x:c>
      <x:c r="I13" s="26" t="n">
        <x:v>0.05010321261799307</x:v>
      </x:c>
      <x:c r="J13" s="26" t="n">
        <x:v>0.015713015803313267</x:v>
      </x:c>
      <x:c r="K13" s="26" t="n">
        <x:v>0</x:v>
      </x:c>
      <x:c r="L13" s="26" t="n">
        <x:v>0.020112428475176237</x:v>
      </x:c>
      <x:c r="M13" s="26" t="n">
        <x:v>0.0036364077140328974</x:v>
      </x:c>
      <x:c r="N13" s="26" t="n">
        <x:v>0</x:v>
      </x:c>
      <x:c r="O13" s="26" t="n">
        <x:v>0.041488037615820775</x:v>
      </x:c>
      <x:c r="P13" s="26" t="n">
        <x:v>0.03161632295269535</x:v>
      </x:c>
      <x:c r="Q13" s="26" t="n">
        <x:v>0</x:v>
      </x:c>
      <x:c r="R13" s="26" t="n">
        <x:v>0</x:v>
      </x:c>
      <x:c r="S13" s="26" t="n">
        <x:v>0</x:v>
      </x:c>
      <x:c r="T13" s="26" t="n">
        <x:v>0</x:v>
      </x:c>
      <x:c r="U13" s="26" t="n">
        <x:v>0</x:v>
      </x:c>
      <x:c r="V13" s="26" t="n">
        <x:v>0</x:v>
      </x:c>
    </x:row>
    <x:row r="14" ht="25" customHeight="1">
      <x:c r="A14" s="11" t="n">
        <x:v>8</x:v>
      </x:c>
      <x:c r="B14" s="11" t="str">
        <x:v>Salmon</x:v>
      </x:c>
      <x:c r="C14" s="26" t="n">
        <x:v>0</x:v>
      </x:c>
      <x:c r="D14" s="26" t="n">
        <x:v>0</x:v>
      </x:c>
      <x:c r="E14" s="26" t="n">
        <x:v>0</x:v>
      </x:c>
      <x:c r="F14" s="26" t="n">
        <x:v>0</x:v>
      </x:c>
      <x:c r="G14" s="26" t="n">
        <x:v>0</x:v>
      </x:c>
      <x:c r="H14" s="26" t="n">
        <x:v>0</x:v>
      </x:c>
      <x:c r="I14" s="26" t="n">
        <x:v>0</x:v>
      </x:c>
      <x:c r="J14" s="26" t="n">
        <x:v>0.0010307738366973503</x:v>
      </x:c>
      <x:c r="K14" s="26" t="n">
        <x:v>0</x:v>
      </x:c>
      <x:c r="L14" s="26" t="n">
        <x:v>0</x:v>
      </x:c>
      <x:c r="M14" s="26" t="n">
        <x:v>0.008945562976520927</x:v>
      </x:c>
      <x:c r="N14" s="26" t="n">
        <x:v>0</x:v>
      </x:c>
      <x:c r="O14" s="26" t="n">
        <x:v>0</x:v>
      </x:c>
      <x:c r="P14" s="26" t="n">
        <x:v>0</x:v>
      </x:c>
      <x:c r="Q14" s="26" t="n">
        <x:v>0</x:v>
      </x:c>
      <x:c r="R14" s="26" t="n">
        <x:v>0</x:v>
      </x:c>
      <x:c r="S14" s="26" t="n">
        <x:v>0</x:v>
      </x:c>
      <x:c r="T14" s="26" t="n">
        <x:v>0</x:v>
      </x:c>
      <x:c r="U14" s="26" t="n">
        <x:v>0</x:v>
      </x:c>
      <x:c r="V14" s="26" t="n">
        <x:v>0.08646350106307583</x:v>
      </x:c>
    </x:row>
    <x:row r="15" ht="25" customHeight="1">
      <x:c r="A15" s="11" t="n">
        <x:v>9</x:v>
      </x:c>
      <x:c r="B15" s="11" t="str">
        <x:v>Squid III</x:v>
      </x:c>
      <x:c r="C15" s="26" t="n">
        <x:v>0</x:v>
      </x:c>
      <x:c r="D15" s="26" t="n">
        <x:v>0</x:v>
      </x:c>
      <x:c r="E15" s="26" t="n">
        <x:v>0</x:v>
      </x:c>
      <x:c r="F15" s="26" t="n">
        <x:v>0</x:v>
      </x:c>
      <x:c r="G15" s="26" t="n">
        <x:v>0</x:v>
      </x:c>
      <x:c r="H15" s="26" t="n">
        <x:v>0</x:v>
      </x:c>
      <x:c r="I15" s="26" t="n">
        <x:v>0.05485299717417881</x:v>
      </x:c>
      <x:c r="J15" s="26" t="n">
        <x:v>0</x:v>
      </x:c>
      <x:c r="K15" s="26" t="n">
        <x:v>0</x:v>
      </x:c>
      <x:c r="L15" s="26" t="n">
        <x:v>0</x:v>
      </x:c>
      <x:c r="M15" s="26" t="n">
        <x:v>0</x:v>
      </x:c>
      <x:c r="N15" s="26" t="n">
        <x:v>0</x:v>
      </x:c>
      <x:c r="O15" s="26" t="n">
        <x:v>0</x:v>
      </x:c>
      <x:c r="P15" s="26" t="n">
        <x:v>0</x:v>
      </x:c>
      <x:c r="Q15" s="26" t="n">
        <x:v>0.7248430604761017</x:v>
      </x:c>
      <x:c r="R15" s="26" t="n">
        <x:v>0.13352217858752333</x:v>
      </x:c>
      <x:c r="S15" s="28" t="str">
        <x:v>n.a.</x:v>
      </x:c>
      <x:c r="T15" s="26" t="n">
        <x:v>0</x:v>
      </x:c>
      <x:c r="U15" s="26" t="n">
        <x:v>0.10430797357030458</x:v>
      </x:c>
      <x:c r="V15" s="26" t="n">
        <x:v>0</x:v>
      </x:c>
    </x:row>
    <x:row r="16" ht="25" customHeight="1">
      <x:c r="A16" s="11" t="n">
        <x:v>10</x:v>
      </x:c>
      <x:c r="B16" s="11" t="str">
        <x:v>Herring</x:v>
      </x:c>
      <x:c r="C16" s="26" t="n">
        <x:v>0</x:v>
      </x:c>
      <x:c r="D16" s="26" t="n">
        <x:v>0</x:v>
      </x:c>
      <x:c r="E16" s="26" t="n">
        <x:v>0</x:v>
      </x:c>
      <x:c r="F16" s="26" t="n">
        <x:v>0</x:v>
      </x:c>
      <x:c r="G16" s="26" t="n">
        <x:v>0</x:v>
      </x:c>
      <x:c r="H16" s="26" t="n">
        <x:v>0</x:v>
      </x:c>
      <x:c r="I16" s="26" t="n">
        <x:v>0</x:v>
      </x:c>
      <x:c r="J16" s="26" t="n">
        <x:v>0</x:v>
      </x:c>
      <x:c r="K16" s="26" t="n">
        <x:v>0</x:v>
      </x:c>
      <x:c r="L16" s="26" t="n">
        <x:v>0</x:v>
      </x:c>
      <x:c r="M16" s="26" t="n">
        <x:v>0</x:v>
      </x:c>
      <x:c r="N16" s="26" t="n">
        <x:v>0</x:v>
      </x:c>
      <x:c r="O16" s="26" t="n">
        <x:v>0</x:v>
      </x:c>
      <x:c r="P16" s="26" t="n">
        <x:v>0.09739009388045222</x:v>
      </x:c>
      <x:c r="Q16" s="26" t="n">
        <x:v>0</x:v>
      </x:c>
      <x:c r="R16" s="26" t="n">
        <x:v>0</x:v>
      </x:c>
      <x:c r="S16" s="28" t="str">
        <x:v>n.a.</x:v>
      </x:c>
      <x:c r="T16" s="26" t="n">
        <x:v>0.0013255344218145093</x:v>
      </x:c>
      <x:c r="U16" s="26" t="n">
        <x:v>0.3005271747523781</x:v>
      </x:c>
      <x:c r="V16" s="26" t="n">
        <x:v>0</x:v>
      </x:c>
    </x:row>
    <x:row r="17" ht="25" customHeight="1">
      <x:c r="A17" s="11" t="n">
        <x:v>11</x:v>
      </x:c>
      <x:c r="B17" s="11" t="str">
        <x:v>Deep-sea smelt</x:v>
      </x:c>
      <x:c r="C17" s="26" t="n">
        <x:v>0</x:v>
      </x:c>
      <x:c r="D17" s="26" t="n">
        <x:v>0</x:v>
      </x:c>
      <x:c r="E17" s="26" t="n">
        <x:v>0</x:v>
      </x:c>
      <x:c r="F17" s="26" t="n">
        <x:v>0</x:v>
      </x:c>
      <x:c r="G17" s="26" t="n">
        <x:v>0</x:v>
      </x:c>
      <x:c r="H17" s="26" t="n">
        <x:v>0</x:v>
      </x:c>
      <x:c r="I17" s="26" t="n">
        <x:v>0.09589754895083873</x:v>
      </x:c>
      <x:c r="J17" s="26" t="n">
        <x:v>0</x:v>
      </x:c>
      <x:c r="K17" s="26" t="n">
        <x:v>0</x:v>
      </x:c>
      <x:c r="L17" s="26" t="n">
        <x:v>0</x:v>
      </x:c>
      <x:c r="M17" s="26" t="n">
        <x:v>0</x:v>
      </x:c>
      <x:c r="N17" s="26" t="n">
        <x:v>0</x:v>
      </x:c>
      <x:c r="O17" s="26" t="n">
        <x:v>0.03609459272576407</x:v>
      </x:c>
      <x:c r="P17" s="26" t="n">
        <x:v>0.01628092892236929</x:v>
      </x:c>
      <x:c r="Q17" s="26" t="n">
        <x:v>0</x:v>
      </x:c>
      <x:c r="R17" s="26" t="n">
        <x:v>0.048008387672328956</x:v>
      </x:c>
      <x:c r="S17" s="28" t="str">
        <x:v>n.a.</x:v>
      </x:c>
      <x:c r="T17" s="26" t="n">
        <x:v>0</x:v>
      </x:c>
      <x:c r="U17" s="26" t="n">
        <x:v>0.020698809161070045</x:v>
      </x:c>
      <x:c r="V17" s="26" t="n">
        <x:v>0</x:v>
      </x:c>
    </x:row>
    <x:row r="18" ht="25" customHeight="1">
      <x:c r="A18" s="11" t="n">
        <x:v>12</x:v>
      </x:c>
      <x:c r="B18" s="11" t="str">
        <x:v>Pollock less than 30 cm</x:v>
      </x:c>
      <x:c r="C18" s="26" t="n">
        <x:v>0</x:v>
      </x:c>
      <x:c r="D18" s="26" t="n">
        <x:v>0</x:v>
      </x:c>
      <x:c r="E18" s="26" t="n">
        <x:v>0</x:v>
      </x:c>
      <x:c r="F18" s="26" t="n">
        <x:v>0</x:v>
      </x:c>
      <x:c r="G18" s="26" t="n">
        <x:v>0</x:v>
      </x:c>
      <x:c r="H18" s="26" t="n">
        <x:v>0</x:v>
      </x:c>
      <x:c r="I18" s="26" t="n">
        <x:v>0</x:v>
      </x:c>
      <x:c r="J18" s="26" t="n">
        <x:v>0.0016027276119379532</x:v>
      </x:c>
      <x:c r="K18" s="26" t="n">
        <x:v>0</x:v>
      </x:c>
      <x:c r="L18" s="26" t="n">
        <x:v>0</x:v>
      </x:c>
      <x:c r="M18" s="26" t="n">
        <x:v>0</x:v>
      </x:c>
      <x:c r="N18" s="26" t="n">
        <x:v>0</x:v>
      </x:c>
      <x:c r="O18" s="26" t="n">
        <x:v>0</x:v>
      </x:c>
      <x:c r="P18" s="26" t="n">
        <x:v>0</x:v>
      </x:c>
      <x:c r="Q18" s="26" t="n">
        <x:v>0</x:v>
      </x:c>
      <x:c r="R18" s="26" t="n">
        <x:v>0.004690474657641335</x:v>
      </x:c>
      <x:c r="S18" s="28" t="str">
        <x:v>n.a.</x:v>
      </x:c>
      <x:c r="T18" s="26" t="n">
        <x:v>0.16364038040733883</x:v>
      </x:c>
      <x:c r="U18" s="26" t="n">
        <x:v>0</x:v>
      </x:c>
      <x:c r="V18" s="26" t="n">
        <x:v>0</x:v>
      </x:c>
    </x:row>
    <x:row r="19" ht="25" customHeight="1">
      <x:c r="A19" s="11" t="n">
        <x:v>13</x:v>
      </x:c>
      <x:c r="B19" s="11" t="str">
        <x:v>Capelin</x:v>
      </x:c>
      <x:c r="C19" s="26" t="n">
        <x:v>0</x:v>
      </x:c>
      <x:c r="D19" s="26" t="n">
        <x:v>0</x:v>
      </x:c>
      <x:c r="E19" s="26" t="n">
        <x:v>0</x:v>
      </x:c>
      <x:c r="F19" s="26" t="n">
        <x:v>0</x:v>
      </x:c>
      <x:c r="G19" s="26" t="n">
        <x:v>0</x:v>
      </x:c>
      <x:c r="H19" s="26" t="n">
        <x:v>0</x:v>
      </x:c>
      <x:c r="I19" s="26" t="n">
        <x:v>0</x:v>
      </x:c>
      <x:c r="J19" s="26" t="n">
        <x:v>0.0052544324846279565</x:v>
      </x:c>
      <x:c r="K19" s="26" t="n">
        <x:v>0</x:v>
      </x:c>
      <x:c r="L19" s="26" t="n">
        <x:v>0</x:v>
      </x:c>
      <x:c r="M19" s="26" t="n">
        <x:v>0</x:v>
      </x:c>
      <x:c r="N19" s="26" t="n">
        <x:v>0</x:v>
      </x:c>
      <x:c r="O19" s="26" t="n">
        <x:v>0</x:v>
      </x:c>
      <x:c r="P19" s="26" t="n">
        <x:v>0.08580729145292271</x:v>
      </x:c>
      <x:c r="Q19" s="26" t="n">
        <x:v>0.10392193424078564</x:v>
      </x:c>
      <x:c r="R19" s="26" t="n">
        <x:v>0.00809336803671446</x:v>
      </x:c>
      <x:c r="S19" s="26" t="n">
        <x:v>0</x:v>
      </x:c>
      <x:c r="T19" s="26" t="n">
        <x:v>0</x:v>
      </x:c>
      <x:c r="U19" s="26" t="n">
        <x:v>0.10468363253874505</x:v>
      </x:c>
      <x:c r="V19" s="26" t="n">
        <x:v>0</x:v>
      </x:c>
    </x:row>
    <x:row r="20" ht="25" customHeight="1">
      <x:c r="A20" s="11" t="n">
        <x:v>14</x:v>
      </x:c>
      <x:c r="B20" s="11" t="str">
        <x:v>Jellyfish</x:v>
      </x:c>
      <x:c r="C20" s="26" t="n">
        <x:v>0</x:v>
      </x:c>
      <x:c r="D20" s="26" t="n">
        <x:v>0</x:v>
      </x:c>
      <x:c r="E20" s="26" t="n">
        <x:v>0</x:v>
      </x:c>
      <x:c r="F20" s="26" t="n">
        <x:v>0</x:v>
      </x:c>
      <x:c r="G20" s="26" t="n">
        <x:v>0</x:v>
      </x:c>
      <x:c r="H20" s="26" t="n">
        <x:v>0</x:v>
      </x:c>
      <x:c r="I20" s="26" t="n">
        <x:v>0</x:v>
      </x:c>
      <x:c r="J20" s="26" t="n">
        <x:v>0.00014937840357016479</x:v>
      </x:c>
      <x:c r="K20" s="26" t="n">
        <x:v>0</x:v>
      </x:c>
      <x:c r="L20" s="26" t="n">
        <x:v>0</x:v>
      </x:c>
      <x:c r="M20" s="26" t="n">
        <x:v>0</x:v>
      </x:c>
      <x:c r="N20" s="26" t="n">
        <x:v>0</x:v>
      </x:c>
      <x:c r="O20" s="26" t="n">
        <x:v>0</x:v>
      </x:c>
      <x:c r="P20" s="26" t="n">
        <x:v>0</x:v>
      </x:c>
      <x:c r="Q20" s="26" t="n">
        <x:v>0</x:v>
      </x:c>
      <x:c r="R20" s="26" t="n">
        <x:v>0.15737922027756573</x:v>
      </x:c>
      <x:c r="S20" s="26" t="n">
        <x:v>0</x:v>
      </x:c>
      <x:c r="T20" s="26" t="n">
        <x:v>0</x:v>
      </x:c>
      <x:c r="U20" s="26" t="n">
        <x:v>0</x:v>
      </x:c>
      <x:c r="V20" s="26" t="n">
        <x:v>0</x:v>
      </x:c>
    </x:row>
    <x:row r="21" ht="25" customHeight="1">
      <x:c r="A21" s="11" t="n">
        <x:v>15</x:v>
      </x:c>
      <x:c r="B21" s="11" t="str">
        <x:v>Pollock 30-60 cm</x:v>
      </x:c>
      <x:c r="C21" s="26" t="n">
        <x:v>0</x:v>
      </x:c>
      <x:c r="D21" s="26" t="n">
        <x:v>0</x:v>
      </x:c>
      <x:c r="E21" s="26" t="n">
        <x:v>0</x:v>
      </x:c>
      <x:c r="F21" s="26" t="n">
        <x:v>0</x:v>
      </x:c>
      <x:c r="G21" s="26" t="n">
        <x:v>0</x:v>
      </x:c>
      <x:c r="H21" s="26" t="n">
        <x:v>0</x:v>
      </x:c>
      <x:c r="I21" s="26" t="n">
        <x:v>0</x:v>
      </x:c>
      <x:c r="J21" s="26" t="n">
        <x:v>0</x:v>
      </x:c>
      <x:c r="K21" s="26" t="n">
        <x:v>0</x:v>
      </x:c>
      <x:c r="L21" s="26" t="n">
        <x:v>0</x:v>
      </x:c>
      <x:c r="M21" s="26" t="n">
        <x:v>0</x:v>
      </x:c>
      <x:c r="N21" s="26" t="n">
        <x:v>0</x:v>
      </x:c>
      <x:c r="O21" s="26" t="n">
        <x:v>0</x:v>
      </x:c>
      <x:c r="P21" s="26" t="n">
        <x:v>0</x:v>
      </x:c>
      <x:c r="Q21" s="26" t="n">
        <x:v>0</x:v>
      </x:c>
      <x:c r="R21" s="26" t="n">
        <x:v>0</x:v>
      </x:c>
      <x:c r="S21" s="26" t="n">
        <x:v>0</x:v>
      </x:c>
      <x:c r="T21" s="26" t="n">
        <x:v>0.7304904477360714</x:v>
      </x:c>
      <x:c r="U21" s="26" t="n">
        <x:v>0</x:v>
      </x:c>
      <x:c r="V21" s="26" t="n">
        <x:v>0.48011270332405664</x:v>
      </x:c>
    </x:row>
    <x:row r="22" ht="25" customHeight="1">
      <x:c r="A22" s="11" t="n">
        <x:v>16</x:v>
      </x:c>
      <x:c r="B22" s="11" t="str">
        <x:v>Squid IV</x:v>
      </x:c>
      <x:c r="C22" s="26" t="n">
        <x:v>0</x:v>
      </x:c>
      <x:c r="D22" s="26" t="n">
        <x:v>0</x:v>
      </x:c>
      <x:c r="E22" s="26" t="n">
        <x:v>0</x:v>
      </x:c>
      <x:c r="F22" s="26" t="n">
        <x:v>0</x:v>
      </x:c>
      <x:c r="G22" s="26" t="n">
        <x:v>0</x:v>
      </x:c>
      <x:c r="H22" s="26" t="n">
        <x:v>0</x:v>
      </x:c>
      <x:c r="I22" s="26" t="n">
        <x:v>0</x:v>
      </x:c>
      <x:c r="J22" s="26" t="n">
        <x:v>0</x:v>
      </x:c>
      <x:c r="K22" s="26" t="n">
        <x:v>0</x:v>
      </x:c>
      <x:c r="L22" s="26" t="n">
        <x:v>0</x:v>
      </x:c>
      <x:c r="M22" s="26" t="n">
        <x:v>0</x:v>
      </x:c>
      <x:c r="N22" s="26" t="n">
        <x:v>0</x:v>
      </x:c>
      <x:c r="O22" s="26" t="n">
        <x:v>0</x:v>
      </x:c>
      <x:c r="P22" s="26" t="n">
        <x:v>0</x:v>
      </x:c>
      <x:c r="Q22" s="26" t="n">
        <x:v>0</x:v>
      </x:c>
      <x:c r="R22" s="26" t="n">
        <x:v>0.06588737342616181</x:v>
      </x:c>
      <x:c r="S22" s="26" t="n">
        <x:v>0</x:v>
      </x:c>
      <x:c r="T22" s="26" t="n">
        <x:v>0</x:v>
      </x:c>
      <x:c r="U22" s="26" t="n">
        <x:v>0.27410582730539823</x:v>
      </x:c>
      <x:c r="V22" s="26" t="n">
        <x:v>0.43342379561286754</x:v>
      </x:c>
    </x:row>
    <x:row r="23" ht="25" customHeight="1">
      <x:c r="A23" s="11" t="n">
        <x:v>17</x:v>
      </x:c>
      <x:c r="B23" s="11" t="str">
        <x:v>Predatory salmon</x:v>
      </x:c>
      <x:c r="C23" s="26" t="n">
        <x:v>0</x:v>
      </x:c>
      <x:c r="D23" s="26" t="n">
        <x:v>0</x:v>
      </x:c>
      <x:c r="E23" s="26" t="n">
        <x:v>0</x:v>
      </x:c>
      <x:c r="F23" s="26" t="n">
        <x:v>0</x:v>
      </x:c>
      <x:c r="G23" s="26" t="n">
        <x:v>0</x:v>
      </x:c>
      <x:c r="H23" s="26" t="n">
        <x:v>0</x:v>
      </x:c>
      <x:c r="I23" s="26" t="n">
        <x:v>0</x:v>
      </x:c>
      <x:c r="J23" s="26" t="n">
        <x:v>0</x:v>
      </x:c>
      <x:c r="K23" s="26" t="n">
        <x:v>0</x:v>
      </x:c>
      <x:c r="L23" s="26" t="n">
        <x:v>0</x:v>
      </x:c>
      <x:c r="M23" s="26" t="n">
        <x:v>0</x:v>
      </x:c>
      <x:c r="N23" s="26" t="n">
        <x:v>0</x:v>
      </x:c>
      <x:c r="O23" s="26" t="n">
        <x:v>0</x:v>
      </x:c>
      <x:c r="P23" s="26" t="n">
        <x:v>0</x:v>
      </x:c>
      <x:c r="Q23" s="26" t="n">
        <x:v>0</x:v>
      </x:c>
      <x:c r="R23" s="26" t="n">
        <x:v>0</x:v>
      </x:c>
      <x:c r="S23" s="26" t="n">
        <x:v>0</x:v>
      </x:c>
      <x:c r="T23" s="26" t="n">
        <x:v>0</x:v>
      </x:c>
      <x:c r="U23" s="26" t="n">
        <x:v>0</x:v>
      </x:c>
      <x:c r="V23" s="26" t="n">
        <x:v>0</x:v>
      </x:c>
    </x:row>
    <x:row r="24" ht="25" customHeight="1">
      <x:c r="A24" s="11" t="n">
        <x:v>18</x:v>
      </x:c>
      <x:c r="B24" s="11" t="str">
        <x:v>Baleen whales</x:v>
      </x:c>
      <x:c r="C24" s="26" t="n">
        <x:v>0</x:v>
      </x:c>
      <x:c r="D24" s="26" t="n">
        <x:v>0</x:v>
      </x:c>
      <x:c r="E24" s="26" t="n">
        <x:v>0</x:v>
      </x:c>
      <x:c r="F24" s="26" t="n">
        <x:v>0</x:v>
      </x:c>
      <x:c r="G24" s="26" t="n">
        <x:v>0</x:v>
      </x:c>
      <x:c r="H24" s="26" t="n">
        <x:v>0</x:v>
      </x:c>
      <x:c r="I24" s="26" t="n">
        <x:v>0</x:v>
      </x:c>
      <x:c r="J24" s="26" t="n">
        <x:v>0</x:v>
      </x:c>
      <x:c r="K24" s="26" t="n">
        <x:v>0</x:v>
      </x:c>
      <x:c r="L24" s="26" t="n">
        <x:v>0</x:v>
      </x:c>
      <x:c r="M24" s="26" t="n">
        <x:v>0</x:v>
      </x:c>
      <x:c r="N24" s="26" t="n">
        <x:v>0</x:v>
      </x:c>
      <x:c r="O24" s="26" t="n">
        <x:v>0</x:v>
      </x:c>
      <x:c r="P24" s="26" t="n">
        <x:v>0</x:v>
      </x:c>
      <x:c r="Q24" s="26" t="n">
        <x:v>0</x:v>
      </x:c>
      <x:c r="R24" s="26" t="n">
        <x:v>0</x:v>
      </x:c>
      <x:c r="S24" s="26" t="n">
        <x:v>0</x:v>
      </x:c>
      <x:c r="T24" s="26" t="n">
        <x:v>0</x:v>
      </x:c>
      <x:c r="U24" s="26" t="n">
        <x:v>0</x:v>
      </x:c>
      <x:c r="V24" s="26" t="n">
        <x:v>0</x:v>
      </x:c>
    </x:row>
    <x:row r="25" ht="25" customHeight="1">
      <x:c r="A25" s="11" t="n">
        <x:v>19</x:v>
      </x:c>
      <x:c r="B25" s="11" t="str">
        <x:v>Pollock greater than 60 cm</x:v>
      </x:c>
      <x:c r="C25" s="26" t="n">
        <x:v>0</x:v>
      </x:c>
      <x:c r="D25" s="26" t="n">
        <x:v>0</x:v>
      </x:c>
      <x:c r="E25" s="26" t="n">
        <x:v>0</x:v>
      </x:c>
      <x:c r="F25" s="26" t="n">
        <x:v>0</x:v>
      </x:c>
      <x:c r="G25" s="26" t="n">
        <x:v>0</x:v>
      </x:c>
      <x:c r="H25" s="26" t="n">
        <x:v>0</x:v>
      </x:c>
      <x:c r="I25" s="26" t="n">
        <x:v>0</x:v>
      </x:c>
      <x:c r="J25" s="26" t="n">
        <x:v>0</x:v>
      </x:c>
      <x:c r="K25" s="26" t="n">
        <x:v>0</x:v>
      </x:c>
      <x:c r="L25" s="26" t="n">
        <x:v>0</x:v>
      </x:c>
      <x:c r="M25" s="26" t="n">
        <x:v>0</x:v>
      </x:c>
      <x:c r="N25" s="26" t="n">
        <x:v>0</x:v>
      </x:c>
      <x:c r="O25" s="26" t="n">
        <x:v>0</x:v>
      </x:c>
      <x:c r="P25" s="26" t="n">
        <x:v>0</x:v>
      </x:c>
      <x:c r="Q25" s="26" t="n">
        <x:v>0</x:v>
      </x:c>
      <x:c r="R25" s="26" t="n">
        <x:v>0.5824189973420644</x:v>
      </x:c>
      <x:c r="S25" s="26" t="n">
        <x:v>0</x:v>
      </x:c>
      <x:c r="T25" s="26" t="n">
        <x:v>0</x:v>
      </x:c>
      <x:c r="U25" s="26" t="n">
        <x:v>0.02318650632985362</x:v>
      </x:c>
      <x:c r="V25" s="26" t="n">
        <x:v>0</x:v>
      </x:c>
    </x:row>
    <x:row r="26" ht="25" customHeight="1">
      <x:c r="A26" s="11" t="n">
        <x:v>20</x:v>
      </x:c>
      <x:c r="B26" s="11" t="str">
        <x:v>Predatory fish</x:v>
      </x:c>
      <x:c r="C26" s="26" t="n">
        <x:v>0</x:v>
      </x:c>
      <x:c r="D26" s="26" t="n">
        <x:v>0</x:v>
      </x:c>
      <x:c r="E26" s="26" t="n">
        <x:v>0</x:v>
      </x:c>
      <x:c r="F26" s="26" t="n">
        <x:v>0</x:v>
      </x:c>
      <x:c r="G26" s="26" t="n">
        <x:v>0</x:v>
      </x:c>
      <x:c r="H26" s="26" t="n">
        <x:v>0</x:v>
      </x:c>
      <x:c r="I26" s="26" t="n">
        <x:v>0</x:v>
      </x:c>
      <x:c r="J26" s="26" t="n">
        <x:v>0</x:v>
      </x:c>
      <x:c r="K26" s="26" t="n">
        <x:v>0</x:v>
      </x:c>
      <x:c r="L26" s="26" t="n">
        <x:v>0</x:v>
      </x:c>
      <x:c r="M26" s="26" t="n">
        <x:v>0</x:v>
      </x:c>
      <x:c r="N26" s="26" t="n">
        <x:v>0</x:v>
      </x:c>
      <x:c r="O26" s="26" t="n">
        <x:v>0</x:v>
      </x:c>
      <x:c r="P26" s="26" t="n">
        <x:v>0</x:v>
      </x:c>
      <x:c r="Q26" s="26" t="n">
        <x:v>0</x:v>
      </x:c>
      <x:c r="R26" s="26" t="n">
        <x:v>0</x:v>
      </x:c>
      <x:c r="S26" s="26" t="n">
        <x:v>0</x:v>
      </x:c>
      <x:c r="T26" s="26" t="n">
        <x:v>0</x:v>
      </x:c>
      <x:c r="U26" s="26" t="n">
        <x:v>0</x:v>
      </x:c>
      <x:c r="V26" s="26" t="n">
        <x:v>0</x:v>
      </x:c>
    </x:row>
    <x:row r="27" ht="25" customHeight="1">
      <x:c r="A27" s="11" t="n">
        <x:v>21</x:v>
      </x:c>
      <x:c r="B27" s="11" t="str">
        <x:v>Predatory mammals</x:v>
      </x:c>
      <x:c r="C27" s="26" t="n">
        <x:v>0</x:v>
      </x:c>
      <x:c r="D27" s="26" t="n">
        <x:v>0</x:v>
      </x:c>
      <x:c r="E27" s="26" t="n">
        <x:v>0</x:v>
      </x:c>
      <x:c r="F27" s="26" t="n">
        <x:v>0</x:v>
      </x:c>
      <x:c r="G27" s="26" t="n">
        <x:v>0</x:v>
      </x:c>
      <x:c r="H27" s="26" t="n">
        <x:v>0</x:v>
      </x:c>
      <x:c r="I27" s="26" t="n">
        <x:v>0</x:v>
      </x:c>
      <x:c r="J27" s="26" t="n">
        <x:v>0</x:v>
      </x:c>
      <x:c r="K27" s="26" t="n">
        <x:v>0</x:v>
      </x:c>
      <x:c r="L27" s="26" t="n">
        <x:v>0</x:v>
      </x:c>
      <x:c r="M27" s="26" t="n">
        <x:v>0</x:v>
      </x:c>
      <x:c r="N27" s="26" t="n">
        <x:v>0</x:v>
      </x:c>
      <x:c r="O27" s="26" t="n">
        <x:v>0</x:v>
      </x:c>
      <x:c r="P27" s="26" t="n">
        <x:v>0</x:v>
      </x:c>
      <x:c r="Q27" s="26" t="n">
        <x:v>0</x:v>
      </x:c>
      <x:c r="R27" s="26" t="n">
        <x:v>0</x:v>
      </x:c>
      <x:c r="S27" s="26" t="n">
        <x:v>0</x:v>
      </x:c>
      <x:c r="T27" s="26" t="n">
        <x:v>0</x:v>
      </x:c>
      <x:c r="U27" s="26" t="n">
        <x:v>0</x:v>
      </x:c>
      <x:c r="V27" s="26" t="n">
        <x:v>0</x:v>
      </x:c>
    </x:row>
    <x:row r="28" ht="25" customHeight="1">
      <x:c r="A28" s="11" t="n">
        <x:v>22</x:v>
      </x:c>
      <x:c r="B28" s="11" t="str">
        <x:v>Detritus</x:v>
      </x:c>
      <x:c r="C28" s="26" t="n">
        <x:v>1</x:v>
      </x:c>
      <x:c r="D28" s="26" t="n">
        <x:v>0</x:v>
      </x:c>
      <x:c r="E28" s="26" t="n">
        <x:v>0</x:v>
      </x:c>
      <x:c r="F28" s="26" t="n">
        <x:v>0</x:v>
      </x:c>
      <x:c r="G28" s="26" t="n">
        <x:v>0</x:v>
      </x:c>
      <x:c r="H28" s="26" t="n">
        <x:v>0</x:v>
      </x:c>
      <x:c r="I28" s="26" t="n">
        <x:v>0</x:v>
      </x:c>
      <x:c r="J28" s="26" t="n">
        <x:v>0</x:v>
      </x:c>
      <x:c r="K28" s="26" t="n">
        <x:v>0</x:v>
      </x:c>
      <x:c r="L28" s="26" t="n">
        <x:v>0</x:v>
      </x:c>
      <x:c r="M28" s="26" t="n">
        <x:v>0</x:v>
      </x:c>
      <x:c r="N28" s="26" t="n">
        <x:v>0</x:v>
      </x:c>
      <x:c r="O28" s="26" t="n">
        <x:v>0</x:v>
      </x:c>
      <x:c r="P28" s="26" t="n">
        <x:v>0</x:v>
      </x:c>
      <x:c r="Q28" s="26" t="n">
        <x:v>0</x:v>
      </x:c>
      <x:c r="R28" s="26" t="n">
        <x:v>0</x:v>
      </x:c>
      <x:c r="S28" s="26" t="n">
        <x:v>0</x:v>
      </x:c>
      <x:c r="T28" s="26" t="n">
        <x:v>0</x:v>
      </x:c>
      <x:c r="U28" s="26" t="n">
        <x:v>0</x:v>
      </x:c>
      <x:c r="V28" s="26" t="n">
        <x:v>0</x:v>
      </x:c>
    </x:row>
    <x:row r="29" ht="25" customHeight="1">
      <x:c r="A29" s="1"/>
      <x:c r="B29" s="1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</x:row>
    <x:row r="30" ht="35" customHeight="1">
      <x:c r="A30" s="21" t="str">
        <x:v>Column sum (numeric completeness only)</x:v>
      </x:c>
      <x:c r="B30" s="21"/>
      <x:c r="C30" s="27" t="n">
        <x:f>IF(COUNT(C7:C28)=22,SUM(C7:C28),"n.a.")</x:f>
        <x:v>1</x:v>
      </x:c>
      <x:c r="D30" s="27" t="str">
        <x:f>IF(COUNT(D7:D28)=22,SUM(D7:D28),"n.a.")</x:f>
        <x:v>n.a.</x:v>
      </x:c>
      <x:c r="E30" s="27" t="str">
        <x:f>IF(COUNT(E7:E28)=22,SUM(E7:E28),"n.a.")</x:f>
        <x:v>n.a.</x:v>
      </x:c>
      <x:c r="F30" s="27" t="str">
        <x:f>IF(COUNT(F7:F28)=22,SUM(F7:F28),"n.a.")</x:f>
        <x:v>n.a.</x:v>
      </x:c>
      <x:c r="G30" s="27" t="n">
        <x:f>IF(COUNT(G7:G28)=22,SUM(G7:G28),"n.a.")</x:f>
        <x:v>1</x:v>
      </x:c>
      <x:c r="H30" s="27" t="n">
        <x:f>IF(COUNT(H7:H28)=22,SUM(H7:H28),"n.a.")</x:f>
        <x:v>1</x:v>
      </x:c>
      <x:c r="I30" s="27" t="n">
        <x:f>IF(COUNT(I7:I28)=22,SUM(I7:I28),"n.a.")</x:f>
        <x:v>1</x:v>
      </x:c>
      <x:c r="J30" s="27" t="n">
        <x:f>IF(COUNT(J7:J28)=22,SUM(J7:J28),"n.a.")</x:f>
        <x:v>1</x:v>
      </x:c>
      <x:c r="K30" s="27" t="n">
        <x:f>IF(COUNT(K7:K28)=22,SUM(K7:K28),"n.a.")</x:f>
        <x:v>1</x:v>
      </x:c>
      <x:c r="L30" s="27" t="n">
        <x:f>IF(COUNT(L7:L28)=22,SUM(L7:L28),"n.a.")</x:f>
        <x:v>1</x:v>
      </x:c>
      <x:c r="M30" s="27" t="n">
        <x:f>IF(COUNT(M7:M28)=22,SUM(M7:M28),"n.a.")</x:f>
        <x:v>1</x:v>
      </x:c>
      <x:c r="N30" s="27" t="n">
        <x:f>IF(COUNT(N7:N28)=22,SUM(N7:N28),"n.a.")</x:f>
        <x:v>1</x:v>
      </x:c>
      <x:c r="O30" s="27" t="n">
        <x:f>IF(COUNT(O7:O28)=22,SUM(O7:O28),"n.a.")</x:f>
        <x:v>1</x:v>
      </x:c>
      <x:c r="P30" s="27" t="n">
        <x:f>IF(COUNT(P7:P28)=22,SUM(P7:P28),"n.a.")</x:f>
        <x:v>1</x:v>
      </x:c>
      <x:c r="Q30" s="27" t="n">
        <x:f>IF(COUNT(Q7:Q28)=22,SUM(Q7:Q28),"n.a.")</x:f>
        <x:v>1</x:v>
      </x:c>
      <x:c r="R30" s="27" t="n">
        <x:f>IF(COUNT(R7:R28)=22,SUM(R7:R28),"n.a.")</x:f>
        <x:v>1</x:v>
      </x:c>
      <x:c r="S30" s="27" t="str">
        <x:f>IF(COUNT(S7:S28)=22,SUM(S7:S28),"n.a.")</x:f>
        <x:v>n.a.</x:v>
      </x:c>
      <x:c r="T30" s="27" t="n">
        <x:f>IF(COUNT(T7:T28)=22,SUM(T7:T28),"n.a.")</x:f>
        <x:v>1</x:v>
      </x:c>
      <x:c r="U30" s="27" t="n">
        <x:f>IF(COUNT(U7:U28)=22,SUM(U7:U28),"n.a.")</x:f>
        <x:v>1</x:v>
      </x:c>
      <x:c r="V30" s="27" t="n">
        <x:f>IF(COUNT(V7:V28)=22,SUM(V7:V28),"n.a.")</x:f>
        <x:v>1</x:v>
      </x:c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</x:row>
    <x:row r="32" ht="30" customHeight="1">
      <x:c r="A32" s="25" t="str">
        <x:v>n.a. = fraction not identifiable; a known zero remains zero even when another entry in the column is unknown.</x:v>
      </x:c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</x:row>
  </x:sheetData>
  <x:mergeCells>
    <x:mergeCell ref="A1:V1"/>
    <x:mergeCell ref="A2:V3"/>
    <x:mergeCell ref="A4:V4"/>
    <x:mergeCell ref="A30:B30"/>
    <x:mergeCell ref="A32:V3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6D72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" hidden="0" customWidth="1"/>
    <x:col min="2" max="2" width="3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34" customHeight="1">
      <x:c r="A1" s="3" t="str">
        <x:v>DC carbon · illustrative label hypothesis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5" customHeight="1">
      <x:c r="A2" s="6" t="str">
        <x:v>ILLUSTRATIVE ONLY — assumes overprinted F62 = 0.023 and F67 = 0.05. These are possible readings, not verified source numbers.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3" ht="2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</x:row>
    <x:row r="4" ht="25" customHeight="1">
      <x:c r="A4" s="15" t="str">
        <x:v>Columns = consumers; rows = prey. All numeric columns remain provisional because 33 endpoint assignments are tentative.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60" customHeight="1">
      <x:c r="A6" s="19" t="str">
        <x:v>ID</x:v>
      </x:c>
      <x:c r="B6" s="19" t="str">
        <x:v>Prey</x:v>
      </x:c>
      <x:c r="C6" s="19" t="str">
        <x:v>2 Bacteria</x:v>
      </x:c>
      <x:c r="D6" s="19" t="str">
        <x:v>3 Protozoa</x:v>
      </x:c>
      <x:c r="E6" s="19" t="str">
        <x:v>4 Copepods</x:v>
      </x:c>
      <x:c r="F6" s="19" t="str">
        <x:v>5 Euphausiids</x:v>
      </x:c>
      <x:c r="G6" s="19" t="str">
        <x:v>6 Hyperiids</x:v>
      </x:c>
      <x:c r="H6" s="19" t="str">
        <x:v>7 Chaetognaths</x:v>
      </x:c>
      <x:c r="I6" s="19" t="str">
        <x:v>8 Salmon</x:v>
      </x:c>
      <x:c r="J6" s="19" t="str">
        <x:v>9 Squid III</x:v>
      </x:c>
      <x:c r="K6" s="19" t="str">
        <x:v>10 Herring</x:v>
      </x:c>
      <x:c r="L6" s="19" t="str">
        <x:v>11 Deep-sea smelt</x:v>
      </x:c>
      <x:c r="M6" s="19" t="str">
        <x:v>12 Pollock less than 30 cm</x:v>
      </x:c>
      <x:c r="N6" s="19" t="str">
        <x:v>13 Capelin</x:v>
      </x:c>
      <x:c r="O6" s="19" t="str">
        <x:v>14 Jellyfish</x:v>
      </x:c>
      <x:c r="P6" s="19" t="str">
        <x:v>15 Pollock 30-60 cm</x:v>
      </x:c>
      <x:c r="Q6" s="19" t="str">
        <x:v>16 Squid IV</x:v>
      </x:c>
      <x:c r="R6" s="19" t="str">
        <x:v>17 Predatory salmon</x:v>
      </x:c>
      <x:c r="S6" s="19" t="str">
        <x:v>18 Baleen whales</x:v>
      </x:c>
      <x:c r="T6" s="19" t="str">
        <x:v>19 Pollock greater than 60 cm</x:v>
      </x:c>
      <x:c r="U6" s="19" t="str">
        <x:v>20 Predatory fish</x:v>
      </x:c>
      <x:c r="V6" s="19" t="str">
        <x:v>21 Predatory mammals</x:v>
      </x:c>
    </x:row>
    <x:row r="7" ht="25" customHeight="1">
      <x:c r="A7" s="11" t="n">
        <x:v>1</x:v>
      </x:c>
      <x:c r="B7" s="11" t="str">
        <x:v>Phytoplankton</x:v>
      </x:c>
      <x:c r="C7" s="26" t="n">
        <x:v>0</x:v>
      </x:c>
      <x:c r="D7" s="26" t="n">
        <x:v>0.6944444444444444</x:v>
      </x:c>
      <x:c r="E7" s="26" t="n">
        <x:v>0.6420454545454546</x:v>
      </x:c>
      <x:c r="F7" s="26" t="n">
        <x:v>0.6551724137931034</x:v>
      </x:c>
      <x:c r="G7" s="26" t="n">
        <x:v>0</x:v>
      </x:c>
      <x:c r="H7" s="26" t="n">
        <x:v>0</x:v>
      </x:c>
      <x:c r="I7" s="26" t="n">
        <x:v>0</x:v>
      </x:c>
      <x:c r="J7" s="26" t="n">
        <x:v>0</x:v>
      </x:c>
      <x:c r="K7" s="26" t="n">
        <x:v>0</x:v>
      </x:c>
      <x:c r="L7" s="26" t="n">
        <x:v>0</x:v>
      </x:c>
      <x:c r="M7" s="26" t="n">
        <x:v>0</x:v>
      </x:c>
      <x:c r="N7" s="26" t="n">
        <x:v>0</x:v>
      </x:c>
      <x:c r="O7" s="26" t="n">
        <x:v>0</x:v>
      </x:c>
      <x:c r="P7" s="26" t="n">
        <x:v>0</x:v>
      </x:c>
      <x:c r="Q7" s="26" t="n">
        <x:v>0</x:v>
      </x:c>
      <x:c r="R7" s="26" t="n">
        <x:v>0</x:v>
      </x:c>
      <x:c r="S7" s="26" t="n">
        <x:v>0</x:v>
      </x:c>
      <x:c r="T7" s="26" t="n">
        <x:v>0</x:v>
      </x:c>
      <x:c r="U7" s="26" t="n">
        <x:v>0</x:v>
      </x:c>
      <x:c r="V7" s="26" t="n">
        <x:v>0</x:v>
      </x:c>
    </x:row>
    <x:row r="8" ht="25" customHeight="1">
      <x:c r="A8" s="11" t="n">
        <x:v>2</x:v>
      </x:c>
      <x:c r="B8" s="11" t="str">
        <x:v>Bacteria</x:v>
      </x:c>
      <x:c r="C8" s="26" t="n">
        <x:v>0</x:v>
      </x:c>
      <x:c r="D8" s="26" t="n">
        <x:v>0.3055555555555556</x:v>
      </x:c>
      <x:c r="E8" s="26" t="n">
        <x:v>0.23863636363636365</x:v>
      </x:c>
      <x:c r="F8" s="26" t="n">
        <x:v>0.20689655172413793</x:v>
      </x:c>
      <x:c r="G8" s="26" t="n">
        <x:v>0</x:v>
      </x:c>
      <x:c r="H8" s="26" t="n">
        <x:v>0</x:v>
      </x:c>
      <x:c r="I8" s="26" t="n">
        <x:v>0</x:v>
      </x:c>
      <x:c r="J8" s="26" t="n">
        <x:v>0</x:v>
      </x:c>
      <x:c r="K8" s="26" t="n">
        <x:v>0</x:v>
      </x:c>
      <x:c r="L8" s="26" t="n">
        <x:v>0</x:v>
      </x:c>
      <x:c r="M8" s="26" t="n">
        <x:v>0</x:v>
      </x:c>
      <x:c r="N8" s="26" t="n">
        <x:v>0</x:v>
      </x:c>
      <x:c r="O8" s="26" t="n">
        <x:v>0</x:v>
      </x:c>
      <x:c r="P8" s="26" t="n">
        <x:v>0</x:v>
      </x:c>
      <x:c r="Q8" s="26" t="n">
        <x:v>0</x:v>
      </x:c>
      <x:c r="R8" s="26" t="n">
        <x:v>0</x:v>
      </x:c>
      <x:c r="S8" s="26" t="n">
        <x:v>0</x:v>
      </x:c>
      <x:c r="T8" s="26" t="n">
        <x:v>0</x:v>
      </x:c>
      <x:c r="U8" s="26" t="n">
        <x:v>0</x:v>
      </x:c>
      <x:c r="V8" s="26" t="n">
        <x:v>0</x:v>
      </x:c>
    </x:row>
    <x:row r="9" ht="25" customHeight="1">
      <x:c r="A9" s="11" t="n">
        <x:v>3</x:v>
      </x:c>
      <x:c r="B9" s="11" t="str">
        <x:v>Protozoa</x:v>
      </x:c>
      <x:c r="C9" s="26" t="n">
        <x:v>0</x:v>
      </x:c>
      <x:c r="D9" s="26" t="n">
        <x:v>0</x:v>
      </x:c>
      <x:c r="E9" s="26" t="n">
        <x:v>0.11931818181818182</x:v>
      </x:c>
      <x:c r="F9" s="26" t="n">
        <x:v>0.13793103448275862</x:v>
      </x:c>
      <x:c r="G9" s="26" t="n">
        <x:v>0</x:v>
      </x:c>
      <x:c r="H9" s="26" t="n">
        <x:v>0</x:v>
      </x:c>
      <x:c r="I9" s="26" t="n">
        <x:v>0</x:v>
      </x:c>
      <x:c r="J9" s="26" t="n">
        <x:v>0</x:v>
      </x:c>
      <x:c r="K9" s="26" t="n">
        <x:v>0</x:v>
      </x:c>
      <x:c r="L9" s="26" t="n">
        <x:v>0</x:v>
      </x:c>
      <x:c r="M9" s="26" t="n">
        <x:v>0</x:v>
      </x:c>
      <x:c r="N9" s="26" t="n">
        <x:v>0</x:v>
      </x:c>
      <x:c r="O9" s="26" t="n">
        <x:v>0</x:v>
      </x:c>
      <x:c r="P9" s="26" t="n">
        <x:v>0</x:v>
      </x:c>
      <x:c r="Q9" s="26" t="n">
        <x:v>0</x:v>
      </x:c>
      <x:c r="R9" s="26" t="n">
        <x:v>0</x:v>
      </x:c>
      <x:c r="S9" s="26" t="n">
        <x:v>0</x:v>
      </x:c>
      <x:c r="T9" s="26" t="n">
        <x:v>0</x:v>
      </x:c>
      <x:c r="U9" s="26" t="n">
        <x:v>0</x:v>
      </x:c>
      <x:c r="V9" s="26" t="n">
        <x:v>0</x:v>
      </x:c>
    </x:row>
    <x:row r="10" ht="25" customHeight="1">
      <x:c r="A10" s="11" t="n">
        <x:v>4</x:v>
      </x:c>
      <x:c r="B10" s="11" t="str">
        <x:v>Copepods</x:v>
      </x:c>
      <x:c r="C10" s="26" t="n">
        <x:v>0</x:v>
      </x:c>
      <x:c r="D10" s="26" t="n">
        <x:v>0</x:v>
      </x:c>
      <x:c r="E10" s="26" t="n">
        <x:v>0</x:v>
      </x:c>
      <x:c r="F10" s="26" t="n">
        <x:v>0</x:v>
      </x:c>
      <x:c r="G10" s="26" t="n">
        <x:v>0.9354323522701347</x:v>
      </x:c>
      <x:c r="H10" s="26" t="n">
        <x:v>0.9726120197425724</x:v>
      </x:c>
      <x:c r="I10" s="26" t="n">
        <x:v>0</x:v>
      </x:c>
      <x:c r="J10" s="26" t="n">
        <x:v>0</x:v>
      </x:c>
      <x:c r="K10" s="26" t="n">
        <x:v>0.3991291727140784</x:v>
      </x:c>
      <x:c r="L10" s="26" t="n">
        <x:v>0</x:v>
      </x:c>
      <x:c r="M10" s="26" t="n">
        <x:v>0.563984674329502</x:v>
      </x:c>
      <x:c r="N10" s="26" t="n">
        <x:v>0</x:v>
      </x:c>
      <x:c r="O10" s="26" t="n">
        <x:v>0</x:v>
      </x:c>
      <x:c r="P10" s="26" t="n">
        <x:v>0</x:v>
      </x:c>
      <x:c r="Q10" s="26" t="n">
        <x:v>0</x:v>
      </x:c>
      <x:c r="R10" s="26" t="n">
        <x:v>0</x:v>
      </x:c>
      <x:c r="S10" s="26" t="n">
        <x:v>0</x:v>
      </x:c>
      <x:c r="T10" s="26" t="n">
        <x:v>0</x:v>
      </x:c>
      <x:c r="U10" s="26" t="n">
        <x:v>0</x:v>
      </x:c>
      <x:c r="V10" s="26" t="n">
        <x:v>0</x:v>
      </x:c>
    </x:row>
    <x:row r="11" ht="25" customHeight="1">
      <x:c r="A11" s="11" t="n">
        <x:v>5</x:v>
      </x:c>
      <x:c r="B11" s="11" t="str">
        <x:v>Euphausiids</x:v>
      </x:c>
      <x:c r="C11" s="26" t="n">
        <x:v>0</x:v>
      </x:c>
      <x:c r="D11" s="26" t="n">
        <x:v>0</x:v>
      </x:c>
      <x:c r="E11" s="26" t="n">
        <x:v>0</x:v>
      </x:c>
      <x:c r="F11" s="26" t="n">
        <x:v>0</x:v>
      </x:c>
      <x:c r="G11" s="26" t="n">
        <x:v>0.06456764772986538</x:v>
      </x:c>
      <x:c r="H11" s="26" t="n">
        <x:v>0.02738798025742766</x:v>
      </x:c>
      <x:c r="I11" s="26" t="n">
        <x:v>0</x:v>
      </x:c>
      <x:c r="J11" s="26" t="n">
        <x:v>0.8265389860728181</x:v>
      </x:c>
      <x:c r="K11" s="26" t="n">
        <x:v>0.5442670537010159</x:v>
      </x:c>
      <x:c r="L11" s="26" t="n">
        <x:v>0.9707475622968581</x:v>
      </x:c>
      <x:c r="M11" s="26" t="n">
        <x:v>0.3846743295019157</x:v>
      </x:c>
      <x:c r="N11" s="26" t="n">
        <x:v>0.9478672985781991</x:v>
      </x:c>
      <x:c r="O11" s="26" t="n">
        <x:v>0</x:v>
      </x:c>
      <x:c r="P11" s="26" t="n">
        <x:v>0.7282236308568213</x:v>
      </x:c>
      <x:c r="Q11" s="26" t="n">
        <x:v>0</x:v>
      </x:c>
      <x:c r="R11" s="26" t="n">
        <x:v>0</x:v>
      </x:c>
      <x:c r="S11" s="26" t="n">
        <x:v>0.6584169974317068</x:v>
      </x:c>
      <x:c r="T11" s="26" t="n">
        <x:v>0.10738831615120274</x:v>
      </x:c>
      <x:c r="U11" s="26" t="n">
        <x:v>0</x:v>
      </x:c>
      <x:c r="V11" s="26" t="n">
        <x:v>0</x:v>
      </x:c>
    </x:row>
    <x:row r="12" ht="25" customHeight="1">
      <x:c r="A12" s="11" t="n">
        <x:v>6</x:v>
      </x:c>
      <x:c r="B12" s="11" t="str">
        <x:v>Hyperiids</x:v>
      </x:c>
      <x:c r="C12" s="26" t="n">
        <x:v>0</x:v>
      </x:c>
      <x:c r="D12" s="26" t="n">
        <x:v>0</x:v>
      </x:c>
      <x:c r="E12" s="26" t="n">
        <x:v>0</x:v>
      </x:c>
      <x:c r="F12" s="26" t="n">
        <x:v>0</x:v>
      </x:c>
      <x:c r="G12" s="26" t="n">
        <x:v>0</x:v>
      </x:c>
      <x:c r="H12" s="26" t="n">
        <x:v>0</x:v>
      </x:c>
      <x:c r="I12" s="26" t="n">
        <x:v>0.7523939808481532</x:v>
      </x:c>
      <x:c r="J12" s="26" t="n">
        <x:v>0.15468086739362738</x:v>
      </x:c>
      <x:c r="K12" s="26" t="n">
        <x:v>0.05660377358490566</x:v>
      </x:c>
      <x:c r="L12" s="26" t="n">
        <x:v>0.018418201516793065</x:v>
      </x:c>
      <x:c r="M12" s="26" t="n">
        <x:v>0.03524904214559387</x:v>
      </x:c>
      <x:c r="N12" s="26" t="n">
        <x:v>0.052132701421800945</x:v>
      </x:c>
      <x:c r="O12" s="26" t="n">
        <x:v>0.9108910891089109</x:v>
      </x:c>
      <x:c r="P12" s="26" t="n">
        <x:v>0.0022839741149600305</x:v>
      </x:c>
      <x:c r="Q12" s="26" t="n">
        <x:v>0.13970588235294118</x:v>
      </x:c>
      <x:c r="R12" s="26" t="n">
        <x:v>0</x:v>
      </x:c>
      <x:c r="S12" s="26" t="n">
        <x:v>0</x:v>
      </x:c>
      <x:c r="T12" s="26" t="n">
        <x:v>0</x:v>
      </x:c>
      <x:c r="U12" s="26" t="n">
        <x:v>0.11694706606483381</x:v>
      </x:c>
      <x:c r="V12" s="26" t="n">
        <x:v>0</x:v>
      </x:c>
    </x:row>
    <x:row r="13" ht="25" customHeight="1">
      <x:c r="A13" s="11" t="n">
        <x:v>7</x:v>
      </x:c>
      <x:c r="B13" s="11" t="str">
        <x:v>Chaetognaths</x:v>
      </x:c>
      <x:c r="C13" s="26" t="n">
        <x:v>0</x:v>
      </x:c>
      <x:c r="D13" s="26" t="n">
        <x:v>0</x:v>
      </x:c>
      <x:c r="E13" s="26" t="n">
        <x:v>0</x:v>
      </x:c>
      <x:c r="F13" s="26" t="n">
        <x:v>0</x:v>
      </x:c>
      <x:c r="G13" s="26" t="n">
        <x:v>0</x:v>
      </x:c>
      <x:c r="H13" s="26" t="n">
        <x:v>0</x:v>
      </x:c>
      <x:c r="I13" s="26" t="n">
        <x:v>0.03419972640218878</x:v>
      </x:c>
      <x:c r="J13" s="26" t="n">
        <x:v>0.008855774850780193</x:v>
      </x:c>
      <x:c r="K13" s="26" t="n">
        <x:v>0</x:v>
      </x:c>
      <x:c r="L13" s="26" t="n">
        <x:v>0.010834236186348862</x:v>
      </x:c>
      <x:c r="M13" s="26" t="n">
        <x:v>0.0022988505747126436</x:v>
      </x:c>
      <x:c r="N13" s="26" t="n">
        <x:v>0</x:v>
      </x:c>
      <x:c r="O13" s="26" t="n">
        <x:v>0.0297029702970297</x:v>
      </x:c>
      <x:c r="P13" s="26" t="n">
        <x:v>0.01593816719352543</x:v>
      </x:c>
      <x:c r="Q13" s="26" t="n">
        <x:v>0</x:v>
      </x:c>
      <x:c r="R13" s="26" t="n">
        <x:v>0</x:v>
      </x:c>
      <x:c r="S13" s="26" t="n">
        <x:v>0</x:v>
      </x:c>
      <x:c r="T13" s="26" t="n">
        <x:v>0</x:v>
      </x:c>
      <x:c r="U13" s="26" t="n">
        <x:v>0</x:v>
      </x:c>
      <x:c r="V13" s="26" t="n">
        <x:v>0</x:v>
      </x:c>
    </x:row>
    <x:row r="14" ht="25" customHeight="1">
      <x:c r="A14" s="11" t="n">
        <x:v>8</x:v>
      </x:c>
      <x:c r="B14" s="11" t="str">
        <x:v>Salmon</x:v>
      </x:c>
      <x:c r="C14" s="26" t="n">
        <x:v>0</x:v>
      </x:c>
      <x:c r="D14" s="26" t="n">
        <x:v>0</x:v>
      </x:c>
      <x:c r="E14" s="26" t="n">
        <x:v>0</x:v>
      </x:c>
      <x:c r="F14" s="26" t="n">
        <x:v>0</x:v>
      </x:c>
      <x:c r="G14" s="26" t="n">
        <x:v>0</x:v>
      </x:c>
      <x:c r="H14" s="26" t="n">
        <x:v>0</x:v>
      </x:c>
      <x:c r="I14" s="26" t="n">
        <x:v>0</x:v>
      </x:c>
      <x:c r="J14" s="26" t="n">
        <x:v>0.001416923976124831</x:v>
      </x:c>
      <x:c r="K14" s="26" t="n">
        <x:v>0</x:v>
      </x:c>
      <x:c r="L14" s="26" t="n">
        <x:v>0</x:v>
      </x:c>
      <x:c r="M14" s="26" t="n">
        <x:v>0.013793103448275862</x:v>
      </x:c>
      <x:c r="N14" s="26" t="n">
        <x:v>0</x:v>
      </x:c>
      <x:c r="O14" s="26" t="n">
        <x:v>0</x:v>
      </x:c>
      <x:c r="P14" s="26" t="n">
        <x:v>0</x:v>
      </x:c>
      <x:c r="Q14" s="26" t="n">
        <x:v>0</x:v>
      </x:c>
      <x:c r="R14" s="26" t="n">
        <x:v>0</x:v>
      </x:c>
      <x:c r="S14" s="26" t="n">
        <x:v>0</x:v>
      </x:c>
      <x:c r="T14" s="26" t="n">
        <x:v>0</x:v>
      </x:c>
      <x:c r="U14" s="26" t="n">
        <x:v>0</x:v>
      </x:c>
      <x:c r="V14" s="26" t="n">
        <x:v>0.11708253358925144</x:v>
      </x:c>
    </x:row>
    <x:row r="15" ht="25" customHeight="1">
      <x:c r="A15" s="11" t="n">
        <x:v>9</x:v>
      </x:c>
      <x:c r="B15" s="11" t="str">
        <x:v>Squid III</x:v>
      </x:c>
      <x:c r="C15" s="26" t="n">
        <x:v>0</x:v>
      </x:c>
      <x:c r="D15" s="26" t="n">
        <x:v>0</x:v>
      </x:c>
      <x:c r="E15" s="26" t="n">
        <x:v>0</x:v>
      </x:c>
      <x:c r="F15" s="26" t="n">
        <x:v>0</x:v>
      </x:c>
      <x:c r="G15" s="26" t="n">
        <x:v>0</x:v>
      </x:c>
      <x:c r="H15" s="26" t="n">
        <x:v>0</x:v>
      </x:c>
      <x:c r="I15" s="26" t="n">
        <x:v>0.06292749658002736</x:v>
      </x:c>
      <x:c r="J15" s="26" t="n">
        <x:v>0</x:v>
      </x:c>
      <x:c r="K15" s="26" t="n">
        <x:v>0</x:v>
      </x:c>
      <x:c r="L15" s="26" t="n">
        <x:v>0</x:v>
      </x:c>
      <x:c r="M15" s="26" t="n">
        <x:v>0</x:v>
      </x:c>
      <x:c r="N15" s="26" t="n">
        <x:v>0</x:v>
      </x:c>
      <x:c r="O15" s="26" t="n">
        <x:v>0</x:v>
      </x:c>
      <x:c r="P15" s="26" t="n">
        <x:v>0</x:v>
      </x:c>
      <x:c r="Q15" s="26" t="n">
        <x:v>0.7205882352941176</x:v>
      </x:c>
      <x:c r="R15" s="26" t="n">
        <x:v>0.14645858343337334</x:v>
      </x:c>
      <x:c r="S15" s="26" t="n">
        <x:v>0.23348120476301656</x:v>
      </x:c>
      <x:c r="T15" s="26" t="n">
        <x:v>0</x:v>
      </x:c>
      <x:c r="U15" s="26" t="n">
        <x:v>0.08617152236356175</x:v>
      </x:c>
      <x:c r="V15" s="26" t="n">
        <x:v>0</x:v>
      </x:c>
    </x:row>
    <x:row r="16" ht="25" customHeight="1">
      <x:c r="A16" s="11" t="n">
        <x:v>10</x:v>
      </x:c>
      <x:c r="B16" s="11" t="str">
        <x:v>Herring</x:v>
      </x:c>
      <x:c r="C16" s="26" t="n">
        <x:v>0</x:v>
      </x:c>
      <x:c r="D16" s="26" t="n">
        <x:v>0</x:v>
      </x:c>
      <x:c r="E16" s="26" t="n">
        <x:v>0</x:v>
      </x:c>
      <x:c r="F16" s="26" t="n">
        <x:v>0</x:v>
      </x:c>
      <x:c r="G16" s="26" t="n">
        <x:v>0</x:v>
      </x:c>
      <x:c r="H16" s="26" t="n">
        <x:v>0</x:v>
      </x:c>
      <x:c r="I16" s="26" t="n">
        <x:v>0</x:v>
      </x:c>
      <x:c r="J16" s="26" t="n">
        <x:v>0</x:v>
      </x:c>
      <x:c r="K16" s="26" t="n">
        <x:v>0</x:v>
      </x:c>
      <x:c r="L16" s="26" t="n">
        <x:v>0</x:v>
      </x:c>
      <x:c r="M16" s="26" t="n">
        <x:v>0</x:v>
      </x:c>
      <x:c r="N16" s="26" t="n">
        <x:v>0</x:v>
      </x:c>
      <x:c r="O16" s="26" t="n">
        <x:v>0</x:v>
      </x:c>
      <x:c r="P16" s="26" t="n">
        <x:v>0.13637642541500472</x:v>
      </x:c>
      <x:c r="Q16" s="26" t="n">
        <x:v>0</x:v>
      </x:c>
      <x:c r="R16" s="26" t="n">
        <x:v>0</x:v>
      </x:c>
      <x:c r="S16" s="26" t="n">
        <x:v>0.10740135419098762</x:v>
      </x:c>
      <x:c r="T16" s="26" t="n">
        <x:v>0.002004581901489118</x:v>
      </x:c>
      <x:c r="U16" s="26" t="n">
        <x:v>0.4103405826836274</x:v>
      </x:c>
      <x:c r="V16" s="26" t="n">
        <x:v>0</x:v>
      </x:c>
    </x:row>
    <x:row r="17" ht="25" customHeight="1">
      <x:c r="A17" s="11" t="n">
        <x:v>11</x:v>
      </x:c>
      <x:c r="B17" s="11" t="str">
        <x:v>Deep-sea smelt</x:v>
      </x:c>
      <x:c r="C17" s="26" t="n">
        <x:v>0</x:v>
      </x:c>
      <x:c r="D17" s="26" t="n">
        <x:v>0</x:v>
      </x:c>
      <x:c r="E17" s="26" t="n">
        <x:v>0</x:v>
      </x:c>
      <x:c r="F17" s="26" t="n">
        <x:v>0</x:v>
      </x:c>
      <x:c r="G17" s="26" t="n">
        <x:v>0</x:v>
      </x:c>
      <x:c r="H17" s="26" t="n">
        <x:v>0</x:v>
      </x:c>
      <x:c r="I17" s="26" t="n">
        <x:v>0.15047879616963064</x:v>
      </x:c>
      <x:c r="J17" s="26" t="n">
        <x:v>0</x:v>
      </x:c>
      <x:c r="K17" s="26" t="n">
        <x:v>0</x:v>
      </x:c>
      <x:c r="L17" s="26" t="n">
        <x:v>0</x:v>
      </x:c>
      <x:c r="M17" s="26" t="n">
        <x:v>0</x:v>
      </x:c>
      <x:c r="N17" s="26" t="n">
        <x:v>0</x:v>
      </x:c>
      <x:c r="O17" s="26" t="n">
        <x:v>0.0594059405940594</x:v>
      </x:c>
      <x:c r="P17" s="26" t="n">
        <x:v>0.018867612254017643</x:v>
      </x:c>
      <x:c r="Q17" s="26" t="n">
        <x:v>0</x:v>
      </x:c>
      <x:c r="R17" s="26" t="n">
        <x:v>0.07202881152460984</x:v>
      </x:c>
      <x:c r="S17" s="26" t="n">
        <x:v>0.0006537473733364464</x:v>
      </x:c>
      <x:c r="T17" s="26" t="n">
        <x:v>0</x:v>
      </x:c>
      <x:c r="U17" s="26" t="n">
        <x:v>0.023389413212966764</x:v>
      </x:c>
      <x:c r="V17" s="26" t="n">
        <x:v>0</x:v>
      </x:c>
    </x:row>
    <x:row r="18" ht="25" customHeight="1">
      <x:c r="A18" s="11" t="n">
        <x:v>12</x:v>
      </x:c>
      <x:c r="B18" s="11" t="str">
        <x:v>Pollock less than 30 cm</x:v>
      </x:c>
      <x:c r="C18" s="26" t="n">
        <x:v>0</x:v>
      </x:c>
      <x:c r="D18" s="26" t="n">
        <x:v>0</x:v>
      </x:c>
      <x:c r="E18" s="26" t="n">
        <x:v>0</x:v>
      </x:c>
      <x:c r="F18" s="26" t="n">
        <x:v>0</x:v>
      </x:c>
      <x:c r="G18" s="26" t="n">
        <x:v>0</x:v>
      </x:c>
      <x:c r="H18" s="26" t="n">
        <x:v>0</x:v>
      </x:c>
      <x:c r="I18" s="26" t="n">
        <x:v>0</x:v>
      </x:c>
      <x:c r="J18" s="26" t="n">
        <x:v>0.0017711549701560387</x:v>
      </x:c>
      <x:c r="K18" s="26" t="n">
        <x:v>0</x:v>
      </x:c>
      <x:c r="L18" s="26" t="n">
        <x:v>0</x:v>
      </x:c>
      <x:c r="M18" s="26" t="n">
        <x:v>0</x:v>
      </x:c>
      <x:c r="N18" s="26" t="n">
        <x:v>0</x:v>
      </x:c>
      <x:c r="O18" s="26" t="n">
        <x:v>0</x:v>
      </x:c>
      <x:c r="P18" s="26" t="n">
        <x:v>0</x:v>
      </x:c>
      <x:c r="Q18" s="26" t="n">
        <x:v>0</x:v>
      </x:c>
      <x:c r="R18" s="26" t="n">
        <x:v>0.006002400960384154</x:v>
      </x:c>
      <x:c r="S18" s="26" t="n">
        <x:v>0.00004669624095260332</x:v>
      </x:c>
      <x:c r="T18" s="26" t="n">
        <x:v>0.17468499427262313</x:v>
      </x:c>
      <x:c r="U18" s="26" t="n">
        <x:v>0</x:v>
      </x:c>
      <x:c r="V18" s="26" t="n">
        <x:v>0</x:v>
      </x:c>
    </x:row>
    <x:row r="19" ht="25" customHeight="1">
      <x:c r="A19" s="11" t="n">
        <x:v>13</x:v>
      </x:c>
      <x:c r="B19" s="11" t="str">
        <x:v>Capelin</x:v>
      </x:c>
      <x:c r="C19" s="26" t="n">
        <x:v>0</x:v>
      </x:c>
      <x:c r="D19" s="26" t="n">
        <x:v>0</x:v>
      </x:c>
      <x:c r="E19" s="26" t="n">
        <x:v>0</x:v>
      </x:c>
      <x:c r="F19" s="26" t="n">
        <x:v>0</x:v>
      </x:c>
      <x:c r="G19" s="26" t="n">
        <x:v>0</x:v>
      </x:c>
      <x:c r="H19" s="26" t="n">
        <x:v>0</x:v>
      </x:c>
      <x:c r="I19" s="26" t="n">
        <x:v>0</x:v>
      </x:c>
      <x:c r="J19" s="26" t="n">
        <x:v>0.006730388886592947</x:v>
      </x:c>
      <x:c r="K19" s="26" t="n">
        <x:v>0</x:v>
      </x:c>
      <x:c r="L19" s="26" t="n">
        <x:v>0</x:v>
      </x:c>
      <x:c r="M19" s="26" t="n">
        <x:v>0</x:v>
      </x:c>
      <x:c r="N19" s="26" t="n">
        <x:v>0</x:v>
      </x:c>
      <x:c r="O19" s="26" t="n">
        <x:v>0</x:v>
      </x:c>
      <x:c r="P19" s="26" t="n">
        <x:v>0.09831019016567087</x:v>
      </x:c>
      <x:c r="Q19" s="26" t="n">
        <x:v>0.13970588235294118</x:v>
      </x:c>
      <x:c r="R19" s="26" t="n">
        <x:v>0.012004801920768308</x:v>
      </x:c>
      <x:c r="S19" s="26" t="n">
        <x:v>0</x:v>
      </x:c>
      <x:c r="T19" s="26" t="n">
        <x:v>0</x:v>
      </x:c>
      <x:c r="U19" s="26" t="n">
        <x:v>0.11694706606483381</x:v>
      </x:c>
      <x:c r="V19" s="26" t="n">
        <x:v>0</x:v>
      </x:c>
    </x:row>
    <x:row r="20" ht="25" customHeight="1">
      <x:c r="A20" s="11" t="n">
        <x:v>14</x:v>
      </x:c>
      <x:c r="B20" s="11" t="str">
        <x:v>Jellyfish</x:v>
      </x:c>
      <x:c r="C20" s="26" t="n">
        <x:v>0</x:v>
      </x:c>
      <x:c r="D20" s="26" t="n">
        <x:v>0</x:v>
      </x:c>
      <x:c r="E20" s="26" t="n">
        <x:v>0</x:v>
      </x:c>
      <x:c r="F20" s="26" t="n">
        <x:v>0</x:v>
      </x:c>
      <x:c r="G20" s="26" t="n">
        <x:v>0</x:v>
      </x:c>
      <x:c r="H20" s="26" t="n">
        <x:v>0</x:v>
      </x:c>
      <x:c r="I20" s="26" t="n">
        <x:v>0</x:v>
      </x:c>
      <x:c r="J20" s="26" t="n">
        <x:v>0.000005903849900520129</x:v>
      </x:c>
      <x:c r="K20" s="26" t="n">
        <x:v>0</x:v>
      </x:c>
      <x:c r="L20" s="26" t="n">
        <x:v>0</x:v>
      </x:c>
      <x:c r="M20" s="26" t="n">
        <x:v>0</x:v>
      </x:c>
      <x:c r="N20" s="26" t="n">
        <x:v>0</x:v>
      </x:c>
      <x:c r="O20" s="26" t="n">
        <x:v>0</x:v>
      </x:c>
      <x:c r="P20" s="26" t="n">
        <x:v>0</x:v>
      </x:c>
      <x:c r="Q20" s="26" t="n">
        <x:v>0</x:v>
      </x:c>
      <x:c r="R20" s="26" t="n">
        <x:v>0.007202881152460984</x:v>
      </x:c>
      <x:c r="S20" s="26" t="n">
        <x:v>0</x:v>
      </x:c>
      <x:c r="T20" s="26" t="n">
        <x:v>0</x:v>
      </x:c>
      <x:c r="U20" s="26" t="n">
        <x:v>0</x:v>
      </x:c>
      <x:c r="V20" s="26" t="n">
        <x:v>0</x:v>
      </x:c>
    </x:row>
    <x:row r="21" ht="25" customHeight="1">
      <x:c r="A21" s="11" t="n">
        <x:v>15</x:v>
      </x:c>
      <x:c r="B21" s="11" t="str">
        <x:v>Pollock 30-60 cm</x:v>
      </x:c>
      <x:c r="C21" s="26" t="n">
        <x:v>0</x:v>
      </x:c>
      <x:c r="D21" s="26" t="n">
        <x:v>0</x:v>
      </x:c>
      <x:c r="E21" s="26" t="n">
        <x:v>0</x:v>
      </x:c>
      <x:c r="F21" s="26" t="n">
        <x:v>0</x:v>
      </x:c>
      <x:c r="G21" s="26" t="n">
        <x:v>0</x:v>
      </x:c>
      <x:c r="H21" s="26" t="n">
        <x:v>0</x:v>
      </x:c>
      <x:c r="I21" s="26" t="n">
        <x:v>0</x:v>
      </x:c>
      <x:c r="J21" s="26" t="n">
        <x:v>0</x:v>
      </x:c>
      <x:c r="K21" s="26" t="n">
        <x:v>0</x:v>
      </x:c>
      <x:c r="L21" s="26" t="n">
        <x:v>0</x:v>
      </x:c>
      <x:c r="M21" s="26" t="n">
        <x:v>0</x:v>
      </x:c>
      <x:c r="N21" s="26" t="n">
        <x:v>0</x:v>
      </x:c>
      <x:c r="O21" s="26" t="n">
        <x:v>0</x:v>
      </x:c>
      <x:c r="P21" s="26" t="n">
        <x:v>0</x:v>
      </x:c>
      <x:c r="Q21" s="26" t="n">
        <x:v>0</x:v>
      </x:c>
      <x:c r="R21" s="26" t="n">
        <x:v>0</x:v>
      </x:c>
      <x:c r="S21" s="26" t="n">
        <x:v>0</x:v>
      </x:c>
      <x:c r="T21" s="26" t="n">
        <x:v>0.715922107674685</x:v>
      </x:c>
      <x:c r="U21" s="26" t="n">
        <x:v>0</x:v>
      </x:c>
      <x:c r="V21" s="26" t="n">
        <x:v>0.4798464491362764</x:v>
      </x:c>
    </x:row>
    <x:row r="22" ht="25" customHeight="1">
      <x:c r="A22" s="11" t="n">
        <x:v>16</x:v>
      </x:c>
      <x:c r="B22" s="11" t="str">
        <x:v>Squid IV</x:v>
      </x:c>
      <x:c r="C22" s="26" t="n">
        <x:v>0</x:v>
      </x:c>
      <x:c r="D22" s="26" t="n">
        <x:v>0</x:v>
      </x:c>
      <x:c r="E22" s="26" t="n">
        <x:v>0</x:v>
      </x:c>
      <x:c r="F22" s="26" t="n">
        <x:v>0</x:v>
      </x:c>
      <x:c r="G22" s="26" t="n">
        <x:v>0</x:v>
      </x:c>
      <x:c r="H22" s="26" t="n">
        <x:v>0</x:v>
      </x:c>
      <x:c r="I22" s="26" t="n">
        <x:v>0</x:v>
      </x:c>
      <x:c r="J22" s="26" t="n">
        <x:v>0</x:v>
      </x:c>
      <x:c r="K22" s="26" t="n">
        <x:v>0</x:v>
      </x:c>
      <x:c r="L22" s="26" t="n">
        <x:v>0</x:v>
      </x:c>
      <x:c r="M22" s="26" t="n">
        <x:v>0</x:v>
      </x:c>
      <x:c r="N22" s="26" t="n">
        <x:v>0</x:v>
      </x:c>
      <x:c r="O22" s="26" t="n">
        <x:v>0</x:v>
      </x:c>
      <x:c r="P22" s="26" t="n">
        <x:v>0</x:v>
      </x:c>
      <x:c r="Q22" s="26" t="n">
        <x:v>0</x:v>
      </x:c>
      <x:c r="R22" s="26" t="n">
        <x:v>0.07202881152460984</x:v>
      </x:c>
      <x:c r="S22" s="26" t="n">
        <x:v>0</x:v>
      </x:c>
      <x:c r="T22" s="26" t="n">
        <x:v>0</x:v>
      </x:c>
      <x:c r="U22" s="26" t="n">
        <x:v>0.22568732047599507</x:v>
      </x:c>
      <x:c r="V22" s="26" t="n">
        <x:v>0.40307101727447214</x:v>
      </x:c>
    </x:row>
    <x:row r="23" ht="25" customHeight="1">
      <x:c r="A23" s="11" t="n">
        <x:v>17</x:v>
      </x:c>
      <x:c r="B23" s="11" t="str">
        <x:v>Predatory salmon</x:v>
      </x:c>
      <x:c r="C23" s="26" t="n">
        <x:v>0</x:v>
      </x:c>
      <x:c r="D23" s="26" t="n">
        <x:v>0</x:v>
      </x:c>
      <x:c r="E23" s="26" t="n">
        <x:v>0</x:v>
      </x:c>
      <x:c r="F23" s="26" t="n">
        <x:v>0</x:v>
      </x:c>
      <x:c r="G23" s="26" t="n">
        <x:v>0</x:v>
      </x:c>
      <x:c r="H23" s="26" t="n">
        <x:v>0</x:v>
      </x:c>
      <x:c r="I23" s="26" t="n">
        <x:v>0</x:v>
      </x:c>
      <x:c r="J23" s="26" t="n">
        <x:v>0</x:v>
      </x:c>
      <x:c r="K23" s="26" t="n">
        <x:v>0</x:v>
      </x:c>
      <x:c r="L23" s="26" t="n">
        <x:v>0</x:v>
      </x:c>
      <x:c r="M23" s="26" t="n">
        <x:v>0</x:v>
      </x:c>
      <x:c r="N23" s="26" t="n">
        <x:v>0</x:v>
      </x:c>
      <x:c r="O23" s="26" t="n">
        <x:v>0</x:v>
      </x:c>
      <x:c r="P23" s="26" t="n">
        <x:v>0</x:v>
      </x:c>
      <x:c r="Q23" s="26" t="n">
        <x:v>0</x:v>
      </x:c>
      <x:c r="R23" s="26" t="n">
        <x:v>0</x:v>
      </x:c>
      <x:c r="S23" s="26" t="n">
        <x:v>0</x:v>
      </x:c>
      <x:c r="T23" s="26" t="n">
        <x:v>0</x:v>
      </x:c>
      <x:c r="U23" s="26" t="n">
        <x:v>0</x:v>
      </x:c>
      <x:c r="V23" s="26" t="n">
        <x:v>0</x:v>
      </x:c>
    </x:row>
    <x:row r="24" ht="25" customHeight="1">
      <x:c r="A24" s="11" t="n">
        <x:v>18</x:v>
      </x:c>
      <x:c r="B24" s="11" t="str">
        <x:v>Baleen whales</x:v>
      </x:c>
      <x:c r="C24" s="26" t="n">
        <x:v>0</x:v>
      </x:c>
      <x:c r="D24" s="26" t="n">
        <x:v>0</x:v>
      </x:c>
      <x:c r="E24" s="26" t="n">
        <x:v>0</x:v>
      </x:c>
      <x:c r="F24" s="26" t="n">
        <x:v>0</x:v>
      </x:c>
      <x:c r="G24" s="26" t="n">
        <x:v>0</x:v>
      </x:c>
      <x:c r="H24" s="26" t="n">
        <x:v>0</x:v>
      </x:c>
      <x:c r="I24" s="26" t="n">
        <x:v>0</x:v>
      </x:c>
      <x:c r="J24" s="26" t="n">
        <x:v>0</x:v>
      </x:c>
      <x:c r="K24" s="26" t="n">
        <x:v>0</x:v>
      </x:c>
      <x:c r="L24" s="26" t="n">
        <x:v>0</x:v>
      </x:c>
      <x:c r="M24" s="26" t="n">
        <x:v>0</x:v>
      </x:c>
      <x:c r="N24" s="26" t="n">
        <x:v>0</x:v>
      </x:c>
      <x:c r="O24" s="26" t="n">
        <x:v>0</x:v>
      </x:c>
      <x:c r="P24" s="26" t="n">
        <x:v>0</x:v>
      </x:c>
      <x:c r="Q24" s="26" t="n">
        <x:v>0</x:v>
      </x:c>
      <x:c r="R24" s="26" t="n">
        <x:v>0</x:v>
      </x:c>
      <x:c r="S24" s="26" t="n">
        <x:v>0</x:v>
      </x:c>
      <x:c r="T24" s="26" t="n">
        <x:v>0</x:v>
      </x:c>
      <x:c r="U24" s="26" t="n">
        <x:v>0</x:v>
      </x:c>
      <x:c r="V24" s="26" t="n">
        <x:v>0</x:v>
      </x:c>
    </x:row>
    <x:row r="25" ht="25" customHeight="1">
      <x:c r="A25" s="11" t="n">
        <x:v>19</x:v>
      </x:c>
      <x:c r="B25" s="11" t="str">
        <x:v>Pollock greater than 60 cm</x:v>
      </x:c>
      <x:c r="C25" s="26" t="n">
        <x:v>0</x:v>
      </x:c>
      <x:c r="D25" s="26" t="n">
        <x:v>0</x:v>
      </x:c>
      <x:c r="E25" s="26" t="n">
        <x:v>0</x:v>
      </x:c>
      <x:c r="F25" s="26" t="n">
        <x:v>0</x:v>
      </x:c>
      <x:c r="G25" s="26" t="n">
        <x:v>0</x:v>
      </x:c>
      <x:c r="H25" s="26" t="n">
        <x:v>0</x:v>
      </x:c>
      <x:c r="I25" s="26" t="n">
        <x:v>0</x:v>
      </x:c>
      <x:c r="J25" s="26" t="n">
        <x:v>0</x:v>
      </x:c>
      <x:c r="K25" s="26" t="n">
        <x:v>0</x:v>
      </x:c>
      <x:c r="L25" s="26" t="n">
        <x:v>0</x:v>
      </x:c>
      <x:c r="M25" s="26" t="n">
        <x:v>0</x:v>
      </x:c>
      <x:c r="N25" s="26" t="n">
        <x:v>0</x:v>
      </x:c>
      <x:c r="O25" s="26" t="n">
        <x:v>0</x:v>
      </x:c>
      <x:c r="P25" s="26" t="n">
        <x:v>0</x:v>
      </x:c>
      <x:c r="Q25" s="26" t="n">
        <x:v>0</x:v>
      </x:c>
      <x:c r="R25" s="26" t="n">
        <x:v>0.6842737094837935</x:v>
      </x:c>
      <x:c r="S25" s="26" t="n">
        <x:v>0</x:v>
      </x:c>
      <x:c r="T25" s="26" t="n">
        <x:v>0</x:v>
      </x:c>
      <x:c r="U25" s="26" t="n">
        <x:v>0.02051702913418137</x:v>
      </x:c>
      <x:c r="V25" s="26" t="n">
        <x:v>0</x:v>
      </x:c>
    </x:row>
    <x:row r="26" ht="25" customHeight="1">
      <x:c r="A26" s="11" t="n">
        <x:v>20</x:v>
      </x:c>
      <x:c r="B26" s="11" t="str">
        <x:v>Predatory fish</x:v>
      </x:c>
      <x:c r="C26" s="26" t="n">
        <x:v>0</x:v>
      </x:c>
      <x:c r="D26" s="26" t="n">
        <x:v>0</x:v>
      </x:c>
      <x:c r="E26" s="26" t="n">
        <x:v>0</x:v>
      </x:c>
      <x:c r="F26" s="26" t="n">
        <x:v>0</x:v>
      </x:c>
      <x:c r="G26" s="26" t="n">
        <x:v>0</x:v>
      </x:c>
      <x:c r="H26" s="26" t="n">
        <x:v>0</x:v>
      </x:c>
      <x:c r="I26" s="26" t="n">
        <x:v>0</x:v>
      </x:c>
      <x:c r="J26" s="26" t="n">
        <x:v>0</x:v>
      </x:c>
      <x:c r="K26" s="26" t="n">
        <x:v>0</x:v>
      </x:c>
      <x:c r="L26" s="26" t="n">
        <x:v>0</x:v>
      </x:c>
      <x:c r="M26" s="26" t="n">
        <x:v>0</x:v>
      </x:c>
      <x:c r="N26" s="26" t="n">
        <x:v>0</x:v>
      </x:c>
      <x:c r="O26" s="26" t="n">
        <x:v>0</x:v>
      </x:c>
      <x:c r="P26" s="26" t="n">
        <x:v>0</x:v>
      </x:c>
      <x:c r="Q26" s="26" t="n">
        <x:v>0</x:v>
      </x:c>
      <x:c r="R26" s="26" t="n">
        <x:v>0</x:v>
      </x:c>
      <x:c r="S26" s="26" t="n">
        <x:v>0</x:v>
      </x:c>
      <x:c r="T26" s="26" t="n">
        <x:v>0</x:v>
      </x:c>
      <x:c r="U26" s="26" t="n">
        <x:v>0</x:v>
      </x:c>
      <x:c r="V26" s="26" t="n">
        <x:v>0</x:v>
      </x:c>
    </x:row>
    <x:row r="27" ht="25" customHeight="1">
      <x:c r="A27" s="11" t="n">
        <x:v>21</x:v>
      </x:c>
      <x:c r="B27" s="11" t="str">
        <x:v>Predatory mammals</x:v>
      </x:c>
      <x:c r="C27" s="26" t="n">
        <x:v>0</x:v>
      </x:c>
      <x:c r="D27" s="26" t="n">
        <x:v>0</x:v>
      </x:c>
      <x:c r="E27" s="26" t="n">
        <x:v>0</x:v>
      </x:c>
      <x:c r="F27" s="26" t="n">
        <x:v>0</x:v>
      </x:c>
      <x:c r="G27" s="26" t="n">
        <x:v>0</x:v>
      </x:c>
      <x:c r="H27" s="26" t="n">
        <x:v>0</x:v>
      </x:c>
      <x:c r="I27" s="26" t="n">
        <x:v>0</x:v>
      </x:c>
      <x:c r="J27" s="26" t="n">
        <x:v>0</x:v>
      </x:c>
      <x:c r="K27" s="26" t="n">
        <x:v>0</x:v>
      </x:c>
      <x:c r="L27" s="26" t="n">
        <x:v>0</x:v>
      </x:c>
      <x:c r="M27" s="26" t="n">
        <x:v>0</x:v>
      </x:c>
      <x:c r="N27" s="26" t="n">
        <x:v>0</x:v>
      </x:c>
      <x:c r="O27" s="26" t="n">
        <x:v>0</x:v>
      </x:c>
      <x:c r="P27" s="26" t="n">
        <x:v>0</x:v>
      </x:c>
      <x:c r="Q27" s="26" t="n">
        <x:v>0</x:v>
      </x:c>
      <x:c r="R27" s="26" t="n">
        <x:v>0</x:v>
      </x:c>
      <x:c r="S27" s="26" t="n">
        <x:v>0</x:v>
      </x:c>
      <x:c r="T27" s="26" t="n">
        <x:v>0</x:v>
      </x:c>
      <x:c r="U27" s="26" t="n">
        <x:v>0</x:v>
      </x:c>
      <x:c r="V27" s="26" t="n">
        <x:v>0</x:v>
      </x:c>
    </x:row>
    <x:row r="28" ht="25" customHeight="1">
      <x:c r="A28" s="11" t="n">
        <x:v>22</x:v>
      </x:c>
      <x:c r="B28" s="11" t="str">
        <x:v>Detritus</x:v>
      </x:c>
      <x:c r="C28" s="26" t="n">
        <x:v>1</x:v>
      </x:c>
      <x:c r="D28" s="26" t="n">
        <x:v>0</x:v>
      </x:c>
      <x:c r="E28" s="26" t="n">
        <x:v>0</x:v>
      </x:c>
      <x:c r="F28" s="26" t="n">
        <x:v>0</x:v>
      </x:c>
      <x:c r="G28" s="26" t="n">
        <x:v>0</x:v>
      </x:c>
      <x:c r="H28" s="26" t="n">
        <x:v>0</x:v>
      </x:c>
      <x:c r="I28" s="26" t="n">
        <x:v>0</x:v>
      </x:c>
      <x:c r="J28" s="26" t="n">
        <x:v>0</x:v>
      </x:c>
      <x:c r="K28" s="26" t="n">
        <x:v>0</x:v>
      </x:c>
      <x:c r="L28" s="26" t="n">
        <x:v>0</x:v>
      </x:c>
      <x:c r="M28" s="26" t="n">
        <x:v>0</x:v>
      </x:c>
      <x:c r="N28" s="26" t="n">
        <x:v>0</x:v>
      </x:c>
      <x:c r="O28" s="26" t="n">
        <x:v>0</x:v>
      </x:c>
      <x:c r="P28" s="26" t="n">
        <x:v>0</x:v>
      </x:c>
      <x:c r="Q28" s="26" t="n">
        <x:v>0</x:v>
      </x:c>
      <x:c r="R28" s="26" t="n">
        <x:v>0</x:v>
      </x:c>
      <x:c r="S28" s="26" t="n">
        <x:v>0</x:v>
      </x:c>
      <x:c r="T28" s="26" t="n">
        <x:v>0</x:v>
      </x:c>
      <x:c r="U28" s="26" t="n">
        <x:v>0</x:v>
      </x:c>
      <x:c r="V28" s="26" t="n">
        <x:v>0</x:v>
      </x:c>
    </x:row>
    <x:row r="29" ht="25" customHeight="1">
      <x:c r="A29" s="1"/>
      <x:c r="B29" s="1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</x:row>
    <x:row r="30" ht="35" customHeight="1">
      <x:c r="A30" s="21" t="str">
        <x:v>Column sum (numeric completeness only)</x:v>
      </x:c>
      <x:c r="B30" s="21"/>
      <x:c r="C30" s="27" t="n">
        <x:f>IF(COUNT(C7:C28)=22,SUM(C7:C28),"n.a.")</x:f>
        <x:v>1</x:v>
      </x:c>
      <x:c r="D30" s="27" t="n">
        <x:f>IF(COUNT(D7:D28)=22,SUM(D7:D28),"n.a.")</x:f>
        <x:v>1</x:v>
      </x:c>
      <x:c r="E30" s="27" t="n">
        <x:f>IF(COUNT(E7:E28)=22,SUM(E7:E28),"n.a.")</x:f>
        <x:v>1</x:v>
      </x:c>
      <x:c r="F30" s="27" t="n">
        <x:f>IF(COUNT(F7:F28)=22,SUM(F7:F28),"n.a.")</x:f>
        <x:v>1</x:v>
      </x:c>
      <x:c r="G30" s="27" t="n">
        <x:f>IF(COUNT(G7:G28)=22,SUM(G7:G28),"n.a.")</x:f>
        <x:v>1</x:v>
      </x:c>
      <x:c r="H30" s="27" t="n">
        <x:f>IF(COUNT(H7:H28)=22,SUM(H7:H28),"n.a.")</x:f>
        <x:v>1</x:v>
      </x:c>
      <x:c r="I30" s="27" t="n">
        <x:f>IF(COUNT(I7:I28)=22,SUM(I7:I28),"n.a.")</x:f>
        <x:v>1</x:v>
      </x:c>
      <x:c r="J30" s="27" t="n">
        <x:f>IF(COUNT(J7:J28)=22,SUM(J7:J28),"n.a.")</x:f>
        <x:v>0.9999999999999999</x:v>
      </x:c>
      <x:c r="K30" s="27" t="n">
        <x:f>IF(COUNT(K7:K28)=22,SUM(K7:K28),"n.a.")</x:f>
        <x:v>1</x:v>
      </x:c>
      <x:c r="L30" s="27" t="n">
        <x:f>IF(COUNT(L7:L28)=22,SUM(L7:L28),"n.a.")</x:f>
        <x:v>1</x:v>
      </x:c>
      <x:c r="M30" s="27" t="n">
        <x:f>IF(COUNT(M7:M28)=22,SUM(M7:M28),"n.a.")</x:f>
        <x:v>1</x:v>
      </x:c>
      <x:c r="N30" s="27" t="n">
        <x:f>IF(COUNT(N7:N28)=22,SUM(N7:N28),"n.a.")</x:f>
        <x:v>1</x:v>
      </x:c>
      <x:c r="O30" s="27" t="n">
        <x:f>IF(COUNT(O7:O28)=22,SUM(O7:O28),"n.a.")</x:f>
        <x:v>1</x:v>
      </x:c>
      <x:c r="P30" s="27" t="n">
        <x:f>IF(COUNT(P7:P28)=22,SUM(P7:P28),"n.a.")</x:f>
        <x:v>1</x:v>
      </x:c>
      <x:c r="Q30" s="27" t="n">
        <x:f>IF(COUNT(Q7:Q28)=22,SUM(Q7:Q28),"n.a.")</x:f>
        <x:v>1</x:v>
      </x:c>
      <x:c r="R30" s="27" t="n">
        <x:f>IF(COUNT(R7:R28)=22,SUM(R7:R28),"n.a.")</x:f>
        <x:v>1</x:v>
      </x:c>
      <x:c r="S30" s="27" t="n">
        <x:f>IF(COUNT(S7:S28)=22,SUM(S7:S28),"n.a.")</x:f>
        <x:v>1</x:v>
      </x:c>
      <x:c r="T30" s="27" t="n">
        <x:f>IF(COUNT(T7:T28)=22,SUM(T7:T28),"n.a.")</x:f>
        <x:v>1</x:v>
      </x:c>
      <x:c r="U30" s="27" t="n">
        <x:f>IF(COUNT(U7:U28)=22,SUM(U7:U28),"n.a.")</x:f>
        <x:v>1</x:v>
      </x:c>
      <x:c r="V30" s="27" t="n">
        <x:f>IF(COUNT(V7:V28)=22,SUM(V7:V28),"n.a.")</x:f>
        <x:v>1</x:v>
      </x:c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</x:row>
    <x:row r="32" ht="30" customHeight="1">
      <x:c r="A32" s="25" t="str">
        <x:v>n.a. = fraction not identifiable; a known zero remains zero even when another entry in the column is unknown.</x:v>
      </x:c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</x:row>
  </x:sheetData>
  <x:mergeCells>
    <x:mergeCell ref="A1:V1"/>
    <x:mergeCell ref="A2:V3"/>
    <x:mergeCell ref="A4:V4"/>
    <x:mergeCell ref="A30:B30"/>
    <x:mergeCell ref="A32:V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6D72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" hidden="0" customWidth="1"/>
    <x:col min="2" max="2" width="3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34" customHeight="1">
      <x:c r="A1" s="3" t="str">
        <x:v>Annual feeding flows · carbon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5" customHeight="1">
      <x:c r="A2" s="6" t="str">
        <x:v>Missing arrows are zero. F62 and F67 remain unknown; tentative routes are adopted for this research candidate.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3" ht="2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</x:row>
    <x:row r="4" ht="25" customHeight="1">
      <x:c r="A4" s="15" t="str">
        <x:v>Source: Gorbatenko &amp; Melnikov (2019), Fig. 9, printed p.157 / PDF p.15. https://izvestiya.tinro-center.ru/jour/article/download/497/467</x:v>
      </x:c>
      <x:c r="B4" s="15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60" customHeight="1">
      <x:c r="A6" s="19" t="str">
        <x:v>ID</x:v>
      </x:c>
      <x:c r="B6" s="19" t="str">
        <x:v>Prey</x:v>
      </x:c>
      <x:c r="C6" s="19" t="str">
        <x:v>2 Bacteria</x:v>
      </x:c>
      <x:c r="D6" s="19" t="str">
        <x:v>3 Protozoa</x:v>
      </x:c>
      <x:c r="E6" s="19" t="str">
        <x:v>4 Copepods</x:v>
      </x:c>
      <x:c r="F6" s="19" t="str">
        <x:v>5 Euphausiids</x:v>
      </x:c>
      <x:c r="G6" s="19" t="str">
        <x:v>6 Hyperiids</x:v>
      </x:c>
      <x:c r="H6" s="19" t="str">
        <x:v>7 Chaetognaths</x:v>
      </x:c>
      <x:c r="I6" s="19" t="str">
        <x:v>8 Salmon</x:v>
      </x:c>
      <x:c r="J6" s="19" t="str">
        <x:v>9 Squid III</x:v>
      </x:c>
      <x:c r="K6" s="19" t="str">
        <x:v>10 Herring</x:v>
      </x:c>
      <x:c r="L6" s="19" t="str">
        <x:v>11 Deep-sea smelt</x:v>
      </x:c>
      <x:c r="M6" s="19" t="str">
        <x:v>12 Pollock less than 30 cm</x:v>
      </x:c>
      <x:c r="N6" s="19" t="str">
        <x:v>13 Capelin</x:v>
      </x:c>
      <x:c r="O6" s="19" t="str">
        <x:v>14 Jellyfish</x:v>
      </x:c>
      <x:c r="P6" s="19" t="str">
        <x:v>15 Pollock 30-60 cm</x:v>
      </x:c>
      <x:c r="Q6" s="19" t="str">
        <x:v>16 Squid IV</x:v>
      </x:c>
      <x:c r="R6" s="19" t="str">
        <x:v>17 Predatory salmon</x:v>
      </x:c>
      <x:c r="S6" s="19" t="str">
        <x:v>18 Baleen whales</x:v>
      </x:c>
      <x:c r="T6" s="19" t="str">
        <x:v>19 Pollock greater than 60 cm</x:v>
      </x:c>
      <x:c r="U6" s="19" t="str">
        <x:v>20 Predatory fish</x:v>
      </x:c>
      <x:c r="V6" s="19" t="str">
        <x:v>21 Predatory mammals</x:v>
      </x:c>
    </x:row>
    <x:row r="7" ht="25" customHeight="1">
      <x:c r="A7" s="11" t="n">
        <x:v>1</x:v>
      </x:c>
      <x:c r="B7" s="11" t="str">
        <x:v>Phytoplankton</x:v>
      </x:c>
      <x:c r="C7" s="22" t="n">
        <x:v>0</x:v>
      </x:c>
      <x:c r="D7" s="22" t="n">
        <x:v>75</x:v>
      </x:c>
      <x:c r="E7" s="22" t="n">
        <x:v>113</x:v>
      </x:c>
      <x:c r="F7" s="22" t="n">
        <x:v>57</x:v>
      </x:c>
      <x:c r="G7" s="22" t="n">
        <x:v>0</x:v>
      </x:c>
      <x:c r="H7" s="22" t="n">
        <x:v>0</x:v>
      </x:c>
      <x:c r="I7" s="22" t="n">
        <x:v>0</x:v>
      </x:c>
      <x:c r="J7" s="22" t="n">
        <x:v>0</x:v>
      </x:c>
      <x:c r="K7" s="22" t="n">
        <x:v>0</x:v>
      </x:c>
      <x:c r="L7" s="22" t="n">
        <x:v>0</x:v>
      </x:c>
      <x:c r="M7" s="22" t="n">
        <x:v>0</x:v>
      </x:c>
      <x:c r="N7" s="22" t="n">
        <x:v>0</x:v>
      </x:c>
      <x:c r="O7" s="22" t="n">
        <x:v>0</x:v>
      </x:c>
      <x:c r="P7" s="22" t="n">
        <x:v>0</x:v>
      </x:c>
      <x:c r="Q7" s="22" t="n">
        <x:v>0</x:v>
      </x:c>
      <x:c r="R7" s="22" t="n">
        <x:v>0</x:v>
      </x:c>
      <x:c r="S7" s="22" t="n">
        <x:v>0</x:v>
      </x:c>
      <x:c r="T7" s="22" t="n">
        <x:v>0</x:v>
      </x:c>
      <x:c r="U7" s="22" t="n">
        <x:v>0</x:v>
      </x:c>
      <x:c r="V7" s="22" t="n">
        <x:v>0</x:v>
      </x:c>
    </x:row>
    <x:row r="8" ht="25" customHeight="1">
      <x:c r="A8" s="11" t="n">
        <x:v>2</x:v>
      </x:c>
      <x:c r="B8" s="11" t="str">
        <x:v>Bacteria</x:v>
      </x:c>
      <x:c r="C8" s="22" t="n">
        <x:v>0</x:v>
      </x:c>
      <x:c r="D8" s="22" t="n">
        <x:v>33</x:v>
      </x:c>
      <x:c r="E8" s="22" t="n">
        <x:v>42</x:v>
      </x:c>
      <x:c r="F8" s="22" t="n">
        <x:v>18</x:v>
      </x:c>
      <x:c r="G8" s="22" t="n">
        <x:v>0</x:v>
      </x:c>
      <x:c r="H8" s="22" t="n">
        <x:v>0</x:v>
      </x:c>
      <x:c r="I8" s="22" t="n">
        <x:v>0</x:v>
      </x:c>
      <x:c r="J8" s="22" t="n">
        <x:v>0</x:v>
      </x:c>
      <x:c r="K8" s="22" t="n">
        <x:v>0</x:v>
      </x:c>
      <x:c r="L8" s="22" t="n">
        <x:v>0</x:v>
      </x:c>
      <x:c r="M8" s="22" t="n">
        <x:v>0</x:v>
      </x:c>
      <x:c r="N8" s="22" t="n">
        <x:v>0</x:v>
      </x:c>
      <x:c r="O8" s="22" t="n">
        <x:v>0</x:v>
      </x:c>
      <x:c r="P8" s="22" t="n">
        <x:v>0</x:v>
      </x:c>
      <x:c r="Q8" s="22" t="n">
        <x:v>0</x:v>
      </x:c>
      <x:c r="R8" s="22" t="n">
        <x:v>0</x:v>
      </x:c>
      <x:c r="S8" s="22" t="n">
        <x:v>0</x:v>
      </x:c>
      <x:c r="T8" s="22" t="n">
        <x:v>0</x:v>
      </x:c>
      <x:c r="U8" s="22" t="n">
        <x:v>0</x:v>
      </x:c>
      <x:c r="V8" s="22" t="n">
        <x:v>0</x:v>
      </x:c>
    </x:row>
    <x:row r="9" ht="25" customHeight="1">
      <x:c r="A9" s="11" t="n">
        <x:v>3</x:v>
      </x:c>
      <x:c r="B9" s="11" t="str">
        <x:v>Protozoa</x:v>
      </x:c>
      <x:c r="C9" s="22" t="n">
        <x:v>0</x:v>
      </x:c>
      <x:c r="D9" s="22" t="n">
        <x:v>0</x:v>
      </x:c>
      <x:c r="E9" s="22" t="n">
        <x:v>21</x:v>
      </x:c>
      <x:c r="F9" s="22" t="n">
        <x:v>12</x:v>
      </x:c>
      <x:c r="G9" s="22" t="n">
        <x:v>0</x:v>
      </x:c>
      <x:c r="H9" s="22" t="n">
        <x:v>0</x:v>
      </x:c>
      <x:c r="I9" s="22" t="n">
        <x:v>0</x:v>
      </x:c>
      <x:c r="J9" s="22" t="n">
        <x:v>0</x:v>
      </x:c>
      <x:c r="K9" s="22" t="n">
        <x:v>0</x:v>
      </x:c>
      <x:c r="L9" s="22" t="n">
        <x:v>0</x:v>
      </x:c>
      <x:c r="M9" s="22" t="n">
        <x:v>0</x:v>
      </x:c>
      <x:c r="N9" s="22" t="n">
        <x:v>0</x:v>
      </x:c>
      <x:c r="O9" s="22" t="n">
        <x:v>0</x:v>
      </x:c>
      <x:c r="P9" s="22" t="n">
        <x:v>0</x:v>
      </x:c>
      <x:c r="Q9" s="22" t="n">
        <x:v>0</x:v>
      </x:c>
      <x:c r="R9" s="22" t="n">
        <x:v>0</x:v>
      </x:c>
      <x:c r="S9" s="22" t="n">
        <x:v>0</x:v>
      </x:c>
      <x:c r="T9" s="22" t="n">
        <x:v>0</x:v>
      </x:c>
      <x:c r="U9" s="22" t="n">
        <x:v>0</x:v>
      </x:c>
      <x:c r="V9" s="22" t="n">
        <x:v>0</x:v>
      </x:c>
    </x:row>
    <x:row r="10" ht="25" customHeight="1">
      <x:c r="A10" s="11" t="n">
        <x:v>4</x:v>
      </x:c>
      <x:c r="B10" s="11" t="str">
        <x:v>Copepods</x:v>
      </x:c>
      <x:c r="C10" s="22" t="n">
        <x:v>0</x:v>
      </x:c>
      <x:c r="D10" s="22" t="n">
        <x:v>0</x:v>
      </x:c>
      <x:c r="E10" s="22" t="n">
        <x:v>0</x:v>
      </x:c>
      <x:c r="F10" s="22" t="n">
        <x:v>0</x:v>
      </x:c>
      <x:c r="G10" s="22" t="n">
        <x:v>4.1</x:v>
      </x:c>
      <x:c r="H10" s="22" t="n">
        <x:v>20.1</x:v>
      </x:c>
      <x:c r="I10" s="22" t="n">
        <x:v>0</x:v>
      </x:c>
      <x:c r="J10" s="22" t="n">
        <x:v>0</x:v>
      </x:c>
      <x:c r="K10" s="22" t="n">
        <x:v>1.1</x:v>
      </x:c>
      <x:c r="L10" s="22" t="n">
        <x:v>0</x:v>
      </x:c>
      <x:c r="M10" s="22" t="n">
        <x:v>0.736</x:v>
      </x:c>
      <x:c r="N10" s="22" t="n">
        <x:v>0</x:v>
      </x:c>
      <x:c r="O10" s="22" t="n">
        <x:v>0</x:v>
      </x:c>
      <x:c r="P10" s="22" t="n">
        <x:v>0</x:v>
      </x:c>
      <x:c r="Q10" s="22" t="n">
        <x:v>0</x:v>
      </x:c>
      <x:c r="R10" s="22" t="n">
        <x:v>0</x:v>
      </x:c>
      <x:c r="S10" s="22" t="n">
        <x:v>0</x:v>
      </x:c>
      <x:c r="T10" s="22" t="n">
        <x:v>0</x:v>
      </x:c>
      <x:c r="U10" s="22" t="n">
        <x:v>0</x:v>
      </x:c>
      <x:c r="V10" s="22" t="n">
        <x:v>0</x:v>
      </x:c>
    </x:row>
    <x:row r="11" ht="25" customHeight="1">
      <x:c r="A11" s="11" t="n">
        <x:v>5</x:v>
      </x:c>
      <x:c r="B11" s="11" t="str">
        <x:v>Euphausiids</x:v>
      </x:c>
      <x:c r="C11" s="22" t="n">
        <x:v>0</x:v>
      </x:c>
      <x:c r="D11" s="22" t="n">
        <x:v>0</x:v>
      </x:c>
      <x:c r="E11" s="22" t="n">
        <x:v>0</x:v>
      </x:c>
      <x:c r="F11" s="22" t="n">
        <x:v>0</x:v>
      </x:c>
      <x:c r="G11" s="22" t="n">
        <x:v>0.283</x:v>
      </x:c>
      <x:c r="H11" s="22" t="n">
        <x:v>0.566</x:v>
      </x:c>
      <x:c r="I11" s="22" t="n">
        <x:v>0</x:v>
      </x:c>
      <x:c r="J11" s="22" t="n">
        <x:v>1.4</x:v>
      </x:c>
      <x:c r="K11" s="22" t="n">
        <x:v>1.5</x:v>
      </x:c>
      <x:c r="L11" s="22" t="n">
        <x:v>0.448</x:v>
      </x:c>
      <x:c r="M11" s="22" t="n">
        <x:v>0.502</x:v>
      </x:c>
      <x:c r="N11" s="22" t="n">
        <x:v>1</x:v>
      </x:c>
      <x:c r="O11" s="22" t="n">
        <x:v>0</x:v>
      </x:c>
      <x:c r="P11" s="22" t="n">
        <x:v>4.4</x:v>
      </x:c>
      <x:c r="Q11" s="22" t="n">
        <x:v>0</x:v>
      </x:c>
      <x:c r="R11" s="22" t="n">
        <x:v>0</x:v>
      </x:c>
      <x:c r="S11" s="22" t="n">
        <x:v>0.141</x:v>
      </x:c>
      <x:c r="T11" s="22" t="n">
        <x:v>0.0075</x:v>
      </x:c>
      <x:c r="U11" s="22" t="n">
        <x:v>0</x:v>
      </x:c>
      <x:c r="V11" s="22" t="n">
        <x:v>0</x:v>
      </x:c>
    </x:row>
    <x:row r="12" ht="25" customHeight="1">
      <x:c r="A12" s="11" t="n">
        <x:v>6</x:v>
      </x:c>
      <x:c r="B12" s="11" t="str">
        <x:v>Hyperiids</x:v>
      </x:c>
      <x:c r="C12" s="22" t="n">
        <x:v>0</x:v>
      </x:c>
      <x:c r="D12" s="22" t="n">
        <x:v>0</x:v>
      </x:c>
      <x:c r="E12" s="22" t="n">
        <x:v>0</x:v>
      </x:c>
      <x:c r="F12" s="22" t="n">
        <x:v>0</x:v>
      </x:c>
      <x:c r="G12" s="22" t="n">
        <x:v>0</x:v>
      </x:c>
      <x:c r="H12" s="22" t="n">
        <x:v>0</x:v>
      </x:c>
      <x:c r="I12" s="22" t="n">
        <x:v>0.055</x:v>
      </x:c>
      <x:c r="J12" s="22" t="n">
        <x:v>0.262</x:v>
      </x:c>
      <x:c r="K12" s="22" t="n">
        <x:v>0.156</x:v>
      </x:c>
      <x:c r="L12" s="22" t="n">
        <x:v>0.0085</x:v>
      </x:c>
      <x:c r="M12" s="22" t="n">
        <x:v>0.046</x:v>
      </x:c>
      <x:c r="N12" s="22" t="n">
        <x:v>0.055</x:v>
      </x:c>
      <x:c r="O12" s="22" t="n">
        <x:v>0.046</x:v>
      </x:c>
      <x:c r="P12" s="22" t="n">
        <x:v>0.0138</x:v>
      </x:c>
      <x:c r="Q12" s="22" t="n">
        <x:v>0.114</x:v>
      </x:c>
      <x:c r="R12" s="22" t="n">
        <x:v>0</x:v>
      </x:c>
      <x:c r="S12" s="22" t="n">
        <x:v>0</x:v>
      </x:c>
      <x:c r="T12" s="22" t="n">
        <x:v>0</x:v>
      </x:c>
      <x:c r="U12" s="22" t="n">
        <x:v>0.057</x:v>
      </x:c>
      <x:c r="V12" s="22" t="n">
        <x:v>0</x:v>
      </x:c>
    </x:row>
    <x:row r="13" ht="25" customHeight="1">
      <x:c r="A13" s="11" t="n">
        <x:v>7</x:v>
      </x:c>
      <x:c r="B13" s="11" t="str">
        <x:v>Chaetognaths</x:v>
      </x:c>
      <x:c r="C13" s="22" t="n">
        <x:v>0</x:v>
      </x:c>
      <x:c r="D13" s="22" t="n">
        <x:v>0</x:v>
      </x:c>
      <x:c r="E13" s="22" t="n">
        <x:v>0</x:v>
      </x:c>
      <x:c r="F13" s="22" t="n">
        <x:v>0</x:v>
      </x:c>
      <x:c r="G13" s="22" t="n">
        <x:v>0</x:v>
      </x:c>
      <x:c r="H13" s="22" t="n">
        <x:v>0</x:v>
      </x:c>
      <x:c r="I13" s="22" t="n">
        <x:v>0.0025</x:v>
      </x:c>
      <x:c r="J13" s="22" t="n">
        <x:v>0.015</x:v>
      </x:c>
      <x:c r="K13" s="22" t="n">
        <x:v>0</x:v>
      </x:c>
      <x:c r="L13" s="22" t="n">
        <x:v>0.005</x:v>
      </x:c>
      <x:c r="M13" s="22" t="n">
        <x:v>0.003</x:v>
      </x:c>
      <x:c r="N13" s="22" t="n">
        <x:v>0</x:v>
      </x:c>
      <x:c r="O13" s="22" t="n">
        <x:v>0.0015</x:v>
      </x:c>
      <x:c r="P13" s="22" t="n">
        <x:v>0.0963</x:v>
      </x:c>
      <x:c r="Q13" s="22" t="n">
        <x:v>0</x:v>
      </x:c>
      <x:c r="R13" s="22" t="n">
        <x:v>0</x:v>
      </x:c>
      <x:c r="S13" s="22" t="n">
        <x:v>0</x:v>
      </x:c>
      <x:c r="T13" s="22" t="n">
        <x:v>0</x:v>
      </x:c>
      <x:c r="U13" s="22" t="n">
        <x:v>0</x:v>
      </x:c>
      <x:c r="V13" s="22" t="n">
        <x:v>0</x:v>
      </x:c>
    </x:row>
    <x:row r="14" ht="25" customHeight="1">
      <x:c r="A14" s="11" t="n">
        <x:v>8</x:v>
      </x:c>
      <x:c r="B14" s="11" t="str">
        <x:v>Salmon</x:v>
      </x:c>
      <x:c r="C14" s="22" t="n">
        <x:v>0</x:v>
      </x:c>
      <x:c r="D14" s="22" t="n">
        <x:v>0</x:v>
      </x:c>
      <x:c r="E14" s="22" t="n">
        <x:v>0</x:v>
      </x:c>
      <x:c r="F14" s="22" t="n">
        <x:v>0</x:v>
      </x:c>
      <x:c r="G14" s="22" t="n">
        <x:v>0</x:v>
      </x:c>
      <x:c r="H14" s="22" t="n">
        <x:v>0</x:v>
      </x:c>
      <x:c r="I14" s="22" t="n">
        <x:v>0</x:v>
      </x:c>
      <x:c r="J14" s="22" t="n">
        <x:v>0.0024</x:v>
      </x:c>
      <x:c r="K14" s="22" t="n">
        <x:v>0</x:v>
      </x:c>
      <x:c r="L14" s="22" t="n">
        <x:v>0</x:v>
      </x:c>
      <x:c r="M14" s="22" t="n">
        <x:v>0.018</x:v>
      </x:c>
      <x:c r="N14" s="22" t="n">
        <x:v>0</x:v>
      </x:c>
      <x:c r="O14" s="22" t="n">
        <x:v>0</x:v>
      </x:c>
      <x:c r="P14" s="22" t="n">
        <x:v>0</x:v>
      </x:c>
      <x:c r="Q14" s="22" t="n">
        <x:v>0</x:v>
      </x:c>
      <x:c r="R14" s="22" t="n">
        <x:v>0</x:v>
      </x:c>
      <x:c r="S14" s="22" t="n">
        <x:v>0</x:v>
      </x:c>
      <x:c r="T14" s="22" t="n">
        <x:v>0</x:v>
      </x:c>
      <x:c r="U14" s="22" t="n">
        <x:v>0</x:v>
      </x:c>
      <x:c r="V14" s="22" t="n">
        <x:v>0.0122</x:v>
      </x:c>
    </x:row>
    <x:row r="15" ht="25" customHeight="1">
      <x:c r="A15" s="11" t="n">
        <x:v>9</x:v>
      </x:c>
      <x:c r="B15" s="11" t="str">
        <x:v>Squid III</x:v>
      </x:c>
      <x:c r="C15" s="22" t="n">
        <x:v>0</x:v>
      </x:c>
      <x:c r="D15" s="22" t="n">
        <x:v>0</x:v>
      </x:c>
      <x:c r="E15" s="22" t="n">
        <x:v>0</x:v>
      </x:c>
      <x:c r="F15" s="22" t="n">
        <x:v>0</x:v>
      </x:c>
      <x:c r="G15" s="22" t="n">
        <x:v>0</x:v>
      </x:c>
      <x:c r="H15" s="22" t="n">
        <x:v>0</x:v>
      </x:c>
      <x:c r="I15" s="22" t="n">
        <x:v>0.0046</x:v>
      </x:c>
      <x:c r="J15" s="22" t="n">
        <x:v>0</x:v>
      </x:c>
      <x:c r="K15" s="22" t="n">
        <x:v>0</x:v>
      </x:c>
      <x:c r="L15" s="22" t="n">
        <x:v>0</x:v>
      </x:c>
      <x:c r="M15" s="22" t="n">
        <x:v>0</x:v>
      </x:c>
      <x:c r="N15" s="22" t="n">
        <x:v>0</x:v>
      </x:c>
      <x:c r="O15" s="22" t="n">
        <x:v>0</x:v>
      </x:c>
      <x:c r="P15" s="22" t="n">
        <x:v>0</x:v>
      </x:c>
      <x:c r="Q15" s="22" t="n">
        <x:v>0.588</x:v>
      </x:c>
      <x:c r="R15" s="22" t="n">
        <x:v>0.0122</x:v>
      </x:c>
      <x:c r="S15" s="24" t="str">
        <x:v>n.a.</x:v>
      </x:c>
      <x:c r="T15" s="22" t="n">
        <x:v>0</x:v>
      </x:c>
      <x:c r="U15" s="22" t="n">
        <x:v>0.042</x:v>
      </x:c>
      <x:c r="V15" s="22" t="n">
        <x:v>0</x:v>
      </x:c>
    </x:row>
    <x:row r="16" ht="25" customHeight="1">
      <x:c r="A16" s="11" t="n">
        <x:v>10</x:v>
      </x:c>
      <x:c r="B16" s="11" t="str">
        <x:v>Herring</x:v>
      </x:c>
      <x:c r="C16" s="22" t="n">
        <x:v>0</x:v>
      </x:c>
      <x:c r="D16" s="22" t="n">
        <x:v>0</x:v>
      </x:c>
      <x:c r="E16" s="22" t="n">
        <x:v>0</x:v>
      </x:c>
      <x:c r="F16" s="22" t="n">
        <x:v>0</x:v>
      </x:c>
      <x:c r="G16" s="22" t="n">
        <x:v>0</x:v>
      </x:c>
      <x:c r="H16" s="22" t="n">
        <x:v>0</x:v>
      </x:c>
      <x:c r="I16" s="22" t="n">
        <x:v>0</x:v>
      </x:c>
      <x:c r="J16" s="22" t="n">
        <x:v>0</x:v>
      </x:c>
      <x:c r="K16" s="22" t="n">
        <x:v>0</x:v>
      </x:c>
      <x:c r="L16" s="22" t="n">
        <x:v>0</x:v>
      </x:c>
      <x:c r="M16" s="22" t="n">
        <x:v>0</x:v>
      </x:c>
      <x:c r="N16" s="22" t="n">
        <x:v>0</x:v>
      </x:c>
      <x:c r="O16" s="22" t="n">
        <x:v>0</x:v>
      </x:c>
      <x:c r="P16" s="22" t="n">
        <x:v>0.824</x:v>
      </x:c>
      <x:c r="Q16" s="22" t="n">
        <x:v>0</x:v>
      </x:c>
      <x:c r="R16" s="22" t="n">
        <x:v>0</x:v>
      </x:c>
      <x:c r="S16" s="24" t="str">
        <x:v>n.a.</x:v>
      </x:c>
      <x:c r="T16" s="22" t="n">
        <x:v>0.00014</x:v>
      </x:c>
      <x:c r="U16" s="22" t="n">
        <x:v>0.2</x:v>
      </x:c>
      <x:c r="V16" s="22" t="n">
        <x:v>0</x:v>
      </x:c>
    </x:row>
    <x:row r="17" ht="25" customHeight="1">
      <x:c r="A17" s="11" t="n">
        <x:v>11</x:v>
      </x:c>
      <x:c r="B17" s="11" t="str">
        <x:v>Deep-sea smelt</x:v>
      </x:c>
      <x:c r="C17" s="22" t="n">
        <x:v>0</x:v>
      </x:c>
      <x:c r="D17" s="22" t="n">
        <x:v>0</x:v>
      </x:c>
      <x:c r="E17" s="22" t="n">
        <x:v>0</x:v>
      </x:c>
      <x:c r="F17" s="22" t="n">
        <x:v>0</x:v>
      </x:c>
      <x:c r="G17" s="22" t="n">
        <x:v>0</x:v>
      </x:c>
      <x:c r="H17" s="22" t="n">
        <x:v>0</x:v>
      </x:c>
      <x:c r="I17" s="22" t="n">
        <x:v>0.011</x:v>
      </x:c>
      <x:c r="J17" s="22" t="n">
        <x:v>0</x:v>
      </x:c>
      <x:c r="K17" s="22" t="n">
        <x:v>0</x:v>
      </x:c>
      <x:c r="L17" s="22" t="n">
        <x:v>0</x:v>
      </x:c>
      <x:c r="M17" s="22" t="n">
        <x:v>0</x:v>
      </x:c>
      <x:c r="N17" s="22" t="n">
        <x:v>0</x:v>
      </x:c>
      <x:c r="O17" s="22" t="n">
        <x:v>0.003</x:v>
      </x:c>
      <x:c r="P17" s="22" t="n">
        <x:v>0.114</x:v>
      </x:c>
      <x:c r="Q17" s="22" t="n">
        <x:v>0</x:v>
      </x:c>
      <x:c r="R17" s="22" t="n">
        <x:v>0.006</x:v>
      </x:c>
      <x:c r="S17" s="22" t="n">
        <x:v>0.00014</x:v>
      </x:c>
      <x:c r="T17" s="22" t="n">
        <x:v>0</x:v>
      </x:c>
      <x:c r="U17" s="22" t="n">
        <x:v>0.0114</x:v>
      </x:c>
      <x:c r="V17" s="22" t="n">
        <x:v>0</x:v>
      </x:c>
    </x:row>
    <x:row r="18" ht="25" customHeight="1">
      <x:c r="A18" s="11" t="n">
        <x:v>12</x:v>
      </x:c>
      <x:c r="B18" s="11" t="str">
        <x:v>Pollock less than 30 cm</x:v>
      </x:c>
      <x:c r="C18" s="22" t="n">
        <x:v>0</x:v>
      </x:c>
      <x:c r="D18" s="22" t="n">
        <x:v>0</x:v>
      </x:c>
      <x:c r="E18" s="22" t="n">
        <x:v>0</x:v>
      </x:c>
      <x:c r="F18" s="22" t="n">
        <x:v>0</x:v>
      </x:c>
      <x:c r="G18" s="22" t="n">
        <x:v>0</x:v>
      </x:c>
      <x:c r="H18" s="22" t="n">
        <x:v>0</x:v>
      </x:c>
      <x:c r="I18" s="22" t="n">
        <x:v>0</x:v>
      </x:c>
      <x:c r="J18" s="22" t="n">
        <x:v>0.003</x:v>
      </x:c>
      <x:c r="K18" s="22" t="n">
        <x:v>0</x:v>
      </x:c>
      <x:c r="L18" s="22" t="n">
        <x:v>0</x:v>
      </x:c>
      <x:c r="M18" s="22" t="n">
        <x:v>0</x:v>
      </x:c>
      <x:c r="N18" s="22" t="n">
        <x:v>0</x:v>
      </x:c>
      <x:c r="O18" s="22" t="n">
        <x:v>0</x:v>
      </x:c>
      <x:c r="P18" s="22" t="n">
        <x:v>0</x:v>
      </x:c>
      <x:c r="Q18" s="22" t="n">
        <x:v>0</x:v>
      </x:c>
      <x:c r="R18" s="22" t="n">
        <x:v>0.0005</x:v>
      </x:c>
      <x:c r="S18" s="22" t="n">
        <x:v>0.00001</x:v>
      </x:c>
      <x:c r="T18" s="22" t="n">
        <x:v>0.0122</x:v>
      </x:c>
      <x:c r="U18" s="22" t="n">
        <x:v>0</x:v>
      </x:c>
      <x:c r="V18" s="22" t="n">
        <x:v>0</x:v>
      </x:c>
    </x:row>
    <x:row r="19" ht="25" customHeight="1">
      <x:c r="A19" s="11" t="n">
        <x:v>13</x:v>
      </x:c>
      <x:c r="B19" s="11" t="str">
        <x:v>Capelin</x:v>
      </x:c>
      <x:c r="C19" s="22" t="n">
        <x:v>0</x:v>
      </x:c>
      <x:c r="D19" s="22" t="n">
        <x:v>0</x:v>
      </x:c>
      <x:c r="E19" s="22" t="n">
        <x:v>0</x:v>
      </x:c>
      <x:c r="F19" s="22" t="n">
        <x:v>0</x:v>
      </x:c>
      <x:c r="G19" s="22" t="n">
        <x:v>0</x:v>
      </x:c>
      <x:c r="H19" s="22" t="n">
        <x:v>0</x:v>
      </x:c>
      <x:c r="I19" s="22" t="n">
        <x:v>0</x:v>
      </x:c>
      <x:c r="J19" s="22" t="n">
        <x:v>0.0114</x:v>
      </x:c>
      <x:c r="K19" s="22" t="n">
        <x:v>0</x:v>
      </x:c>
      <x:c r="L19" s="22" t="n">
        <x:v>0</x:v>
      </x:c>
      <x:c r="M19" s="22" t="n">
        <x:v>0</x:v>
      </x:c>
      <x:c r="N19" s="22" t="n">
        <x:v>0</x:v>
      </x:c>
      <x:c r="O19" s="22" t="n">
        <x:v>0</x:v>
      </x:c>
      <x:c r="P19" s="22" t="n">
        <x:v>0.594</x:v>
      </x:c>
      <x:c r="Q19" s="22" t="n">
        <x:v>0.114</x:v>
      </x:c>
      <x:c r="R19" s="22" t="n">
        <x:v>0.001</x:v>
      </x:c>
      <x:c r="S19" s="22" t="n">
        <x:v>0</x:v>
      </x:c>
      <x:c r="T19" s="22" t="n">
        <x:v>0</x:v>
      </x:c>
      <x:c r="U19" s="22" t="n">
        <x:v>0.057</x:v>
      </x:c>
      <x:c r="V19" s="22" t="n">
        <x:v>0</x:v>
      </x:c>
    </x:row>
    <x:row r="20" ht="25" customHeight="1">
      <x:c r="A20" s="11" t="n">
        <x:v>14</x:v>
      </x:c>
      <x:c r="B20" s="11" t="str">
        <x:v>Jellyfish</x:v>
      </x:c>
      <x:c r="C20" s="22" t="n">
        <x:v>0</x:v>
      </x:c>
      <x:c r="D20" s="22" t="n">
        <x:v>0</x:v>
      </x:c>
      <x:c r="E20" s="22" t="n">
        <x:v>0</x:v>
      </x:c>
      <x:c r="F20" s="22" t="n">
        <x:v>0</x:v>
      </x:c>
      <x:c r="G20" s="22" t="n">
        <x:v>0</x:v>
      </x:c>
      <x:c r="H20" s="22" t="n">
        <x:v>0</x:v>
      </x:c>
      <x:c r="I20" s="22" t="n">
        <x:v>0</x:v>
      </x:c>
      <x:c r="J20" s="22" t="n">
        <x:v>0.00001</x:v>
      </x:c>
      <x:c r="K20" s="22" t="n">
        <x:v>0</x:v>
      </x:c>
      <x:c r="L20" s="22" t="n">
        <x:v>0</x:v>
      </x:c>
      <x:c r="M20" s="22" t="n">
        <x:v>0</x:v>
      </x:c>
      <x:c r="N20" s="22" t="n">
        <x:v>0</x:v>
      </x:c>
      <x:c r="O20" s="22" t="n">
        <x:v>0</x:v>
      </x:c>
      <x:c r="P20" s="22" t="n">
        <x:v>0</x:v>
      </x:c>
      <x:c r="Q20" s="22" t="n">
        <x:v>0</x:v>
      </x:c>
      <x:c r="R20" s="22" t="n">
        <x:v>0.0006</x:v>
      </x:c>
      <x:c r="S20" s="22" t="n">
        <x:v>0</x:v>
      </x:c>
      <x:c r="T20" s="22" t="n">
        <x:v>0</x:v>
      </x:c>
      <x:c r="U20" s="22" t="n">
        <x:v>0</x:v>
      </x:c>
      <x:c r="V20" s="22" t="n">
        <x:v>0</x:v>
      </x:c>
    </x:row>
    <x:row r="21" ht="25" customHeight="1">
      <x:c r="A21" s="11" t="n">
        <x:v>15</x:v>
      </x:c>
      <x:c r="B21" s="11" t="str">
        <x:v>Pollock 30-60 cm</x:v>
      </x:c>
      <x:c r="C21" s="22" t="n">
        <x:v>0</x:v>
      </x:c>
      <x:c r="D21" s="22" t="n">
        <x:v>0</x:v>
      </x:c>
      <x:c r="E21" s="22" t="n">
        <x:v>0</x:v>
      </x:c>
      <x:c r="F21" s="22" t="n">
        <x:v>0</x:v>
      </x:c>
      <x:c r="G21" s="22" t="n">
        <x:v>0</x:v>
      </x:c>
      <x:c r="H21" s="22" t="n">
        <x:v>0</x:v>
      </x:c>
      <x:c r="I21" s="22" t="n">
        <x:v>0</x:v>
      </x:c>
      <x:c r="J21" s="22" t="n">
        <x:v>0</x:v>
      </x:c>
      <x:c r="K21" s="22" t="n">
        <x:v>0</x:v>
      </x:c>
      <x:c r="L21" s="22" t="n">
        <x:v>0</x:v>
      </x:c>
      <x:c r="M21" s="22" t="n">
        <x:v>0</x:v>
      </x:c>
      <x:c r="N21" s="22" t="n">
        <x:v>0</x:v>
      </x:c>
      <x:c r="O21" s="22" t="n">
        <x:v>0</x:v>
      </x:c>
      <x:c r="P21" s="22" t="n">
        <x:v>0</x:v>
      </x:c>
      <x:c r="Q21" s="22" t="n">
        <x:v>0</x:v>
      </x:c>
      <x:c r="R21" s="22" t="n">
        <x:v>0</x:v>
      </x:c>
      <x:c r="S21" s="22" t="n">
        <x:v>0</x:v>
      </x:c>
      <x:c r="T21" s="22" t="n">
        <x:v>0.05</x:v>
      </x:c>
      <x:c r="U21" s="22" t="n">
        <x:v>0</x:v>
      </x:c>
      <x:c r="V21" s="22" t="n">
        <x:v>0.05</x:v>
      </x:c>
    </x:row>
    <x:row r="22" ht="25" customHeight="1">
      <x:c r="A22" s="11" t="n">
        <x:v>16</x:v>
      </x:c>
      <x:c r="B22" s="11" t="str">
        <x:v>Squid IV</x:v>
      </x:c>
      <x:c r="C22" s="22" t="n">
        <x:v>0</x:v>
      </x:c>
      <x:c r="D22" s="22" t="n">
        <x:v>0</x:v>
      </x:c>
      <x:c r="E22" s="22" t="n">
        <x:v>0</x:v>
      </x:c>
      <x:c r="F22" s="22" t="n">
        <x:v>0</x:v>
      </x:c>
      <x:c r="G22" s="22" t="n">
        <x:v>0</x:v>
      </x:c>
      <x:c r="H22" s="22" t="n">
        <x:v>0</x:v>
      </x:c>
      <x:c r="I22" s="22" t="n">
        <x:v>0</x:v>
      </x:c>
      <x:c r="J22" s="22" t="n">
        <x:v>0</x:v>
      </x:c>
      <x:c r="K22" s="22" t="n">
        <x:v>0</x:v>
      </x:c>
      <x:c r="L22" s="22" t="n">
        <x:v>0</x:v>
      </x:c>
      <x:c r="M22" s="22" t="n">
        <x:v>0</x:v>
      </x:c>
      <x:c r="N22" s="22" t="n">
        <x:v>0</x:v>
      </x:c>
      <x:c r="O22" s="22" t="n">
        <x:v>0</x:v>
      </x:c>
      <x:c r="P22" s="22" t="n">
        <x:v>0</x:v>
      </x:c>
      <x:c r="Q22" s="22" t="n">
        <x:v>0</x:v>
      </x:c>
      <x:c r="R22" s="22" t="n">
        <x:v>0.006</x:v>
      </x:c>
      <x:c r="S22" s="22" t="n">
        <x:v>0</x:v>
      </x:c>
      <x:c r="T22" s="22" t="n">
        <x:v>0</x:v>
      </x:c>
      <x:c r="U22" s="22" t="n">
        <x:v>0.11</x:v>
      </x:c>
      <x:c r="V22" s="22" t="n">
        <x:v>0.042</x:v>
      </x:c>
    </x:row>
    <x:row r="23" ht="25" customHeight="1">
      <x:c r="A23" s="11" t="n">
        <x:v>17</x:v>
      </x:c>
      <x:c r="B23" s="11" t="str">
        <x:v>Predatory salmon</x:v>
      </x:c>
      <x:c r="C23" s="22" t="n">
        <x:v>0</x:v>
      </x:c>
      <x:c r="D23" s="22" t="n">
        <x:v>0</x:v>
      </x:c>
      <x:c r="E23" s="22" t="n">
        <x:v>0</x:v>
      </x:c>
      <x:c r="F23" s="22" t="n">
        <x:v>0</x:v>
      </x:c>
      <x:c r="G23" s="22" t="n">
        <x:v>0</x:v>
      </x:c>
      <x:c r="H23" s="22" t="n">
        <x:v>0</x:v>
      </x:c>
      <x:c r="I23" s="22" t="n">
        <x:v>0</x:v>
      </x:c>
      <x:c r="J23" s="22" t="n">
        <x:v>0</x:v>
      </x:c>
      <x:c r="K23" s="22" t="n">
        <x:v>0</x:v>
      </x:c>
      <x:c r="L23" s="22" t="n">
        <x:v>0</x:v>
      </x:c>
      <x:c r="M23" s="22" t="n">
        <x:v>0</x:v>
      </x:c>
      <x:c r="N23" s="22" t="n">
        <x:v>0</x:v>
      </x:c>
      <x:c r="O23" s="22" t="n">
        <x:v>0</x:v>
      </x:c>
      <x:c r="P23" s="22" t="n">
        <x:v>0</x:v>
      </x:c>
      <x:c r="Q23" s="22" t="n">
        <x:v>0</x:v>
      </x:c>
      <x:c r="R23" s="22" t="n">
        <x:v>0</x:v>
      </x:c>
      <x:c r="S23" s="22" t="n">
        <x:v>0</x:v>
      </x:c>
      <x:c r="T23" s="22" t="n">
        <x:v>0</x:v>
      </x:c>
      <x:c r="U23" s="22" t="n">
        <x:v>0</x:v>
      </x:c>
      <x:c r="V23" s="22" t="n">
        <x:v>0</x:v>
      </x:c>
    </x:row>
    <x:row r="24" ht="25" customHeight="1">
      <x:c r="A24" s="11" t="n">
        <x:v>18</x:v>
      </x:c>
      <x:c r="B24" s="11" t="str">
        <x:v>Baleen whales</x:v>
      </x:c>
      <x:c r="C24" s="22" t="n">
        <x:v>0</x:v>
      </x:c>
      <x:c r="D24" s="22" t="n">
        <x:v>0</x:v>
      </x:c>
      <x:c r="E24" s="22" t="n">
        <x:v>0</x:v>
      </x:c>
      <x:c r="F24" s="22" t="n">
        <x:v>0</x:v>
      </x:c>
      <x:c r="G24" s="22" t="n">
        <x:v>0</x:v>
      </x:c>
      <x:c r="H24" s="22" t="n">
        <x:v>0</x:v>
      </x:c>
      <x:c r="I24" s="22" t="n">
        <x:v>0</x:v>
      </x:c>
      <x:c r="J24" s="22" t="n">
        <x:v>0</x:v>
      </x:c>
      <x:c r="K24" s="22" t="n">
        <x:v>0</x:v>
      </x:c>
      <x:c r="L24" s="22" t="n">
        <x:v>0</x:v>
      </x:c>
      <x:c r="M24" s="22" t="n">
        <x:v>0</x:v>
      </x:c>
      <x:c r="N24" s="22" t="n">
        <x:v>0</x:v>
      </x:c>
      <x:c r="O24" s="22" t="n">
        <x:v>0</x:v>
      </x:c>
      <x:c r="P24" s="22" t="n">
        <x:v>0</x:v>
      </x:c>
      <x:c r="Q24" s="22" t="n">
        <x:v>0</x:v>
      </x:c>
      <x:c r="R24" s="22" t="n">
        <x:v>0</x:v>
      </x:c>
      <x:c r="S24" s="22" t="n">
        <x:v>0</x:v>
      </x:c>
      <x:c r="T24" s="22" t="n">
        <x:v>0</x:v>
      </x:c>
      <x:c r="U24" s="22" t="n">
        <x:v>0</x:v>
      </x:c>
      <x:c r="V24" s="22" t="n">
        <x:v>0</x:v>
      </x:c>
    </x:row>
    <x:row r="25" ht="25" customHeight="1">
      <x:c r="A25" s="11" t="n">
        <x:v>19</x:v>
      </x:c>
      <x:c r="B25" s="11" t="str">
        <x:v>Pollock greater than 60 cm</x:v>
      </x:c>
      <x:c r="C25" s="22" t="n">
        <x:v>0</x:v>
      </x:c>
      <x:c r="D25" s="22" t="n">
        <x:v>0</x:v>
      </x:c>
      <x:c r="E25" s="22" t="n">
        <x:v>0</x:v>
      </x:c>
      <x:c r="F25" s="22" t="n">
        <x:v>0</x:v>
      </x:c>
      <x:c r="G25" s="22" t="n">
        <x:v>0</x:v>
      </x:c>
      <x:c r="H25" s="22" t="n">
        <x:v>0</x:v>
      </x:c>
      <x:c r="I25" s="22" t="n">
        <x:v>0</x:v>
      </x:c>
      <x:c r="J25" s="22" t="n">
        <x:v>0</x:v>
      </x:c>
      <x:c r="K25" s="22" t="n">
        <x:v>0</x:v>
      </x:c>
      <x:c r="L25" s="22" t="n">
        <x:v>0</x:v>
      </x:c>
      <x:c r="M25" s="22" t="n">
        <x:v>0</x:v>
      </x:c>
      <x:c r="N25" s="22" t="n">
        <x:v>0</x:v>
      </x:c>
      <x:c r="O25" s="22" t="n">
        <x:v>0</x:v>
      </x:c>
      <x:c r="P25" s="22" t="n">
        <x:v>0</x:v>
      </x:c>
      <x:c r="Q25" s="22" t="n">
        <x:v>0</x:v>
      </x:c>
      <x:c r="R25" s="22" t="n">
        <x:v>0.057</x:v>
      </x:c>
      <x:c r="S25" s="22" t="n">
        <x:v>0</x:v>
      </x:c>
      <x:c r="T25" s="22" t="n">
        <x:v>0</x:v>
      </x:c>
      <x:c r="U25" s="22" t="n">
        <x:v>0.01</x:v>
      </x:c>
      <x:c r="V25" s="22" t="n">
        <x:v>0</x:v>
      </x:c>
    </x:row>
    <x:row r="26" ht="25" customHeight="1">
      <x:c r="A26" s="11" t="n">
        <x:v>20</x:v>
      </x:c>
      <x:c r="B26" s="11" t="str">
        <x:v>Predatory fish</x:v>
      </x:c>
      <x:c r="C26" s="22" t="n">
        <x:v>0</x:v>
      </x:c>
      <x:c r="D26" s="22" t="n">
        <x:v>0</x:v>
      </x:c>
      <x:c r="E26" s="22" t="n">
        <x:v>0</x:v>
      </x:c>
      <x:c r="F26" s="22" t="n">
        <x:v>0</x:v>
      </x:c>
      <x:c r="G26" s="22" t="n">
        <x:v>0</x:v>
      </x:c>
      <x:c r="H26" s="22" t="n">
        <x:v>0</x:v>
      </x:c>
      <x:c r="I26" s="22" t="n">
        <x:v>0</x:v>
      </x:c>
      <x:c r="J26" s="22" t="n">
        <x:v>0</x:v>
      </x:c>
      <x:c r="K26" s="22" t="n">
        <x:v>0</x:v>
      </x:c>
      <x:c r="L26" s="22" t="n">
        <x:v>0</x:v>
      </x:c>
      <x:c r="M26" s="22" t="n">
        <x:v>0</x:v>
      </x:c>
      <x:c r="N26" s="22" t="n">
        <x:v>0</x:v>
      </x:c>
      <x:c r="O26" s="22" t="n">
        <x:v>0</x:v>
      </x:c>
      <x:c r="P26" s="22" t="n">
        <x:v>0</x:v>
      </x:c>
      <x:c r="Q26" s="22" t="n">
        <x:v>0</x:v>
      </x:c>
      <x:c r="R26" s="22" t="n">
        <x:v>0</x:v>
      </x:c>
      <x:c r="S26" s="22" t="n">
        <x:v>0</x:v>
      </x:c>
      <x:c r="T26" s="22" t="n">
        <x:v>0</x:v>
      </x:c>
      <x:c r="U26" s="22" t="n">
        <x:v>0</x:v>
      </x:c>
      <x:c r="V26" s="22" t="n">
        <x:v>0</x:v>
      </x:c>
    </x:row>
    <x:row r="27" ht="25" customHeight="1">
      <x:c r="A27" s="11" t="n">
        <x:v>21</x:v>
      </x:c>
      <x:c r="B27" s="11" t="str">
        <x:v>Predatory mammals</x:v>
      </x:c>
      <x:c r="C27" s="22" t="n">
        <x:v>0</x:v>
      </x:c>
      <x:c r="D27" s="22" t="n">
        <x:v>0</x:v>
      </x:c>
      <x:c r="E27" s="22" t="n">
        <x:v>0</x:v>
      </x:c>
      <x:c r="F27" s="22" t="n">
        <x:v>0</x:v>
      </x:c>
      <x:c r="G27" s="22" t="n">
        <x:v>0</x:v>
      </x:c>
      <x:c r="H27" s="22" t="n">
        <x:v>0</x:v>
      </x:c>
      <x:c r="I27" s="22" t="n">
        <x:v>0</x:v>
      </x:c>
      <x:c r="J27" s="22" t="n">
        <x:v>0</x:v>
      </x:c>
      <x:c r="K27" s="22" t="n">
        <x:v>0</x:v>
      </x:c>
      <x:c r="L27" s="22" t="n">
        <x:v>0</x:v>
      </x:c>
      <x:c r="M27" s="22" t="n">
        <x:v>0</x:v>
      </x:c>
      <x:c r="N27" s="22" t="n">
        <x:v>0</x:v>
      </x:c>
      <x:c r="O27" s="22" t="n">
        <x:v>0</x:v>
      </x:c>
      <x:c r="P27" s="22" t="n">
        <x:v>0</x:v>
      </x:c>
      <x:c r="Q27" s="22" t="n">
        <x:v>0</x:v>
      </x:c>
      <x:c r="R27" s="22" t="n">
        <x:v>0</x:v>
      </x:c>
      <x:c r="S27" s="22" t="n">
        <x:v>0</x:v>
      </x:c>
      <x:c r="T27" s="22" t="n">
        <x:v>0</x:v>
      </x:c>
      <x:c r="U27" s="22" t="n">
        <x:v>0</x:v>
      </x:c>
      <x:c r="V27" s="22" t="n">
        <x:v>0</x:v>
      </x:c>
    </x:row>
    <x:row r="28" ht="25" customHeight="1">
      <x:c r="A28" s="11" t="n">
        <x:v>22</x:v>
      </x:c>
      <x:c r="B28" s="11" t="str">
        <x:v>Detritus</x:v>
      </x:c>
      <x:c r="C28" s="22" t="n">
        <x:v>310</x:v>
      </x:c>
      <x:c r="D28" s="22" t="n">
        <x:v>0</x:v>
      </x:c>
      <x:c r="E28" s="22" t="n">
        <x:v>0</x:v>
      </x:c>
      <x:c r="F28" s="22" t="n">
        <x:v>0</x:v>
      </x:c>
      <x:c r="G28" s="22" t="n">
        <x:v>0</x:v>
      </x:c>
      <x:c r="H28" s="22" t="n">
        <x:v>0</x:v>
      </x:c>
      <x:c r="I28" s="22" t="n">
        <x:v>0</x:v>
      </x:c>
      <x:c r="J28" s="22" t="n">
        <x:v>0</x:v>
      </x:c>
      <x:c r="K28" s="22" t="n">
        <x:v>0</x:v>
      </x:c>
      <x:c r="L28" s="22" t="n">
        <x:v>0</x:v>
      </x:c>
      <x:c r="M28" s="22" t="n">
        <x:v>0</x:v>
      </x:c>
      <x:c r="N28" s="22" t="n">
        <x:v>0</x:v>
      </x:c>
      <x:c r="O28" s="22" t="n">
        <x:v>0</x:v>
      </x:c>
      <x:c r="P28" s="22" t="n">
        <x:v>0</x:v>
      </x:c>
      <x:c r="Q28" s="22" t="n">
        <x:v>0</x:v>
      </x:c>
      <x:c r="R28" s="22" t="n">
        <x:v>0</x:v>
      </x:c>
      <x:c r="S28" s="22" t="n">
        <x:v>0</x:v>
      </x:c>
      <x:c r="T28" s="22" t="n">
        <x:v>0</x:v>
      </x:c>
      <x:c r="U28" s="22" t="n">
        <x:v>0</x:v>
      </x:c>
      <x:c r="V28" s="22" t="n">
        <x:v>0</x:v>
      </x:c>
    </x:row>
    <x:row r="29" ht="25" customHeight="1">
      <x:c r="A29" s="1"/>
      <x:c r="B29" s="1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</x:row>
    <x:row r="30" ht="35" customHeight="1">
      <x:c r="A30" s="21" t="str">
        <x:v>Consumer total, million tC/year</x:v>
      </x:c>
      <x:c r="B30" s="21"/>
      <x:c r="C30" s="23" t="n">
        <x:f>IF(COUNT(C7:C28)=22,SUM(C7:C28),"n.a.")</x:f>
        <x:v>310</x:v>
      </x:c>
      <x:c r="D30" s="23" t="n">
        <x:f>IF(COUNT(D7:D28)=22,SUM(D7:D28),"n.a.")</x:f>
        <x:v>108</x:v>
      </x:c>
      <x:c r="E30" s="23" t="n">
        <x:f>IF(COUNT(E7:E28)=22,SUM(E7:E28),"n.a.")</x:f>
        <x:v>176</x:v>
      </x:c>
      <x:c r="F30" s="23" t="n">
        <x:f>IF(COUNT(F7:F28)=22,SUM(F7:F28),"n.a.")</x:f>
        <x:v>87</x:v>
      </x:c>
      <x:c r="G30" s="23" t="n">
        <x:f>IF(COUNT(G7:G28)=22,SUM(G7:G28),"n.a.")</x:f>
        <x:v>4.383</x:v>
      </x:c>
      <x:c r="H30" s="23" t="n">
        <x:f>IF(COUNT(H7:H28)=22,SUM(H7:H28),"n.a.")</x:f>
        <x:v>20.666</x:v>
      </x:c>
      <x:c r="I30" s="23" t="n">
        <x:f>IF(COUNT(I7:I28)=22,SUM(I7:I28),"n.a.")</x:f>
        <x:v>0.0731</x:v>
      </x:c>
      <x:c r="J30" s="23" t="n">
        <x:f>IF(COUNT(J7:J28)=22,SUM(J7:J28),"n.a.")</x:f>
        <x:v>1.6938099999999998</x:v>
      </x:c>
      <x:c r="K30" s="23" t="n">
        <x:f>IF(COUNT(K7:K28)=22,SUM(K7:K28),"n.a.")</x:f>
        <x:v>2.7560000000000002</x:v>
      </x:c>
      <x:c r="L30" s="23" t="n">
        <x:f>IF(COUNT(L7:L28)=22,SUM(L7:L28),"n.a.")</x:f>
        <x:v>0.4615</x:v>
      </x:c>
      <x:c r="M30" s="23" t="n">
        <x:f>IF(COUNT(M7:M28)=22,SUM(M7:M28),"n.a.")</x:f>
        <x:v>1.305</x:v>
      </x:c>
      <x:c r="N30" s="23" t="n">
        <x:f>IF(COUNT(N7:N28)=22,SUM(N7:N28),"n.a.")</x:f>
        <x:v>1.055</x:v>
      </x:c>
      <x:c r="O30" s="23" t="n">
        <x:f>IF(COUNT(O7:O28)=22,SUM(O7:O28),"n.a.")</x:f>
        <x:v>0.0505</x:v>
      </x:c>
      <x:c r="P30" s="23" t="n">
        <x:f>IF(COUNT(P7:P28)=22,SUM(P7:P28),"n.a.")</x:f>
        <x:v>6.0421000000000005</x:v>
      </x:c>
      <x:c r="Q30" s="23" t="n">
        <x:f>IF(COUNT(Q7:Q28)=22,SUM(Q7:Q28),"n.a.")</x:f>
        <x:v>0.816</x:v>
      </x:c>
      <x:c r="R30" s="23" t="n">
        <x:f>IF(COUNT(R7:R28)=22,SUM(R7:R28),"n.a.")</x:f>
        <x:v>0.08330000000000001</x:v>
      </x:c>
      <x:c r="S30" s="23" t="str">
        <x:f>IF(COUNT(S7:S28)=22,SUM(S7:S28),"n.a.")</x:f>
        <x:v>n.a.</x:v>
      </x:c>
      <x:c r="T30" s="23" t="n">
        <x:f>IF(COUNT(T7:T28)=22,SUM(T7:T28),"n.a.")</x:f>
        <x:v>0.06984</x:v>
      </x:c>
      <x:c r="U30" s="23" t="n">
        <x:f>IF(COUNT(U7:U28)=22,SUM(U7:U28),"n.a.")</x:f>
        <x:v>0.48740000000000006</x:v>
      </x:c>
      <x:c r="V30" s="23" t="n">
        <x:f>IF(COUNT(V7:V28)=22,SUM(V7:V28),"n.a.")</x:f>
        <x:v>0.10420000000000001</x:v>
      </x:c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</x:row>
    <x:row r="32" ht="30" customHeight="1">
      <x:c r="A32" s="25" t="str">
        <x:v>n.a. = displayed arrow with unresolved reading; zero = no adopted displayed arrow. Million tonnes C/year.</x:v>
      </x:c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</x:row>
  </x:sheetData>
  <x:mergeCells>
    <x:mergeCell ref="A1:V1"/>
    <x:mergeCell ref="A2:V3"/>
    <x:mergeCell ref="A4:V4"/>
    <x:mergeCell ref="A30:B30"/>
    <x:mergeCell ref="A32:V3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6D72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29" hidden="0" customWidth="1"/>
    <x:col min="4" max="4" width="9" hidden="0" customWidth="1"/>
    <x:col min="5" max="5" width="29" hidden="0" customWidth="1"/>
    <x:col min="6" max="6" width="24" hidden="0" customWidth="1"/>
    <x:col min="7" max="7" width="14" hidden="0" customWidth="1"/>
    <x:col min="8" max="8" width="15" hidden="0" customWidth="1"/>
    <x:col min="9" max="9" width="15" hidden="0" customWidth="1"/>
    <x:col min="10" max="10" width="76" hidden="0" customWidth="1"/>
  </x:cols>
  <x:sheetData>
    <x:row r="1" ht="34" customHeight="1">
      <x:c r="A1" s="3" t="str">
        <x:v>Source arrow ledger · every adopted label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5" customHeight="1">
      <x:c r="A2" s="6" t="str">
        <x:v>33 tentative endpoint assignments require review. Two overprinted readings remain unknown; their possible readings appear only as hypotheses.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5" customHeight="1">
      <x:c r="A4" s="1" t="str">
        <x:v>Source: Gorbatenko &amp; Melnikov (2019), Fig. 9, printed p.157 / PDF p.15. https://izvestiya.tinro-center.ru/jour/article/download/497/467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60" customHeight="1">
      <x:c r="A6" s="19" t="str">
        <x:v>Flow</x:v>
      </x:c>
      <x:c r="B6" s="19" t="str">
        <x:v>Prey ID</x:v>
      </x:c>
      <x:c r="C6" s="19" t="str">
        <x:v>Prey</x:v>
      </x:c>
      <x:c r="D6" s="19" t="str">
        <x:v>Consumer ID</x:v>
      </x:c>
      <x:c r="E6" s="19" t="str">
        <x:v>Consumer</x:v>
      </x:c>
      <x:c r="F6" s="19" t="str">
        <x:v>Literal label</x:v>
      </x:c>
      <x:c r="G6" s="19" t="str">
        <x:v>Readable C flow</x:v>
      </x:c>
      <x:c r="H6" s="19" t="str">
        <x:v>Hypothesis only</x:v>
      </x:c>
      <x:c r="I6" s="19" t="str">
        <x:v>Route status</x:v>
      </x:c>
      <x:c r="J6" s="19" t="str">
        <x:v>Trace note; label pixel x,y</x:v>
      </x:c>
    </x:row>
    <x:row r="7" ht="45" customHeight="1">
      <x:c r="A7" s="30" t="str">
        <x:v>F01</x:v>
      </x:c>
      <x:c r="B7" s="30" t="n">
        <x:v>22</x:v>
      </x:c>
      <x:c r="C7" s="30" t="str">
        <x:v>Detritus</x:v>
      </x:c>
      <x:c r="D7" s="30" t="n">
        <x:v>2</x:v>
      </x:c>
      <x:c r="E7" s="30" t="str">
        <x:v>Bacteria</x:v>
      </x:c>
      <x:c r="F7" s="30" t="str">
        <x:v>310</x:v>
      </x:c>
      <x:c r="G7" s="31" t="n">
        <x:v>310</x:v>
      </x:c>
      <x:c r="H7" s="31" t="str">
        <x:v>n.a.</x:v>
      </x:c>
      <x:c r="I7" s="30" t="str">
        <x:v>clear</x:v>
      </x:c>
      <x:c r="J7" s="30" t="str">
        <x:v>Detritus to bacteria; orange arrow. (931,50)</x:v>
      </x:c>
    </x:row>
    <x:row r="8" ht="45" customHeight="1">
      <x:c r="A8" s="30" t="str">
        <x:v>F02</x:v>
      </x:c>
      <x:c r="B8" s="30" t="n">
        <x:v>1</x:v>
      </x:c>
      <x:c r="C8" s="30" t="str">
        <x:v>Phytoplankton</x:v>
      </x:c>
      <x:c r="D8" s="30" t="n">
        <x:v>3</x:v>
      </x:c>
      <x:c r="E8" s="30" t="str">
        <x:v>Protozoa</x:v>
      </x:c>
      <x:c r="F8" s="30" t="str">
        <x:v>75</x:v>
      </x:c>
      <x:c r="G8" s="31" t="n">
        <x:v>75</x:v>
      </x:c>
      <x:c r="H8" s="31" t="str">
        <x:v>n.a.</x:v>
      </x:c>
      <x:c r="I8" s="30" t="str">
        <x:v>clear</x:v>
      </x:c>
      <x:c r="J8" s="30" t="str">
        <x:v>Phytoplankton to protozoa. (623,84)</x:v>
      </x:c>
    </x:row>
    <x:row r="9" ht="45" customHeight="1">
      <x:c r="A9" s="30" t="str">
        <x:v>F03</x:v>
      </x:c>
      <x:c r="B9" s="30" t="n">
        <x:v>2</x:v>
      </x:c>
      <x:c r="C9" s="30" t="str">
        <x:v>Bacteria</x:v>
      </x:c>
      <x:c r="D9" s="30" t="n">
        <x:v>3</x:v>
      </x:c>
      <x:c r="E9" s="30" t="str">
        <x:v>Protozoa</x:v>
      </x:c>
      <x:c r="F9" s="30" t="str">
        <x:v>33</x:v>
      </x:c>
      <x:c r="G9" s="31" t="n">
        <x:v>33</x:v>
      </x:c>
      <x:c r="H9" s="31" t="str">
        <x:v>n.a.</x:v>
      </x:c>
      <x:c r="I9" s="30" t="str">
        <x:v>clear</x:v>
      </x:c>
      <x:c r="J9" s="30" t="str">
        <x:v>Bacteria to protozoa. (860,93)</x:v>
      </x:c>
    </x:row>
    <x:row r="10" ht="45" customHeight="1">
      <x:c r="A10" s="30" t="str">
        <x:v>F04</x:v>
      </x:c>
      <x:c r="B10" s="30" t="n">
        <x:v>1</x:v>
      </x:c>
      <x:c r="C10" s="30" t="str">
        <x:v>Phytoplankton</x:v>
      </x:c>
      <x:c r="D10" s="30" t="n">
        <x:v>4</x:v>
      </x:c>
      <x:c r="E10" s="30" t="str">
        <x:v>Copepods</x:v>
      </x:c>
      <x:c r="F10" s="30" t="str">
        <x:v>113</x:v>
      </x:c>
      <x:c r="G10" s="31" t="n">
        <x:v>113</x:v>
      </x:c>
      <x:c r="H10" s="31" t="str">
        <x:v>n.a.</x:v>
      </x:c>
      <x:c r="I10" s="30" t="str">
        <x:v>clear</x:v>
      </x:c>
      <x:c r="J10" s="30" t="str">
        <x:v>Phytoplankton to copepods. (348,302)</x:v>
      </x:c>
    </x:row>
    <x:row r="11" ht="45" customHeight="1">
      <x:c r="A11" s="30" t="str">
        <x:v>F05</x:v>
      </x:c>
      <x:c r="B11" s="30" t="n">
        <x:v>2</x:v>
      </x:c>
      <x:c r="C11" s="30" t="str">
        <x:v>Bacteria</x:v>
      </x:c>
      <x:c r="D11" s="30" t="n">
        <x:v>4</x:v>
      </x:c>
      <x:c r="E11" s="30" t="str">
        <x:v>Copepods</x:v>
      </x:c>
      <x:c r="F11" s="30" t="str">
        <x:v>42</x:v>
      </x:c>
      <x:c r="G11" s="31" t="n">
        <x:v>42</x:v>
      </x:c>
      <x:c r="H11" s="31" t="str">
        <x:v>n.a.</x:v>
      </x:c>
      <x:c r="I11" s="30" t="str">
        <x:v>clear</x:v>
      </x:c>
      <x:c r="J11" s="30" t="str">
        <x:v>Bacteria to copepods. (534,291)</x:v>
      </x:c>
    </x:row>
    <x:row r="12" ht="45" customHeight="1">
      <x:c r="A12" s="30" t="str">
        <x:v>F06</x:v>
      </x:c>
      <x:c r="B12" s="30" t="n">
        <x:v>3</x:v>
      </x:c>
      <x:c r="C12" s="30" t="str">
        <x:v>Protozoa</x:v>
      </x:c>
      <x:c r="D12" s="30" t="n">
        <x:v>4</x:v>
      </x:c>
      <x:c r="E12" s="30" t="str">
        <x:v>Copepods</x:v>
      </x:c>
      <x:c r="F12" s="30" t="str">
        <x:v>21</x:v>
      </x:c>
      <x:c r="G12" s="31" t="n">
        <x:v>21</x:v>
      </x:c>
      <x:c r="H12" s="31" t="str">
        <x:v>n.a.</x:v>
      </x:c>
      <x:c r="I12" s="30" t="str">
        <x:v>clear</x:v>
      </x:c>
      <x:c r="J12" s="30" t="str">
        <x:v>Protozoa to copepods. (693,348)</x:v>
      </x:c>
    </x:row>
    <x:row r="13" ht="45" customHeight="1">
      <x:c r="A13" s="30" t="str">
        <x:v>F07</x:v>
      </x:c>
      <x:c r="B13" s="30" t="n">
        <x:v>1</x:v>
      </x:c>
      <x:c r="C13" s="30" t="str">
        <x:v>Phytoplankton</x:v>
      </x:c>
      <x:c r="D13" s="30" t="n">
        <x:v>5</x:v>
      </x:c>
      <x:c r="E13" s="30" t="str">
        <x:v>Euphausiids</x:v>
      </x:c>
      <x:c r="F13" s="30" t="str">
        <x:v>57</x:v>
      </x:c>
      <x:c r="G13" s="31" t="n">
        <x:v>57</x:v>
      </x:c>
      <x:c r="H13" s="31" t="str">
        <x:v>n.a.</x:v>
      </x:c>
      <x:c r="I13" s="30" t="str">
        <x:v>clear</x:v>
      </x:c>
      <x:c r="J13" s="30" t="str">
        <x:v>Phytoplankton to euphausiids. (620,284)</x:v>
      </x:c>
    </x:row>
    <x:row r="14" ht="45" customHeight="1">
      <x:c r="A14" s="30" t="str">
        <x:v>F08</x:v>
      </x:c>
      <x:c r="B14" s="30" t="n">
        <x:v>2</x:v>
      </x:c>
      <x:c r="C14" s="30" t="str">
        <x:v>Bacteria</x:v>
      </x:c>
      <x:c r="D14" s="30" t="n">
        <x:v>5</x:v>
      </x:c>
      <x:c r="E14" s="30" t="str">
        <x:v>Euphausiids</x:v>
      </x:c>
      <x:c r="F14" s="30" t="str">
        <x:v>18</x:v>
      </x:c>
      <x:c r="G14" s="31" t="n">
        <x:v>18</x:v>
      </x:c>
      <x:c r="H14" s="31" t="str">
        <x:v>n.a.</x:v>
      </x:c>
      <x:c r="I14" s="30" t="str">
        <x:v>clear</x:v>
      </x:c>
      <x:c r="J14" s="30" t="str">
        <x:v>Bacteria to euphausiids. (868,288)</x:v>
      </x:c>
    </x:row>
    <x:row r="15" ht="45" customHeight="1">
      <x:c r="A15" s="30" t="str">
        <x:v>F09</x:v>
      </x:c>
      <x:c r="B15" s="30" t="n">
        <x:v>3</x:v>
      </x:c>
      <x:c r="C15" s="30" t="str">
        <x:v>Protozoa</x:v>
      </x:c>
      <x:c r="D15" s="30" t="n">
        <x:v>5</x:v>
      </x:c>
      <x:c r="E15" s="30" t="str">
        <x:v>Euphausiids</x:v>
      </x:c>
      <x:c r="F15" s="30" t="str">
        <x:v>12</x:v>
      </x:c>
      <x:c r="G15" s="31" t="n">
        <x:v>12</x:v>
      </x:c>
      <x:c r="H15" s="31" t="str">
        <x:v>n.a.</x:v>
      </x:c>
      <x:c r="I15" s="30" t="str">
        <x:v>clear</x:v>
      </x:c>
      <x:c r="J15" s="30" t="str">
        <x:v>Protozoa to euphausiids. (1064,290)</x:v>
      </x:c>
    </x:row>
    <x:row r="16" ht="45" customHeight="1">
      <x:c r="A16" s="30" t="str">
        <x:v>F10</x:v>
      </x:c>
      <x:c r="B16" s="30" t="n">
        <x:v>4</x:v>
      </x:c>
      <x:c r="C16" s="30" t="str">
        <x:v>Copepods</x:v>
      </x:c>
      <x:c r="D16" s="30" t="n">
        <x:v>6</x:v>
      </x:c>
      <x:c r="E16" s="30" t="str">
        <x:v>Hyperiids</x:v>
      </x:c>
      <x:c r="F16" s="30" t="str">
        <x:v>4,1</x:v>
      </x:c>
      <x:c r="G16" s="31" t="n">
        <x:v>4.1</x:v>
      </x:c>
      <x:c r="H16" s="31" t="str">
        <x:v>n.a.</x:v>
      </x:c>
      <x:c r="I16" s="30" t="str">
        <x:v>clear</x:v>
      </x:c>
      <x:c r="J16" s="30" t="str">
        <x:v>Left copepod arrow into hyperiids. (163,608)</x:v>
      </x:c>
    </x:row>
    <x:row r="17" ht="45" customHeight="1">
      <x:c r="A17" s="30" t="str">
        <x:v>F11</x:v>
      </x:c>
      <x:c r="B17" s="30" t="n">
        <x:v>4</x:v>
      </x:c>
      <x:c r="C17" s="30" t="str">
        <x:v>Copepods</x:v>
      </x:c>
      <x:c r="D17" s="30" t="n">
        <x:v>7</x:v>
      </x:c>
      <x:c r="E17" s="30" t="str">
        <x:v>Chaetognaths</x:v>
      </x:c>
      <x:c r="F17" s="30" t="str">
        <x:v>20,1</x:v>
      </x:c>
      <x:c r="G17" s="31" t="n">
        <x:v>20.1</x:v>
      </x:c>
      <x:c r="H17" s="31" t="str">
        <x:v>n.a.</x:v>
      </x:c>
      <x:c r="I17" s="30" t="str">
        <x:v>clear</x:v>
      </x:c>
      <x:c r="J17" s="30" t="str">
        <x:v>Thick copepod arrow into chaetognaths. (329,627)</x:v>
      </x:c>
    </x:row>
    <x:row r="18" ht="45" customHeight="1">
      <x:c r="A18" s="30" t="str">
        <x:v>F12</x:v>
      </x:c>
      <x:c r="B18" s="30" t="n">
        <x:v>4</x:v>
      </x:c>
      <x:c r="C18" s="30" t="str">
        <x:v>Copepods</x:v>
      </x:c>
      <x:c r="D18" s="30" t="n">
        <x:v>10</x:v>
      </x:c>
      <x:c r="E18" s="30" t="str">
        <x:v>Herring</x:v>
      </x:c>
      <x:c r="F18" s="30" t="str">
        <x:v>1,1</x:v>
      </x:c>
      <x:c r="G18" s="31" t="n">
        <x:v>1.1</x:v>
      </x:c>
      <x:c r="H18" s="31" t="str">
        <x:v>n.a.</x:v>
      </x:c>
      <x:c r="I18" s="30" t="str">
        <x:v>clear</x:v>
      </x:c>
      <x:c r="J18" s="30" t="str">
        <x:v>Outer-left copepod arrow into herring. (104,652)</x:v>
      </x:c>
    </x:row>
    <x:row r="19" ht="45" customHeight="1">
      <x:c r="A19" s="6" t="str">
        <x:v>F13</x:v>
      </x:c>
      <x:c r="B19" s="6" t="n">
        <x:v>5</x:v>
      </x:c>
      <x:c r="C19" s="6" t="str">
        <x:v>Euphausiids</x:v>
      </x:c>
      <x:c r="D19" s="6" t="n">
        <x:v>6</x:v>
      </x:c>
      <x:c r="E19" s="6" t="str">
        <x:v>Hyperiids</x:v>
      </x:c>
      <x:c r="F19" s="6" t="str">
        <x:v>0,283</x:v>
      </x:c>
      <x:c r="G19" s="32" t="n">
        <x:v>0.283</x:v>
      </x:c>
      <x:c r="H19" s="32" t="str">
        <x:v>n.a.</x:v>
      </x:c>
      <x:c r="I19" s="6" t="str">
        <x:v>tentative</x:v>
      </x:c>
      <x:c r="J19" s="6" t="str">
        <x:v>Thin upper diagonal traced toward hyperiids; crosses thick copepod link. (473,532)</x:v>
      </x:c>
    </x:row>
    <x:row r="20" ht="45" customHeight="1">
      <x:c r="A20" s="30" t="str">
        <x:v>F14</x:v>
      </x:c>
      <x:c r="B20" s="30" t="n">
        <x:v>5</x:v>
      </x:c>
      <x:c r="C20" s="30" t="str">
        <x:v>Euphausiids</x:v>
      </x:c>
      <x:c r="D20" s="30" t="n">
        <x:v>10</x:v>
      </x:c>
      <x:c r="E20" s="30" t="str">
        <x:v>Herring</x:v>
      </x:c>
      <x:c r="F20" s="30" t="str">
        <x:v>1,5</x:v>
      </x:c>
      <x:c r="G20" s="31" t="n">
        <x:v>1.5</x:v>
      </x:c>
      <x:c r="H20" s="31" t="str">
        <x:v>n.a.</x:v>
      </x:c>
      <x:c r="I20" s="30" t="str">
        <x:v>clear</x:v>
      </x:c>
      <x:c r="J20" s="30" t="str">
        <x:v>Euphausiid diagonal into herring. (447,584)</x:v>
      </x:c>
    </x:row>
    <x:row r="21" ht="45" customHeight="1">
      <x:c r="A21" s="30" t="str">
        <x:v>F15</x:v>
      </x:c>
      <x:c r="B21" s="30" t="n">
        <x:v>5</x:v>
      </x:c>
      <x:c r="C21" s="30" t="str">
        <x:v>Euphausiids</x:v>
      </x:c>
      <x:c r="D21" s="30" t="n">
        <x:v>15</x:v>
      </x:c>
      <x:c r="E21" s="30" t="str">
        <x:v>Pollock 30-60 cm</x:v>
      </x:c>
      <x:c r="F21" s="30" t="str">
        <x:v>4,4</x:v>
      </x:c>
      <x:c r="G21" s="31" t="n">
        <x:v>4.4</x:v>
      </x:c>
      <x:c r="H21" s="31" t="str">
        <x:v>n.a.</x:v>
      </x:c>
      <x:c r="I21" s="30" t="str">
        <x:v>clear</x:v>
      </x:c>
      <x:c r="J21" s="30" t="str">
        <x:v>Thick euphausiid diagonal into medium pollock. (415,671)</x:v>
      </x:c>
    </x:row>
    <x:row r="22" ht="45" customHeight="1">
      <x:c r="A22" s="30" t="str">
        <x:v>F16</x:v>
      </x:c>
      <x:c r="B22" s="30" t="n">
        <x:v>5</x:v>
      </x:c>
      <x:c r="C22" s="30" t="str">
        <x:v>Euphausiids</x:v>
      </x:c>
      <x:c r="D22" s="30" t="n">
        <x:v>7</x:v>
      </x:c>
      <x:c r="E22" s="30" t="str">
        <x:v>Chaetognaths</x:v>
      </x:c>
      <x:c r="F22" s="30" t="str">
        <x:v>0,566</x:v>
      </x:c>
      <x:c r="G22" s="31" t="n">
        <x:v>0.566</x:v>
      </x:c>
      <x:c r="H22" s="31" t="str">
        <x:v>n.a.</x:v>
      </x:c>
      <x:c r="I22" s="30" t="str">
        <x:v>clear</x:v>
      </x:c>
      <x:c r="J22" s="30" t="str">
        <x:v>Euphausiid diagonal into chaetognaths. (608,582)</x:v>
      </x:c>
    </x:row>
    <x:row r="23" ht="45" customHeight="1">
      <x:c r="A23" s="30" t="str">
        <x:v>F17</x:v>
      </x:c>
      <x:c r="B23" s="30" t="n">
        <x:v>5</x:v>
      </x:c>
      <x:c r="C23" s="30" t="str">
        <x:v>Euphausiids</x:v>
      </x:c>
      <x:c r="D23" s="30" t="n">
        <x:v>11</x:v>
      </x:c>
      <x:c r="E23" s="30" t="str">
        <x:v>Deep-sea smelt</x:v>
      </x:c>
      <x:c r="F23" s="30" t="str">
        <x:v>0,448</x:v>
      </x:c>
      <x:c r="G23" s="31" t="n">
        <x:v>0.448</x:v>
      </x:c>
      <x:c r="H23" s="31" t="str">
        <x:v>n.a.</x:v>
      </x:c>
      <x:c r="I23" s="30" t="str">
        <x:v>clear</x:v>
      </x:c>
      <x:c r="J23" s="30" t="str">
        <x:v>Euphausiid diagonal into smelt. (613,631)</x:v>
      </x:c>
    </x:row>
    <x:row r="24" ht="45" customHeight="1">
      <x:c r="A24" s="30" t="str">
        <x:v>F18</x:v>
      </x:c>
      <x:c r="B24" s="30" t="n">
        <x:v>4</x:v>
      </x:c>
      <x:c r="C24" s="30" t="str">
        <x:v>Copepods</x:v>
      </x:c>
      <x:c r="D24" s="30" t="n">
        <x:v>12</x:v>
      </x:c>
      <x:c r="E24" s="30" t="str">
        <x:v>Pollock less than 30 cm</x:v>
      </x:c>
      <x:c r="F24" s="30" t="str">
        <x:v>0,736</x:v>
      </x:c>
      <x:c r="G24" s="31" t="n">
        <x:v>0.736</x:v>
      </x:c>
      <x:c r="H24" s="31" t="str">
        <x:v>n.a.</x:v>
      </x:c>
      <x:c r="I24" s="30" t="str">
        <x:v>clear</x:v>
      </x:c>
      <x:c r="J24" s="30" t="str">
        <x:v>Copepod curve into small pollock. (616,669)</x:v>
      </x:c>
    </x:row>
    <x:row r="25" ht="45" customHeight="1">
      <x:c r="A25" s="30" t="str">
        <x:v>F19</x:v>
      </x:c>
      <x:c r="B25" s="30" t="n">
        <x:v>5</x:v>
      </x:c>
      <x:c r="C25" s="30" t="str">
        <x:v>Euphausiids</x:v>
      </x:c>
      <x:c r="D25" s="30" t="n">
        <x:v>12</x:v>
      </x:c>
      <x:c r="E25" s="30" t="str">
        <x:v>Pollock less than 30 cm</x:v>
      </x:c>
      <x:c r="F25" s="30" t="str">
        <x:v>0,502</x:v>
      </x:c>
      <x:c r="G25" s="31" t="n">
        <x:v>0.502</x:v>
      </x:c>
      <x:c r="H25" s="31" t="str">
        <x:v>n.a.</x:v>
      </x:c>
      <x:c r="I25" s="30" t="str">
        <x:v>clear</x:v>
      </x:c>
      <x:c r="J25" s="30" t="str">
        <x:v>Euphausiid diagonal into small pollock. (745,657)</x:v>
      </x:c>
    </x:row>
    <x:row r="26" ht="45" customHeight="1">
      <x:c r="A26" s="30" t="str">
        <x:v>F20</x:v>
      </x:c>
      <x:c r="B26" s="30" t="n">
        <x:v>5</x:v>
      </x:c>
      <x:c r="C26" s="30" t="str">
        <x:v>Euphausiids</x:v>
      </x:c>
      <x:c r="D26" s="30" t="n">
        <x:v>13</x:v>
      </x:c>
      <x:c r="E26" s="30" t="str">
        <x:v>Capelin</x:v>
      </x:c>
      <x:c r="F26" s="30" t="str">
        <x:v>1</x:v>
      </x:c>
      <x:c r="G26" s="31" t="n">
        <x:v>1</x:v>
      </x:c>
      <x:c r="H26" s="31" t="str">
        <x:v>n.a.</x:v>
      </x:c>
      <x:c r="I26" s="30" t="str">
        <x:v>clear</x:v>
      </x:c>
      <x:c r="J26" s="30" t="str">
        <x:v>Near-vertical euphausiid arrow into capelin. (1040,696)</x:v>
      </x:c>
    </x:row>
    <x:row r="27" ht="45" customHeight="1">
      <x:c r="A27" s="30" t="str">
        <x:v>F21</x:v>
      </x:c>
      <x:c r="B27" s="30" t="n">
        <x:v>5</x:v>
      </x:c>
      <x:c r="C27" s="30" t="str">
        <x:v>Euphausiids</x:v>
      </x:c>
      <x:c r="D27" s="30" t="n">
        <x:v>9</x:v>
      </x:c>
      <x:c r="E27" s="30" t="str">
        <x:v>Squid III</x:v>
      </x:c>
      <x:c r="F27" s="30" t="str">
        <x:v>1,4</x:v>
      </x:c>
      <x:c r="G27" s="31" t="n">
        <x:v>1.4</x:v>
      </x:c>
      <x:c r="H27" s="31" t="str">
        <x:v>n.a.</x:v>
      </x:c>
      <x:c r="I27" s="30" t="str">
        <x:v>clear</x:v>
      </x:c>
      <x:c r="J27" s="30" t="str">
        <x:v>Outer-right euphausiid curve into squid III. (1223,591)</x:v>
      </x:c>
    </x:row>
    <x:row r="28" ht="45" customHeight="1">
      <x:c r="A28" s="6" t="str">
        <x:v>F22</x:v>
      </x:c>
      <x:c r="B28" s="6" t="n">
        <x:v>5</x:v>
      </x:c>
      <x:c r="C28" s="6" t="str">
        <x:v>Euphausiids</x:v>
      </x:c>
      <x:c r="D28" s="6" t="n">
        <x:v>18</x:v>
      </x:c>
      <x:c r="E28" s="6" t="str">
        <x:v>Baleen whales</x:v>
      </x:c>
      <x:c r="F28" s="6" t="str">
        <x:v>0,141</x:v>
      </x:c>
      <x:c r="G28" s="32" t="n">
        <x:v>0.141</x:v>
      </x:c>
      <x:c r="H28" s="32" t="str">
        <x:v>n.a.</x:v>
      </x:c>
      <x:c r="I28" s="6" t="str">
        <x:v>tentative</x:v>
      </x:c>
      <x:c r="J28" s="6" t="str">
        <x:v>Inner outer-right blue curve terminating at baleen whales. (1260,989)</x:v>
      </x:c>
    </x:row>
    <x:row r="29" ht="45" customHeight="1">
      <x:c r="A29" s="6" t="str">
        <x:v>F23</x:v>
      </x:c>
      <x:c r="B29" s="6" t="n">
        <x:v>5</x:v>
      </x:c>
      <x:c r="C29" s="6" t="str">
        <x:v>Euphausiids</x:v>
      </x:c>
      <x:c r="D29" s="6" t="n">
        <x:v>19</x:v>
      </x:c>
      <x:c r="E29" s="6" t="str">
        <x:v>Pollock greater than 60 cm</x:v>
      </x:c>
      <x:c r="F29" s="6" t="str">
        <x:v>0,0075</x:v>
      </x:c>
      <x:c r="G29" s="32" t="n">
        <x:v>0.0075</x:v>
      </x:c>
      <x:c r="H29" s="32" t="str">
        <x:v>n.a.</x:v>
      </x:c>
      <x:c r="I29" s="6" t="str">
        <x:v>tentative</x:v>
      </x:c>
      <x:c r="J29" s="6" t="str">
        <x:v>Outermost blue curve ending at large pollock; arrowhead overlaps green line. (1189,1288)</x:v>
      </x:c>
    </x:row>
    <x:row r="30" ht="45" customHeight="1">
      <x:c r="A30" s="6" t="str">
        <x:v>F24</x:v>
      </x:c>
      <x:c r="B30" s="6" t="n">
        <x:v>7</x:v>
      </x:c>
      <x:c r="C30" s="6" t="str">
        <x:v>Chaetognaths</x:v>
      </x:c>
      <x:c r="D30" s="6" t="n">
        <x:v>14</x:v>
      </x:c>
      <x:c r="E30" s="6" t="str">
        <x:v>Jellyfish</x:v>
      </x:c>
      <x:c r="F30" s="6" t="str">
        <x:v>0,0015</x:v>
      </x:c>
      <x:c r="G30" s="32" t="n">
        <x:v>0.0015</x:v>
      </x:c>
      <x:c r="H30" s="32" t="str">
        <x:v>n.a.</x:v>
      </x:c>
      <x:c r="I30" s="6" t="str">
        <x:v>tentative</x:v>
      </x:c>
      <x:c r="J30" s="6" t="str">
        <x:v>High red arch from chaetognaths; adopted jellyfish endpoint, crossing dense upper arcs. (780,622)</x:v>
      </x:c>
    </x:row>
    <x:row r="31" ht="45" customHeight="1">
      <x:c r="A31" s="30" t="str">
        <x:v>F25</x:v>
      </x:c>
      <x:c r="B31" s="30" t="n">
        <x:v>6</x:v>
      </x:c>
      <x:c r="C31" s="30" t="str">
        <x:v>Hyperiids</x:v>
      </x:c>
      <x:c r="D31" s="30" t="n">
        <x:v>8</x:v>
      </x:c>
      <x:c r="E31" s="30" t="str">
        <x:v>Salmon</x:v>
      </x:c>
      <x:c r="F31" s="30" t="str">
        <x:v>0,055</x:v>
      </x:c>
      <x:c r="G31" s="31" t="n">
        <x:v>0.055</x:v>
      </x:c>
      <x:c r="H31" s="31" t="str">
        <x:v>n.a.</x:v>
      </x:c>
      <x:c r="I31" s="30" t="str">
        <x:v>clear</x:v>
      </x:c>
      <x:c r="J31" s="30" t="str">
        <x:v>Upper hyperiid arch to salmon; separate from 0.241 arch. (439,701)</x:v>
      </x:c>
    </x:row>
    <x:row r="32" ht="45" customHeight="1">
      <x:c r="A32" s="6" t="str">
        <x:v>F26</x:v>
      </x:c>
      <x:c r="B32" s="6" t="n">
        <x:v>6</x:v>
      </x:c>
      <x:c r="C32" s="6" t="str">
        <x:v>Hyperiids</x:v>
      </x:c>
      <x:c r="D32" s="6" t="n">
        <x:v>9</x:v>
      </x:c>
      <x:c r="E32" s="6" t="str">
        <x:v>Squid III</x:v>
      </x:c>
      <x:c r="F32" s="6" t="str">
        <x:v>0,241</x:v>
      </x:c>
      <x:c r="G32" s="32" t="n">
        <x:v>0.241</x:v>
      </x:c>
      <x:c r="H32" s="32" t="str">
        <x:v>n.a.</x:v>
      </x:c>
      <x:c r="I32" s="6" t="str">
        <x:v>tentative</x:v>
      </x:c>
      <x:c r="J32" s="6" t="str">
        <x:v>Upper long hyperiid arch; adopted squid III endpoint. (659,690)</x:v>
      </x:c>
    </x:row>
    <x:row r="33" ht="45" customHeight="1">
      <x:c r="A33" s="6" t="str">
        <x:v>F27</x:v>
      </x:c>
      <x:c r="B33" s="6" t="n">
        <x:v>7</x:v>
      </x:c>
      <x:c r="C33" s="6" t="str">
        <x:v>Chaetognaths</x:v>
      </x:c>
      <x:c r="D33" s="6" t="n">
        <x:v>9</x:v>
      </x:c>
      <x:c r="E33" s="6" t="str">
        <x:v>Squid III</x:v>
      </x:c>
      <x:c r="F33" s="6" t="str">
        <x:v>0,015</x:v>
      </x:c>
      <x:c r="G33" s="32" t="n">
        <x:v>0.015</x:v>
      </x:c>
      <x:c r="H33" s="32" t="str">
        <x:v>n.a.</x:v>
      </x:c>
      <x:c r="I33" s="6" t="str">
        <x:v>tentative</x:v>
      </x:c>
      <x:c r="J33" s="6" t="str">
        <x:v>Upper chaetognath arch; endpoint obscured by overlapping outer curves. (820,692)</x:v>
      </x:c>
    </x:row>
    <x:row r="34" ht="45" customHeight="1">
      <x:c r="A34" s="6" t="str">
        <x:v>F28</x:v>
      </x:c>
      <x:c r="B34" s="6" t="n">
        <x:v>12</x:v>
      </x:c>
      <x:c r="C34" s="6" t="str">
        <x:v>Pollock less than 30 cm</x:v>
      </x:c>
      <x:c r="D34" s="6" t="n">
        <x:v>9</x:v>
      </x:c>
      <x:c r="E34" s="6" t="str">
        <x:v>Squid III</x:v>
      </x:c>
      <x:c r="F34" s="6" t="str">
        <x:v>0,003</x:v>
      </x:c>
      <x:c r="G34" s="32" t="n">
        <x:v>0.003</x:v>
      </x:c>
      <x:c r="H34" s="32" t="str">
        <x:v>n.a.</x:v>
      </x:c>
      <x:c r="I34" s="6" t="str">
        <x:v>tentative</x:v>
      </x:c>
      <x:c r="J34" s="6" t="str">
        <x:v>Highest small-pollock arch; adopted squid III endpoint. (808,714)</x:v>
      </x:c>
    </x:row>
    <x:row r="35" ht="45" customHeight="1">
      <x:c r="A35" s="30" t="str">
        <x:v>F29</x:v>
      </x:c>
      <x:c r="B35" s="30" t="n">
        <x:v>7</x:v>
      </x:c>
      <x:c r="C35" s="30" t="str">
        <x:v>Chaetognaths</x:v>
      </x:c>
      <x:c r="D35" s="30" t="n">
        <x:v>8</x:v>
      </x:c>
      <x:c r="E35" s="30" t="str">
        <x:v>Salmon</x:v>
      </x:c>
      <x:c r="F35" s="30" t="str">
        <x:v>0,0025</x:v>
      </x:c>
      <x:c r="G35" s="31" t="n">
        <x:v>0.0025</x:v>
      </x:c>
      <x:c r="H35" s="31" t="str">
        <x:v>n.a.</x:v>
      </x:c>
      <x:c r="I35" s="30" t="str">
        <x:v>clear</x:v>
      </x:c>
      <x:c r="J35" s="30" t="str">
        <x:v>Short chaetognath arch to salmon. (616,750)</x:v>
      </x:c>
    </x:row>
    <x:row r="36" ht="45" customHeight="1">
      <x:c r="A36" s="30" t="str">
        <x:v>F30</x:v>
      </x:c>
      <x:c r="B36" s="30" t="n">
        <x:v>8</x:v>
      </x:c>
      <x:c r="C36" s="30" t="str">
        <x:v>Salmon</x:v>
      </x:c>
      <x:c r="D36" s="30" t="n">
        <x:v>9</x:v>
      </x:c>
      <x:c r="E36" s="30" t="str">
        <x:v>Squid III</x:v>
      </x:c>
      <x:c r="F36" s="30" t="str">
        <x:v>0,0024</x:v>
      </x:c>
      <x:c r="G36" s="31" t="n">
        <x:v>0.0024</x:v>
      </x:c>
      <x:c r="H36" s="31" t="str">
        <x:v>n.a.</x:v>
      </x:c>
      <x:c r="I36" s="30" t="str">
        <x:v>clear</x:v>
      </x:c>
      <x:c r="J36" s="30" t="str">
        <x:v>Upper short salmon-squid link. (956,761)</x:v>
      </x:c>
    </x:row>
    <x:row r="37" ht="45" customHeight="1">
      <x:c r="A37" s="6" t="str">
        <x:v>F31</x:v>
      </x:c>
      <x:c r="B37" s="6" t="n">
        <x:v>9</x:v>
      </x:c>
      <x:c r="C37" s="6" t="str">
        <x:v>Squid III</x:v>
      </x:c>
      <x:c r="D37" s="6" t="n">
        <x:v>8</x:v>
      </x:c>
      <x:c r="E37" s="6" t="str">
        <x:v>Salmon</x:v>
      </x:c>
      <x:c r="F37" s="6" t="str">
        <x:v>0,0046</x:v>
      </x:c>
      <x:c r="G37" s="32" t="n">
        <x:v>0.0046</x:v>
      </x:c>
      <x:c r="H37" s="32" t="str">
        <x:v>n.a.</x:v>
      </x:c>
      <x:c r="I37" s="6" t="str">
        <x:v>tentative</x:v>
      </x:c>
      <x:c r="J37" s="6" t="str">
        <x:v>Reverse squid-salmon short link; crossing with capelin curve. (909,831)</x:v>
      </x:c>
    </x:row>
    <x:row r="38" ht="45" customHeight="1">
      <x:c r="A38" s="30" t="str">
        <x:v>F32</x:v>
      </x:c>
      <x:c r="B38" s="30" t="n">
        <x:v>6</x:v>
      </x:c>
      <x:c r="C38" s="30" t="str">
        <x:v>Hyperiids</x:v>
      </x:c>
      <x:c r="D38" s="30" t="n">
        <x:v>11</x:v>
      </x:c>
      <x:c r="E38" s="30" t="str">
        <x:v>Deep-sea smelt</x:v>
      </x:c>
      <x:c r="F38" s="30" t="str">
        <x:v>0,0085</x:v>
      </x:c>
      <x:c r="G38" s="31" t="n">
        <x:v>0.0085</x:v>
      </x:c>
      <x:c r="H38" s="31" t="str">
        <x:v>n.a.</x:v>
      </x:c>
      <x:c r="I38" s="30" t="str">
        <x:v>clear</x:v>
      </x:c>
      <x:c r="J38" s="30" t="str">
        <x:v>Hyperiids to smelt. (275,861)</x:v>
      </x:c>
    </x:row>
    <x:row r="39" ht="45" customHeight="1">
      <x:c r="A39" s="30" t="str">
        <x:v>F33</x:v>
      </x:c>
      <x:c r="B39" s="30" t="n">
        <x:v>7</x:v>
      </x:c>
      <x:c r="C39" s="30" t="str">
        <x:v>Chaetognaths</x:v>
      </x:c>
      <x:c r="D39" s="30" t="n">
        <x:v>11</x:v>
      </x:c>
      <x:c r="E39" s="30" t="str">
        <x:v>Deep-sea smelt</x:v>
      </x:c>
      <x:c r="F39" s="30" t="str">
        <x:v>0,005</x:v>
      </x:c>
      <x:c r="G39" s="31" t="n">
        <x:v>0.005</x:v>
      </x:c>
      <x:c r="H39" s="31" t="str">
        <x:v>n.a.</x:v>
      </x:c>
      <x:c r="I39" s="30" t="str">
        <x:v>clear</x:v>
      </x:c>
      <x:c r="J39" s="30" t="str">
        <x:v>Chaetognaths to smelt. (341,873)</x:v>
      </x:c>
    </x:row>
    <x:row r="40" ht="45" customHeight="1">
      <x:c r="A40" s="30" t="str">
        <x:v>F34</x:v>
      </x:c>
      <x:c r="B40" s="30" t="n">
        <x:v>6</x:v>
      </x:c>
      <x:c r="C40" s="30" t="str">
        <x:v>Hyperiids</x:v>
      </x:c>
      <x:c r="D40" s="30" t="n">
        <x:v>12</x:v>
      </x:c>
      <x:c r="E40" s="30" t="str">
        <x:v>Pollock less than 30 cm</x:v>
      </x:c>
      <x:c r="F40" s="30" t="str">
        <x:v>0,046</x:v>
      </x:c>
      <x:c r="G40" s="31" t="n">
        <x:v>0.046</x:v>
      </x:c>
      <x:c r="H40" s="31" t="str">
        <x:v>n.a.</x:v>
      </x:c>
      <x:c r="I40" s="30" t="str">
        <x:v>clear</x:v>
      </x:c>
      <x:c r="J40" s="30" t="str">
        <x:v>Hyperiid diagonal to small pollock. (420,851)</x:v>
      </x:c>
    </x:row>
    <x:row r="41" ht="45" customHeight="1">
      <x:c r="A41" s="30" t="str">
        <x:v>F35</x:v>
      </x:c>
      <x:c r="B41" s="30" t="n">
        <x:v>7</x:v>
      </x:c>
      <x:c r="C41" s="30" t="str">
        <x:v>Chaetognaths</x:v>
      </x:c>
      <x:c r="D41" s="30" t="n">
        <x:v>12</x:v>
      </x:c>
      <x:c r="E41" s="30" t="str">
        <x:v>Pollock less than 30 cm</x:v>
      </x:c>
      <x:c r="F41" s="30" t="str">
        <x:v>0,003</x:v>
      </x:c>
      <x:c r="G41" s="31" t="n">
        <x:v>0.003</x:v>
      </x:c>
      <x:c r="H41" s="31" t="str">
        <x:v>n.a.</x:v>
      </x:c>
      <x:c r="I41" s="30" t="str">
        <x:v>clear</x:v>
      </x:c>
      <x:c r="J41" s="30" t="str">
        <x:v>Chaetognath diagonal to small pollock. (617,829)</x:v>
      </x:c>
    </x:row>
    <x:row r="42" ht="45" customHeight="1">
      <x:c r="A42" s="30" t="str">
        <x:v>F36</x:v>
      </x:c>
      <x:c r="B42" s="30" t="n">
        <x:v>11</x:v>
      </x:c>
      <x:c r="C42" s="30" t="str">
        <x:v>Deep-sea smelt</x:v>
      </x:c>
      <x:c r="D42" s="30" t="n">
        <x:v>8</x:v>
      </x:c>
      <x:c r="E42" s="30" t="str">
        <x:v>Salmon</x:v>
      </x:c>
      <x:c r="F42" s="30" t="str">
        <x:v>0,011</x:v>
      </x:c>
      <x:c r="G42" s="31" t="n">
        <x:v>0.011</x:v>
      </x:c>
      <x:c r="H42" s="31" t="str">
        <x:v>n.a.</x:v>
      </x:c>
      <x:c r="I42" s="30" t="str">
        <x:v>clear</x:v>
      </x:c>
      <x:c r="J42" s="30" t="str">
        <x:v>Smelt to salmon. (577,875)</x:v>
      </x:c>
    </x:row>
    <x:row r="43" ht="45" customHeight="1">
      <x:c r="A43" s="30" t="str">
        <x:v>F37</x:v>
      </x:c>
      <x:c r="B43" s="30" t="n">
        <x:v>8</x:v>
      </x:c>
      <x:c r="C43" s="30" t="str">
        <x:v>Salmon</x:v>
      </x:c>
      <x:c r="D43" s="30" t="n">
        <x:v>12</x:v>
      </x:c>
      <x:c r="E43" s="30" t="str">
        <x:v>Pollock less than 30 cm</x:v>
      </x:c>
      <x:c r="F43" s="30" t="str">
        <x:v>0,018</x:v>
      </x:c>
      <x:c r="G43" s="31" t="n">
        <x:v>0.018</x:v>
      </x:c>
      <x:c r="H43" s="31" t="str">
        <x:v>n.a.</x:v>
      </x:c>
      <x:c r="I43" s="30" t="str">
        <x:v>clear</x:v>
      </x:c>
      <x:c r="J43" s="30" t="str">
        <x:v>Salmon to small pollock. (818,874)</x:v>
      </x:c>
    </x:row>
    <x:row r="44" ht="45" customHeight="1">
      <x:c r="A44" s="6" t="str">
        <x:v>F38</x:v>
      </x:c>
      <x:c r="B44" s="6" t="n">
        <x:v>13</x:v>
      </x:c>
      <x:c r="C44" s="6" t="str">
        <x:v>Capelin</x:v>
      </x:c>
      <x:c r="D44" s="6" t="n">
        <x:v>9</x:v>
      </x:c>
      <x:c r="E44" s="6" t="str">
        <x:v>Squid III</x:v>
      </x:c>
      <x:c r="F44" s="6" t="str">
        <x:v>0,0114</x:v>
      </x:c>
      <x:c r="G44" s="32" t="n">
        <x:v>0.0114</x:v>
      </x:c>
      <x:c r="H44" s="32" t="str">
        <x:v>n.a.</x:v>
      </x:c>
      <x:c r="I44" s="6" t="str">
        <x:v>tentative</x:v>
      </x:c>
      <x:c r="J44" s="6" t="str">
        <x:v>Capelin to squid III; close to several right-side diagonals. (982,886)</x:v>
      </x:c>
    </x:row>
    <x:row r="45" ht="45" customHeight="1">
      <x:c r="A45" s="6" t="str">
        <x:v>F39</x:v>
      </x:c>
      <x:c r="B45" s="6" t="n">
        <x:v>14</x:v>
      </x:c>
      <x:c r="C45" s="6" t="str">
        <x:v>Jellyfish</x:v>
      </x:c>
      <x:c r="D45" s="6" t="n">
        <x:v>9</x:v>
      </x:c>
      <x:c r="E45" s="6" t="str">
        <x:v>Squid III</x:v>
      </x:c>
      <x:c r="F45" s="6" t="str">
        <x:v>0,00001</x:v>
      </x:c>
      <x:c r="G45" s="32" t="n">
        <x:v>0.00001</x:v>
      </x:c>
      <x:c r="H45" s="32" t="str">
        <x:v>n.a.</x:v>
      </x:c>
      <x:c r="I45" s="6" t="str">
        <x:v>tentative</x:v>
      </x:c>
      <x:c r="J45" s="6" t="str">
        <x:v>Jellyfish to squid III. (1076,880)</x:v>
      </x:c>
    </x:row>
    <x:row r="46" ht="45" customHeight="1">
      <x:c r="A46" s="30" t="str">
        <x:v>F40</x:v>
      </x:c>
      <x:c r="B46" s="30" t="n">
        <x:v>6</x:v>
      </x:c>
      <x:c r="C46" s="30" t="str">
        <x:v>Hyperiids</x:v>
      </x:c>
      <x:c r="D46" s="30" t="n">
        <x:v>10</x:v>
      </x:c>
      <x:c r="E46" s="30" t="str">
        <x:v>Herring</x:v>
      </x:c>
      <x:c r="F46" s="30" t="str">
        <x:v>0,156</x:v>
      </x:c>
      <x:c r="G46" s="31" t="n">
        <x:v>0.156</x:v>
      </x:c>
      <x:c r="H46" s="31" t="str">
        <x:v>n.a.</x:v>
      </x:c>
      <x:c r="I46" s="30" t="str">
        <x:v>clear</x:v>
      </x:c>
      <x:c r="J46" s="30" t="str">
        <x:v>Left hyperiid vertical into herring. (118,865)</x:v>
      </x:c>
    </x:row>
    <x:row r="47" ht="45" customHeight="1">
      <x:c r="A47" s="6" t="str">
        <x:v>F41</x:v>
      </x:c>
      <x:c r="B47" s="6" t="n">
        <x:v>10</x:v>
      </x:c>
      <x:c r="C47" s="6" t="str">
        <x:v>Herring</x:v>
      </x:c>
      <x:c r="D47" s="6" t="n">
        <x:v>15</x:v>
      </x:c>
      <x:c r="E47" s="6" t="str">
        <x:v>Pollock 30-60 cm</x:v>
      </x:c>
      <x:c r="F47" s="6" t="str">
        <x:v>0,685</x:v>
      </x:c>
      <x:c r="G47" s="32" t="n">
        <x:v>0.685</x:v>
      </x:c>
      <x:c r="H47" s="32" t="str">
        <x:v>n.a.</x:v>
      </x:c>
      <x:c r="I47" s="6" t="str">
        <x:v>tentative</x:v>
      </x:c>
      <x:c r="J47" s="6" t="str">
        <x:v>Left lower overlap; adopted medium-pollock endpoint. May duplicate F42 route. (177,976)</x:v>
      </x:c>
    </x:row>
    <x:row r="48" ht="45" customHeight="1">
      <x:c r="A48" s="6" t="str">
        <x:v>F42</x:v>
      </x:c>
      <x:c r="B48" s="6" t="n">
        <x:v>10</x:v>
      </x:c>
      <x:c r="C48" s="6" t="str">
        <x:v>Herring</x:v>
      </x:c>
      <x:c r="D48" s="6" t="n">
        <x:v>15</x:v>
      </x:c>
      <x:c r="E48" s="6" t="str">
        <x:v>Pollock 30-60 cm</x:v>
      </x:c>
      <x:c r="F48" s="6" t="str">
        <x:v>0,139</x:v>
      </x:c>
      <x:c r="G48" s="32" t="n">
        <x:v>0.139</x:v>
      </x:c>
      <x:c r="H48" s="32" t="str">
        <x:v>n.a.</x:v>
      </x:c>
      <x:c r="I48" s="6" t="str">
        <x:v>tentative</x:v>
      </x:c>
      <x:c r="J48" s="6" t="str">
        <x:v>Near-vertical herring to medium pollock. F41/F42 pairing unresolved. (167,1028)</x:v>
      </x:c>
    </x:row>
    <x:row r="49" ht="45" customHeight="1">
      <x:c r="A49" s="30" t="str">
        <x:v>F43</x:v>
      </x:c>
      <x:c r="B49" s="30" t="n">
        <x:v>6</x:v>
      </x:c>
      <x:c r="C49" s="30" t="str">
        <x:v>Hyperiids</x:v>
      </x:c>
      <x:c r="D49" s="30" t="n">
        <x:v>15</x:v>
      </x:c>
      <x:c r="E49" s="30" t="str">
        <x:v>Pollock 30-60 cm</x:v>
      </x:c>
      <x:c r="F49" s="30" t="str">
        <x:v>0,0138</x:v>
      </x:c>
      <x:c r="G49" s="31" t="n">
        <x:v>0.0138</x:v>
      </x:c>
      <x:c r="H49" s="31" t="str">
        <x:v>n.a.</x:v>
      </x:c>
      <x:c r="I49" s="30" t="str">
        <x:v>clear</x:v>
      </x:c>
      <x:c r="J49" s="30" t="str">
        <x:v>Outer-left hyperiid curve into medium pollock. (112,1112)</x:v>
      </x:c>
    </x:row>
    <x:row r="50" ht="45" customHeight="1">
      <x:c r="A50" s="30" t="str">
        <x:v>F44</x:v>
      </x:c>
      <x:c r="B50" s="30" t="n">
        <x:v>11</x:v>
      </x:c>
      <x:c r="C50" s="30" t="str">
        <x:v>Deep-sea smelt</x:v>
      </x:c>
      <x:c r="D50" s="30" t="n">
        <x:v>15</x:v>
      </x:c>
      <x:c r="E50" s="30" t="str">
        <x:v>Pollock 30-60 cm</x:v>
      </x:c>
      <x:c r="F50" s="30" t="str">
        <x:v>0,114</x:v>
      </x:c>
      <x:c r="G50" s="31" t="n">
        <x:v>0.114</x:v>
      </x:c>
      <x:c r="H50" s="31" t="str">
        <x:v>n.a.</x:v>
      </x:c>
      <x:c r="I50" s="30" t="str">
        <x:v>clear</x:v>
      </x:c>
      <x:c r="J50" s="30" t="str">
        <x:v>Smelt vertical/curved arrow into medium pollock. (294,1013)</x:v>
      </x:c>
    </x:row>
    <x:row r="51" ht="45" customHeight="1">
      <x:c r="A51" s="30" t="str">
        <x:v>F45</x:v>
      </x:c>
      <x:c r="B51" s="30" t="n">
        <x:v>7</x:v>
      </x:c>
      <x:c r="C51" s="30" t="str">
        <x:v>Chaetognaths</x:v>
      </x:c>
      <x:c r="D51" s="30" t="n">
        <x:v>15</x:v>
      </x:c>
      <x:c r="E51" s="30" t="str">
        <x:v>Pollock 30-60 cm</x:v>
      </x:c>
      <x:c r="F51" s="30" t="str">
        <x:v>0,0963</x:v>
      </x:c>
      <x:c r="G51" s="31" t="n">
        <x:v>0.0963</x:v>
      </x:c>
      <x:c r="H51" s="31" t="str">
        <x:v>n.a.</x:v>
      </x:c>
      <x:c r="I51" s="30" t="str">
        <x:v>clear</x:v>
      </x:c>
      <x:c r="J51" s="30" t="str">
        <x:v>Chaetognath descending curve into medium pollock. (434,997)</x:v>
      </x:c>
    </x:row>
    <x:row r="52" ht="45" customHeight="1">
      <x:c r="A52" s="30" t="str">
        <x:v>F46</x:v>
      </x:c>
      <x:c r="B52" s="30" t="n">
        <x:v>6</x:v>
      </x:c>
      <x:c r="C52" s="30" t="str">
        <x:v>Hyperiids</x:v>
      </x:c>
      <x:c r="D52" s="30" t="n">
        <x:v>13</x:v>
      </x:c>
      <x:c r="E52" s="30" t="str">
        <x:v>Capelin</x:v>
      </x:c>
      <x:c r="F52" s="30" t="str">
        <x:v>0,055</x:v>
      </x:c>
      <x:c r="G52" s="31" t="n">
        <x:v>0.055</x:v>
      </x:c>
      <x:c r="H52" s="31" t="str">
        <x:v>n.a.</x:v>
      </x:c>
      <x:c r="I52" s="30" t="str">
        <x:v>clear</x:v>
      </x:c>
      <x:c r="J52" s="30" t="str">
        <x:v>Lower hyperiid bow into capelin. (502,974)</x:v>
      </x:c>
    </x:row>
    <x:row r="53" ht="45" customHeight="1">
      <x:c r="A53" s="6" t="str">
        <x:v>F47</x:v>
      </x:c>
      <x:c r="B53" s="6" t="n">
        <x:v>6</x:v>
      </x:c>
      <x:c r="C53" s="6" t="str">
        <x:v>Hyperiids</x:v>
      </x:c>
      <x:c r="D53" s="6" t="n">
        <x:v>9</x:v>
      </x:c>
      <x:c r="E53" s="6" t="str">
        <x:v>Squid III</x:v>
      </x:c>
      <x:c r="F53" s="6" t="str">
        <x:v>0,021</x:v>
      </x:c>
      <x:c r="G53" s="32" t="n">
        <x:v>0.021</x:v>
      </x:c>
      <x:c r="H53" s="32" t="str">
        <x:v>n.a.</x:v>
      </x:c>
      <x:c r="I53" s="6" t="str">
        <x:v>tentative</x:v>
      </x:c>
      <x:c r="J53" s="6" t="str">
        <x:v>Lower long hyperiid bow; adopted squid III endpoint. Potential duplicate pair with F26. (651,1003)</x:v>
      </x:c>
    </x:row>
    <x:row r="54" ht="45" customHeight="1">
      <x:c r="A54" s="6" t="str">
        <x:v>F48</x:v>
      </x:c>
      <x:c r="B54" s="6" t="n">
        <x:v>6</x:v>
      </x:c>
      <x:c r="C54" s="6" t="str">
        <x:v>Hyperiids</x:v>
      </x:c>
      <x:c r="D54" s="6" t="n">
        <x:v>14</x:v>
      </x:c>
      <x:c r="E54" s="6" t="str">
        <x:v>Jellyfish</x:v>
      </x:c>
      <x:c r="F54" s="6" t="str">
        <x:v>0,046</x:v>
      </x:c>
      <x:c r="G54" s="32" t="n">
        <x:v>0.046</x:v>
      </x:c>
      <x:c r="H54" s="32" t="str">
        <x:v>n.a.</x:v>
      </x:c>
      <x:c r="I54" s="6" t="str">
        <x:v>tentative</x:v>
      </x:c>
      <x:c r="J54" s="6" t="str">
        <x:v>Long lower hyperiid bow to jellyfish. (751,1026)</x:v>
      </x:c>
    </x:row>
    <x:row r="55" ht="45" customHeight="1">
      <x:c r="A55" s="30" t="str">
        <x:v>F49</x:v>
      </x:c>
      <x:c r="B55" s="30" t="n">
        <x:v>12</x:v>
      </x:c>
      <x:c r="C55" s="30" t="str">
        <x:v>Pollock less than 30 cm</x:v>
      </x:c>
      <x:c r="D55" s="30" t="n">
        <x:v>18</x:v>
      </x:c>
      <x:c r="E55" s="30" t="str">
        <x:v>Baleen whales</x:v>
      </x:c>
      <x:c r="F55" s="30" t="str">
        <x:v>0,00001</x:v>
      </x:c>
      <x:c r="G55" s="31" t="n">
        <x:v>0.00001</x:v>
      </x:c>
      <x:c r="H55" s="31" t="str">
        <x:v>n.a.</x:v>
      </x:c>
      <x:c r="I55" s="30" t="str">
        <x:v>clear</x:v>
      </x:c>
      <x:c r="J55" s="30" t="str">
        <x:v>Small-pollock near-vertical curve into baleen whales. (495,1046)</x:v>
      </x:c>
    </x:row>
    <x:row r="56" ht="45" customHeight="1">
      <x:c r="A56" s="6" t="str">
        <x:v>F50</x:v>
      </x:c>
      <x:c r="B56" s="6" t="n">
        <x:v>11</x:v>
      </x:c>
      <x:c r="C56" s="6" t="str">
        <x:v>Deep-sea smelt</x:v>
      </x:c>
      <x:c r="D56" s="6" t="n">
        <x:v>14</x:v>
      </x:c>
      <x:c r="E56" s="6" t="str">
        <x:v>Jellyfish</x:v>
      </x:c>
      <x:c r="F56" s="6" t="str">
        <x:v>0,003</x:v>
      </x:c>
      <x:c r="G56" s="32" t="n">
        <x:v>0.003</x:v>
      </x:c>
      <x:c r="H56" s="32" t="str">
        <x:v>n.a.</x:v>
      </x:c>
      <x:c r="I56" s="6" t="str">
        <x:v>tentative</x:v>
      </x:c>
      <x:c r="J56" s="6" t="str">
        <x:v>Lower smelt bow; adopted jellyfish endpoint. (612,1074)</x:v>
      </x:c>
    </x:row>
    <x:row r="57" ht="45" customHeight="1">
      <x:c r="A57" s="30" t="str">
        <x:v>F51</x:v>
      </x:c>
      <x:c r="B57" s="30" t="n">
        <x:v>6</x:v>
      </x:c>
      <x:c r="C57" s="30" t="str">
        <x:v>Hyperiids</x:v>
      </x:c>
      <x:c r="D57" s="30" t="n">
        <x:v>16</x:v>
      </x:c>
      <x:c r="E57" s="30" t="str">
        <x:v>Squid IV</x:v>
      </x:c>
      <x:c r="F57" s="30" t="str">
        <x:v>0,114</x:v>
      </x:c>
      <x:c r="G57" s="31" t="n">
        <x:v>0.114</x:v>
      </x:c>
      <x:c r="H57" s="31" t="str">
        <x:v>n.a.</x:v>
      </x:c>
      <x:c r="I57" s="30" t="str">
        <x:v>clear</x:v>
      </x:c>
      <x:c r="J57" s="30" t="str">
        <x:v>Hyperiid bow to squid IV. (455,1069)</x:v>
      </x:c>
    </x:row>
    <x:row r="58" ht="45" customHeight="1">
      <x:c r="A58" s="6" t="str">
        <x:v>F52</x:v>
      </x:c>
      <x:c r="B58" s="6" t="n">
        <x:v>13</x:v>
      </x:c>
      <x:c r="C58" s="6" t="str">
        <x:v>Capelin</x:v>
      </x:c>
      <x:c r="D58" s="6" t="n">
        <x:v>15</x:v>
      </x:c>
      <x:c r="E58" s="6" t="str">
        <x:v>Pollock 30-60 cm</x:v>
      </x:c>
      <x:c r="F58" s="6" t="str">
        <x:v>0,57</x:v>
      </x:c>
      <x:c r="G58" s="32" t="n">
        <x:v>0.57</x:v>
      </x:c>
      <x:c r="H58" s="32" t="str">
        <x:v>n.a.</x:v>
      </x:c>
      <x:c r="I58" s="6" t="str">
        <x:v>tentative</x:v>
      </x:c>
      <x:c r="J58" s="6" t="str">
        <x:v>Capelin diagonal/bow into medium pollock. Printed 0.57 preserved; no decimal repair. (652,1090)</x:v>
      </x:c>
    </x:row>
    <x:row r="59" ht="45" customHeight="1">
      <x:c r="A59" s="30" t="str">
        <x:v>F53</x:v>
      </x:c>
      <x:c r="B59" s="30" t="n">
        <x:v>13</x:v>
      </x:c>
      <x:c r="C59" s="30" t="str">
        <x:v>Capelin</x:v>
      </x:c>
      <x:c r="D59" s="30" t="n">
        <x:v>16</x:v>
      </x:c>
      <x:c r="E59" s="30" t="str">
        <x:v>Squid IV</x:v>
      </x:c>
      <x:c r="F59" s="30" t="str">
        <x:v>0,114</x:v>
      </x:c>
      <x:c r="G59" s="31" t="n">
        <x:v>0.114</x:v>
      </x:c>
      <x:c r="H59" s="31" t="str">
        <x:v>n.a.</x:v>
      </x:c>
      <x:c r="I59" s="30" t="str">
        <x:v>clear</x:v>
      </x:c>
      <x:c r="J59" s="30" t="str">
        <x:v>Capelin bow into squid IV. (869,1062)</x:v>
      </x:c>
    </x:row>
    <x:row r="60" ht="45" customHeight="1">
      <x:c r="A60" s="30" t="str">
        <x:v>F54</x:v>
      </x:c>
      <x:c r="B60" s="30" t="n">
        <x:v>13</x:v>
      </x:c>
      <x:c r="C60" s="30" t="str">
        <x:v>Capelin</x:v>
      </x:c>
      <x:c r="D60" s="30" t="n">
        <x:v>17</x:v>
      </x:c>
      <x:c r="E60" s="30" t="str">
        <x:v>Predatory salmon</x:v>
      </x:c>
      <x:c r="F60" s="30" t="str">
        <x:v>0,001</x:v>
      </x:c>
      <x:c r="G60" s="31" t="n">
        <x:v>0.001</x:v>
      </x:c>
      <x:c r="H60" s="31" t="str">
        <x:v>n.a.</x:v>
      </x:c>
      <x:c r="I60" s="30" t="str">
        <x:v>clear</x:v>
      </x:c>
      <x:c r="J60" s="30" t="str">
        <x:v>Capelin descending arrow into predatory salmon. (957,1044)</x:v>
      </x:c>
    </x:row>
    <x:row r="61" ht="45" customHeight="1">
      <x:c r="A61" s="30" t="str">
        <x:v>F55</x:v>
      </x:c>
      <x:c r="B61" s="30" t="n">
        <x:v>14</x:v>
      </x:c>
      <x:c r="C61" s="30" t="str">
        <x:v>Jellyfish</x:v>
      </x:c>
      <x:c r="D61" s="30" t="n">
        <x:v>17</x:v>
      </x:c>
      <x:c r="E61" s="30" t="str">
        <x:v>Predatory salmon</x:v>
      </x:c>
      <x:c r="F61" s="30" t="str">
        <x:v>0,0006</x:v>
      </x:c>
      <x:c r="G61" s="31" t="n">
        <x:v>0.0006</x:v>
      </x:c>
      <x:c r="H61" s="31" t="str">
        <x:v>n.a.</x:v>
      </x:c>
      <x:c r="I61" s="30" t="str">
        <x:v>clear</x:v>
      </x:c>
      <x:c r="J61" s="30" t="str">
        <x:v>Jellyfish descending arrow into predatory salmon. (1124,966)</x:v>
      </x:c>
    </x:row>
    <x:row r="62" ht="45" customHeight="1">
      <x:c r="A62" s="6" t="str">
        <x:v>F56</x:v>
      </x:c>
      <x:c r="B62" s="6" t="n">
        <x:v>9</x:v>
      </x:c>
      <x:c r="C62" s="6" t="str">
        <x:v>Squid III</x:v>
      </x:c>
      <x:c r="D62" s="6" t="n">
        <x:v>17</x:v>
      </x:c>
      <x:c r="E62" s="6" t="str">
        <x:v>Predatory salmon</x:v>
      </x:c>
      <x:c r="F62" s="6" t="str">
        <x:v>0,0122</x:v>
      </x:c>
      <x:c r="G62" s="32" t="n">
        <x:v>0.0122</x:v>
      </x:c>
      <x:c r="H62" s="32" t="str">
        <x:v>n.a.</x:v>
      </x:c>
      <x:c r="I62" s="6" t="str">
        <x:v>tentative</x:v>
      </x:c>
      <x:c r="J62" s="6" t="str">
        <x:v>Outer squid III curve into predatory salmon. (1205,1080)</x:v>
      </x:c>
    </x:row>
    <x:row r="63" ht="45" customHeight="1">
      <x:c r="A63" s="6" t="str">
        <x:v>F57</x:v>
      </x:c>
      <x:c r="B63" s="6" t="n">
        <x:v>13</x:v>
      </x:c>
      <x:c r="C63" s="6" t="str">
        <x:v>Capelin</x:v>
      </x:c>
      <x:c r="D63" s="6" t="n">
        <x:v>15</x:v>
      </x:c>
      <x:c r="E63" s="6" t="str">
        <x:v>Pollock 30-60 cm</x:v>
      </x:c>
      <x:c r="F63" s="6" t="str">
        <x:v>0,024</x:v>
      </x:c>
      <x:c r="G63" s="32" t="n">
        <x:v>0.024</x:v>
      </x:c>
      <x:c r="H63" s="32" t="str">
        <x:v>n.a.</x:v>
      </x:c>
      <x:c r="I63" s="6" t="str">
        <x:v>tentative</x:v>
      </x:c>
      <x:c r="J63" s="6" t="str">
        <x:v>Long capelin bow into medium pollock; possible duplicate with F52. (447,1124)</x:v>
      </x:c>
    </x:row>
    <x:row r="64" ht="45" customHeight="1">
      <x:c r="A64" s="6" t="str">
        <x:v>F58</x:v>
      </x:c>
      <x:c r="B64" s="6" t="n">
        <x:v>11</x:v>
      </x:c>
      <x:c r="C64" s="6" t="str">
        <x:v>Deep-sea smelt</x:v>
      </x:c>
      <x:c r="D64" s="6" t="n">
        <x:v>17</x:v>
      </x:c>
      <x:c r="E64" s="6" t="str">
        <x:v>Predatory salmon</x:v>
      </x:c>
      <x:c r="F64" s="6" t="str">
        <x:v>0,006</x:v>
      </x:c>
      <x:c r="G64" s="32" t="n">
        <x:v>0.006</x:v>
      </x:c>
      <x:c r="H64" s="32" t="str">
        <x:v>n.a.</x:v>
      </x:c>
      <x:c r="I64" s="6" t="str">
        <x:v>tentative</x:v>
      </x:c>
      <x:c r="J64" s="6" t="str">
        <x:v>Lower red bow into predatory salmon; smelt origin requires review. (604,1180)</x:v>
      </x:c>
    </x:row>
    <x:row r="65" ht="45" customHeight="1">
      <x:c r="A65" s="6" t="str">
        <x:v>F59</x:v>
      </x:c>
      <x:c r="B65" s="6" t="n">
        <x:v>12</x:v>
      </x:c>
      <x:c r="C65" s="6" t="str">
        <x:v>Pollock less than 30 cm</x:v>
      </x:c>
      <x:c r="D65" s="6" t="n">
        <x:v>17</x:v>
      </x:c>
      <x:c r="E65" s="6" t="str">
        <x:v>Predatory salmon</x:v>
      </x:c>
      <x:c r="F65" s="6" t="str">
        <x:v>0,0005</x:v>
      </x:c>
      <x:c r="G65" s="32" t="n">
        <x:v>0.0005</x:v>
      </x:c>
      <x:c r="H65" s="32" t="str">
        <x:v>n.a.</x:v>
      </x:c>
      <x:c r="I65" s="6" t="str">
        <x:v>tentative</x:v>
      </x:c>
      <x:c r="J65" s="6" t="str">
        <x:v>Ascending lower red curve into predatory salmon; small-pollock origin requires review. (883,1214)</x:v>
      </x:c>
    </x:row>
    <x:row r="66" ht="45" customHeight="1">
      <x:c r="A66" s="6" t="str">
        <x:v>F60</x:v>
      </x:c>
      <x:c r="B66" s="6" t="n">
        <x:v>10</x:v>
      </x:c>
      <x:c r="C66" s="6" t="str">
        <x:v>Herring</x:v>
      </x:c>
      <x:c r="D66" s="6" t="n">
        <x:v>19</x:v>
      </x:c>
      <x:c r="E66" s="6" t="str">
        <x:v>Pollock greater than 60 cm</x:v>
      </x:c>
      <x:c r="F66" s="6" t="str">
        <x:v>0,00014</x:v>
      </x:c>
      <x:c r="G66" s="32" t="n">
        <x:v>0.00014</x:v>
      </x:c>
      <x:c r="H66" s="32" t="str">
        <x:v>n.a.</x:v>
      </x:c>
      <x:c r="I66" s="6" t="str">
        <x:v>tentative</x:v>
      </x:c>
      <x:c r="J66" s="6" t="str">
        <x:v>Herring descending outer-left red curve into large pollock. (186,1219)</x:v>
      </x:c>
    </x:row>
    <x:row r="67" ht="45" customHeight="1">
      <x:c r="A67" s="6" t="str">
        <x:v>F61</x:v>
      </x:c>
      <x:c r="B67" s="6" t="n">
        <x:v>11</x:v>
      </x:c>
      <x:c r="C67" s="6" t="str">
        <x:v>Deep-sea smelt</x:v>
      </x:c>
      <x:c r="D67" s="6" t="n">
        <x:v>18</x:v>
      </x:c>
      <x:c r="E67" s="6" t="str">
        <x:v>Baleen whales</x:v>
      </x:c>
      <x:c r="F67" s="6" t="str">
        <x:v>0,00014</x:v>
      </x:c>
      <x:c r="G67" s="32" t="n">
        <x:v>0.00014</x:v>
      </x:c>
      <x:c r="H67" s="32" t="str">
        <x:v>n.a.</x:v>
      </x:c>
      <x:c r="I67" s="6" t="str">
        <x:v>tentative</x:v>
      </x:c>
      <x:c r="J67" s="6" t="str">
        <x:v>Smelt lower bow; adopted baleen-whale endpoint. (416,1247)</x:v>
      </x:c>
    </x:row>
    <x:row r="68" ht="45" customHeight="1">
      <x:c r="A68" s="33" t="str">
        <x:v>F62</x:v>
      </x:c>
      <x:c r="B68" s="33" t="n">
        <x:v>10</x:v>
      </x:c>
      <x:c r="C68" s="33" t="str">
        <x:v>Herring</x:v>
      </x:c>
      <x:c r="D68" s="33" t="n">
        <x:v>18</x:v>
      </x:c>
      <x:c r="E68" s="33" t="str">
        <x:v>Baleen whales</x:v>
      </x:c>
      <x:c r="F68" s="33" t="str">
        <x:v>0,02[overprinted]</x:v>
      </x:c>
      <x:c r="G68" s="34" t="str">
        <x:v>n.a.</x:v>
      </x:c>
      <x:c r="H68" s="34" t="n">
        <x:v>0.023</x:v>
      </x:c>
      <x:c r="I68" s="33" t="str">
        <x:v>overprinted</x:v>
      </x:c>
      <x:c r="J68" s="33" t="str">
        <x:v>Literal begins 0.02; final digit overlaps 0.057/green curve. 0.023 is only an illustrative reading. (245,1294)</x:v>
      </x:c>
    </x:row>
    <x:row r="69" ht="45" customHeight="1">
      <x:c r="A69" s="6" t="str">
        <x:v>F63</x:v>
      </x:c>
      <x:c r="B69" s="6" t="n">
        <x:v>6</x:v>
      </x:c>
      <x:c r="C69" s="6" t="str">
        <x:v>Hyperiids</x:v>
      </x:c>
      <x:c r="D69" s="6" t="n">
        <x:v>20</x:v>
      </x:c>
      <x:c r="E69" s="6" t="str">
        <x:v>Predatory fish</x:v>
      </x:c>
      <x:c r="F69" s="6" t="str">
        <x:v>0,057</x:v>
      </x:c>
      <x:c r="G69" s="32" t="n">
        <x:v>0.057</x:v>
      </x:c>
      <x:c r="H69" s="32" t="str">
        <x:v>n.a.</x:v>
      </x:c>
      <x:c r="I69" s="6" t="str">
        <x:v>tentative</x:v>
      </x:c>
      <x:c r="J69" s="6" t="str">
        <x:v>Hyperiid lower diagonal toward predatory fish. (291,1281)</x:v>
      </x:c>
    </x:row>
    <x:row r="70" ht="45" customHeight="1">
      <x:c r="A70" s="6" t="str">
        <x:v>F64</x:v>
      </x:c>
      <x:c r="B70" s="6" t="n">
        <x:v>19</x:v>
      </x:c>
      <x:c r="C70" s="6" t="str">
        <x:v>Pollock greater than 60 cm</x:v>
      </x:c>
      <x:c r="D70" s="6" t="n">
        <x:v>17</x:v>
      </x:c>
      <x:c r="E70" s="6" t="str">
        <x:v>Predatory salmon</x:v>
      </x:c>
      <x:c r="F70" s="6" t="str">
        <x:v>0,057</x:v>
      </x:c>
      <x:c r="G70" s="32" t="n">
        <x:v>0.057</x:v>
      </x:c>
      <x:c r="H70" s="32" t="str">
        <x:v>n.a.</x:v>
      </x:c>
      <x:c r="I70" s="6" t="str">
        <x:v>tentative</x:v>
      </x:c>
      <x:c r="J70" s="6" t="str">
        <x:v>Ascending lower curve into predatory salmon; large-pollock origin requires review. (773,1318)</x:v>
      </x:c>
    </x:row>
    <x:row r="71" ht="45" customHeight="1">
      <x:c r="A71" s="6" t="str">
        <x:v>F65</x:v>
      </x:c>
      <x:c r="B71" s="6" t="n">
        <x:v>13</x:v>
      </x:c>
      <x:c r="C71" s="6" t="str">
        <x:v>Capelin</x:v>
      </x:c>
      <x:c r="D71" s="6" t="n">
        <x:v>20</x:v>
      </x:c>
      <x:c r="E71" s="6" t="str">
        <x:v>Predatory fish</x:v>
      </x:c>
      <x:c r="F71" s="6" t="str">
        <x:v>0,057</x:v>
      </x:c>
      <x:c r="G71" s="32" t="n">
        <x:v>0.057</x:v>
      </x:c>
      <x:c r="H71" s="32" t="str">
        <x:v>n.a.</x:v>
      </x:c>
      <x:c r="I71" s="6" t="str">
        <x:v>tentative</x:v>
      </x:c>
      <x:c r="J71" s="6" t="str">
        <x:v>Capelin near-vertical lower curve into predatory fish. (1047,1263)</x:v>
      </x:c>
    </x:row>
    <x:row r="72" ht="45" customHeight="1">
      <x:c r="A72" s="6" t="str">
        <x:v>F66</x:v>
      </x:c>
      <x:c r="B72" s="6" t="n">
        <x:v>9</x:v>
      </x:c>
      <x:c r="C72" s="6" t="str">
        <x:v>Squid III</x:v>
      </x:c>
      <x:c r="D72" s="6" t="n">
        <x:v>16</x:v>
      </x:c>
      <x:c r="E72" s="6" t="str">
        <x:v>Squid IV</x:v>
      </x:c>
      <x:c r="F72" s="6" t="str">
        <x:v>0,588</x:v>
      </x:c>
      <x:c r="G72" s="32" t="n">
        <x:v>0.588</x:v>
      </x:c>
      <x:c r="H72" s="32" t="str">
        <x:v>n.a.</x:v>
      </x:c>
      <x:c r="I72" s="6" t="str">
        <x:v>tentative</x:v>
      </x:c>
      <x:c r="J72" s="6" t="str">
        <x:v>Outer red curve returning to squid IV; source squid III requires review. (1157,1228)</x:v>
      </x:c>
    </x:row>
    <x:row r="73" ht="45" customHeight="1">
      <x:c r="A73" s="33" t="str">
        <x:v>F67</x:v>
      </x:c>
      <x:c r="B73" s="33" t="n">
        <x:v>9</x:v>
      </x:c>
      <x:c r="C73" s="33" t="str">
        <x:v>Squid III</x:v>
      </x:c>
      <x:c r="D73" s="33" t="n">
        <x:v>18</x:v>
      </x:c>
      <x:c r="E73" s="33" t="str">
        <x:v>Baleen whales</x:v>
      </x:c>
      <x:c r="F73" s="33" t="str">
        <x:v>0,05[overprinted]</x:v>
      </x:c>
      <x:c r="G73" s="34" t="str">
        <x:v>n.a.</x:v>
      </x:c>
      <x:c r="H73" s="34" t="n">
        <x:v>0.05</x:v>
      </x:c>
      <x:c r="I73" s="33" t="str">
        <x:v>overprinted</x:v>
      </x:c>
      <x:c r="J73" s="33" t="str">
        <x:v>Left label overlaps adjacent 0.0122; 0.05 is only an illustrative reading; endpoint also tentative. (1196,1195)</x:v>
      </x:c>
    </x:row>
    <x:row r="74" ht="45" customHeight="1">
      <x:c r="A74" s="6" t="str">
        <x:v>F68</x:v>
      </x:c>
      <x:c r="B74" s="6" t="n">
        <x:v>8</x:v>
      </x:c>
      <x:c r="C74" s="6" t="str">
        <x:v>Salmon</x:v>
      </x:c>
      <x:c r="D74" s="6" t="n">
        <x:v>21</x:v>
      </x:c>
      <x:c r="E74" s="6" t="str">
        <x:v>Predatory mammals</x:v>
      </x:c>
      <x:c r="F74" s="6" t="str">
        <x:v>0,0122</x:v>
      </x:c>
      <x:c r="G74" s="32" t="n">
        <x:v>0.0122</x:v>
      </x:c>
      <x:c r="H74" s="32" t="str">
        <x:v>n.a.</x:v>
      </x:c>
      <x:c r="I74" s="6" t="str">
        <x:v>tentative</x:v>
      </x:c>
      <x:c r="J74" s="6" t="str">
        <x:v>Rightmost lower red curve into predatory mammals; adopted salmon origin. (1235,1204)</x:v>
      </x:c>
    </x:row>
    <x:row r="75" ht="45" customHeight="1">
      <x:c r="A75" s="6" t="str">
        <x:v>F69</x:v>
      </x:c>
      <x:c r="B75" s="6" t="n">
        <x:v>12</x:v>
      </x:c>
      <x:c r="C75" s="6" t="str">
        <x:v>Pollock less than 30 cm</x:v>
      </x:c>
      <x:c r="D75" s="6" t="n">
        <x:v>19</x:v>
      </x:c>
      <x:c r="E75" s="6" t="str">
        <x:v>Pollock greater than 60 cm</x:v>
      </x:c>
      <x:c r="F75" s="6" t="str">
        <x:v>0,0122</x:v>
      </x:c>
      <x:c r="G75" s="32" t="n">
        <x:v>0.0122</x:v>
      </x:c>
      <x:c r="H75" s="32" t="str">
        <x:v>n.a.</x:v>
      </x:c>
      <x:c r="I75" s="6" t="str">
        <x:v>tentative</x:v>
      </x:c>
      <x:c r="J75" s="6" t="str">
        <x:v>Lower returning arch to large pollock; small-pollock origin requires review. (987,1367)</x:v>
      </x:c>
    </x:row>
    <x:row r="76" ht="45" customHeight="1">
      <x:c r="A76" s="6" t="str">
        <x:v>F70</x:v>
      </x:c>
      <x:c r="B76" s="6" t="n">
        <x:v>9</x:v>
      </x:c>
      <x:c r="C76" s="6" t="str">
        <x:v>Squid III</x:v>
      </x:c>
      <x:c r="D76" s="6" t="n">
        <x:v>20</x:v>
      </x:c>
      <x:c r="E76" s="6" t="str">
        <x:v>Predatory fish</x:v>
      </x:c>
      <x:c r="F76" s="6" t="str">
        <x:v>0,042</x:v>
      </x:c>
      <x:c r="G76" s="32" t="n">
        <x:v>0.042</x:v>
      </x:c>
      <x:c r="H76" s="32" t="str">
        <x:v>n.a.</x:v>
      </x:c>
      <x:c r="I76" s="6" t="str">
        <x:v>tentative</x:v>
      </x:c>
      <x:c r="J76" s="6" t="str">
        <x:v>Outer squid III curve into predatory fish. (1007,1398)</x:v>
      </x:c>
    </x:row>
    <x:row r="77" ht="45" customHeight="1">
      <x:c r="A77" s="6" t="str">
        <x:v>F71</x:v>
      </x:c>
      <x:c r="B77" s="6" t="n">
        <x:v>10</x:v>
      </x:c>
      <x:c r="C77" s="6" t="str">
        <x:v>Herring</x:v>
      </x:c>
      <x:c r="D77" s="6" t="n">
        <x:v>20</x:v>
      </x:c>
      <x:c r="E77" s="6" t="str">
        <x:v>Predatory fish</x:v>
      </x:c>
      <x:c r="F77" s="6" t="str">
        <x:v>0,2</x:v>
      </x:c>
      <x:c r="G77" s="32" t="n">
        <x:v>0.2</x:v>
      </x:c>
      <x:c r="H77" s="32" t="str">
        <x:v>n.a.</x:v>
      </x:c>
      <x:c r="I77" s="6" t="str">
        <x:v>tentative</x:v>
      </x:c>
      <x:c r="J77" s="6" t="str">
        <x:v>Herring lower bow into predatory fish. (418,1409)</x:v>
      </x:c>
    </x:row>
    <x:row r="78" ht="45" customHeight="1">
      <x:c r="A78" s="6" t="str">
        <x:v>F72</x:v>
      </x:c>
      <x:c r="B78" s="6" t="n">
        <x:v>11</x:v>
      </x:c>
      <x:c r="C78" s="6" t="str">
        <x:v>Deep-sea smelt</x:v>
      </x:c>
      <x:c r="D78" s="6" t="n">
        <x:v>20</x:v>
      </x:c>
      <x:c r="E78" s="6" t="str">
        <x:v>Predatory fish</x:v>
      </x:c>
      <x:c r="F78" s="6" t="str">
        <x:v>0,0114</x:v>
      </x:c>
      <x:c r="G78" s="32" t="n">
        <x:v>0.0114</x:v>
      </x:c>
      <x:c r="H78" s="32" t="str">
        <x:v>n.a.</x:v>
      </x:c>
      <x:c r="I78" s="6" t="str">
        <x:v>tentative</x:v>
      </x:c>
      <x:c r="J78" s="6" t="str">
        <x:v>Smelt diagonal into predatory fish; close to green medium-pollock link. (474,1375)</x:v>
      </x:c>
    </x:row>
    <x:row r="79" ht="45" customHeight="1">
      <x:c r="A79" s="30" t="str">
        <x:v>F73</x:v>
      </x:c>
      <x:c r="B79" s="30" t="n">
        <x:v>15</x:v>
      </x:c>
      <x:c r="C79" s="30" t="str">
        <x:v>Pollock 30-60 cm</x:v>
      </x:c>
      <x:c r="D79" s="30" t="n">
        <x:v>19</x:v>
      </x:c>
      <x:c r="E79" s="30" t="str">
        <x:v>Pollock greater than 60 cm</x:v>
      </x:c>
      <x:c r="F79" s="30" t="str">
        <x:v>0,05</x:v>
      </x:c>
      <x:c r="G79" s="31" t="n">
        <x:v>0.05</x:v>
      </x:c>
      <x:c r="H79" s="31" t="str">
        <x:v>n.a.</x:v>
      </x:c>
      <x:c r="I79" s="30" t="str">
        <x:v>clear</x:v>
      </x:c>
      <x:c r="J79" s="30" t="str">
        <x:v>Green outer-left medium-to-large pollock arrow. (115,1268)</x:v>
      </x:c>
    </x:row>
    <x:row r="80" ht="45" customHeight="1">
      <x:c r="A80" s="30" t="str">
        <x:v>F74</x:v>
      </x:c>
      <x:c r="B80" s="30" t="n">
        <x:v>16</x:v>
      </x:c>
      <x:c r="C80" s="30" t="str">
        <x:v>Squid IV</x:v>
      </x:c>
      <x:c r="D80" s="30" t="n">
        <x:v>17</x:v>
      </x:c>
      <x:c r="E80" s="30" t="str">
        <x:v>Predatory salmon</x:v>
      </x:c>
      <x:c r="F80" s="30" t="str">
        <x:v>0,006</x:v>
      </x:c>
      <x:c r="G80" s="31" t="n">
        <x:v>0.006</x:v>
      </x:c>
      <x:c r="H80" s="31" t="str">
        <x:v>n.a.</x:v>
      </x:c>
      <x:c r="I80" s="30" t="str">
        <x:v>clear</x:v>
      </x:c>
      <x:c r="J80" s="30" t="str">
        <x:v>Green squid IV to predatory salmon. (835,1163)</x:v>
      </x:c>
    </x:row>
    <x:row r="81" ht="45" customHeight="1">
      <x:c r="A81" s="30" t="str">
        <x:v>F75</x:v>
      </x:c>
      <x:c r="B81" s="30" t="n">
        <x:v>16</x:v>
      </x:c>
      <x:c r="C81" s="30" t="str">
        <x:v>Squid IV</x:v>
      </x:c>
      <x:c r="D81" s="30" t="n">
        <x:v>20</x:v>
      </x:c>
      <x:c r="E81" s="30" t="str">
        <x:v>Predatory fish</x:v>
      </x:c>
      <x:c r="F81" s="30" t="str">
        <x:v>0,11</x:v>
      </x:c>
      <x:c r="G81" s="31" t="n">
        <x:v>0.11</x:v>
      </x:c>
      <x:c r="H81" s="31" t="str">
        <x:v>n.a.</x:v>
      </x:c>
      <x:c r="I81" s="30" t="str">
        <x:v>clear</x:v>
      </x:c>
      <x:c r="J81" s="30" t="str">
        <x:v>Green squid IV to predatory fish. (503,1305)</x:v>
      </x:c>
    </x:row>
    <x:row r="82" ht="45" customHeight="1">
      <x:c r="A82" s="30" t="str">
        <x:v>F76</x:v>
      </x:c>
      <x:c r="B82" s="30" t="n">
        <x:v>16</x:v>
      </x:c>
      <x:c r="C82" s="30" t="str">
        <x:v>Squid IV</x:v>
      </x:c>
      <x:c r="D82" s="30" t="n">
        <x:v>21</x:v>
      </x:c>
      <x:c r="E82" s="30" t="str">
        <x:v>Predatory mammals</x:v>
      </x:c>
      <x:c r="F82" s="30" t="str">
        <x:v>0,042</x:v>
      </x:c>
      <x:c r="G82" s="31" t="n">
        <x:v>0.042</x:v>
      </x:c>
      <x:c r="H82" s="31" t="str">
        <x:v>n.a.</x:v>
      </x:c>
      <x:c r="I82" s="30" t="str">
        <x:v>clear</x:v>
      </x:c>
      <x:c r="J82" s="30" t="str">
        <x:v>Green squid IV to predatory mammals. (868,1363)</x:v>
      </x:c>
    </x:row>
    <x:row r="83" ht="45" customHeight="1">
      <x:c r="A83" s="6" t="str">
        <x:v>F77</x:v>
      </x:c>
      <x:c r="B83" s="6" t="n">
        <x:v>19</x:v>
      </x:c>
      <x:c r="C83" s="6" t="str">
        <x:v>Pollock greater than 60 cm</x:v>
      </x:c>
      <x:c r="D83" s="6" t="n">
        <x:v>20</x:v>
      </x:c>
      <x:c r="E83" s="6" t="str">
        <x:v>Predatory fish</x:v>
      </x:c>
      <x:c r="F83" s="6" t="str">
        <x:v>0,01</x:v>
      </x:c>
      <x:c r="G83" s="32" t="n">
        <x:v>0.01</x:v>
      </x:c>
      <x:c r="H83" s="32" t="str">
        <x:v>n.a.</x:v>
      </x:c>
      <x:c r="I83" s="6" t="str">
        <x:v>tentative</x:v>
      </x:c>
      <x:c r="J83" s="6" t="str">
        <x:v>Green lower-left arc; adopted large-pollock to predatory-fish link, source attachment ambiguous. (348,1401)</x:v>
      </x:c>
    </x:row>
    <x:row r="84" ht="45" customHeight="1">
      <x:c r="A84" s="6" t="str">
        <x:v>F78</x:v>
      </x:c>
      <x:c r="B84" s="6" t="n">
        <x:v>15</x:v>
      </x:c>
      <x:c r="C84" s="6" t="str">
        <x:v>Pollock 30-60 cm</x:v>
      </x:c>
      <x:c r="D84" s="6" t="n">
        <x:v>21</x:v>
      </x:c>
      <x:c r="E84" s="6" t="str">
        <x:v>Predatory mammals</x:v>
      </x:c>
      <x:c r="F84" s="6" t="str">
        <x:v>0,05</x:v>
      </x:c>
      <x:c r="G84" s="32" t="n">
        <x:v>0.05</x:v>
      </x:c>
      <x:c r="H84" s="32" t="str">
        <x:v>n.a.</x:v>
      </x:c>
      <x:c r="I84" s="6" t="str">
        <x:v>tentative</x:v>
      </x:c>
      <x:c r="J84" s="6" t="str">
        <x:v>Long green medium-pollock curve; adopted predatory-mammal endpoint, crossing predatory-fish node. (552,1432)</x:v>
      </x:c>
    </x:row>
    <x:row r="85" ht="2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 ht="2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</x:sheetData>
  <x:mergeCells>
    <x:mergeCell ref="A1:J1"/>
    <x:mergeCell ref="A2:J3"/>
    <x:mergeCell ref="A4:J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6D72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31" hidden="0" customWidth="1"/>
    <x:col min="3" max="3" width="32" hidden="0" customWidth="1"/>
    <x:col min="4" max="4" width="12" hidden="0" customWidth="1"/>
    <x:col min="5" max="5" width="11" hidden="0" customWidth="1"/>
    <x:col min="6" max="6" width="18" hidden="0" customWidth="1"/>
    <x:col min="7" max="7" width="17" hidden="0" customWidth="1"/>
    <x:col min="8" max="8" width="12" hidden="0" customWidth="1"/>
    <x:col min="9" max="9" width="16" hidden="0" customWidth="1"/>
    <x:col min="10" max="10" width="15" hidden="0" customWidth="1"/>
    <x:col min="11" max="11" width="19" hidden="0" customWidth="1"/>
  </x:cols>
  <x:sheetData>
    <x:row r="1" ht="34" customHeight="1">
      <x:c r="A1" s="3" t="str">
        <x:v>Functional groups · production and stock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6" t="str">
        <x:v>IDs are local figure order. Table 3 pools bacteria/protozoa and includes groups absent from the figure. No stock allocation or additional arrows is invented.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5" customHeight="1">
      <x:c r="A4" s="1" t="str">
        <x:v>Source: same article, Table 3, printed p.154 / PDF p.12; Fig.9 p.157. https://izvestiya.tinro-center.ru/jour/article/download/497/467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60" customHeight="1">
      <x:c r="A6" s="19" t="str">
        <x:v>ID</x:v>
      </x:c>
      <x:c r="B6" s="19" t="str">
        <x:v>English group</x:v>
      </x:c>
      <x:c r="C6" s="19" t="str">
        <x:v>Russian figure name</x:v>
      </x:c>
      <x:c r="D6" s="19" t="str">
        <x:v>Type</x:v>
      </x:c>
      <x:c r="E6" s="19" t="str">
        <x:v>Source tier</x:v>
      </x:c>
      <x:c r="F6" s="19" t="str">
        <x:v>Figure P, million tC/year</x:v>
      </x:c>
      <x:c r="G6" s="19" t="str">
        <x:v>Table B wet, million t</x:v>
      </x:c>
      <x:c r="H6" s="19" t="str">
        <x:v>Wet/C factor</x:v>
      </x:c>
      <x:c r="I6" s="19" t="str">
        <x:v>Table B C, million t</x:v>
      </x:c>
      <x:c r="J6" s="19" t="str">
        <x:v>Table P/B, /year</x:v>
      </x:c>
      <x:c r="K6" s="19" t="str">
        <x:v>Table P C, million t/year</x:v>
      </x:c>
    </x:row>
    <x:row r="7" ht="30" customHeight="1">
      <x:c r="A7" s="29" t="n">
        <x:v>1</x:v>
      </x:c>
      <x:c r="B7" s="29" t="str">
        <x:v>Phytoplankton</x:v>
      </x:c>
      <x:c r="C7" s="29" t="str">
        <x:v>Фитопланктон</x:v>
      </x:c>
      <x:c r="D7" s="29" t="str">
        <x:v>producer</x:v>
      </x:c>
      <x:c r="E7" s="29" t="str">
        <x:v>I</x:v>
      </x:c>
      <x:c r="F7" s="35" t="n">
        <x:v>694.8</x:v>
      </x:c>
      <x:c r="G7" s="35" t="n">
        <x:v>63.2</x:v>
      </x:c>
      <x:c r="H7" s="35" t="n">
        <x:v>20</x:v>
      </x:c>
      <x:c r="I7" s="35" t="n">
        <x:v>3.2</x:v>
      </x:c>
      <x:c r="J7" s="35" t="n">
        <x:v>220</x:v>
      </x:c>
      <x:c r="K7" s="35" t="n">
        <x:v>694.8</x:v>
      </x:c>
    </x:row>
    <x:row r="8" ht="30" customHeight="1">
      <x:c r="A8" s="29" t="n">
        <x:v>2</x:v>
      </x:c>
      <x:c r="B8" s="29" t="str">
        <x:v>Bacteria</x:v>
      </x:c>
      <x:c r="C8" s="29" t="str">
        <x:v>Бактерии</x:v>
      </x:c>
      <x:c r="D8" s="29" t="str">
        <x:v>consumer</x:v>
      </x:c>
      <x:c r="E8" s="29" t="str">
        <x:v>I</x:v>
      </x:c>
      <x:c r="F8" s="35" t="n">
        <x:v>101.1</x:v>
      </x:c>
      <x:c r="G8" s="35" t="str">
        <x:v>n.a.</x:v>
      </x:c>
      <x:c r="H8" s="35" t="str">
        <x:v>n.a.</x:v>
      </x:c>
      <x:c r="I8" s="35" t="str">
        <x:v>n.a.</x:v>
      </x:c>
      <x:c r="J8" s="35" t="str">
        <x:v>n.a.</x:v>
      </x:c>
      <x:c r="K8" s="35" t="str">
        <x:v>n.a.</x:v>
      </x:c>
    </x:row>
    <x:row r="9" ht="30" customHeight="1">
      <x:c r="A9" s="29" t="n">
        <x:v>3</x:v>
      </x:c>
      <x:c r="B9" s="29" t="str">
        <x:v>Protozoa</x:v>
      </x:c>
      <x:c r="C9" s="29" t="str">
        <x:v>Простейшие</x:v>
      </x:c>
      <x:c r="D9" s="29" t="str">
        <x:v>consumer</x:v>
      </x:c>
      <x:c r="E9" s="29" t="str">
        <x:v>I</x:v>
      </x:c>
      <x:c r="F9" s="35" t="n">
        <x:v>35.1</x:v>
      </x:c>
      <x:c r="G9" s="35" t="str">
        <x:v>n.a.</x:v>
      </x:c>
      <x:c r="H9" s="35" t="str">
        <x:v>n.a.</x:v>
      </x:c>
      <x:c r="I9" s="35" t="str">
        <x:v>n.a.</x:v>
      </x:c>
      <x:c r="J9" s="35" t="str">
        <x:v>n.a.</x:v>
      </x:c>
      <x:c r="K9" s="35" t="str">
        <x:v>n.a.</x:v>
      </x:c>
    </x:row>
    <x:row r="10" ht="30" customHeight="1">
      <x:c r="A10" s="29" t="n">
        <x:v>4</x:v>
      </x:c>
      <x:c r="B10" s="29" t="str">
        <x:v>Copepods</x:v>
      </x:c>
      <x:c r="C10" s="29" t="str">
        <x:v>Копеподы</x:v>
      </x:c>
      <x:c r="D10" s="29" t="str">
        <x:v>consumer</x:v>
      </x:c>
      <x:c r="E10" s="29" t="str">
        <x:v>II</x:v>
      </x:c>
      <x:c r="F10" s="35" t="n">
        <x:v>117.2</x:v>
      </x:c>
      <x:c r="G10" s="35" t="n">
        <x:v>108.3</x:v>
      </x:c>
      <x:c r="H10" s="35" t="n">
        <x:v>14</x:v>
      </x:c>
      <x:c r="I10" s="35" t="n">
        <x:v>7.7</x:v>
      </x:c>
      <x:c r="J10" s="35" t="n">
        <x:v>15.2</x:v>
      </x:c>
      <x:c r="K10" s="35" t="n">
        <x:v>117.2</x:v>
      </x:c>
    </x:row>
    <x:row r="11" ht="30" customHeight="1">
      <x:c r="A11" s="29" t="n">
        <x:v>5</x:v>
      </x:c>
      <x:c r="B11" s="29" t="str">
        <x:v>Euphausiids</x:v>
      </x:c>
      <x:c r="C11" s="29" t="str">
        <x:v>Эвфаузииды</x:v>
      </x:c>
      <x:c r="D11" s="29" t="str">
        <x:v>consumer</x:v>
      </x:c>
      <x:c r="E11" s="29" t="str">
        <x:v>II</x:v>
      </x:c>
      <x:c r="F11" s="35" t="n">
        <x:v>56.1</x:v>
      </x:c>
      <x:c r="G11" s="35" t="n">
        <x:v>58.7</x:v>
      </x:c>
      <x:c r="H11" s="35" t="n">
        <x:v>10.6</x:v>
      </x:c>
      <x:c r="I11" s="35" t="n">
        <x:v>5.6</x:v>
      </x:c>
      <x:c r="J11" s="35" t="n">
        <x:v>10.1</x:v>
      </x:c>
      <x:c r="K11" s="35" t="n">
        <x:v>56.1</x:v>
      </x:c>
    </x:row>
    <x:row r="12" ht="30" customHeight="1">
      <x:c r="A12" s="29" t="n">
        <x:v>6</x:v>
      </x:c>
      <x:c r="B12" s="29" t="str">
        <x:v>Hyperiids</x:v>
      </x:c>
      <x:c r="C12" s="29" t="str">
        <x:v>Гиперииды</x:v>
      </x:c>
      <x:c r="D12" s="29" t="str">
        <x:v>consumer</x:v>
      </x:c>
      <x:c r="E12" s="29" t="str">
        <x:v>III</x:v>
      </x:c>
      <x:c r="F12" s="35" t="n">
        <x:v>4.752</x:v>
      </x:c>
      <x:c r="G12" s="35" t="n">
        <x:v>5.9</x:v>
      </x:c>
      <x:c r="H12" s="35" t="n">
        <x:v>14.5</x:v>
      </x:c>
      <x:c r="I12" s="35" t="n">
        <x:v>0.41</x:v>
      </x:c>
      <x:c r="J12" s="35" t="n">
        <x:v>11.7</x:v>
      </x:c>
      <x:c r="K12" s="35" t="n">
        <x:v>4.752</x:v>
      </x:c>
    </x:row>
    <x:row r="13" ht="30" customHeight="1">
      <x:c r="A13" s="29" t="n">
        <x:v>7</x:v>
      </x:c>
      <x:c r="B13" s="29" t="str">
        <x:v>Chaetognaths</x:v>
      </x:c>
      <x:c r="C13" s="29" t="str">
        <x:v>Хетогнаты</x:v>
      </x:c>
      <x:c r="D13" s="29" t="str">
        <x:v>consumer</x:v>
      </x:c>
      <x:c r="E13" s="29" t="str">
        <x:v>III</x:v>
      </x:c>
      <x:c r="F13" s="35" t="n">
        <x:v>12.78</x:v>
      </x:c>
      <x:c r="G13" s="35" t="n">
        <x:v>42.7</x:v>
      </x:c>
      <x:c r="H13" s="35" t="n">
        <x:v>20</x:v>
      </x:c>
      <x:c r="I13" s="35" t="n">
        <x:v>2.13</x:v>
      </x:c>
      <x:c r="J13" s="35" t="n">
        <x:v>6</x:v>
      </x:c>
      <x:c r="K13" s="35" t="n">
        <x:v>12.78</x:v>
      </x:c>
    </x:row>
    <x:row r="14" ht="30" customHeight="1">
      <x:c r="A14" s="29" t="n">
        <x:v>8</x:v>
      </x:c>
      <x:c r="B14" s="29" t="str">
        <x:v>Salmon</x:v>
      </x:c>
      <x:c r="C14" s="29" t="str">
        <x:v>Лососи</x:v>
      </x:c>
      <x:c r="D14" s="29" t="str">
        <x:v>consumer</x:v>
      </x:c>
      <x:c r="E14" s="29" t="str">
        <x:v>III</x:v>
      </x:c>
      <x:c r="F14" s="35" t="n">
        <x:v>0.105</x:v>
      </x:c>
      <x:c r="G14" s="35" t="n">
        <x:v>0.8</x:v>
      </x:c>
      <x:c r="H14" s="35" t="n">
        <x:v>8.2</x:v>
      </x:c>
      <x:c r="I14" s="35" t="n">
        <x:v>0.09</x:v>
      </x:c>
      <x:c r="J14" s="35" t="n">
        <x:v>1.14</x:v>
      </x:c>
      <x:c r="K14" s="35" t="n">
        <x:v>0.105</x:v>
      </x:c>
    </x:row>
    <x:row r="15" ht="30" customHeight="1">
      <x:c r="A15" s="29" t="n">
        <x:v>9</x:v>
      </x:c>
      <x:c r="B15" s="29" t="str">
        <x:v>Squid III</x:v>
      </x:c>
      <x:c r="C15" s="29" t="str">
        <x:v>Кальмары</x:v>
      </x:c>
      <x:c r="D15" s="29" t="str">
        <x:v>consumer</x:v>
      </x:c>
      <x:c r="E15" s="29" t="str">
        <x:v>III</x:v>
      </x:c>
      <x:c r="F15" s="35" t="n">
        <x:v>0.105</x:v>
      </x:c>
      <x:c r="G15" s="35" t="n">
        <x:v>0.5</x:v>
      </x:c>
      <x:c r="H15" s="35" t="n">
        <x:v>11.9</x:v>
      </x:c>
      <x:c r="I15" s="35" t="n">
        <x:v>0.04</x:v>
      </x:c>
      <x:c r="J15" s="35" t="n">
        <x:v>2.5</x:v>
      </x:c>
      <x:c r="K15" s="35" t="n">
        <x:v>0.105</x:v>
      </x:c>
    </x:row>
    <x:row r="16" ht="30" customHeight="1">
      <x:c r="A16" s="29" t="n">
        <x:v>10</x:v>
      </x:c>
      <x:c r="B16" s="29" t="str">
        <x:v>Herring</x:v>
      </x:c>
      <x:c r="C16" s="29" t="str">
        <x:v>Сельдь</x:v>
      </x:c>
      <x:c r="D16" s="29" t="str">
        <x:v>consumer</x:v>
      </x:c>
      <x:c r="E16" s="29" t="str">
        <x:v>III</x:v>
      </x:c>
      <x:c r="F16" s="35" t="n">
        <x:v>0.119</x:v>
      </x:c>
      <x:c r="G16" s="35" t="n">
        <x:v>2.5</x:v>
      </x:c>
      <x:c r="H16" s="35" t="n">
        <x:v>7.2</x:v>
      </x:c>
      <x:c r="I16" s="35" t="n">
        <x:v>0.35</x:v>
      </x:c>
      <x:c r="J16" s="35" t="n">
        <x:v>0.34</x:v>
      </x:c>
      <x:c r="K16" s="35" t="n">
        <x:v>0.119</x:v>
      </x:c>
    </x:row>
    <x:row r="17" ht="30" customHeight="1">
      <x:c r="A17" s="29" t="n">
        <x:v>11</x:v>
      </x:c>
      <x:c r="B17" s="29" t="str">
        <x:v>Deep-sea smelt</x:v>
      </x:c>
      <x:c r="C17" s="29" t="str">
        <x:v>Серебрянка</x:v>
      </x:c>
      <x:c r="D17" s="29" t="str">
        <x:v>consumer</x:v>
      </x:c>
      <x:c r="E17" s="29" t="str">
        <x:v>III</x:v>
      </x:c>
      <x:c r="F17" s="35" t="n">
        <x:v>0.06</x:v>
      </x:c>
      <x:c r="G17" s="35" t="n">
        <x:v>1.8</x:v>
      </x:c>
      <x:c r="H17" s="35" t="n">
        <x:v>8.7</x:v>
      </x:c>
      <x:c r="I17" s="35" t="n">
        <x:v>0.21</x:v>
      </x:c>
      <x:c r="J17" s="35" t="n">
        <x:v>0.29</x:v>
      </x:c>
      <x:c r="K17" s="35" t="n">
        <x:v>0.06</x:v>
      </x:c>
    </x:row>
    <x:row r="18" ht="30" customHeight="1">
      <x:c r="A18" s="29" t="n">
        <x:v>12</x:v>
      </x:c>
      <x:c r="B18" s="29" t="str">
        <x:v>Pollock less than 30 cm</x:v>
      </x:c>
      <x:c r="C18" s="29" t="str">
        <x:v>Минтай (&lt;30 см)</x:v>
      </x:c>
      <x:c r="D18" s="29" t="str">
        <x:v>consumer</x:v>
      </x:c>
      <x:c r="E18" s="29" t="str">
        <x:v>III</x:v>
      </x:c>
      <x:c r="F18" s="35" t="n">
        <x:v>0.197</x:v>
      </x:c>
      <x:c r="G18" s="35" t="n">
        <x:v>0.8</x:v>
      </x:c>
      <x:c r="H18" s="35" t="n">
        <x:v>10.2</x:v>
      </x:c>
      <x:c r="I18" s="35" t="n">
        <x:v>0.1</x:v>
      </x:c>
      <x:c r="J18" s="35" t="n">
        <x:v>2.5</x:v>
      </x:c>
      <x:c r="K18" s="35" t="n">
        <x:v>0.197</x:v>
      </x:c>
    </x:row>
    <x:row r="19" ht="30" customHeight="1">
      <x:c r="A19" s="29" t="n">
        <x:v>13</x:v>
      </x:c>
      <x:c r="B19" s="29" t="str">
        <x:v>Capelin</x:v>
      </x:c>
      <x:c r="C19" s="29" t="str">
        <x:v>Мойва</x:v>
      </x:c>
      <x:c r="D19" s="29" t="str">
        <x:v>consumer</x:v>
      </x:c>
      <x:c r="E19" s="29" t="str">
        <x:v>III</x:v>
      </x:c>
      <x:c r="F19" s="35" t="n">
        <x:v>0.03</x:v>
      </x:c>
      <x:c r="G19" s="35" t="n">
        <x:v>0.8</x:v>
      </x:c>
      <x:c r="H19" s="35" t="n">
        <x:v>8.8</x:v>
      </x:c>
      <x:c r="I19" s="35" t="n">
        <x:v>0.09</x:v>
      </x:c>
      <x:c r="J19" s="35" t="n">
        <x:v>0.35</x:v>
      </x:c>
      <x:c r="K19" s="35" t="n">
        <x:v>0.03</x:v>
      </x:c>
    </x:row>
    <x:row r="20" ht="30" customHeight="1">
      <x:c r="A20" s="29" t="n">
        <x:v>14</x:v>
      </x:c>
      <x:c r="B20" s="29" t="str">
        <x:v>Jellyfish</x:v>
      </x:c>
      <x:c r="C20" s="29" t="str">
        <x:v>Медузы</x:v>
      </x:c>
      <x:c r="D20" s="29" t="str">
        <x:v>consumer</x:v>
      </x:c>
      <x:c r="E20" s="29" t="str">
        <x:v>III</x:v>
      </x:c>
      <x:c r="F20" s="35" t="n">
        <x:v>0.144</x:v>
      </x:c>
      <x:c r="G20" s="35" t="n">
        <x:v>4.1</x:v>
      </x:c>
      <x:c r="H20" s="35" t="n">
        <x:v>285.2</x:v>
      </x:c>
      <x:c r="I20" s="35" t="n">
        <x:v>0.01</x:v>
      </x:c>
      <x:c r="J20" s="35" t="n">
        <x:v>10</x:v>
      </x:c>
      <x:c r="K20" s="35" t="n">
        <x:v>0.144</x:v>
      </x:c>
    </x:row>
    <x:row r="21" ht="30" customHeight="1">
      <x:c r="A21" s="29" t="n">
        <x:v>15</x:v>
      </x:c>
      <x:c r="B21" s="29" t="str">
        <x:v>Pollock 30-60 cm</x:v>
      </x:c>
      <x:c r="C21" s="29" t="str">
        <x:v>Минтай (30-60 см)</x:v>
      </x:c>
      <x:c r="D21" s="29" t="str">
        <x:v>consumer</x:v>
      </x:c>
      <x:c r="E21" s="29" t="str">
        <x:v>IV</x:v>
      </x:c>
      <x:c r="F21" s="35" t="n">
        <x:v>0.59</x:v>
      </x:c>
      <x:c r="G21" s="35" t="n">
        <x:v>8.52</x:v>
      </x:c>
      <x:c r="H21" s="35" t="n">
        <x:v>11.11</x:v>
      </x:c>
      <x:c r="I21" s="35" t="n">
        <x:v>0.767</x:v>
      </x:c>
      <x:c r="J21" s="35" t="n">
        <x:v>0.7</x:v>
      </x:c>
      <x:c r="K21" s="35" t="n">
        <x:v>0.537</x:v>
      </x:c>
    </x:row>
    <x:row r="22" ht="30" customHeight="1">
      <x:c r="A22" s="29" t="n">
        <x:v>16</x:v>
      </x:c>
      <x:c r="B22" s="29" t="str">
        <x:v>Squid IV</x:v>
      </x:c>
      <x:c r="C22" s="29" t="str">
        <x:v>Кальмары</x:v>
      </x:c>
      <x:c r="D22" s="29" t="str">
        <x:v>consumer</x:v>
      </x:c>
      <x:c r="E22" s="29" t="str">
        <x:v>IV</x:v>
      </x:c>
      <x:c r="F22" s="35" t="n">
        <x:v>0.1</x:v>
      </x:c>
      <x:c r="G22" s="35" t="n">
        <x:v>0.5</x:v>
      </x:c>
      <x:c r="H22" s="35" t="n">
        <x:v>11.94</x:v>
      </x:c>
      <x:c r="I22" s="35" t="n">
        <x:v>0.042</x:v>
      </x:c>
      <x:c r="J22" s="35" t="n">
        <x:v>2.5</x:v>
      </x:c>
      <x:c r="K22" s="35" t="n">
        <x:v>0.105</x:v>
      </x:c>
    </x:row>
    <x:row r="23" ht="30" customHeight="1">
      <x:c r="A23" s="29" t="n">
        <x:v>17</x:v>
      </x:c>
      <x:c r="B23" s="29" t="str">
        <x:v>Predatory salmon</x:v>
      </x:c>
      <x:c r="C23" s="29" t="str">
        <x:v>Хищные лососи</x:v>
      </x:c>
      <x:c r="D23" s="29" t="str">
        <x:v>consumer</x:v>
      </x:c>
      <x:c r="E23" s="29" t="str">
        <x:v>IV</x:v>
      </x:c>
      <x:c r="F23" s="35" t="n">
        <x:v>0.002</x:v>
      </x:c>
      <x:c r="G23" s="35" t="n">
        <x:v>0.02</x:v>
      </x:c>
      <x:c r="H23" s="35" t="n">
        <x:v>8.2</x:v>
      </x:c>
      <x:c r="I23" s="35" t="n">
        <x:v>0.002</x:v>
      </x:c>
      <x:c r="J23" s="35" t="n">
        <x:v>0.84</x:v>
      </x:c>
      <x:c r="K23" s="35" t="n">
        <x:v>0.002</x:v>
      </x:c>
    </x:row>
    <x:row r="24" ht="30" customHeight="1">
      <x:c r="A24" s="29" t="n">
        <x:v>18</x:v>
      </x:c>
      <x:c r="B24" s="29" t="str">
        <x:v>Baleen whales</x:v>
      </x:c>
      <x:c r="C24" s="29" t="str">
        <x:v>Усатые киты</x:v>
      </x:c>
      <x:c r="D24" s="29" t="str">
        <x:v>consumer</x:v>
      </x:c>
      <x:c r="E24" s="29" t="str">
        <x:v>IV</x:v>
      </x:c>
      <x:c r="F24" s="35" t="n">
        <x:v>0.001</x:v>
      </x:c>
      <x:c r="G24" s="35" t="n">
        <x:v>0.721</x:v>
      </x:c>
      <x:c r="H24" s="35" t="n">
        <x:v>5.43</x:v>
      </x:c>
      <x:c r="I24" s="35" t="n">
        <x:v>0.133</x:v>
      </x:c>
      <x:c r="J24" s="35" t="n">
        <x:v>0.01</x:v>
      </x:c>
      <x:c r="K24" s="35" t="n">
        <x:v>0.001</x:v>
      </x:c>
    </x:row>
    <x:row r="25" ht="30" customHeight="1">
      <x:c r="A25" s="29" t="n">
        <x:v>19</x:v>
      </x:c>
      <x:c r="B25" s="29" t="str">
        <x:v>Pollock greater than 60 cm</x:v>
      </x:c>
      <x:c r="C25" s="29" t="str">
        <x:v>Минтай &gt;60 см</x:v>
      </x:c>
      <x:c r="D25" s="29" t="str">
        <x:v>consumer</x:v>
      </x:c>
      <x:c r="E25" s="29" t="str">
        <x:v>V</x:v>
      </x:c>
      <x:c r="F25" s="35" t="n">
        <x:v>0.009</x:v>
      </x:c>
      <x:c r="G25" s="35" t="n">
        <x:v>0.5</x:v>
      </x:c>
      <x:c r="H25" s="35" t="n">
        <x:v>11.11</x:v>
      </x:c>
      <x:c r="I25" s="35" t="n">
        <x:v>0.045</x:v>
      </x:c>
      <x:c r="J25" s="35" t="n">
        <x:v>0.2</x:v>
      </x:c>
      <x:c r="K25" s="35" t="n">
        <x:v>0.009</x:v>
      </x:c>
    </x:row>
    <x:row r="26" ht="30" customHeight="1">
      <x:c r="A26" s="29" t="n">
        <x:v>20</x:v>
      </x:c>
      <x:c r="B26" s="29" t="str">
        <x:v>Predatory fish</x:v>
      </x:c>
      <x:c r="C26" s="29" t="str">
        <x:v>Хищные рыбы</x:v>
      </x:c>
      <x:c r="D26" s="29" t="str">
        <x:v>consumer</x:v>
      </x:c>
      <x:c r="E26" s="29" t="str">
        <x:v>V</x:v>
      </x:c>
      <x:c r="F26" s="35" t="n">
        <x:v>0.004</x:v>
      </x:c>
      <x:c r="G26" s="35" t="n">
        <x:v>0.12</x:v>
      </x:c>
      <x:c r="H26" s="35" t="n">
        <x:v>5.43</x:v>
      </x:c>
      <x:c r="I26" s="35" t="n">
        <x:v>0.022</x:v>
      </x:c>
      <x:c r="J26" s="35" t="n">
        <x:v>0.2</x:v>
      </x:c>
      <x:c r="K26" s="35" t="n">
        <x:v>0.005</x:v>
      </x:c>
    </x:row>
    <x:row r="27" ht="30" customHeight="1">
      <x:c r="A27" s="29" t="n">
        <x:v>21</x:v>
      </x:c>
      <x:c r="B27" s="29" t="str">
        <x:v>Predatory mammals</x:v>
      </x:c>
      <x:c r="C27" s="29" t="str">
        <x:v>Хищные млекопитающие</x:v>
      </x:c>
      <x:c r="D27" s="29" t="str">
        <x:v>consumer</x:v>
      </x:c>
      <x:c r="E27" s="29" t="str">
        <x:v>V</x:v>
      </x:c>
      <x:c r="F27" s="35" t="n">
        <x:v>0.001</x:v>
      </x:c>
      <x:c r="G27" s="35" t="n">
        <x:v>0.244</x:v>
      </x:c>
      <x:c r="H27" s="35" t="n">
        <x:v>5.43</x:v>
      </x:c>
      <x:c r="I27" s="35" t="n">
        <x:v>0.045</x:v>
      </x:c>
      <x:c r="J27" s="35" t="n">
        <x:v>0.03</x:v>
      </x:c>
      <x:c r="K27" s="35" t="n">
        <x:v>0.001</x:v>
      </x:c>
    </x:row>
    <x:row r="28" ht="30" customHeight="1">
      <x:c r="A28" s="29" t="n">
        <x:v>22</x:v>
      </x:c>
      <x:c r="B28" s="29" t="str">
        <x:v>Detritus</x:v>
      </x:c>
      <x:c r="C28" s="29" t="str">
        <x:v>Детрит</x:v>
      </x:c>
      <x:c r="D28" s="29" t="str">
        <x:v>detritus</x:v>
      </x:c>
      <x:c r="E28" s="29" t="str">
        <x:v>I</x:v>
      </x:c>
      <x:c r="F28" s="35" t="str">
        <x:v>n.a.</x:v>
      </x:c>
      <x:c r="G28" s="35" t="str">
        <x:v>n.a.</x:v>
      </x:c>
      <x:c r="H28" s="35" t="str">
        <x:v>n.a.</x:v>
      </x:c>
      <x:c r="I28" s="35" t="str">
        <x:v>n.a.</x:v>
      </x:c>
      <x:c r="J28" s="35" t="str">
        <x:v>n.a.</x:v>
      </x:c>
      <x:c r="K28" s="35" t="str">
        <x:v>n.a.</x:v>
      </x:c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5" customHeight="1">
      <x:c r="A31" s="20" t="str">
        <x:v>Table 3 · raw transcription, including pooled and omitted rows</x:v>
      </x:c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60" customHeight="1">
      <x:c r="A33" s="19" t="str">
        <x:v>Tier</x:v>
      </x:c>
      <x:c r="B33" s="19" t="str">
        <x:v>Source group</x:v>
      </x:c>
      <x:c r="C33" s="19" t="str">
        <x:v>B wet, million t</x:v>
      </x:c>
      <x:c r="D33" s="19" t="str">
        <x:v>Wet/C</x:v>
      </x:c>
      <x:c r="E33" s="19" t="str">
        <x:v>B C, million t</x:v>
      </x:c>
      <x:c r="F33" s="19" t="str">
        <x:v>P/B</x:v>
      </x:c>
      <x:c r="G33" s="19" t="str">
        <x:v>P wet, million t/year</x:v>
      </x:c>
      <x:c r="H33" s="19" t="str">
        <x:v>P C, million t/year</x:v>
      </x:c>
      <x:c r="I33" s="19" t="str">
        <x:v>P C, g/m2/year</x:v>
      </x:c>
      <x:c r="J33" s="19" t="str">
        <x:v>Tier share %</x:v>
      </x:c>
      <x:c r="K33" s="19" t="str">
        <x:v>Mapped ID</x:v>
      </x:c>
    </x:row>
    <x:row r="34" ht="30" customHeight="1">
      <x:c r="A34" s="29" t="str">
        <x:v>I</x:v>
      </x:c>
      <x:c r="B34" s="29" t="str">
        <x:v>Фитопланктон</x:v>
      </x:c>
      <x:c r="C34" s="35" t="n">
        <x:v>63.2</x:v>
      </x:c>
      <x:c r="D34" s="35" t="n">
        <x:v>20</x:v>
      </x:c>
      <x:c r="E34" s="35" t="n">
        <x:v>3.2</x:v>
      </x:c>
      <x:c r="F34" s="35" t="n">
        <x:v>220</x:v>
      </x:c>
      <x:c r="G34" s="35" t="n">
        <x:v>13896</x:v>
      </x:c>
      <x:c r="H34" s="35" t="n">
        <x:v>694.8</x:v>
      </x:c>
      <x:c r="I34" s="35" t="n">
        <x:v>450</x:v>
      </x:c>
      <x:c r="J34" s="35" t="n">
        <x:v>83.6</x:v>
      </x:c>
      <x:c r="K34" s="29" t="n">
        <x:v>1</x:v>
      </x:c>
    </x:row>
    <x:row r="35" ht="30" customHeight="1">
      <x:c r="A35" s="5" t="str">
        <x:v>I</x:v>
      </x:c>
      <x:c r="B35" s="5" t="str">
        <x:v>Микрогетеротрофы</x:v>
      </x:c>
      <x:c r="C35" s="36" t="n">
        <x:v>64</x:v>
      </x:c>
      <x:c r="D35" s="36" t="n">
        <x:v>9.4</x:v>
      </x:c>
      <x:c r="E35" s="36" t="n">
        <x:v>6.8</x:v>
      </x:c>
      <x:c r="F35" s="36" t="n">
        <x:v>20</x:v>
      </x:c>
      <x:c r="G35" s="36" t="n">
        <x:v>1280</x:v>
      </x:c>
      <x:c r="H35" s="36" t="n">
        <x:v>136.2</x:v>
      </x:c>
      <x:c r="I35" s="36" t="n">
        <x:v>88.2</x:v>
      </x:c>
      <x:c r="J35" s="36" t="n">
        <x:v>16.4</x:v>
      </x:c>
      <x:c r="K35" s="5" t="str">
        <x:v>n.a.</x:v>
      </x:c>
    </x:row>
    <x:row r="36" ht="30" customHeight="1">
      <x:c r="A36" s="29" t="str">
        <x:v>II</x:v>
      </x:c>
      <x:c r="B36" s="29" t="str">
        <x:v>Эвфаузииды</x:v>
      </x:c>
      <x:c r="C36" s="35" t="n">
        <x:v>58.7</x:v>
      </x:c>
      <x:c r="D36" s="35" t="n">
        <x:v>10.6</x:v>
      </x:c>
      <x:c r="E36" s="35" t="n">
        <x:v>5.6</x:v>
      </x:c>
      <x:c r="F36" s="35" t="n">
        <x:v>10.1</x:v>
      </x:c>
      <x:c r="G36" s="35" t="n">
        <x:v>592.8</x:v>
      </x:c>
      <x:c r="H36" s="35" t="n">
        <x:v>56.1</x:v>
      </x:c>
      <x:c r="I36" s="35" t="n">
        <x:v>36.3</x:v>
      </x:c>
      <x:c r="J36" s="35" t="n">
        <x:v>31.6</x:v>
      </x:c>
      <x:c r="K36" s="29" t="n">
        <x:v>5</x:v>
      </x:c>
    </x:row>
    <x:row r="37" ht="30" customHeight="1">
      <x:c r="A37" s="29" t="str">
        <x:v>II</x:v>
      </x:c>
      <x:c r="B37" s="29" t="str">
        <x:v>Копеподы</x:v>
      </x:c>
      <x:c r="C37" s="35" t="n">
        <x:v>108.3</x:v>
      </x:c>
      <x:c r="D37" s="35" t="n">
        <x:v>14</x:v>
      </x:c>
      <x:c r="E37" s="35" t="n">
        <x:v>7.7</x:v>
      </x:c>
      <x:c r="F37" s="35" t="n">
        <x:v>15.2</x:v>
      </x:c>
      <x:c r="G37" s="35" t="n">
        <x:v>1645.7</x:v>
      </x:c>
      <x:c r="H37" s="35" t="n">
        <x:v>117.2</x:v>
      </x:c>
      <x:c r="I37" s="35" t="n">
        <x:v>75.9</x:v>
      </x:c>
      <x:c r="J37" s="35" t="n">
        <x:v>66</x:v>
      </x:c>
      <x:c r="K37" s="29" t="n">
        <x:v>4</x:v>
      </x:c>
    </x:row>
    <x:row r="38" ht="30" customHeight="1">
      <x:c r="A38" s="5" t="str">
        <x:v>II</x:v>
      </x:c>
      <x:c r="B38" s="5" t="str">
        <x:v>Прочие</x:v>
      </x:c>
      <x:c r="C38" s="36" t="n">
        <x:v>5.1</x:v>
      </x:c>
      <x:c r="D38" s="36" t="n">
        <x:v>13.3</x:v>
      </x:c>
      <x:c r="E38" s="36" t="n">
        <x:v>0.3</x:v>
      </x:c>
      <x:c r="F38" s="36" t="n">
        <x:v>10.8</x:v>
      </x:c>
      <x:c r="G38" s="36" t="n">
        <x:v>55.9</x:v>
      </x:c>
      <x:c r="H38" s="36" t="n">
        <x:v>4.1</x:v>
      </x:c>
      <x:c r="I38" s="36" t="n">
        <x:v>2.7</x:v>
      </x:c>
      <x:c r="J38" s="36" t="n">
        <x:v>2.4</x:v>
      </x:c>
      <x:c r="K38" s="5" t="str">
        <x:v>n.a.</x:v>
      </x:c>
    </x:row>
    <x:row r="39" ht="30" customHeight="1">
      <x:c r="A39" s="29" t="str">
        <x:v>III</x:v>
      </x:c>
      <x:c r="B39" s="29" t="str">
        <x:v>Гиперииды</x:v>
      </x:c>
      <x:c r="C39" s="35" t="n">
        <x:v>5.9</x:v>
      </x:c>
      <x:c r="D39" s="35" t="n">
        <x:v>14.5</x:v>
      </x:c>
      <x:c r="E39" s="35" t="n">
        <x:v>0.41</x:v>
      </x:c>
      <x:c r="F39" s="35" t="n">
        <x:v>11.7</x:v>
      </x:c>
      <x:c r="G39" s="35" t="n">
        <x:v>69.03</x:v>
      </x:c>
      <x:c r="H39" s="35" t="n">
        <x:v>4.752</x:v>
      </x:c>
      <x:c r="I39" s="35" t="n">
        <x:v>3.1</x:v>
      </x:c>
      <x:c r="J39" s="35" t="n">
        <x:v>25.9</x:v>
      </x:c>
      <x:c r="K39" s="29" t="n">
        <x:v>6</x:v>
      </x:c>
    </x:row>
    <x:row r="40" ht="30" customHeight="1">
      <x:c r="A40" s="29" t="str">
        <x:v>III</x:v>
      </x:c>
      <x:c r="B40" s="29" t="str">
        <x:v>Сагитты</x:v>
      </x:c>
      <x:c r="C40" s="35" t="n">
        <x:v>42.7</x:v>
      </x:c>
      <x:c r="D40" s="35" t="n">
        <x:v>20</x:v>
      </x:c>
      <x:c r="E40" s="35" t="n">
        <x:v>2.13</x:v>
      </x:c>
      <x:c r="F40" s="35" t="n">
        <x:v>6</x:v>
      </x:c>
      <x:c r="G40" s="35" t="n">
        <x:v>256.2</x:v>
      </x:c>
      <x:c r="H40" s="35" t="n">
        <x:v>12.78</x:v>
      </x:c>
      <x:c r="I40" s="35" t="n">
        <x:v>8.3</x:v>
      </x:c>
      <x:c r="J40" s="35" t="n">
        <x:v>69.8</x:v>
      </x:c>
      <x:c r="K40" s="29" t="n">
        <x:v>7</x:v>
      </x:c>
    </x:row>
    <x:row r="41" ht="30" customHeight="1">
      <x:c r="A41" s="29" t="str">
        <x:v>III</x:v>
      </x:c>
      <x:c r="B41" s="29" t="str">
        <x:v>Медузы</x:v>
      </x:c>
      <x:c r="C41" s="35" t="n">
        <x:v>4.1</x:v>
      </x:c>
      <x:c r="D41" s="35" t="n">
        <x:v>285.2</x:v>
      </x:c>
      <x:c r="E41" s="35" t="n">
        <x:v>0.01</x:v>
      </x:c>
      <x:c r="F41" s="35" t="n">
        <x:v>10</x:v>
      </x:c>
      <x:c r="G41" s="35" t="n">
        <x:v>41</x:v>
      </x:c>
      <x:c r="H41" s="35" t="n">
        <x:v>0.144</x:v>
      </x:c>
      <x:c r="I41" s="35" t="n">
        <x:v>0.1</x:v>
      </x:c>
      <x:c r="J41" s="35" t="n">
        <x:v>0.8</x:v>
      </x:c>
      <x:c r="K41" s="29" t="n">
        <x:v>14</x:v>
      </x:c>
    </x:row>
    <x:row r="42" ht="30" customHeight="1">
      <x:c r="A42" s="29" t="str">
        <x:v>III</x:v>
      </x:c>
      <x:c r="B42" s="29" t="str">
        <x:v>Сельдь</x:v>
      </x:c>
      <x:c r="C42" s="35" t="n">
        <x:v>2.5</x:v>
      </x:c>
      <x:c r="D42" s="35" t="n">
        <x:v>7.2</x:v>
      </x:c>
      <x:c r="E42" s="35" t="n">
        <x:v>0.35</x:v>
      </x:c>
      <x:c r="F42" s="35" t="n">
        <x:v>0.34</x:v>
      </x:c>
      <x:c r="G42" s="35" t="n">
        <x:v>0.86</x:v>
      </x:c>
      <x:c r="H42" s="35" t="n">
        <x:v>0.119</x:v>
      </x:c>
      <x:c r="I42" s="35" t="n">
        <x:v>0.1</x:v>
      </x:c>
      <x:c r="J42" s="35" t="n">
        <x:v>0.7</x:v>
      </x:c>
      <x:c r="K42" s="29" t="n">
        <x:v>10</x:v>
      </x:c>
    </x:row>
    <x:row r="43" ht="30" customHeight="1">
      <x:c r="A43" s="29" t="str">
        <x:v>III</x:v>
      </x:c>
      <x:c r="B43" s="29" t="str">
        <x:v>Серебрянка</x:v>
      </x:c>
      <x:c r="C43" s="35" t="n">
        <x:v>1.8</x:v>
      </x:c>
      <x:c r="D43" s="35" t="n">
        <x:v>8.7</x:v>
      </x:c>
      <x:c r="E43" s="35" t="n">
        <x:v>0.21</x:v>
      </x:c>
      <x:c r="F43" s="35" t="n">
        <x:v>0.29</x:v>
      </x:c>
      <x:c r="G43" s="35" t="n">
        <x:v>0.52</x:v>
      </x:c>
      <x:c r="H43" s="35" t="n">
        <x:v>0.06</x:v>
      </x:c>
      <x:c r="I43" s="35" t="n">
        <x:v>0.04</x:v>
      </x:c>
      <x:c r="J43" s="35" t="n">
        <x:v>0.3</x:v>
      </x:c>
      <x:c r="K43" s="29" t="n">
        <x:v>11</x:v>
      </x:c>
    </x:row>
    <x:row r="44" ht="30" customHeight="1">
      <x:c r="A44" s="29" t="str">
        <x:v>III</x:v>
      </x:c>
      <x:c r="B44" s="29" t="str">
        <x:v>Мойва</x:v>
      </x:c>
      <x:c r="C44" s="35" t="n">
        <x:v>0.8</x:v>
      </x:c>
      <x:c r="D44" s="35" t="n">
        <x:v>8.8</x:v>
      </x:c>
      <x:c r="E44" s="35" t="n">
        <x:v>0.09</x:v>
      </x:c>
      <x:c r="F44" s="35" t="n">
        <x:v>0.35</x:v>
      </x:c>
      <x:c r="G44" s="35" t="n">
        <x:v>0.26</x:v>
      </x:c>
      <x:c r="H44" s="35" t="n">
        <x:v>0.03</x:v>
      </x:c>
      <x:c r="I44" s="35" t="n">
        <x:v>0.02</x:v>
      </x:c>
      <x:c r="J44" s="35" t="n">
        <x:v>0.2</x:v>
      </x:c>
      <x:c r="K44" s="29" t="n">
        <x:v>13</x:v>
      </x:c>
    </x:row>
    <x:row r="45" ht="30" customHeight="1">
      <x:c r="A45" s="29" t="str">
        <x:v>III</x:v>
      </x:c>
      <x:c r="B45" s="29" t="str">
        <x:v>Лососи</x:v>
      </x:c>
      <x:c r="C45" s="35" t="n">
        <x:v>0.8</x:v>
      </x:c>
      <x:c r="D45" s="35" t="n">
        <x:v>8.2</x:v>
      </x:c>
      <x:c r="E45" s="35" t="n">
        <x:v>0.09</x:v>
      </x:c>
      <x:c r="F45" s="35" t="n">
        <x:v>1.14</x:v>
      </x:c>
      <x:c r="G45" s="35" t="n">
        <x:v>0.86</x:v>
      </x:c>
      <x:c r="H45" s="35" t="n">
        <x:v>0.105</x:v>
      </x:c>
      <x:c r="I45" s="35" t="n">
        <x:v>0.1</x:v>
      </x:c>
      <x:c r="J45" s="35" t="n">
        <x:v>0.6</x:v>
      </x:c>
      <x:c r="K45" s="29" t="n">
        <x:v>8</x:v>
      </x:c>
    </x:row>
    <x:row r="46" ht="30" customHeight="1">
      <x:c r="A46" s="29" t="str">
        <x:v>III</x:v>
      </x:c>
      <x:c r="B46" s="29" t="str">
        <x:v>Кальмары</x:v>
      </x:c>
      <x:c r="C46" s="35" t="n">
        <x:v>0.5</x:v>
      </x:c>
      <x:c r="D46" s="35" t="n">
        <x:v>11.9</x:v>
      </x:c>
      <x:c r="E46" s="35" t="n">
        <x:v>0.04</x:v>
      </x:c>
      <x:c r="F46" s="35" t="n">
        <x:v>2.5</x:v>
      </x:c>
      <x:c r="G46" s="35" t="n">
        <x:v>1.25</x:v>
      </x:c>
      <x:c r="H46" s="35" t="n">
        <x:v>0.105</x:v>
      </x:c>
      <x:c r="I46" s="35" t="n">
        <x:v>0.1</x:v>
      </x:c>
      <x:c r="J46" s="35" t="n">
        <x:v>0.6</x:v>
      </x:c>
      <x:c r="K46" s="29" t="n">
        <x:v>9</x:v>
      </x:c>
    </x:row>
    <x:row r="47" ht="30" customHeight="1">
      <x:c r="A47" s="29" t="str">
        <x:v>III</x:v>
      </x:c>
      <x:c r="B47" s="29" t="str">
        <x:v>Минтай (&lt;30 см)</x:v>
      </x:c>
      <x:c r="C47" s="35" t="n">
        <x:v>0.8</x:v>
      </x:c>
      <x:c r="D47" s="35" t="n">
        <x:v>10.2</x:v>
      </x:c>
      <x:c r="E47" s="35" t="n">
        <x:v>0.1</x:v>
      </x:c>
      <x:c r="F47" s="35" t="n">
        <x:v>2.5</x:v>
      </x:c>
      <x:c r="G47" s="35" t="n">
        <x:v>2</x:v>
      </x:c>
      <x:c r="H47" s="35" t="n">
        <x:v>0.197</x:v>
      </x:c>
      <x:c r="I47" s="35" t="n">
        <x:v>0.1</x:v>
      </x:c>
      <x:c r="J47" s="35" t="n">
        <x:v>1.1</x:v>
      </x:c>
      <x:c r="K47" s="29" t="n">
        <x:v>12</x:v>
      </x:c>
    </x:row>
    <x:row r="48" ht="30" customHeight="1">
      <x:c r="A48" s="5" t="str">
        <x:v>III</x:v>
      </x:c>
      <x:c r="B48" s="5" t="str">
        <x:v>Прочие*</x:v>
      </x:c>
      <x:c r="C48" s="36" t="n">
        <x:v>0.11</x:v>
      </x:c>
      <x:c r="D48" s="36" t="n">
        <x:v>10.02</x:v>
      </x:c>
      <x:c r="E48" s="36" t="n">
        <x:v>0.01</x:v>
      </x:c>
      <x:c r="F48" s="36" t="n">
        <x:v>0.4</x:v>
      </x:c>
      <x:c r="G48" s="36" t="n">
        <x:v>0.14</x:v>
      </x:c>
      <x:c r="H48" s="36" t="n">
        <x:v>0.01</x:v>
      </x:c>
      <x:c r="I48" s="36" t="n">
        <x:v>0.01</x:v>
      </x:c>
      <x:c r="J48" s="36" t="n">
        <x:v>0.04</x:v>
      </x:c>
      <x:c r="K48" s="5" t="str">
        <x:v>n.a.</x:v>
      </x:c>
    </x:row>
    <x:row r="49" ht="30" customHeight="1">
      <x:c r="A49" s="29" t="str">
        <x:v>IV</x:v>
      </x:c>
      <x:c r="B49" s="29" t="str">
        <x:v>Минтай 30-60 см</x:v>
      </x:c>
      <x:c r="C49" s="35" t="n">
        <x:v>8.52</x:v>
      </x:c>
      <x:c r="D49" s="35" t="n">
        <x:v>11.11</x:v>
      </x:c>
      <x:c r="E49" s="35" t="n">
        <x:v>0.767</x:v>
      </x:c>
      <x:c r="F49" s="35" t="n">
        <x:v>0.7</x:v>
      </x:c>
      <x:c r="G49" s="35" t="n">
        <x:v>5.96</x:v>
      </x:c>
      <x:c r="H49" s="35" t="n">
        <x:v>0.537</x:v>
      </x:c>
      <x:c r="I49" s="35" t="n">
        <x:v>0.348</x:v>
      </x:c>
      <x:c r="J49" s="35" t="n">
        <x:v>82.2</x:v>
      </x:c>
      <x:c r="K49" s="29" t="n">
        <x:v>15</x:v>
      </x:c>
    </x:row>
    <x:row r="50" ht="30" customHeight="1">
      <x:c r="A50" s="29" t="str">
        <x:v>IV</x:v>
      </x:c>
      <x:c r="B50" s="29" t="str">
        <x:v>Кальмары</x:v>
      </x:c>
      <x:c r="C50" s="35" t="n">
        <x:v>0.5</x:v>
      </x:c>
      <x:c r="D50" s="35" t="n">
        <x:v>11.94</x:v>
      </x:c>
      <x:c r="E50" s="35" t="n">
        <x:v>0.042</x:v>
      </x:c>
      <x:c r="F50" s="35" t="n">
        <x:v>2.5</x:v>
      </x:c>
      <x:c r="G50" s="35" t="n">
        <x:v>1.25</x:v>
      </x:c>
      <x:c r="H50" s="35" t="n">
        <x:v>0.105</x:v>
      </x:c>
      <x:c r="I50" s="35" t="n">
        <x:v>0.068</x:v>
      </x:c>
      <x:c r="J50" s="35" t="n">
        <x:v>16</x:v>
      </x:c>
      <x:c r="K50" s="29" t="n">
        <x:v>16</x:v>
      </x:c>
    </x:row>
    <x:row r="51" ht="30" customHeight="1">
      <x:c r="A51" s="29" t="str">
        <x:v>IV</x:v>
      </x:c>
      <x:c r="B51" s="29" t="str">
        <x:v>Хищные лососи</x:v>
      </x:c>
      <x:c r="C51" s="35" t="n">
        <x:v>0.02</x:v>
      </x:c>
      <x:c r="D51" s="35" t="n">
        <x:v>8.2</x:v>
      </x:c>
      <x:c r="E51" s="35" t="n">
        <x:v>0.002</x:v>
      </x:c>
      <x:c r="F51" s="35" t="n">
        <x:v>0.84</x:v>
      </x:c>
      <x:c r="G51" s="35" t="n">
        <x:v>0.017</x:v>
      </x:c>
      <x:c r="H51" s="35" t="n">
        <x:v>0.002</x:v>
      </x:c>
      <x:c r="I51" s="35" t="n">
        <x:v>0.001</x:v>
      </x:c>
      <x:c r="J51" s="35" t="n">
        <x:v>0.3</x:v>
      </x:c>
      <x:c r="K51" s="29" t="n">
        <x:v>17</x:v>
      </x:c>
    </x:row>
    <x:row r="52" ht="30" customHeight="1">
      <x:c r="A52" s="29" t="str">
        <x:v>IV</x:v>
      </x:c>
      <x:c r="B52" s="29" t="str">
        <x:v>Усатые киты</x:v>
      </x:c>
      <x:c r="C52" s="35" t="n">
        <x:v>0.721</x:v>
      </x:c>
      <x:c r="D52" s="35" t="n">
        <x:v>5.43</x:v>
      </x:c>
      <x:c r="E52" s="35" t="n">
        <x:v>0.133</x:v>
      </x:c>
      <x:c r="F52" s="35" t="n">
        <x:v>0.01</x:v>
      </x:c>
      <x:c r="G52" s="35" t="n">
        <x:v>0.007</x:v>
      </x:c>
      <x:c r="H52" s="35" t="n">
        <x:v>0.001</x:v>
      </x:c>
      <x:c r="I52" s="35" t="n">
        <x:v>0.001</x:v>
      </x:c>
      <x:c r="J52" s="35" t="n">
        <x:v>0.2</x:v>
      </x:c>
      <x:c r="K52" s="29" t="n">
        <x:v>18</x:v>
      </x:c>
    </x:row>
    <x:row r="53" ht="30" customHeight="1">
      <x:c r="A53" s="5" t="str">
        <x:v>IV</x:v>
      </x:c>
      <x:c r="B53" s="5" t="str">
        <x:v>Прочие**</x:v>
      </x:c>
      <x:c r="C53" s="36" t="n">
        <x:v>0.15</x:v>
      </x:c>
      <x:c r="D53" s="36" t="n">
        <x:v>9.09</x:v>
      </x:c>
      <x:c r="E53" s="36" t="n">
        <x:v>0.017</x:v>
      </x:c>
      <x:c r="F53" s="36" t="n">
        <x:v>0.5</x:v>
      </x:c>
      <x:c r="G53" s="36" t="n">
        <x:v>0.075</x:v>
      </x:c>
      <x:c r="H53" s="36" t="n">
        <x:v>0.008</x:v>
      </x:c>
      <x:c r="I53" s="36" t="n">
        <x:v>0.005</x:v>
      </x:c>
      <x:c r="J53" s="36" t="n">
        <x:v>1.3</x:v>
      </x:c>
      <x:c r="K53" s="5" t="str">
        <x:v>n.a.</x:v>
      </x:c>
    </x:row>
    <x:row r="54" ht="30" customHeight="1">
      <x:c r="A54" s="29" t="str">
        <x:v>V</x:v>
      </x:c>
      <x:c r="B54" s="29" t="str">
        <x:v>Минтай более 60 см</x:v>
      </x:c>
      <x:c r="C54" s="35" t="n">
        <x:v>0.5</x:v>
      </x:c>
      <x:c r="D54" s="35" t="n">
        <x:v>11.11</x:v>
      </x:c>
      <x:c r="E54" s="35" t="n">
        <x:v>0.045</x:v>
      </x:c>
      <x:c r="F54" s="35" t="n">
        <x:v>0.2</x:v>
      </x:c>
      <x:c r="G54" s="35" t="n">
        <x:v>0.1</x:v>
      </x:c>
      <x:c r="H54" s="35" t="n">
        <x:v>0.009</x:v>
      </x:c>
      <x:c r="I54" s="35" t="n">
        <x:v>0.006</x:v>
      </x:c>
      <x:c r="J54" s="35" t="n">
        <x:v>61</x:v>
      </x:c>
      <x:c r="K54" s="29" t="n">
        <x:v>19</x:v>
      </x:c>
    </x:row>
    <x:row r="55" ht="30" customHeight="1">
      <x:c r="A55" s="29" t="str">
        <x:v>V</x:v>
      </x:c>
      <x:c r="B55" s="29" t="str">
        <x:v>Хищ. млекопит.***</x:v>
      </x:c>
      <x:c r="C55" s="35" t="n">
        <x:v>0.244</x:v>
      </x:c>
      <x:c r="D55" s="35" t="n">
        <x:v>5.43</x:v>
      </x:c>
      <x:c r="E55" s="35" t="n">
        <x:v>0.045</x:v>
      </x:c>
      <x:c r="F55" s="35" t="n">
        <x:v>0.03</x:v>
      </x:c>
      <x:c r="G55" s="35" t="n">
        <x:v>0.007</x:v>
      </x:c>
      <x:c r="H55" s="35" t="n">
        <x:v>0.001</x:v>
      </x:c>
      <x:c r="I55" s="35" t="n">
        <x:v>0.001</x:v>
      </x:c>
      <x:c r="J55" s="35" t="n">
        <x:v>9.1</x:v>
      </x:c>
      <x:c r="K55" s="29" t="n">
        <x:v>21</x:v>
      </x:c>
    </x:row>
    <x:row r="56" ht="30" customHeight="1">
      <x:c r="A56" s="5" t="str">
        <x:v>V</x:v>
      </x:c>
      <x:c r="B56" s="5" t="str">
        <x:v>Прочие****</x:v>
      </x:c>
      <x:c r="C56" s="36" t="n">
        <x:v>0.12</x:v>
      </x:c>
      <x:c r="D56" s="36" t="n">
        <x:v>5.43</x:v>
      </x:c>
      <x:c r="E56" s="36" t="n">
        <x:v>0.022</x:v>
      </x:c>
      <x:c r="F56" s="36" t="n">
        <x:v>0.2</x:v>
      </x:c>
      <x:c r="G56" s="36" t="n">
        <x:v>0.024</x:v>
      </x:c>
      <x:c r="H56" s="36" t="n">
        <x:v>0.005</x:v>
      </x:c>
      <x:c r="I56" s="36" t="n">
        <x:v>0.003</x:v>
      </x:c>
      <x:c r="J56" s="36" t="n">
        <x:v>29.9</x:v>
      </x:c>
      <x:c r="K56" s="5" t="n">
        <x:v>20</x:v>
      </x:c>
    </x:row>
    <x:row r="57" ht="2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>
    <x:mergeCell ref="A1:K1"/>
    <x:mergeCell ref="A2:K3"/>
    <x:mergeCell ref="A4:K4"/>
    <x:mergeCell ref="A31:K3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76D72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32" hidden="0" customWidth="1"/>
    <x:col min="3" max="3" width="16" hidden="0" customWidth="1"/>
    <x:col min="4" max="4" width="17" hidden="0" customWidth="1"/>
    <x:col min="5" max="5" width="17" hidden="0" customWidth="1"/>
    <x:col min="6" max="6" width="16" hidden="0" customWidth="1"/>
    <x:col min="7" max="7" width="20" hidden="0" customWidth="1"/>
    <x:col min="8" max="8" width="19" hidden="0" customWidth="1"/>
    <x:col min="9" max="9" width="19" hidden="0" customWidth="1"/>
    <x:col min="10" max="10" width="13" hidden="0" customWidth="1"/>
    <x:col min="11" max="11" width="15" hidden="0" customWidth="1"/>
  </x:cols>
  <x:sheetData>
    <x:row r="1" ht="34" customHeight="1">
      <x:c r="A1" s="3" t="str">
        <x:v>Independent checks · failed consistency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6" t="str">
        <x:v>Failures are retained, not repaired. Predation checks use the illustrative route/label hypothesis and zero BA/catch assumptions; those are not author balance results.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5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60" customHeight="1">
      <x:c r="A6" s="19" t="str">
        <x:v>ID</x:v>
      </x:c>
      <x:c r="B6" s="19" t="str">
        <x:v>Group</x:v>
      </x:c>
      <x:c r="C6" s="19" t="str">
        <x:v>Figure P C</x:v>
      </x:c>
      <x:c r="D6" s="19" t="str">
        <x:v>Q C, readable</x:v>
      </x:c>
      <x:c r="E6" s="19" t="str">
        <x:v>Q C, hypothesis</x:v>
      </x:c>
      <x:c r="F6" s="19" t="str">
        <x:v>P / Q C</x:v>
      </x:c>
      <x:c r="G6" s="19" t="str">
        <x:v>Predation / P, hypothesis</x:v>
      </x:c>
      <x:c r="H6" s="19" t="str">
        <x:v>Q wet, readable</x:v>
      </x:c>
      <x:c r="I6" s="19" t="str">
        <x:v>Q/B wet, derived</x:v>
      </x:c>
      <x:c r="J6" s="19" t="str">
        <x:v>P &gt; Q C</x:v>
      </x:c>
      <x:c r="K6" s="19" t="str">
        <x:v>Predation &gt; P</x:v>
      </x:c>
    </x:row>
    <x:row r="7" ht="25" customHeight="1">
      <x:c r="A7" s="1" t="n">
        <x:v>1</x:v>
      </x:c>
      <x:c r="B7" s="1" t="str">
        <x:v>Phytoplankton</x:v>
      </x:c>
      <x:c r="C7" s="37" t="n">
        <x:v>694.8</x:v>
      </x:c>
      <x:c r="D7" s="37" t="str">
        <x:v>n.a.</x:v>
      </x:c>
      <x:c r="E7" s="37" t="str">
        <x:v>n.a.</x:v>
      </x:c>
      <x:c r="F7" s="37" t="str">
        <x:v>n.a.</x:v>
      </x:c>
      <x:c r="G7" s="37" t="n">
        <x:v>0.3526194588370754</x:v>
      </x:c>
      <x:c r="H7" s="37" t="str">
        <x:v>n.a.</x:v>
      </x:c>
      <x:c r="I7" s="37" t="str">
        <x:v>n.a.</x:v>
      </x:c>
      <x:c r="J7" s="1" t="str">
        <x:v>—</x:v>
      </x:c>
      <x:c r="K7" s="1" t="str">
        <x:v>—</x:v>
      </x:c>
    </x:row>
    <x:row r="8" ht="25" customHeight="1">
      <x:c r="A8" s="1" t="n">
        <x:v>2</x:v>
      </x:c>
      <x:c r="B8" s="1" t="str">
        <x:v>Bacteria</x:v>
      </x:c>
      <x:c r="C8" s="37" t="n">
        <x:v>101.1</x:v>
      </x:c>
      <x:c r="D8" s="37" t="n">
        <x:v>310</x:v>
      </x:c>
      <x:c r="E8" s="37" t="n">
        <x:v>310</x:v>
      </x:c>
      <x:c r="F8" s="37" t="n">
        <x:v>0.3261290322580645</x:v>
      </x:c>
      <x:c r="G8" s="37" t="n">
        <x:v>0.9198813056379822</x:v>
      </x:c>
      <x:c r="H8" s="37" t="str">
        <x:v>n.a.</x:v>
      </x:c>
      <x:c r="I8" s="37" t="str">
        <x:v>n.a.</x:v>
      </x:c>
      <x:c r="J8" s="1" t="str">
        <x:v>—</x:v>
      </x:c>
      <x:c r="K8" s="1" t="str">
        <x:v>—</x:v>
      </x:c>
    </x:row>
    <x:row r="9" ht="25" customHeight="1">
      <x:c r="A9" s="1" t="n">
        <x:v>3</x:v>
      </x:c>
      <x:c r="B9" s="1" t="str">
        <x:v>Protozoa</x:v>
      </x:c>
      <x:c r="C9" s="37" t="n">
        <x:v>35.1</x:v>
      </x:c>
      <x:c r="D9" s="37" t="n">
        <x:v>108</x:v>
      </x:c>
      <x:c r="E9" s="37" t="n">
        <x:v>108</x:v>
      </x:c>
      <x:c r="F9" s="37" t="n">
        <x:v>0.325</x:v>
      </x:c>
      <x:c r="G9" s="37" t="n">
        <x:v>0.9401709401709402</x:v>
      </x:c>
      <x:c r="H9" s="37" t="str">
        <x:v>n.a.</x:v>
      </x:c>
      <x:c r="I9" s="37" t="str">
        <x:v>n.a.</x:v>
      </x:c>
      <x:c r="J9" s="1" t="str">
        <x:v>—</x:v>
      </x:c>
      <x:c r="K9" s="1" t="str">
        <x:v>—</x:v>
      </x:c>
    </x:row>
    <x:row r="10" ht="25" customHeight="1">
      <x:c r="A10" s="1" t="n">
        <x:v>4</x:v>
      </x:c>
      <x:c r="B10" s="1" t="str">
        <x:v>Copepods</x:v>
      </x:c>
      <x:c r="C10" s="37" t="n">
        <x:v>117.2</x:v>
      </x:c>
      <x:c r="D10" s="37" t="n">
        <x:v>176</x:v>
      </x:c>
      <x:c r="E10" s="37" t="n">
        <x:v>176</x:v>
      </x:c>
      <x:c r="F10" s="37" t="n">
        <x:v>0.6659090909090909</x:v>
      </x:c>
      <x:c r="G10" s="37" t="n">
        <x:v>0.22215017064846415</x:v>
      </x:c>
      <x:c r="H10" s="37" t="str">
        <x:v>n.a.</x:v>
      </x:c>
      <x:c r="I10" s="37" t="str">
        <x:v>n.a.</x:v>
      </x:c>
      <x:c r="J10" s="1" t="str">
        <x:v>—</x:v>
      </x:c>
      <x:c r="K10" s="1" t="str">
        <x:v>—</x:v>
      </x:c>
    </x:row>
    <x:row r="11" ht="25" customHeight="1">
      <x:c r="A11" s="1" t="n">
        <x:v>5</x:v>
      </x:c>
      <x:c r="B11" s="1" t="str">
        <x:v>Euphausiids</x:v>
      </x:c>
      <x:c r="C11" s="37" t="n">
        <x:v>56.1</x:v>
      </x:c>
      <x:c r="D11" s="37" t="n">
        <x:v>87</x:v>
      </x:c>
      <x:c r="E11" s="37" t="n">
        <x:v>87</x:v>
      </x:c>
      <x:c r="F11" s="37" t="n">
        <x:v>0.6448275862068965</x:v>
      </x:c>
      <x:c r="G11" s="37" t="n">
        <x:v>0.18266488413547238</x:v>
      </x:c>
      <x:c r="H11" s="37" t="str">
        <x:v>n.a.</x:v>
      </x:c>
      <x:c r="I11" s="37" t="str">
        <x:v>n.a.</x:v>
      </x:c>
      <x:c r="J11" s="1" t="str">
        <x:v>—</x:v>
      </x:c>
      <x:c r="K11" s="1" t="str">
        <x:v>—</x:v>
      </x:c>
    </x:row>
    <x:row r="12" ht="25" customHeight="1">
      <x:c r="A12" s="38" t="n">
        <x:v>6</x:v>
      </x:c>
      <x:c r="B12" s="38" t="str">
        <x:v>Hyperiids</x:v>
      </x:c>
      <x:c r="C12" s="39" t="n">
        <x:v>4.752</x:v>
      </x:c>
      <x:c r="D12" s="39" t="n">
        <x:v>4.383</x:v>
      </x:c>
      <x:c r="E12" s="39" t="n">
        <x:v>4.383</x:v>
      </x:c>
      <x:c r="F12" s="39" t="n">
        <x:v>1.0841889117043122</x:v>
      </x:c>
      <x:c r="G12" s="39" t="n">
        <x:v>0.1711489898989899</x:v>
      </x:c>
      <x:c r="H12" s="39" t="n">
        <x:v>60.3998</x:v>
      </x:c>
      <x:c r="I12" s="39" t="n">
        <x:v>10.237254237288136</x:v>
      </x:c>
      <x:c r="J12" s="38" t="str">
        <x:v>FAIL</x:v>
      </x:c>
      <x:c r="K12" s="38" t="str">
        <x:v>—</x:v>
      </x:c>
    </x:row>
    <x:row r="13" ht="25" customHeight="1">
      <x:c r="A13" s="1" t="n">
        <x:v>7</x:v>
      </x:c>
      <x:c r="B13" s="1" t="str">
        <x:v>Chaetognaths</x:v>
      </x:c>
      <x:c r="C13" s="37" t="n">
        <x:v>12.78</x:v>
      </x:c>
      <x:c r="D13" s="37" t="n">
        <x:v>20.666</x:v>
      </x:c>
      <x:c r="E13" s="37" t="n">
        <x:v>20.666</x:v>
      </x:c>
      <x:c r="F13" s="37" t="n">
        <x:v>0.618407045388561</x:v>
      </x:c>
      <x:c r="G13" s="37" t="n">
        <x:v>0.009647887323943663</x:v>
      </x:c>
      <x:c r="H13" s="37" t="n">
        <x:v>287.3996</x:v>
      </x:c>
      <x:c r="I13" s="37" t="n">
        <x:v>6.730669789227166</x:v>
      </x:c>
      <x:c r="J13" s="1" t="str">
        <x:v>—</x:v>
      </x:c>
      <x:c r="K13" s="1" t="str">
        <x:v>—</x:v>
      </x:c>
    </x:row>
    <x:row r="14" ht="25" customHeight="1">
      <x:c r="A14" s="38" t="n">
        <x:v>8</x:v>
      </x:c>
      <x:c r="B14" s="38" t="str">
        <x:v>Salmon</x:v>
      </x:c>
      <x:c r="C14" s="39" t="n">
        <x:v>0.105</x:v>
      </x:c>
      <x:c r="D14" s="39" t="n">
        <x:v>0.0731</x:v>
      </x:c>
      <x:c r="E14" s="39" t="n">
        <x:v>0.0731</x:v>
      </x:c>
      <x:c r="F14" s="39" t="n">
        <x:v>1.4363885088919288</x:v>
      </x:c>
      <x:c r="G14" s="39" t="n">
        <x:v>0.31047619047619046</x:v>
      </x:c>
      <x:c r="H14" s="39" t="n">
        <x:v>0.99794</x:v>
      </x:c>
      <x:c r="I14" s="39" t="n">
        <x:v>1.247425</x:v>
      </x:c>
      <x:c r="J14" s="38" t="str">
        <x:v>FAIL</x:v>
      </x:c>
      <x:c r="K14" s="38" t="str">
        <x:v>—</x:v>
      </x:c>
    </x:row>
    <x:row r="15" ht="25" customHeight="1">
      <x:c r="A15" s="38" t="n">
        <x:v>9</x:v>
      </x:c>
      <x:c r="B15" s="38" t="str">
        <x:v>Squid III</x:v>
      </x:c>
      <x:c r="C15" s="39" t="n">
        <x:v>0.105</x:v>
      </x:c>
      <x:c r="D15" s="39" t="n">
        <x:v>1.69381</x:v>
      </x:c>
      <x:c r="E15" s="39" t="n">
        <x:v>1.69381</x:v>
      </x:c>
      <x:c r="F15" s="39" t="n">
        <x:v>0.06199042395546136</x:v>
      </x:c>
      <x:c r="G15" s="39" t="n">
        <x:v>6.636190476190476</x:v>
      </x:c>
      <x:c r="H15" s="39" t="n">
        <x:v>19.092452</x:v>
      </x:c>
      <x:c r="I15" s="39" t="n">
        <x:v>38.184904</x:v>
      </x:c>
      <x:c r="J15" s="38" t="str">
        <x:v>—</x:v>
      </x:c>
      <x:c r="K15" s="38" t="str">
        <x:v>FAIL</x:v>
      </x:c>
    </x:row>
    <x:row r="16" ht="25" customHeight="1">
      <x:c r="A16" s="38" t="n">
        <x:v>10</x:v>
      </x:c>
      <x:c r="B16" s="38" t="str">
        <x:v>Herring</x:v>
      </x:c>
      <x:c r="C16" s="39" t="n">
        <x:v>0.119</x:v>
      </x:c>
      <x:c r="D16" s="39" t="n">
        <x:v>2.756</x:v>
      </x:c>
      <x:c r="E16" s="39" t="n">
        <x:v>2.756</x:v>
      </x:c>
      <x:c r="F16" s="39" t="n">
        <x:v>0.043178519593613934</x:v>
      </x:c>
      <x:c r="G16" s="39" t="n">
        <x:v>8.799495798319327</x:v>
      </x:c>
      <x:c r="H16" s="39" t="n">
        <x:v>33.562</x:v>
      </x:c>
      <x:c r="I16" s="39" t="n">
        <x:v>13.4248</x:v>
      </x:c>
      <x:c r="J16" s="38" t="str">
        <x:v>—</x:v>
      </x:c>
      <x:c r="K16" s="38" t="str">
        <x:v>FAIL</x:v>
      </x:c>
    </x:row>
    <x:row r="17" ht="25" customHeight="1">
      <x:c r="A17" s="38" t="n">
        <x:v>11</x:v>
      </x:c>
      <x:c r="B17" s="38" t="str">
        <x:v>Deep-sea smelt</x:v>
      </x:c>
      <x:c r="C17" s="39" t="n">
        <x:v>0.06</x:v>
      </x:c>
      <x:c r="D17" s="39" t="n">
        <x:v>0.4615</x:v>
      </x:c>
      <x:c r="E17" s="39" t="n">
        <x:v>0.4615</x:v>
      </x:c>
      <x:c r="F17" s="39" t="n">
        <x:v>0.13001083423618634</x:v>
      </x:c>
      <x:c r="G17" s="39" t="n">
        <x:v>2.425666666666667</x:v>
      </x:c>
      <x:c r="H17" s="39" t="n">
        <x:v>4.97205</x:v>
      </x:c>
      <x:c r="I17" s="39" t="n">
        <x:v>2.76225</x:v>
      </x:c>
      <x:c r="J17" s="38" t="str">
        <x:v>—</x:v>
      </x:c>
      <x:c r="K17" s="38" t="str">
        <x:v>FAIL</x:v>
      </x:c>
    </x:row>
    <x:row r="18" ht="25" customHeight="1">
      <x:c r="A18" s="1" t="n">
        <x:v>12</x:v>
      </x:c>
      <x:c r="B18" s="1" t="str">
        <x:v>Pollock less than 30 cm</x:v>
      </x:c>
      <x:c r="C18" s="37" t="n">
        <x:v>0.197</x:v>
      </x:c>
      <x:c r="D18" s="37" t="n">
        <x:v>1.305</x:v>
      </x:c>
      <x:c r="E18" s="37" t="n">
        <x:v>1.305</x:v>
      </x:c>
      <x:c r="F18" s="37" t="n">
        <x:v>0.15095785440613027</x:v>
      </x:c>
      <x:c r="G18" s="37" t="n">
        <x:v>0.07974619289340101</x:v>
      </x:c>
      <x:c r="H18" s="37" t="n">
        <x:v>16.4998</x:v>
      </x:c>
      <x:c r="I18" s="37" t="n">
        <x:v>20.62475</x:v>
      </x:c>
      <x:c r="J18" s="1" t="str">
        <x:v>—</x:v>
      </x:c>
      <x:c r="K18" s="1" t="str">
        <x:v>—</x:v>
      </x:c>
    </x:row>
    <x:row r="19" ht="25" customHeight="1">
      <x:c r="A19" s="38" t="n">
        <x:v>13</x:v>
      </x:c>
      <x:c r="B19" s="38" t="str">
        <x:v>Capelin</x:v>
      </x:c>
      <x:c r="C19" s="39" t="n">
        <x:v>0.03</x:v>
      </x:c>
      <x:c r="D19" s="39" t="n">
        <x:v>1.055</x:v>
      </x:c>
      <x:c r="E19" s="39" t="n">
        <x:v>1.055</x:v>
      </x:c>
      <x:c r="F19" s="39" t="n">
        <x:v>0.02843601895734597</x:v>
      </x:c>
      <x:c r="G19" s="39" t="n">
        <x:v>25.913333333333334</x:v>
      </x:c>
      <x:c r="H19" s="39" t="n">
        <x:v>11.3975</x:v>
      </x:c>
      <x:c r="I19" s="39" t="n">
        <x:v>14.246875</x:v>
      </x:c>
      <x:c r="J19" s="38" t="str">
        <x:v>—</x:v>
      </x:c>
      <x:c r="K19" s="38" t="str">
        <x:v>FAIL</x:v>
      </x:c>
    </x:row>
    <x:row r="20" ht="25" customHeight="1">
      <x:c r="A20" s="38" t="n">
        <x:v>14</x:v>
      </x:c>
      <x:c r="B20" s="38" t="str">
        <x:v>Jellyfish</x:v>
      </x:c>
      <x:c r="C20" s="39" t="n">
        <x:v>0.144</x:v>
      </x:c>
      <x:c r="D20" s="39" t="n">
        <x:v>0.0505</x:v>
      </x:c>
      <x:c r="E20" s="39" t="n">
        <x:v>0.0505</x:v>
      </x:c>
      <x:c r="F20" s="39" t="n">
        <x:v>2.8514851485148514</x:v>
      </x:c>
      <x:c r="G20" s="39" t="n">
        <x:v>0.0042361111111111115</x:v>
      </x:c>
      <x:c r="H20" s="39" t="n">
        <x:v>0.7231</x:v>
      </x:c>
      <x:c r="I20" s="39" t="n">
        <x:v>0.17636585365853658</x:v>
      </x:c>
      <x:c r="J20" s="38" t="str">
        <x:v>FAIL</x:v>
      </x:c>
      <x:c r="K20" s="38" t="str">
        <x:v>—</x:v>
      </x:c>
    </x:row>
    <x:row r="21" ht="25" customHeight="1">
      <x:c r="A21" s="1" t="n">
        <x:v>15</x:v>
      </x:c>
      <x:c r="B21" s="1" t="str">
        <x:v>Pollock 30-60 cm</x:v>
      </x:c>
      <x:c r="C21" s="37" t="n">
        <x:v>0.59</x:v>
      </x:c>
      <x:c r="D21" s="37" t="n">
        <x:v>6.0421</x:v>
      </x:c>
      <x:c r="E21" s="37" t="n">
        <x:v>6.0421</x:v>
      </x:c>
      <x:c r="F21" s="37" t="n">
        <x:v>0.09764816868307377</x:v>
      </x:c>
      <x:c r="G21" s="37" t="n">
        <x:v>0.1694915254237288</x:v>
      </x:c>
      <x:c r="H21" s="37" t="n">
        <x:v>60.9179</x:v>
      </x:c>
      <x:c r="I21" s="37" t="n">
        <x:v>7.1499882629107985</x:v>
      </x:c>
      <x:c r="J21" s="1" t="str">
        <x:v>—</x:v>
      </x:c>
      <x:c r="K21" s="1" t="str">
        <x:v>—</x:v>
      </x:c>
    </x:row>
    <x:row r="22" ht="25" customHeight="1">
      <x:c r="A22" s="38" t="n">
        <x:v>16</x:v>
      </x:c>
      <x:c r="B22" s="38" t="str">
        <x:v>Squid IV</x:v>
      </x:c>
      <x:c r="C22" s="39" t="n">
        <x:v>0.1</x:v>
      </x:c>
      <x:c r="D22" s="39" t="n">
        <x:v>0.816</x:v>
      </x:c>
      <x:c r="E22" s="39" t="n">
        <x:v>0.816</x:v>
      </x:c>
      <x:c r="F22" s="39" t="n">
        <x:v>0.12254901960784313</x:v>
      </x:c>
      <x:c r="G22" s="39" t="n">
        <x:v>1.58</x:v>
      </x:c>
      <x:c r="H22" s="39" t="n">
        <x:v>9.6534</x:v>
      </x:c>
      <x:c r="I22" s="39" t="n">
        <x:v>19.3068</x:v>
      </x:c>
      <x:c r="J22" s="38" t="str">
        <x:v>—</x:v>
      </x:c>
      <x:c r="K22" s="38" t="str">
        <x:v>FAIL</x:v>
      </x:c>
    </x:row>
    <x:row r="23" ht="25" customHeight="1">
      <x:c r="A23" s="1" t="n">
        <x:v>17</x:v>
      </x:c>
      <x:c r="B23" s="1" t="str">
        <x:v>Predatory salmon</x:v>
      </x:c>
      <x:c r="C23" s="37" t="n">
        <x:v>0.002</x:v>
      </x:c>
      <x:c r="D23" s="37" t="n">
        <x:v>0.0833</x:v>
      </x:c>
      <x:c r="E23" s="37" t="n">
        <x:v>0.0833</x:v>
      </x:c>
      <x:c r="F23" s="37" t="n">
        <x:v>0.024009603841536616</x:v>
      </x:c>
      <x:c r="G23" s="37" t="n">
        <x:v>0</x:v>
      </x:c>
      <x:c r="H23" s="37" t="n">
        <x:v>1.08731</x:v>
      </x:c>
      <x:c r="I23" s="37" t="n">
        <x:v>54.3655</x:v>
      </x:c>
      <x:c r="J23" s="1" t="str">
        <x:v>—</x:v>
      </x:c>
      <x:c r="K23" s="1" t="str">
        <x:v>—</x:v>
      </x:c>
    </x:row>
    <x:row r="24" ht="25" customHeight="1">
      <x:c r="A24" s="1" t="n">
        <x:v>18</x:v>
      </x:c>
      <x:c r="B24" s="1" t="str">
        <x:v>Baleen whales</x:v>
      </x:c>
      <x:c r="C24" s="37" t="n">
        <x:v>0.001</x:v>
      </x:c>
      <x:c r="D24" s="37" t="str">
        <x:v>n.a.</x:v>
      </x:c>
      <x:c r="E24" s="37" t="n">
        <x:v>0.21415</x:v>
      </x:c>
      <x:c r="F24" s="37" t="str">
        <x:v>n.a.</x:v>
      </x:c>
      <x:c r="G24" s="37" t="n">
        <x:v>0</x:v>
      </x:c>
      <x:c r="H24" s="37" t="str">
        <x:v>n.a.</x:v>
      </x:c>
      <x:c r="I24" s="37" t="str">
        <x:v>n.a.</x:v>
      </x:c>
      <x:c r="J24" s="1" t="str">
        <x:v>—</x:v>
      </x:c>
      <x:c r="K24" s="1" t="str">
        <x:v>—</x:v>
      </x:c>
    </x:row>
    <x:row r="25" ht="25" customHeight="1">
      <x:c r="A25" s="38" t="n">
        <x:v>19</x:v>
      </x:c>
      <x:c r="B25" s="38" t="str">
        <x:v>Pollock greater than 60 cm</x:v>
      </x:c>
      <x:c r="C25" s="39" t="n">
        <x:v>0.009</x:v>
      </x:c>
      <x:c r="D25" s="39" t="n">
        <x:v>0.06984</x:v>
      </x:c>
      <x:c r="E25" s="39" t="n">
        <x:v>0.06984</x:v>
      </x:c>
      <x:c r="F25" s="39" t="n">
        <x:v>0.12886597938144329</x:v>
      </x:c>
      <x:c r="G25" s="39" t="n">
        <x:v>7.444444444444445</x:v>
      </x:c>
      <x:c r="H25" s="39" t="n">
        <x:v>0.760448</x:v>
      </x:c>
      <x:c r="I25" s="39" t="n">
        <x:v>1.520896</x:v>
      </x:c>
      <x:c r="J25" s="38" t="str">
        <x:v>—</x:v>
      </x:c>
      <x:c r="K25" s="38" t="str">
        <x:v>FAIL</x:v>
      </x:c>
    </x:row>
    <x:row r="26" ht="25" customHeight="1">
      <x:c r="A26" s="1" t="n">
        <x:v>20</x:v>
      </x:c>
      <x:c r="B26" s="1" t="str">
        <x:v>Predatory fish</x:v>
      </x:c>
      <x:c r="C26" s="37" t="n">
        <x:v>0.004</x:v>
      </x:c>
      <x:c r="D26" s="37" t="n">
        <x:v>0.4874</x:v>
      </x:c>
      <x:c r="E26" s="37" t="n">
        <x:v>0.4874</x:v>
      </x:c>
      <x:c r="F26" s="37" t="n">
        <x:v>0.008206811653672548</x:v>
      </x:c>
      <x:c r="G26" s="37" t="n">
        <x:v>0</x:v>
      </x:c>
      <x:c r="H26" s="37" t="n">
        <x:v>4.79158</x:v>
      </x:c>
      <x:c r="I26" s="37" t="n">
        <x:v>39.929833333333335</x:v>
      </x:c>
      <x:c r="J26" s="1" t="str">
        <x:v>—</x:v>
      </x:c>
      <x:c r="K26" s="1" t="str">
        <x:v>—</x:v>
      </x:c>
    </x:row>
    <x:row r="27" ht="25" customHeight="1">
      <x:c r="A27" s="1" t="n">
        <x:v>21</x:v>
      </x:c>
      <x:c r="B27" s="1" t="str">
        <x:v>Predatory mammals</x:v>
      </x:c>
      <x:c r="C27" s="37" t="n">
        <x:v>0.001</x:v>
      </x:c>
      <x:c r="D27" s="37" t="n">
        <x:v>0.1042</x:v>
      </x:c>
      <x:c r="E27" s="37" t="n">
        <x:v>0.1042</x:v>
      </x:c>
      <x:c r="F27" s="37" t="n">
        <x:v>0.009596928982725527</x:v>
      </x:c>
      <x:c r="G27" s="37" t="n">
        <x:v>0</x:v>
      </x:c>
      <x:c r="H27" s="37" t="n">
        <x:v>1.15702</x:v>
      </x:c>
      <x:c r="I27" s="37" t="n">
        <x:v>4.741885245901639</x:v>
      </x:c>
      <x:c r="J27" s="1" t="str">
        <x:v>—</x:v>
      </x:c>
      <x:c r="K27" s="1" t="str">
        <x:v>—</x:v>
      </x:c>
    </x:row>
    <x:row r="28" ht="2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5" customHeight="1">
      <x:c r="A30" s="20" t="str">
        <x:v>Independent prose consumption (million tonnes wet weight/year) · no rescaling to force agreement</x:v>
      </x:c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</x:row>
    <x:row r="31" ht="2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60" customHeight="1">
      <x:c r="A32" s="19" t="str">
        <x:v>ID</x:v>
      </x:c>
      <x:c r="B32" s="19" t="str">
        <x:v>Group</x:v>
      </x:c>
      <x:c r="C32" s="19" t="str">
        <x:v>Reported Q wet</x:v>
      </x:c>
      <x:c r="D32" s="19" t="str">
        <x:v>Reconstructed Q wet</x:v>
      </x:c>
      <x:c r="E32" s="19" t="str">
        <x:v>Reconstructed / reported</x:v>
      </x:c>
      <x:c r="F32" s="19" t="str">
        <x:v>Printed page</x:v>
      </x:c>
      <x:c r="G32" s="19" t="str">
        <x:v>Assessment</x:v>
      </x:c>
      <x:c r="H32" s="1"/>
      <x:c r="I32" s="1"/>
      <x:c r="J32" s="1"/>
      <x:c r="K32" s="1"/>
    </x:row>
    <x:row r="33" ht="48" customHeight="1">
      <x:c r="A33" s="29" t="n">
        <x:v>4</x:v>
      </x:c>
      <x:c r="B33" s="29" t="str">
        <x:v>Copepods</x:v>
      </x:c>
      <x:c r="C33" s="35" t="n">
        <x:v>2945</x:v>
      </x:c>
      <x:c r="D33" s="35" t="str">
        <x:v>n.a.</x:v>
      </x:c>
      <x:c r="E33" s="35" t="str">
        <x:v>n.a.</x:v>
      </x:c>
      <x:c r="F33" s="29" t="str">
        <x:v>153</x:v>
      </x:c>
      <x:c r="G33" s="5" t="str">
        <x:v>incomplete wet conversion</x:v>
      </x:c>
      <x:c r="H33" s="1"/>
      <x:c r="I33" s="1"/>
      <x:c r="J33" s="1"/>
      <x:c r="K33" s="1"/>
    </x:row>
    <x:row r="34" ht="48" customHeight="1">
      <x:c r="A34" s="29" t="n">
        <x:v>5</x:v>
      </x:c>
      <x:c r="B34" s="29" t="str">
        <x:v>Euphausiids</x:v>
      </x:c>
      <x:c r="C34" s="35" t="n">
        <x:v>1445.6</x:v>
      </x:c>
      <x:c r="D34" s="35" t="str">
        <x:v>n.a.</x:v>
      </x:c>
      <x:c r="E34" s="35" t="str">
        <x:v>n.a.</x:v>
      </x:c>
      <x:c r="F34" s="29" t="str">
        <x:v>153</x:v>
      </x:c>
      <x:c r="G34" s="5" t="str">
        <x:v>incomplete wet conversion</x:v>
      </x:c>
      <x:c r="H34" s="1"/>
      <x:c r="I34" s="1"/>
      <x:c r="J34" s="1"/>
      <x:c r="K34" s="1"/>
    </x:row>
    <x:row r="35" ht="48" customHeight="1">
      <x:c r="A35" s="29" t="n">
        <x:v>6</x:v>
      </x:c>
      <x:c r="B35" s="29" t="str">
        <x:v>Hyperiids</x:v>
      </x:c>
      <x:c r="C35" s="35" t="n">
        <x:v>152.5</x:v>
      </x:c>
      <x:c r="D35" s="35" t="n">
        <x:v>60.3998</x:v>
      </x:c>
      <x:c r="E35" s="35" t="n">
        <x:v>0.39606426229508196</x:v>
      </x:c>
      <x:c r="F35" s="29" t="str">
        <x:v>153</x:v>
      </x:c>
      <x:c r="G35" s="5" t="str">
        <x:v>figure and prose do not reconcile</x:v>
      </x:c>
      <x:c r="H35" s="1"/>
      <x:c r="I35" s="1"/>
      <x:c r="J35" s="1"/>
      <x:c r="K35" s="1"/>
    </x:row>
    <x:row r="36" ht="48" customHeight="1">
      <x:c r="A36" s="29" t="n">
        <x:v>7</x:v>
      </x:c>
      <x:c r="B36" s="29" t="str">
        <x:v>Chaetognaths</x:v>
      </x:c>
      <x:c r="C36" s="35" t="n">
        <x:v>320</x:v>
      </x:c>
      <x:c r="D36" s="35" t="n">
        <x:v>287.3996</x:v>
      </x:c>
      <x:c r="E36" s="35" t="n">
        <x:v>0.89812375</x:v>
      </x:c>
      <x:c r="F36" s="29" t="str">
        <x:v>153</x:v>
      </x:c>
      <x:c r="G36" s="5" t="str">
        <x:v>figure and prose do not reconcile</x:v>
      </x:c>
      <x:c r="H36" s="1"/>
      <x:c r="I36" s="1"/>
      <x:c r="J36" s="1"/>
      <x:c r="K36" s="1"/>
    </x:row>
    <x:row r="37" ht="48" customHeight="1">
      <x:c r="A37" s="29" t="n">
        <x:v>10</x:v>
      </x:c>
      <x:c r="B37" s="29" t="str">
        <x:v>Herring</x:v>
      </x:c>
      <x:c r="C37" s="35" t="n">
        <x:v>36.9</x:v>
      </x:c>
      <x:c r="D37" s="35" t="n">
        <x:v>33.562</x:v>
      </x:c>
      <x:c r="E37" s="35" t="n">
        <x:v>0.909539295392954</x:v>
      </x:c>
      <x:c r="F37" s="29" t="str">
        <x:v>155</x:v>
      </x:c>
      <x:c r="G37" s="5" t="str">
        <x:v>figure and prose do not reconcile</x:v>
      </x:c>
      <x:c r="H37" s="1"/>
      <x:c r="I37" s="1"/>
      <x:c r="J37" s="1"/>
      <x:c r="K37" s="1"/>
    </x:row>
    <x:row r="38" ht="48" customHeight="1">
      <x:c r="A38" s="29" t="n">
        <x:v>11</x:v>
      </x:c>
      <x:c r="B38" s="29" t="str">
        <x:v>Deep-sea smelt</x:v>
      </x:c>
      <x:c r="C38" s="35" t="n">
        <x:v>10.29</x:v>
      </x:c>
      <x:c r="D38" s="35" t="n">
        <x:v>4.97205</x:v>
      </x:c>
      <x:c r="E38" s="35" t="n">
        <x:v>0.4831924198250729</x:v>
      </x:c>
      <x:c r="F38" s="29" t="str">
        <x:v>155</x:v>
      </x:c>
      <x:c r="G38" s="5" t="str">
        <x:v>figure and prose do not reconcile</x:v>
      </x:c>
      <x:c r="H38" s="1"/>
      <x:c r="I38" s="1"/>
      <x:c r="J38" s="1"/>
      <x:c r="K38" s="1"/>
    </x:row>
    <x:row r="39" ht="48" customHeight="1">
      <x:c r="A39" s="29" t="n">
        <x:v>13</x:v>
      </x:c>
      <x:c r="B39" s="29" t="str">
        <x:v>Capelin</x:v>
      </x:c>
      <x:c r="C39" s="35" t="n">
        <x:v>14.74</x:v>
      </x:c>
      <x:c r="D39" s="35" t="n">
        <x:v>11.3975</x:v>
      </x:c>
      <x:c r="E39" s="35" t="n">
        <x:v>0.773236092265943</x:v>
      </x:c>
      <x:c r="F39" s="29" t="str">
        <x:v>156</x:v>
      </x:c>
      <x:c r="G39" s="5" t="str">
        <x:v>figure and prose do not reconcile</x:v>
      </x:c>
      <x:c r="H39" s="1"/>
      <x:c r="I39" s="1"/>
      <x:c r="J39" s="1"/>
      <x:c r="K39" s="1"/>
    </x:row>
    <x:row r="40" ht="48" customHeight="1">
      <x:c r="A40" s="29" t="n">
        <x:v>12</x:v>
      </x:c>
      <x:c r="B40" s="29" t="str">
        <x:v>Pollock less than 30 cm</x:v>
      </x:c>
      <x:c r="C40" s="35" t="n">
        <x:v>16.5</x:v>
      </x:c>
      <x:c r="D40" s="35" t="n">
        <x:v>16.4998</x:v>
      </x:c>
      <x:c r="E40" s="35" t="n">
        <x:v>0.9999878787878788</x:v>
      </x:c>
      <x:c r="F40" s="29" t="str">
        <x:v>156</x:v>
      </x:c>
      <x:c r="G40" s="5" t="str">
        <x:v>within 5 percent; not proof of completeness</x:v>
      </x:c>
      <x:c r="H40" s="1"/>
      <x:c r="I40" s="1"/>
      <x:c r="J40" s="1"/>
      <x:c r="K40" s="1"/>
    </x:row>
    <x:row r="41" ht="48" customHeight="1">
      <x:c r="A41" s="29" t="n">
        <x:v>15</x:v>
      </x:c>
      <x:c r="B41" s="29" t="str">
        <x:v>Pollock 30-60 cm</x:v>
      </x:c>
      <x:c r="C41" s="35" t="n">
        <x:v>80.8</x:v>
      </x:c>
      <x:c r="D41" s="35" t="n">
        <x:v>60.9179</x:v>
      </x:c>
      <x:c r="E41" s="35" t="n">
        <x:v>0.753934405940594</x:v>
      </x:c>
      <x:c r="F41" s="29" t="str">
        <x:v>156</x:v>
      </x:c>
      <x:c r="G41" s="5" t="str">
        <x:v>figure and prose do not reconcile</x:v>
      </x:c>
      <x:c r="H41" s="1"/>
      <x:c r="I41" s="1"/>
      <x:c r="J41" s="1"/>
      <x:c r="K41" s="1"/>
    </x:row>
    <x:row r="42" ht="2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</x:sheetData>
  <x:mergeCells>
    <x:mergeCell ref="A1:K1"/>
    <x:mergeCell ref="A2:K3"/>
    <x:mergeCell ref="A30:K30"/>
  </x:mergeCells>
  <x:pageMargins left="0.7" right="0.7" top="0.75" bottom="0.75" header="0.3" footer="0.3"/>
</x:worksheet>
</file>